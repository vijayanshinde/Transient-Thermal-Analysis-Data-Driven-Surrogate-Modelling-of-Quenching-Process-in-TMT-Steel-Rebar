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DS Study\Internship\"/>
    </mc:Choice>
  </mc:AlternateContent>
  <xr:revisionPtr revIDLastSave="0" documentId="13_ncr:1_{EB7ADA7B-1191-42DA-BCD8-09DF618EBED2}" xr6:coauthVersionLast="36" xr6:coauthVersionMax="36" xr10:uidLastSave="{00000000-0000-0000-0000-000000000000}"/>
  <bookViews>
    <workbookView xWindow="0" yWindow="0" windowWidth="28800" windowHeight="13500" xr2:uid="{0276F538-AFB1-4028-A893-D6720491E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7" i="1" l="1"/>
  <c r="C267" i="1"/>
  <c r="U260" i="1"/>
  <c r="U259" i="1"/>
  <c r="U261" i="1" s="1"/>
  <c r="L261" i="1" s="1"/>
  <c r="L259" i="1"/>
  <c r="C258" i="1"/>
  <c r="U255" i="1"/>
  <c r="C252" i="1"/>
  <c r="D251" i="1"/>
  <c r="D19" i="1"/>
  <c r="E19" i="1" s="1"/>
  <c r="C19" i="1"/>
  <c r="C10" i="1"/>
  <c r="AQ5" i="1"/>
  <c r="C4" i="1"/>
  <c r="C6" i="1" s="1"/>
  <c r="Q3" i="1" s="1"/>
  <c r="Q4" i="1" s="1"/>
  <c r="W3" i="1"/>
  <c r="W4" i="1" s="1"/>
  <c r="V3" i="1"/>
  <c r="V4" i="1" s="1"/>
  <c r="U3" i="1"/>
  <c r="U4" i="1" s="1"/>
  <c r="S3" i="1"/>
  <c r="S4" i="1" s="1"/>
  <c r="P3" i="1"/>
  <c r="P4" i="1" s="1"/>
  <c r="D3" i="1"/>
  <c r="CK19" i="1" l="1"/>
  <c r="BG267" i="1"/>
  <c r="BG19" i="1"/>
  <c r="F19" i="1"/>
  <c r="T251" i="1"/>
  <c r="T252" i="1" s="1"/>
  <c r="H251" i="1"/>
  <c r="H252" i="1" s="1"/>
  <c r="R251" i="1"/>
  <c r="R252" i="1" s="1"/>
  <c r="Q251" i="1"/>
  <c r="Q252" i="1" s="1"/>
  <c r="P251" i="1"/>
  <c r="P252" i="1" s="1"/>
  <c r="S251" i="1"/>
  <c r="S252" i="1" s="1"/>
  <c r="O251" i="1"/>
  <c r="O252" i="1" s="1"/>
  <c r="N251" i="1"/>
  <c r="N252" i="1" s="1"/>
  <c r="M251" i="1"/>
  <c r="M252" i="1" s="1"/>
  <c r="L251" i="1"/>
  <c r="L252" i="1" s="1"/>
  <c r="Z251" i="1"/>
  <c r="Z252" i="1" s="1"/>
  <c r="J251" i="1"/>
  <c r="J252" i="1" s="1"/>
  <c r="Y251" i="1"/>
  <c r="Y252" i="1" s="1"/>
  <c r="I251" i="1"/>
  <c r="I252" i="1" s="1"/>
  <c r="X251" i="1"/>
  <c r="X252" i="1" s="1"/>
  <c r="G251" i="1"/>
  <c r="G252" i="1" s="1"/>
  <c r="V251" i="1"/>
  <c r="V252" i="1" s="1"/>
  <c r="W251" i="1"/>
  <c r="W252" i="1" s="1"/>
  <c r="U251" i="1"/>
  <c r="U252" i="1" s="1"/>
  <c r="K251" i="1"/>
  <c r="K252" i="1" s="1"/>
  <c r="R3" i="1"/>
  <c r="R4" i="1" s="1"/>
  <c r="Z3" i="1"/>
  <c r="Z4" i="1" s="1"/>
  <c r="N3" i="1"/>
  <c r="N4" i="1" s="1"/>
  <c r="Y3" i="1"/>
  <c r="Y4" i="1" s="1"/>
  <c r="M3" i="1"/>
  <c r="M4" i="1" s="1"/>
  <c r="L3" i="1"/>
  <c r="L4" i="1" s="1"/>
  <c r="X3" i="1"/>
  <c r="X4" i="1" s="1"/>
  <c r="T3" i="1"/>
  <c r="T4" i="1" s="1"/>
  <c r="H3" i="1"/>
  <c r="H4" i="1" s="1"/>
  <c r="D4" i="1"/>
  <c r="BB267" i="1" s="1"/>
  <c r="BB19" i="1"/>
  <c r="CF267" i="1"/>
  <c r="D6" i="1"/>
  <c r="G3" i="1"/>
  <c r="G4" i="1" s="1"/>
  <c r="I3" i="1"/>
  <c r="I4" i="1" s="1"/>
  <c r="J3" i="1"/>
  <c r="J4" i="1" s="1"/>
  <c r="K3" i="1"/>
  <c r="K4" i="1" s="1"/>
  <c r="O3" i="1"/>
  <c r="O4" i="1" s="1"/>
  <c r="D252" i="1"/>
  <c r="C254" i="1"/>
  <c r="D254" i="1" s="1"/>
  <c r="U258" i="1"/>
  <c r="U254" i="1" s="1"/>
  <c r="C256" i="1" s="1"/>
  <c r="E267" i="1"/>
  <c r="F267" i="1"/>
  <c r="BD267" i="1" l="1"/>
  <c r="BC267" i="1"/>
  <c r="BD19" i="1"/>
  <c r="BC19" i="1"/>
  <c r="CK267" i="1"/>
  <c r="BI19" i="1"/>
  <c r="BH19" i="1"/>
  <c r="CP267" i="1"/>
  <c r="CP19" i="1"/>
  <c r="H19" i="1"/>
  <c r="BK19" i="1"/>
  <c r="BF19" i="1"/>
  <c r="CH267" i="1"/>
  <c r="CG267" i="1"/>
  <c r="CM19" i="1"/>
  <c r="CO19" i="1" s="1"/>
  <c r="CL19" i="1"/>
  <c r="CF19" i="1"/>
  <c r="CA19" i="1"/>
  <c r="AH267" i="1"/>
  <c r="AH19" i="1"/>
  <c r="BQ267" i="1"/>
  <c r="AW267" i="1"/>
  <c r="AW19" i="1"/>
  <c r="AM267" i="1"/>
  <c r="AM19" i="1"/>
  <c r="BL267" i="1"/>
  <c r="BL19" i="1"/>
  <c r="CA267" i="1"/>
  <c r="BQ19" i="1"/>
  <c r="AC267" i="1"/>
  <c r="AC19" i="1"/>
  <c r="X267" i="1"/>
  <c r="X19" i="1"/>
  <c r="CU267" i="1"/>
  <c r="CU19" i="1"/>
  <c r="S267" i="1"/>
  <c r="S19" i="1"/>
  <c r="AR267" i="1"/>
  <c r="AR19" i="1"/>
  <c r="BI267" i="1"/>
  <c r="BH267" i="1"/>
  <c r="N267" i="1"/>
  <c r="N19" i="1"/>
  <c r="BV267" i="1"/>
  <c r="BV19" i="1"/>
  <c r="I267" i="1"/>
  <c r="I19" i="1"/>
  <c r="CZ267" i="1"/>
  <c r="CZ19" i="1"/>
  <c r="DA267" i="1" l="1"/>
  <c r="DB267" i="1"/>
  <c r="J19" i="1"/>
  <c r="K19" i="1"/>
  <c r="M19" i="1" s="1"/>
  <c r="CW19" i="1"/>
  <c r="CY19" i="1" s="1"/>
  <c r="CV19" i="1"/>
  <c r="AO267" i="1"/>
  <c r="AN267" i="1"/>
  <c r="K267" i="1"/>
  <c r="J267" i="1"/>
  <c r="CW267" i="1"/>
  <c r="CV267" i="1"/>
  <c r="AY19" i="1"/>
  <c r="BA19" i="1" s="1"/>
  <c r="AX19" i="1"/>
  <c r="BW19" i="1"/>
  <c r="BX19" i="1"/>
  <c r="BZ19" i="1" s="1"/>
  <c r="Y19" i="1"/>
  <c r="Z19" i="1"/>
  <c r="AB19" i="1" s="1"/>
  <c r="AY267" i="1"/>
  <c r="AX267" i="1"/>
  <c r="AN19" i="1"/>
  <c r="AO19" i="1"/>
  <c r="AQ19" i="1" s="1"/>
  <c r="BS267" i="1"/>
  <c r="BR267" i="1"/>
  <c r="AJ19" i="1"/>
  <c r="AL19" i="1" s="1"/>
  <c r="AI19" i="1"/>
  <c r="AE267" i="1"/>
  <c r="H256" i="1" s="1"/>
  <c r="AD267" i="1"/>
  <c r="U267" i="1"/>
  <c r="T267" i="1"/>
  <c r="BX267" i="1"/>
  <c r="BW267" i="1"/>
  <c r="O19" i="1"/>
  <c r="P19" i="1"/>
  <c r="R19" i="1" s="1"/>
  <c r="O267" i="1"/>
  <c r="P267" i="1"/>
  <c r="CC267" i="1"/>
  <c r="CB267" i="1"/>
  <c r="CG19" i="1"/>
  <c r="CH19" i="1"/>
  <c r="CJ19" i="1" s="1"/>
  <c r="Z267" i="1"/>
  <c r="Y267" i="1"/>
  <c r="AE19" i="1"/>
  <c r="AD19" i="1"/>
  <c r="AJ267" i="1"/>
  <c r="AI267" i="1"/>
  <c r="AS19" i="1"/>
  <c r="AT19" i="1"/>
  <c r="AV19" i="1" s="1"/>
  <c r="AS267" i="1"/>
  <c r="AT267" i="1"/>
  <c r="BM19" i="1"/>
  <c r="BN19" i="1"/>
  <c r="BP19" i="1" s="1"/>
  <c r="DA19" i="1"/>
  <c r="DB19" i="1"/>
  <c r="DD19" i="1" s="1"/>
  <c r="U19" i="1"/>
  <c r="W19" i="1" s="1"/>
  <c r="T19" i="1"/>
  <c r="BM267" i="1"/>
  <c r="BN267" i="1"/>
  <c r="CM267" i="1"/>
  <c r="CL267" i="1"/>
  <c r="CR19" i="1"/>
  <c r="CT19" i="1" s="1"/>
  <c r="CQ19" i="1"/>
  <c r="BS19" i="1"/>
  <c r="BU19" i="1" s="1"/>
  <c r="BR19" i="1"/>
  <c r="CC19" i="1"/>
  <c r="CE19" i="1" s="1"/>
  <c r="CB19" i="1"/>
  <c r="CQ267" i="1"/>
  <c r="CR267" i="1"/>
  <c r="AG19" i="1" l="1"/>
  <c r="M8" i="1" s="1"/>
  <c r="H8" i="1"/>
  <c r="C489" i="1" l="1"/>
  <c r="C493" i="1"/>
  <c r="C492" i="1"/>
  <c r="C488" i="1"/>
  <c r="C486" i="1"/>
  <c r="C485" i="1"/>
  <c r="C490" i="1"/>
  <c r="C491" i="1"/>
  <c r="C484" i="1"/>
  <c r="C494" i="1"/>
  <c r="C487" i="1"/>
  <c r="C478" i="1"/>
  <c r="C483" i="1"/>
  <c r="C475" i="1"/>
  <c r="C482" i="1"/>
  <c r="C476" i="1"/>
  <c r="C477" i="1"/>
  <c r="C481" i="1"/>
  <c r="C467" i="1"/>
  <c r="C474" i="1"/>
  <c r="C472" i="1"/>
  <c r="C479" i="1"/>
  <c r="C469" i="1"/>
  <c r="C460" i="1"/>
  <c r="C470" i="1"/>
  <c r="C465" i="1"/>
  <c r="C468" i="1"/>
  <c r="C462" i="1"/>
  <c r="C471" i="1"/>
  <c r="C473" i="1"/>
  <c r="C456" i="1"/>
  <c r="C450" i="1"/>
  <c r="C461" i="1"/>
  <c r="C463" i="1"/>
  <c r="C452" i="1"/>
  <c r="C457" i="1"/>
  <c r="C480" i="1"/>
  <c r="C466" i="1"/>
  <c r="C447" i="1"/>
  <c r="C442" i="1"/>
  <c r="C449" i="1"/>
  <c r="C448" i="1"/>
  <c r="C451" i="1"/>
  <c r="C444" i="1"/>
  <c r="C464" i="1"/>
  <c r="C453" i="1"/>
  <c r="C458" i="1"/>
  <c r="C454" i="1"/>
  <c r="C441" i="1"/>
  <c r="C437" i="1"/>
  <c r="C431" i="1"/>
  <c r="C443" i="1"/>
  <c r="C438" i="1"/>
  <c r="C455" i="1"/>
  <c r="C433" i="1"/>
  <c r="C434" i="1"/>
  <c r="C459" i="1"/>
  <c r="C446" i="1"/>
  <c r="C445" i="1"/>
  <c r="C439" i="1"/>
  <c r="C440" i="1"/>
  <c r="C436" i="1"/>
  <c r="C423" i="1"/>
  <c r="C417" i="1"/>
  <c r="C429" i="1"/>
  <c r="C425" i="1"/>
  <c r="C419" i="1"/>
  <c r="C426" i="1"/>
  <c r="C427" i="1"/>
  <c r="C432" i="1"/>
  <c r="C428" i="1"/>
  <c r="C424" i="1"/>
  <c r="C412" i="1"/>
  <c r="C430" i="1"/>
  <c r="C413" i="1"/>
  <c r="C418" i="1"/>
  <c r="C420" i="1"/>
  <c r="C435" i="1"/>
  <c r="C421" i="1"/>
  <c r="C400" i="1"/>
  <c r="C415" i="1"/>
  <c r="C416" i="1"/>
  <c r="C409" i="1"/>
  <c r="C402" i="1"/>
  <c r="C411" i="1"/>
  <c r="C408" i="1"/>
  <c r="C397" i="1"/>
  <c r="C391" i="1"/>
  <c r="C406" i="1"/>
  <c r="C414" i="1"/>
  <c r="C398" i="1"/>
  <c r="C392" i="1"/>
  <c r="C407" i="1"/>
  <c r="C404" i="1"/>
  <c r="C422" i="1"/>
  <c r="C410" i="1"/>
  <c r="C386" i="1"/>
  <c r="C399" i="1"/>
  <c r="C396" i="1"/>
  <c r="C403" i="1"/>
  <c r="C387" i="1"/>
  <c r="C394" i="1"/>
  <c r="C401" i="1"/>
  <c r="C388" i="1"/>
  <c r="C405" i="1"/>
  <c r="C393" i="1"/>
  <c r="C389" i="1"/>
  <c r="C382" i="1"/>
  <c r="C379" i="1"/>
  <c r="C373" i="1"/>
  <c r="C380" i="1"/>
  <c r="C374" i="1"/>
  <c r="C384" i="1"/>
  <c r="C385" i="1"/>
  <c r="C383" i="1"/>
  <c r="C377" i="1"/>
  <c r="C376" i="1"/>
  <c r="C372" i="1"/>
  <c r="C390" i="1"/>
  <c r="C365" i="1"/>
  <c r="C359" i="1"/>
  <c r="C375" i="1"/>
  <c r="C381" i="1"/>
  <c r="C369" i="1"/>
  <c r="C367" i="1"/>
  <c r="C361" i="1"/>
  <c r="C395" i="1"/>
  <c r="C371" i="1"/>
  <c r="C360" i="1"/>
  <c r="C358" i="1"/>
  <c r="C355" i="1"/>
  <c r="C349" i="1"/>
  <c r="C368" i="1"/>
  <c r="C362" i="1"/>
  <c r="C356" i="1"/>
  <c r="C357" i="1"/>
  <c r="C364" i="1"/>
  <c r="C378" i="1"/>
  <c r="C366" i="1"/>
  <c r="C353" i="1"/>
  <c r="C351" i="1"/>
  <c r="C350" i="1"/>
  <c r="C347" i="1"/>
  <c r="C346" i="1"/>
  <c r="C341" i="1"/>
  <c r="C345" i="1"/>
  <c r="C344" i="1"/>
  <c r="C342" i="1"/>
  <c r="C363" i="1"/>
  <c r="C329" i="1"/>
  <c r="C323" i="1"/>
  <c r="C317" i="1"/>
  <c r="C311" i="1"/>
  <c r="C354" i="1"/>
  <c r="C334" i="1"/>
  <c r="C330" i="1"/>
  <c r="C324" i="1"/>
  <c r="C318" i="1"/>
  <c r="C312" i="1"/>
  <c r="C337" i="1"/>
  <c r="C331" i="1"/>
  <c r="C325" i="1"/>
  <c r="C319" i="1"/>
  <c r="C313" i="1"/>
  <c r="C352" i="1"/>
  <c r="C343" i="1"/>
  <c r="C336" i="1"/>
  <c r="C332" i="1"/>
  <c r="C340" i="1"/>
  <c r="C339" i="1"/>
  <c r="C321" i="1"/>
  <c r="C370" i="1"/>
  <c r="C338" i="1"/>
  <c r="C335" i="1"/>
  <c r="C315" i="1"/>
  <c r="C309" i="1"/>
  <c r="C308" i="1"/>
  <c r="C301" i="1"/>
  <c r="C328" i="1"/>
  <c r="C322" i="1"/>
  <c r="C302" i="1"/>
  <c r="C326" i="1"/>
  <c r="C316" i="1"/>
  <c r="C320" i="1"/>
  <c r="C310" i="1"/>
  <c r="C303" i="1"/>
  <c r="C314" i="1"/>
  <c r="C348" i="1"/>
  <c r="C333" i="1"/>
  <c r="C296" i="1"/>
  <c r="C290" i="1"/>
  <c r="C306" i="1"/>
  <c r="C305" i="1"/>
  <c r="C304" i="1"/>
  <c r="C307" i="1"/>
  <c r="C298" i="1"/>
  <c r="C292" i="1"/>
  <c r="C300" i="1"/>
  <c r="C294" i="1"/>
  <c r="C288" i="1"/>
  <c r="C284" i="1"/>
  <c r="C278" i="1"/>
  <c r="C272" i="1"/>
  <c r="C246" i="1"/>
  <c r="C240" i="1"/>
  <c r="C291" i="1"/>
  <c r="C285" i="1"/>
  <c r="C279" i="1"/>
  <c r="C273" i="1"/>
  <c r="C241" i="1"/>
  <c r="C297" i="1"/>
  <c r="C286" i="1"/>
  <c r="C280" i="1"/>
  <c r="C274" i="1"/>
  <c r="C268" i="1"/>
  <c r="C242" i="1"/>
  <c r="C289" i="1"/>
  <c r="C327" i="1"/>
  <c r="C295" i="1"/>
  <c r="C287" i="1"/>
  <c r="C281" i="1"/>
  <c r="C275" i="1"/>
  <c r="C269" i="1"/>
  <c r="C282" i="1"/>
  <c r="C276" i="1"/>
  <c r="C270" i="1"/>
  <c r="C235" i="1"/>
  <c r="C229" i="1"/>
  <c r="C223" i="1"/>
  <c r="C217" i="1"/>
  <c r="C239" i="1"/>
  <c r="C236" i="1"/>
  <c r="C230" i="1"/>
  <c r="C224" i="1"/>
  <c r="C218" i="1"/>
  <c r="C243" i="1"/>
  <c r="C283" i="1"/>
  <c r="C238" i="1"/>
  <c r="C293" i="1"/>
  <c r="C277" i="1"/>
  <c r="C245" i="1"/>
  <c r="C233" i="1"/>
  <c r="C227" i="1"/>
  <c r="C271" i="1"/>
  <c r="C234" i="1"/>
  <c r="C208" i="1"/>
  <c r="C202" i="1"/>
  <c r="C196" i="1"/>
  <c r="C225" i="1"/>
  <c r="C221" i="1"/>
  <c r="C237" i="1"/>
  <c r="C226" i="1"/>
  <c r="C219" i="1"/>
  <c r="C216" i="1"/>
  <c r="C210" i="1"/>
  <c r="C204" i="1"/>
  <c r="C198" i="1"/>
  <c r="C232" i="1"/>
  <c r="C214" i="1"/>
  <c r="C211" i="1"/>
  <c r="C205" i="1"/>
  <c r="C199" i="1"/>
  <c r="C228" i="1"/>
  <c r="C299" i="1"/>
  <c r="C220" i="1"/>
  <c r="C244" i="1"/>
  <c r="C231" i="1"/>
  <c r="C213" i="1"/>
  <c r="C212" i="1"/>
  <c r="C195" i="1"/>
  <c r="C191" i="1"/>
  <c r="C185" i="1"/>
  <c r="C206" i="1"/>
  <c r="C194" i="1"/>
  <c r="C197" i="1"/>
  <c r="C192" i="1"/>
  <c r="C186" i="1"/>
  <c r="C207" i="1"/>
  <c r="C193" i="1"/>
  <c r="C187" i="1"/>
  <c r="C181" i="1"/>
  <c r="C175" i="1"/>
  <c r="C169" i="1"/>
  <c r="C200" i="1"/>
  <c r="C209" i="1"/>
  <c r="C188" i="1"/>
  <c r="C201" i="1"/>
  <c r="C215" i="1"/>
  <c r="C189" i="1"/>
  <c r="C190" i="1"/>
  <c r="C182" i="1"/>
  <c r="C176" i="1"/>
  <c r="C165" i="1"/>
  <c r="C159" i="1"/>
  <c r="C153" i="1"/>
  <c r="C147" i="1"/>
  <c r="C183" i="1"/>
  <c r="C171" i="1"/>
  <c r="C166" i="1"/>
  <c r="C160" i="1"/>
  <c r="C154" i="1"/>
  <c r="C184" i="1"/>
  <c r="C174" i="1"/>
  <c r="C167" i="1"/>
  <c r="C161" i="1"/>
  <c r="C155" i="1"/>
  <c r="C149" i="1"/>
  <c r="C222" i="1"/>
  <c r="C177" i="1"/>
  <c r="C168" i="1"/>
  <c r="C162" i="1"/>
  <c r="C156" i="1"/>
  <c r="C172" i="1"/>
  <c r="C203" i="1"/>
  <c r="C178" i="1"/>
  <c r="C163" i="1"/>
  <c r="C157" i="1"/>
  <c r="C179" i="1"/>
  <c r="C170" i="1"/>
  <c r="C164" i="1"/>
  <c r="C158" i="1"/>
  <c r="C152" i="1"/>
  <c r="C140" i="1"/>
  <c r="C134" i="1"/>
  <c r="C145" i="1"/>
  <c r="C141" i="1"/>
  <c r="C135" i="1"/>
  <c r="C143" i="1"/>
  <c r="C146" i="1"/>
  <c r="C142" i="1"/>
  <c r="C136" i="1"/>
  <c r="C130" i="1"/>
  <c r="C124" i="1"/>
  <c r="C173" i="1"/>
  <c r="C151" i="1"/>
  <c r="C144" i="1"/>
  <c r="C148" i="1"/>
  <c r="C137" i="1"/>
  <c r="C131" i="1"/>
  <c r="C138" i="1"/>
  <c r="C150" i="1"/>
  <c r="C139" i="1"/>
  <c r="C133" i="1"/>
  <c r="C132" i="1"/>
  <c r="C115" i="1"/>
  <c r="C109" i="1"/>
  <c r="C103" i="1"/>
  <c r="C97" i="1"/>
  <c r="C91" i="1"/>
  <c r="C85" i="1"/>
  <c r="C180" i="1"/>
  <c r="C127" i="1"/>
  <c r="C128" i="1"/>
  <c r="C116" i="1"/>
  <c r="C110" i="1"/>
  <c r="C104" i="1"/>
  <c r="C98" i="1"/>
  <c r="C129" i="1"/>
  <c r="C117" i="1"/>
  <c r="C111" i="1"/>
  <c r="C105" i="1"/>
  <c r="C99" i="1"/>
  <c r="C93" i="1"/>
  <c r="C87" i="1"/>
  <c r="C121" i="1"/>
  <c r="C122" i="1"/>
  <c r="C118" i="1"/>
  <c r="C112" i="1"/>
  <c r="C106" i="1"/>
  <c r="C100" i="1"/>
  <c r="C123" i="1"/>
  <c r="C119" i="1"/>
  <c r="C113" i="1"/>
  <c r="C107" i="1"/>
  <c r="C101" i="1"/>
  <c r="C125" i="1"/>
  <c r="C120" i="1"/>
  <c r="C114" i="1"/>
  <c r="C108" i="1"/>
  <c r="C102" i="1"/>
  <c r="C96" i="1"/>
  <c r="C80" i="1"/>
  <c r="C74" i="1"/>
  <c r="C68" i="1"/>
  <c r="C62" i="1"/>
  <c r="C90" i="1"/>
  <c r="C81" i="1"/>
  <c r="C75" i="1"/>
  <c r="C88" i="1"/>
  <c r="C82" i="1"/>
  <c r="C76" i="1"/>
  <c r="C92" i="1"/>
  <c r="C83" i="1"/>
  <c r="C77" i="1"/>
  <c r="C71" i="1"/>
  <c r="C65" i="1"/>
  <c r="C59" i="1"/>
  <c r="C86" i="1"/>
  <c r="C126" i="1"/>
  <c r="C94" i="1"/>
  <c r="C89" i="1"/>
  <c r="C84" i="1"/>
  <c r="C78" i="1"/>
  <c r="C72" i="1"/>
  <c r="C63" i="1"/>
  <c r="C56" i="1"/>
  <c r="C50" i="1"/>
  <c r="C44" i="1"/>
  <c r="C38" i="1"/>
  <c r="C32" i="1"/>
  <c r="C26" i="1"/>
  <c r="C20" i="1"/>
  <c r="C79" i="1"/>
  <c r="C66" i="1"/>
  <c r="C57" i="1"/>
  <c r="C51" i="1"/>
  <c r="C45" i="1"/>
  <c r="C39" i="1"/>
  <c r="C33" i="1"/>
  <c r="C69" i="1"/>
  <c r="C58" i="1"/>
  <c r="C52" i="1"/>
  <c r="C46" i="1"/>
  <c r="C40" i="1"/>
  <c r="C34" i="1"/>
  <c r="C28" i="1"/>
  <c r="C22" i="1"/>
  <c r="C95" i="1"/>
  <c r="C64" i="1"/>
  <c r="C73" i="1"/>
  <c r="C67" i="1"/>
  <c r="C53" i="1"/>
  <c r="C47" i="1"/>
  <c r="C41" i="1"/>
  <c r="C35" i="1"/>
  <c r="C29" i="1"/>
  <c r="C23" i="1"/>
  <c r="C61" i="1"/>
  <c r="C70" i="1"/>
  <c r="C54" i="1"/>
  <c r="C48" i="1"/>
  <c r="C42" i="1"/>
  <c r="C36" i="1"/>
  <c r="C55" i="1"/>
  <c r="C49" i="1"/>
  <c r="C43" i="1"/>
  <c r="C37" i="1"/>
  <c r="C31" i="1"/>
  <c r="C25" i="1"/>
  <c r="C24" i="1"/>
  <c r="C30" i="1"/>
  <c r="C21" i="1"/>
  <c r="C27" i="1"/>
  <c r="C60" i="1"/>
  <c r="H7" i="1"/>
  <c r="G19" i="1"/>
  <c r="Q19" i="1"/>
  <c r="Q267" i="1"/>
  <c r="G267" i="1"/>
  <c r="CI267" i="1"/>
  <c r="CN19" i="1"/>
  <c r="BJ19" i="1"/>
  <c r="BE19" i="1"/>
  <c r="BE267" i="1"/>
  <c r="BJ267" i="1"/>
  <c r="BY19" i="1"/>
  <c r="CX267" i="1"/>
  <c r="AZ267" i="1"/>
  <c r="V267" i="1"/>
  <c r="AK19" i="1"/>
  <c r="BO267" i="1"/>
  <c r="L267" i="1"/>
  <c r="BY267" i="1"/>
  <c r="AP19" i="1"/>
  <c r="CN267" i="1"/>
  <c r="BT267" i="1"/>
  <c r="CX19" i="1"/>
  <c r="AA267" i="1"/>
  <c r="V19" i="1"/>
  <c r="AA19" i="1"/>
  <c r="AF19" i="1"/>
  <c r="CS19" i="1"/>
  <c r="CS267" i="1"/>
  <c r="CD19" i="1"/>
  <c r="DC19" i="1"/>
  <c r="BO19" i="1"/>
  <c r="AZ19" i="1"/>
  <c r="AP267" i="1"/>
  <c r="CD267" i="1"/>
  <c r="AK267" i="1"/>
  <c r="AU19" i="1"/>
  <c r="CI19" i="1"/>
  <c r="AU267" i="1"/>
  <c r="L19" i="1"/>
  <c r="AF267" i="1"/>
  <c r="BT19" i="1"/>
  <c r="DC267" i="1"/>
  <c r="D20" i="1" l="1"/>
  <c r="D268" i="1"/>
  <c r="F268" i="1" l="1"/>
  <c r="E268" i="1"/>
  <c r="E20" i="1"/>
  <c r="F20" i="1"/>
  <c r="H20" i="1" s="1"/>
  <c r="Q20" i="1" l="1"/>
  <c r="S20" i="1" s="1"/>
  <c r="G20" i="1"/>
  <c r="I20" i="1" s="1"/>
  <c r="G268" i="1"/>
  <c r="I268" i="1" s="1"/>
  <c r="Q268" i="1"/>
  <c r="S268" i="1" s="1"/>
  <c r="U268" i="1" l="1"/>
  <c r="T268" i="1"/>
  <c r="V268" i="1" s="1"/>
  <c r="X268" i="1" s="1"/>
  <c r="K268" i="1"/>
  <c r="J268" i="1"/>
  <c r="L268" i="1" s="1"/>
  <c r="N268" i="1" s="1"/>
  <c r="D269" i="1"/>
  <c r="K20" i="1"/>
  <c r="M20" i="1" s="1"/>
  <c r="J20" i="1"/>
  <c r="L20" i="1" s="1"/>
  <c r="N20" i="1" s="1"/>
  <c r="D21" i="1"/>
  <c r="U20" i="1"/>
  <c r="W20" i="1" s="1"/>
  <c r="T20" i="1"/>
  <c r="V20" i="1" s="1"/>
  <c r="X20" i="1" s="1"/>
  <c r="E21" i="1" l="1"/>
  <c r="F21" i="1"/>
  <c r="H21" i="1" s="1"/>
  <c r="O20" i="1"/>
  <c r="P20" i="1"/>
  <c r="R20" i="1" s="1"/>
  <c r="F269" i="1"/>
  <c r="E269" i="1"/>
  <c r="P268" i="1"/>
  <c r="O268" i="1"/>
  <c r="Z268" i="1"/>
  <c r="Y268" i="1"/>
  <c r="AA268" i="1" s="1"/>
  <c r="AC268" i="1" s="1"/>
  <c r="Z20" i="1"/>
  <c r="AB20" i="1" s="1"/>
  <c r="Y20" i="1"/>
  <c r="AA20" i="1" s="1"/>
  <c r="AC20" i="1" s="1"/>
  <c r="G269" i="1" l="1"/>
  <c r="I269" i="1" s="1"/>
  <c r="Q269" i="1"/>
  <c r="S269" i="1" s="1"/>
  <c r="AE20" i="1"/>
  <c r="AG20" i="1" s="1"/>
  <c r="AD20" i="1"/>
  <c r="AF20" i="1" s="1"/>
  <c r="AH20" i="1" s="1"/>
  <c r="AE268" i="1"/>
  <c r="AD268" i="1"/>
  <c r="AF268" i="1" s="1"/>
  <c r="AH268" i="1" s="1"/>
  <c r="Q21" i="1"/>
  <c r="S21" i="1" s="1"/>
  <c r="G21" i="1"/>
  <c r="I21" i="1" s="1"/>
  <c r="AI268" i="1" l="1"/>
  <c r="AK268" i="1" s="1"/>
  <c r="AM268" i="1" s="1"/>
  <c r="AJ268" i="1"/>
  <c r="K21" i="1"/>
  <c r="M21" i="1" s="1"/>
  <c r="J21" i="1"/>
  <c r="L21" i="1" s="1"/>
  <c r="N21" i="1" s="1"/>
  <c r="D22" i="1"/>
  <c r="AI20" i="1"/>
  <c r="AK20" i="1" s="1"/>
  <c r="AM20" i="1" s="1"/>
  <c r="AJ20" i="1"/>
  <c r="AL20" i="1" s="1"/>
  <c r="U21" i="1"/>
  <c r="W21" i="1" s="1"/>
  <c r="T21" i="1"/>
  <c r="V21" i="1" s="1"/>
  <c r="X21" i="1" s="1"/>
  <c r="U269" i="1"/>
  <c r="T269" i="1"/>
  <c r="V269" i="1" s="1"/>
  <c r="X269" i="1" s="1"/>
  <c r="K269" i="1"/>
  <c r="J269" i="1"/>
  <c r="L269" i="1" s="1"/>
  <c r="N269" i="1" s="1"/>
  <c r="D270" i="1"/>
  <c r="P21" i="1" l="1"/>
  <c r="R21" i="1" s="1"/>
  <c r="O21" i="1"/>
  <c r="AO20" i="1"/>
  <c r="AQ20" i="1" s="1"/>
  <c r="AN20" i="1"/>
  <c r="AP20" i="1" s="1"/>
  <c r="AR20" i="1" s="1"/>
  <c r="F270" i="1"/>
  <c r="E270" i="1"/>
  <c r="F22" i="1"/>
  <c r="H22" i="1" s="1"/>
  <c r="E22" i="1"/>
  <c r="Z269" i="1"/>
  <c r="Y269" i="1"/>
  <c r="AA269" i="1" s="1"/>
  <c r="AC269" i="1" s="1"/>
  <c r="P269" i="1"/>
  <c r="O269" i="1"/>
  <c r="Y21" i="1"/>
  <c r="AA21" i="1" s="1"/>
  <c r="AC21" i="1" s="1"/>
  <c r="Z21" i="1"/>
  <c r="AB21" i="1" s="1"/>
  <c r="AO268" i="1"/>
  <c r="AN268" i="1"/>
  <c r="AP268" i="1" s="1"/>
  <c r="AR268" i="1" s="1"/>
  <c r="G22" i="1" l="1"/>
  <c r="I22" i="1" s="1"/>
  <c r="Q22" i="1"/>
  <c r="S22" i="1" s="1"/>
  <c r="G270" i="1"/>
  <c r="I270" i="1" s="1"/>
  <c r="Q270" i="1"/>
  <c r="S270" i="1" s="1"/>
  <c r="AT268" i="1"/>
  <c r="AS268" i="1"/>
  <c r="AU268" i="1" s="1"/>
  <c r="AW268" i="1" s="1"/>
  <c r="AT20" i="1"/>
  <c r="AV20" i="1" s="1"/>
  <c r="AS20" i="1"/>
  <c r="AU20" i="1" s="1"/>
  <c r="AW20" i="1" s="1"/>
  <c r="AE21" i="1"/>
  <c r="AG21" i="1" s="1"/>
  <c r="AD21" i="1"/>
  <c r="AF21" i="1" s="1"/>
  <c r="AH21" i="1" s="1"/>
  <c r="AE269" i="1"/>
  <c r="AD269" i="1"/>
  <c r="AF269" i="1" s="1"/>
  <c r="AH269" i="1" s="1"/>
  <c r="AY20" i="1" l="1"/>
  <c r="BA20" i="1" s="1"/>
  <c r="AX20" i="1"/>
  <c r="AZ20" i="1" s="1"/>
  <c r="BB20" i="1" s="1"/>
  <c r="U270" i="1"/>
  <c r="T270" i="1"/>
  <c r="V270" i="1" s="1"/>
  <c r="X270" i="1" s="1"/>
  <c r="K270" i="1"/>
  <c r="J270" i="1"/>
  <c r="L270" i="1" s="1"/>
  <c r="N270" i="1" s="1"/>
  <c r="D271" i="1"/>
  <c r="AY268" i="1"/>
  <c r="AX268" i="1"/>
  <c r="AZ268" i="1" s="1"/>
  <c r="BB268" i="1" s="1"/>
  <c r="U22" i="1"/>
  <c r="W22" i="1" s="1"/>
  <c r="T22" i="1"/>
  <c r="V22" i="1" s="1"/>
  <c r="X22" i="1" s="1"/>
  <c r="AJ269" i="1"/>
  <c r="AI269" i="1"/>
  <c r="AK269" i="1" s="1"/>
  <c r="AM269" i="1" s="1"/>
  <c r="AJ21" i="1"/>
  <c r="AL21" i="1" s="1"/>
  <c r="AI21" i="1"/>
  <c r="AK21" i="1" s="1"/>
  <c r="AM21" i="1" s="1"/>
  <c r="J22" i="1"/>
  <c r="L22" i="1" s="1"/>
  <c r="N22" i="1" s="1"/>
  <c r="K22" i="1"/>
  <c r="M22" i="1" s="1"/>
  <c r="D23" i="1"/>
  <c r="F271" i="1" l="1"/>
  <c r="E271" i="1"/>
  <c r="AO21" i="1"/>
  <c r="AQ21" i="1" s="1"/>
  <c r="AN21" i="1"/>
  <c r="AP21" i="1" s="1"/>
  <c r="AR21" i="1" s="1"/>
  <c r="AO269" i="1"/>
  <c r="AN269" i="1"/>
  <c r="AP269" i="1" s="1"/>
  <c r="AR269" i="1" s="1"/>
  <c r="BD20" i="1"/>
  <c r="BF20" i="1" s="1"/>
  <c r="BC20" i="1"/>
  <c r="BE20" i="1" s="1"/>
  <c r="BG20" i="1" s="1"/>
  <c r="BC268" i="1"/>
  <c r="BE268" i="1" s="1"/>
  <c r="BG268" i="1" s="1"/>
  <c r="BD268" i="1"/>
  <c r="P270" i="1"/>
  <c r="O270" i="1"/>
  <c r="Z270" i="1"/>
  <c r="Y270" i="1"/>
  <c r="AA270" i="1" s="1"/>
  <c r="AC270" i="1" s="1"/>
  <c r="E23" i="1"/>
  <c r="F23" i="1"/>
  <c r="H23" i="1" s="1"/>
  <c r="O22" i="1"/>
  <c r="P22" i="1"/>
  <c r="R22" i="1" s="1"/>
  <c r="Z22" i="1"/>
  <c r="AB22" i="1" s="1"/>
  <c r="Y22" i="1"/>
  <c r="AA22" i="1" s="1"/>
  <c r="AC22" i="1" s="1"/>
  <c r="Q23" i="1" l="1"/>
  <c r="S23" i="1" s="1"/>
  <c r="G23" i="1"/>
  <c r="I23" i="1" s="1"/>
  <c r="BI268" i="1"/>
  <c r="BH268" i="1"/>
  <c r="BJ268" i="1" s="1"/>
  <c r="BL268" i="1" s="1"/>
  <c r="AS269" i="1"/>
  <c r="AU269" i="1" s="1"/>
  <c r="AW269" i="1" s="1"/>
  <c r="AT269" i="1"/>
  <c r="AE22" i="1"/>
  <c r="AG22" i="1" s="1"/>
  <c r="AD22" i="1"/>
  <c r="AF22" i="1" s="1"/>
  <c r="AH22" i="1" s="1"/>
  <c r="BH20" i="1"/>
  <c r="BJ20" i="1" s="1"/>
  <c r="BL20" i="1" s="1"/>
  <c r="BI20" i="1"/>
  <c r="BK20" i="1" s="1"/>
  <c r="AE270" i="1"/>
  <c r="AD270" i="1"/>
  <c r="AF270" i="1" s="1"/>
  <c r="AH270" i="1" s="1"/>
  <c r="AT21" i="1"/>
  <c r="AV21" i="1" s="1"/>
  <c r="AS21" i="1"/>
  <c r="AU21" i="1" s="1"/>
  <c r="AW21" i="1" s="1"/>
  <c r="G271" i="1"/>
  <c r="I271" i="1" s="1"/>
  <c r="Q271" i="1"/>
  <c r="S271" i="1" s="1"/>
  <c r="AJ22" i="1" l="1"/>
  <c r="AL22" i="1" s="1"/>
  <c r="AI22" i="1"/>
  <c r="AK22" i="1" s="1"/>
  <c r="AM22" i="1" s="1"/>
  <c r="AY21" i="1"/>
  <c r="BA21" i="1" s="1"/>
  <c r="AX21" i="1"/>
  <c r="AZ21" i="1" s="1"/>
  <c r="BB21" i="1" s="1"/>
  <c r="BN268" i="1"/>
  <c r="BM268" i="1"/>
  <c r="BO268" i="1" s="1"/>
  <c r="BQ268" i="1" s="1"/>
  <c r="K271" i="1"/>
  <c r="J271" i="1"/>
  <c r="L271" i="1" s="1"/>
  <c r="N271" i="1" s="1"/>
  <c r="D272" i="1"/>
  <c r="AY269" i="1"/>
  <c r="AX269" i="1"/>
  <c r="AZ269" i="1" s="1"/>
  <c r="BB269" i="1" s="1"/>
  <c r="AI270" i="1"/>
  <c r="AK270" i="1" s="1"/>
  <c r="AM270" i="1" s="1"/>
  <c r="AJ270" i="1"/>
  <c r="K23" i="1"/>
  <c r="M23" i="1" s="1"/>
  <c r="J23" i="1"/>
  <c r="L23" i="1" s="1"/>
  <c r="N23" i="1" s="1"/>
  <c r="D24" i="1"/>
  <c r="U271" i="1"/>
  <c r="T271" i="1"/>
  <c r="V271" i="1" s="1"/>
  <c r="X271" i="1" s="1"/>
  <c r="BM20" i="1"/>
  <c r="BO20" i="1" s="1"/>
  <c r="BQ20" i="1" s="1"/>
  <c r="BN20" i="1"/>
  <c r="BP20" i="1" s="1"/>
  <c r="U23" i="1"/>
  <c r="W23" i="1" s="1"/>
  <c r="T23" i="1"/>
  <c r="V23" i="1" s="1"/>
  <c r="X23" i="1" s="1"/>
  <c r="F24" i="1" l="1"/>
  <c r="H24" i="1" s="1"/>
  <c r="E24" i="1"/>
  <c r="P271" i="1"/>
  <c r="O271" i="1"/>
  <c r="Z23" i="1"/>
  <c r="AB23" i="1" s="1"/>
  <c r="Y23" i="1"/>
  <c r="AA23" i="1" s="1"/>
  <c r="AC23" i="1" s="1"/>
  <c r="P23" i="1"/>
  <c r="R23" i="1" s="1"/>
  <c r="O23" i="1"/>
  <c r="BC21" i="1"/>
  <c r="BE21" i="1" s="1"/>
  <c r="BG21" i="1" s="1"/>
  <c r="BD21" i="1"/>
  <c r="BF21" i="1" s="1"/>
  <c r="AO22" i="1"/>
  <c r="AQ22" i="1" s="1"/>
  <c r="AN22" i="1"/>
  <c r="AP22" i="1" s="1"/>
  <c r="AR22" i="1" s="1"/>
  <c r="BS268" i="1"/>
  <c r="BR268" i="1"/>
  <c r="BT268" i="1" s="1"/>
  <c r="BV268" i="1" s="1"/>
  <c r="AO270" i="1"/>
  <c r="AN270" i="1"/>
  <c r="AP270" i="1" s="1"/>
  <c r="AR270" i="1" s="1"/>
  <c r="BS20" i="1"/>
  <c r="BU20" i="1" s="1"/>
  <c r="BR20" i="1"/>
  <c r="BT20" i="1" s="1"/>
  <c r="BV20" i="1" s="1"/>
  <c r="BD269" i="1"/>
  <c r="BC269" i="1"/>
  <c r="BE269" i="1" s="1"/>
  <c r="BG269" i="1" s="1"/>
  <c r="Y271" i="1"/>
  <c r="AA271" i="1" s="1"/>
  <c r="AC271" i="1" s="1"/>
  <c r="Z271" i="1"/>
  <c r="F272" i="1"/>
  <c r="E272" i="1"/>
  <c r="BX268" i="1" l="1"/>
  <c r="BW268" i="1"/>
  <c r="BY268" i="1" s="1"/>
  <c r="CA268" i="1" s="1"/>
  <c r="G272" i="1"/>
  <c r="I272" i="1" s="1"/>
  <c r="Q272" i="1"/>
  <c r="S272" i="1" s="1"/>
  <c r="BI269" i="1"/>
  <c r="BH269" i="1"/>
  <c r="BJ269" i="1" s="1"/>
  <c r="BL269" i="1" s="1"/>
  <c r="AE271" i="1"/>
  <c r="AD271" i="1"/>
  <c r="AF271" i="1" s="1"/>
  <c r="AH271" i="1" s="1"/>
  <c r="BW20" i="1"/>
  <c r="BY20" i="1" s="1"/>
  <c r="CA20" i="1" s="1"/>
  <c r="BX20" i="1"/>
  <c r="BZ20" i="1" s="1"/>
  <c r="AT270" i="1"/>
  <c r="AS270" i="1"/>
  <c r="AU270" i="1" s="1"/>
  <c r="AW270" i="1" s="1"/>
  <c r="AD23" i="1"/>
  <c r="AF23" i="1" s="1"/>
  <c r="AH23" i="1" s="1"/>
  <c r="AE23" i="1"/>
  <c r="AG23" i="1" s="1"/>
  <c r="AS22" i="1"/>
  <c r="AU22" i="1" s="1"/>
  <c r="AW22" i="1" s="1"/>
  <c r="AT22" i="1"/>
  <c r="AV22" i="1" s="1"/>
  <c r="G24" i="1"/>
  <c r="I24" i="1" s="1"/>
  <c r="Q24" i="1"/>
  <c r="S24" i="1" s="1"/>
  <c r="BI21" i="1"/>
  <c r="BK21" i="1" s="1"/>
  <c r="BH21" i="1"/>
  <c r="BJ21" i="1" s="1"/>
  <c r="BL21" i="1" s="1"/>
  <c r="CC20" i="1" l="1"/>
  <c r="CE20" i="1" s="1"/>
  <c r="CB20" i="1"/>
  <c r="CD20" i="1" s="1"/>
  <c r="CF20" i="1" s="1"/>
  <c r="U272" i="1"/>
  <c r="T272" i="1"/>
  <c r="V272" i="1" s="1"/>
  <c r="X272" i="1" s="1"/>
  <c r="AY22" i="1"/>
  <c r="BA22" i="1" s="1"/>
  <c r="AX22" i="1"/>
  <c r="AZ22" i="1" s="1"/>
  <c r="BB22" i="1" s="1"/>
  <c r="K24" i="1"/>
  <c r="M24" i="1" s="1"/>
  <c r="J24" i="1"/>
  <c r="L24" i="1" s="1"/>
  <c r="N24" i="1" s="1"/>
  <c r="D25" i="1"/>
  <c r="BN269" i="1"/>
  <c r="BM269" i="1"/>
  <c r="BO269" i="1" s="1"/>
  <c r="BQ269" i="1" s="1"/>
  <c r="AY270" i="1"/>
  <c r="AX270" i="1"/>
  <c r="AZ270" i="1" s="1"/>
  <c r="BB270" i="1" s="1"/>
  <c r="BM21" i="1"/>
  <c r="BO21" i="1" s="1"/>
  <c r="BQ21" i="1" s="1"/>
  <c r="BN21" i="1"/>
  <c r="BP21" i="1" s="1"/>
  <c r="AJ271" i="1"/>
  <c r="AI271" i="1"/>
  <c r="AK271" i="1" s="1"/>
  <c r="AM271" i="1" s="1"/>
  <c r="AI23" i="1"/>
  <c r="AK23" i="1" s="1"/>
  <c r="AM23" i="1" s="1"/>
  <c r="AJ23" i="1"/>
  <c r="AL23" i="1" s="1"/>
  <c r="K272" i="1"/>
  <c r="J272" i="1"/>
  <c r="L272" i="1" s="1"/>
  <c r="N272" i="1" s="1"/>
  <c r="D273" i="1"/>
  <c r="CC268" i="1"/>
  <c r="CB268" i="1"/>
  <c r="CD268" i="1" s="1"/>
  <c r="CF268" i="1" s="1"/>
  <c r="U24" i="1"/>
  <c r="W24" i="1" s="1"/>
  <c r="T24" i="1"/>
  <c r="V24" i="1" s="1"/>
  <c r="X24" i="1" s="1"/>
  <c r="P24" i="1" l="1"/>
  <c r="R24" i="1" s="1"/>
  <c r="O24" i="1"/>
  <c r="E273" i="1"/>
  <c r="F273" i="1"/>
  <c r="O272" i="1"/>
  <c r="P272" i="1"/>
  <c r="CH268" i="1"/>
  <c r="CG268" i="1"/>
  <c r="CI268" i="1" s="1"/>
  <c r="CK268" i="1" s="1"/>
  <c r="BC22" i="1"/>
  <c r="BE22" i="1" s="1"/>
  <c r="BG22" i="1" s="1"/>
  <c r="BD22" i="1"/>
  <c r="BF22" i="1" s="1"/>
  <c r="BD270" i="1"/>
  <c r="BC270" i="1"/>
  <c r="BE270" i="1" s="1"/>
  <c r="BG270" i="1" s="1"/>
  <c r="BS269" i="1"/>
  <c r="BR269" i="1"/>
  <c r="BT269" i="1" s="1"/>
  <c r="BV269" i="1" s="1"/>
  <c r="CG20" i="1"/>
  <c r="CI20" i="1" s="1"/>
  <c r="CK20" i="1" s="1"/>
  <c r="CH20" i="1"/>
  <c r="CJ20" i="1" s="1"/>
  <c r="AO271" i="1"/>
  <c r="AN271" i="1"/>
  <c r="AP271" i="1" s="1"/>
  <c r="AR271" i="1" s="1"/>
  <c r="BS21" i="1"/>
  <c r="BU21" i="1" s="1"/>
  <c r="BR21" i="1"/>
  <c r="BT21" i="1" s="1"/>
  <c r="BV21" i="1" s="1"/>
  <c r="Z272" i="1"/>
  <c r="Y272" i="1"/>
  <c r="AA272" i="1" s="1"/>
  <c r="AC272" i="1" s="1"/>
  <c r="Y24" i="1"/>
  <c r="AA24" i="1" s="1"/>
  <c r="AC24" i="1" s="1"/>
  <c r="Z24" i="1"/>
  <c r="AB24" i="1" s="1"/>
  <c r="AO23" i="1"/>
  <c r="AQ23" i="1" s="1"/>
  <c r="AN23" i="1"/>
  <c r="AP23" i="1" s="1"/>
  <c r="AR23" i="1" s="1"/>
  <c r="F25" i="1"/>
  <c r="H25" i="1" s="1"/>
  <c r="E25" i="1"/>
  <c r="G25" i="1" l="1"/>
  <c r="I25" i="1" s="1"/>
  <c r="Q25" i="1"/>
  <c r="S25" i="1" s="1"/>
  <c r="AE24" i="1"/>
  <c r="AG24" i="1" s="1"/>
  <c r="AD24" i="1"/>
  <c r="AF24" i="1" s="1"/>
  <c r="AH24" i="1" s="1"/>
  <c r="AE272" i="1"/>
  <c r="AD272" i="1"/>
  <c r="AF272" i="1" s="1"/>
  <c r="AH272" i="1" s="1"/>
  <c r="Q273" i="1"/>
  <c r="S273" i="1" s="1"/>
  <c r="G273" i="1"/>
  <c r="I273" i="1" s="1"/>
  <c r="CM20" i="1"/>
  <c r="CO20" i="1" s="1"/>
  <c r="CL20" i="1"/>
  <c r="CN20" i="1" s="1"/>
  <c r="CP20" i="1" s="1"/>
  <c r="BW21" i="1"/>
  <c r="BY21" i="1" s="1"/>
  <c r="CA21" i="1" s="1"/>
  <c r="BX21" i="1"/>
  <c r="BZ21" i="1" s="1"/>
  <c r="AT271" i="1"/>
  <c r="AS271" i="1"/>
  <c r="AU271" i="1" s="1"/>
  <c r="AW271" i="1" s="1"/>
  <c r="CM268" i="1"/>
  <c r="CL268" i="1"/>
  <c r="CN268" i="1" s="1"/>
  <c r="CP268" i="1" s="1"/>
  <c r="AS23" i="1"/>
  <c r="AU23" i="1" s="1"/>
  <c r="AW23" i="1" s="1"/>
  <c r="AT23" i="1"/>
  <c r="AV23" i="1" s="1"/>
  <c r="BX269" i="1"/>
  <c r="BW269" i="1"/>
  <c r="BY269" i="1" s="1"/>
  <c r="CA269" i="1" s="1"/>
  <c r="BI270" i="1"/>
  <c r="BH270" i="1"/>
  <c r="BJ270" i="1" s="1"/>
  <c r="BL270" i="1" s="1"/>
  <c r="BI22" i="1"/>
  <c r="BK22" i="1" s="1"/>
  <c r="BH22" i="1"/>
  <c r="BJ22" i="1" s="1"/>
  <c r="BL22" i="1" s="1"/>
  <c r="CR268" i="1" l="1"/>
  <c r="CQ268" i="1"/>
  <c r="CS268" i="1" s="1"/>
  <c r="CU268" i="1" s="1"/>
  <c r="AY271" i="1"/>
  <c r="AX271" i="1"/>
  <c r="AZ271" i="1" s="1"/>
  <c r="BB271" i="1" s="1"/>
  <c r="AY23" i="1"/>
  <c r="BA23" i="1" s="1"/>
  <c r="AX23" i="1"/>
  <c r="AZ23" i="1" s="1"/>
  <c r="BB23" i="1" s="1"/>
  <c r="AI24" i="1"/>
  <c r="AK24" i="1" s="1"/>
  <c r="AM24" i="1" s="1"/>
  <c r="AJ24" i="1"/>
  <c r="AL24" i="1" s="1"/>
  <c r="BN22" i="1"/>
  <c r="BP22" i="1" s="1"/>
  <c r="BM22" i="1"/>
  <c r="BO22" i="1" s="1"/>
  <c r="BQ22" i="1" s="1"/>
  <c r="U273" i="1"/>
  <c r="T273" i="1"/>
  <c r="V273" i="1" s="1"/>
  <c r="X273" i="1" s="1"/>
  <c r="CC269" i="1"/>
  <c r="CB269" i="1"/>
  <c r="CD269" i="1" s="1"/>
  <c r="CF269" i="1" s="1"/>
  <c r="CC21" i="1"/>
  <c r="CE21" i="1" s="1"/>
  <c r="CB21" i="1"/>
  <c r="CD21" i="1" s="1"/>
  <c r="CF21" i="1" s="1"/>
  <c r="K273" i="1"/>
  <c r="J273" i="1"/>
  <c r="L273" i="1" s="1"/>
  <c r="N273" i="1" s="1"/>
  <c r="D274" i="1"/>
  <c r="BN270" i="1"/>
  <c r="BM270" i="1"/>
  <c r="BO270" i="1" s="1"/>
  <c r="BQ270" i="1" s="1"/>
  <c r="U25" i="1"/>
  <c r="W25" i="1" s="1"/>
  <c r="T25" i="1"/>
  <c r="V25" i="1" s="1"/>
  <c r="X25" i="1" s="1"/>
  <c r="AJ272" i="1"/>
  <c r="AI272" i="1"/>
  <c r="AK272" i="1" s="1"/>
  <c r="AM272" i="1" s="1"/>
  <c r="CQ20" i="1"/>
  <c r="CS20" i="1" s="1"/>
  <c r="CU20" i="1" s="1"/>
  <c r="CR20" i="1"/>
  <c r="CT20" i="1" s="1"/>
  <c r="K25" i="1"/>
  <c r="M25" i="1" s="1"/>
  <c r="J25" i="1"/>
  <c r="L25" i="1" s="1"/>
  <c r="N25" i="1" s="1"/>
  <c r="D26" i="1"/>
  <c r="AO272" i="1" l="1"/>
  <c r="AN272" i="1"/>
  <c r="AP272" i="1" s="1"/>
  <c r="AR272" i="1" s="1"/>
  <c r="O25" i="1"/>
  <c r="P25" i="1"/>
  <c r="R25" i="1" s="1"/>
  <c r="AO24" i="1"/>
  <c r="AQ24" i="1" s="1"/>
  <c r="AN24" i="1"/>
  <c r="AP24" i="1" s="1"/>
  <c r="AR24" i="1" s="1"/>
  <c r="E26" i="1"/>
  <c r="F26" i="1"/>
  <c r="H26" i="1" s="1"/>
  <c r="CH269" i="1"/>
  <c r="CG269" i="1"/>
  <c r="CI269" i="1" s="1"/>
  <c r="CK269" i="1" s="1"/>
  <c r="Z273" i="1"/>
  <c r="Y273" i="1"/>
  <c r="AA273" i="1" s="1"/>
  <c r="AC273" i="1" s="1"/>
  <c r="F274" i="1"/>
  <c r="E274" i="1"/>
  <c r="Y25" i="1"/>
  <c r="AA25" i="1" s="1"/>
  <c r="AC25" i="1" s="1"/>
  <c r="Z25" i="1"/>
  <c r="AB25" i="1" s="1"/>
  <c r="CG21" i="1"/>
  <c r="CI21" i="1" s="1"/>
  <c r="CK21" i="1" s="1"/>
  <c r="CH21" i="1"/>
  <c r="CJ21" i="1" s="1"/>
  <c r="BC23" i="1"/>
  <c r="BE23" i="1" s="1"/>
  <c r="BG23" i="1" s="1"/>
  <c r="BD23" i="1"/>
  <c r="BF23" i="1" s="1"/>
  <c r="BS270" i="1"/>
  <c r="BR270" i="1"/>
  <c r="BT270" i="1" s="1"/>
  <c r="BV270" i="1" s="1"/>
  <c r="P273" i="1"/>
  <c r="O273" i="1"/>
  <c r="CW268" i="1"/>
  <c r="CV268" i="1"/>
  <c r="CX268" i="1" s="1"/>
  <c r="BD271" i="1"/>
  <c r="BC271" i="1"/>
  <c r="BE271" i="1" s="1"/>
  <c r="BG271" i="1" s="1"/>
  <c r="BS22" i="1"/>
  <c r="BU22" i="1" s="1"/>
  <c r="BR22" i="1"/>
  <c r="BT22" i="1" s="1"/>
  <c r="BV22" i="1" s="1"/>
  <c r="CW20" i="1"/>
  <c r="CY20" i="1" s="1"/>
  <c r="CV20" i="1"/>
  <c r="CX20" i="1" s="1"/>
  <c r="CZ20" i="1" s="1"/>
  <c r="AE25" i="1" l="1"/>
  <c r="AG25" i="1" s="1"/>
  <c r="AD25" i="1"/>
  <c r="AF25" i="1" s="1"/>
  <c r="AH25" i="1" s="1"/>
  <c r="BI271" i="1"/>
  <c r="BH271" i="1"/>
  <c r="BJ271" i="1" s="1"/>
  <c r="BL271" i="1" s="1"/>
  <c r="Q26" i="1"/>
  <c r="S26" i="1" s="1"/>
  <c r="G26" i="1"/>
  <c r="I26" i="1" s="1"/>
  <c r="G274" i="1"/>
  <c r="I274" i="1" s="1"/>
  <c r="Q274" i="1"/>
  <c r="S274" i="1" s="1"/>
  <c r="DB20" i="1"/>
  <c r="DD20" i="1" s="1"/>
  <c r="DA20" i="1"/>
  <c r="DC20" i="1" s="1"/>
  <c r="BX270" i="1"/>
  <c r="BW270" i="1"/>
  <c r="BY270" i="1" s="1"/>
  <c r="CA270" i="1" s="1"/>
  <c r="AT272" i="1"/>
  <c r="AS272" i="1"/>
  <c r="AU272" i="1" s="1"/>
  <c r="AW272" i="1" s="1"/>
  <c r="AS24" i="1"/>
  <c r="AU24" i="1" s="1"/>
  <c r="AW24" i="1" s="1"/>
  <c r="AT24" i="1"/>
  <c r="AV24" i="1" s="1"/>
  <c r="AE273" i="1"/>
  <c r="AD273" i="1"/>
  <c r="AF273" i="1" s="1"/>
  <c r="AH273" i="1" s="1"/>
  <c r="CM269" i="1"/>
  <c r="CL269" i="1"/>
  <c r="CN269" i="1" s="1"/>
  <c r="CP269" i="1" s="1"/>
  <c r="BW22" i="1"/>
  <c r="BY22" i="1" s="1"/>
  <c r="CA22" i="1" s="1"/>
  <c r="BX22" i="1"/>
  <c r="BZ22" i="1" s="1"/>
  <c r="BI23" i="1"/>
  <c r="BK23" i="1" s="1"/>
  <c r="BH23" i="1"/>
  <c r="BJ23" i="1" s="1"/>
  <c r="BL23" i="1" s="1"/>
  <c r="CM21" i="1"/>
  <c r="CO21" i="1" s="1"/>
  <c r="CL21" i="1"/>
  <c r="CN21" i="1" s="1"/>
  <c r="CP21" i="1" s="1"/>
  <c r="U274" i="1" l="1"/>
  <c r="T274" i="1"/>
  <c r="V274" i="1" s="1"/>
  <c r="X274" i="1" s="1"/>
  <c r="U26" i="1"/>
  <c r="W26" i="1" s="1"/>
  <c r="T26" i="1"/>
  <c r="V26" i="1" s="1"/>
  <c r="X26" i="1" s="1"/>
  <c r="K26" i="1"/>
  <c r="M26" i="1" s="1"/>
  <c r="J26" i="1"/>
  <c r="L26" i="1" s="1"/>
  <c r="N26" i="1" s="1"/>
  <c r="D27" i="1"/>
  <c r="AJ25" i="1"/>
  <c r="AL25" i="1" s="1"/>
  <c r="AI25" i="1"/>
  <c r="AK25" i="1" s="1"/>
  <c r="AM25" i="1" s="1"/>
  <c r="BM23" i="1"/>
  <c r="BO23" i="1" s="1"/>
  <c r="BQ23" i="1" s="1"/>
  <c r="BN23" i="1"/>
  <c r="BP23" i="1" s="1"/>
  <c r="K274" i="1"/>
  <c r="J274" i="1"/>
  <c r="L274" i="1" s="1"/>
  <c r="N274" i="1" s="1"/>
  <c r="D275" i="1"/>
  <c r="AY272" i="1"/>
  <c r="AX272" i="1"/>
  <c r="AZ272" i="1" s="1"/>
  <c r="BB272" i="1" s="1"/>
  <c r="BN271" i="1"/>
  <c r="BM271" i="1"/>
  <c r="BO271" i="1" s="1"/>
  <c r="BQ271" i="1" s="1"/>
  <c r="CC270" i="1"/>
  <c r="CB270" i="1"/>
  <c r="CD270" i="1" s="1"/>
  <c r="CF270" i="1" s="1"/>
  <c r="AY24" i="1"/>
  <c r="BA24" i="1" s="1"/>
  <c r="AX24" i="1"/>
  <c r="AZ24" i="1" s="1"/>
  <c r="BB24" i="1" s="1"/>
  <c r="CC22" i="1"/>
  <c r="CE22" i="1" s="1"/>
  <c r="CB22" i="1"/>
  <c r="CD22" i="1" s="1"/>
  <c r="CF22" i="1" s="1"/>
  <c r="CR269" i="1"/>
  <c r="CQ269" i="1"/>
  <c r="CS269" i="1" s="1"/>
  <c r="CR21" i="1"/>
  <c r="CT21" i="1" s="1"/>
  <c r="CQ21" i="1"/>
  <c r="CS21" i="1" s="1"/>
  <c r="CU21" i="1" s="1"/>
  <c r="AJ273" i="1"/>
  <c r="AI273" i="1"/>
  <c r="AK273" i="1" s="1"/>
  <c r="AM273" i="1" s="1"/>
  <c r="O26" i="1" l="1"/>
  <c r="P26" i="1"/>
  <c r="R26" i="1" s="1"/>
  <c r="BD272" i="1"/>
  <c r="BC272" i="1"/>
  <c r="BE272" i="1" s="1"/>
  <c r="BG272" i="1" s="1"/>
  <c r="E27" i="1"/>
  <c r="F27" i="1"/>
  <c r="H27" i="1" s="1"/>
  <c r="F275" i="1"/>
  <c r="E275" i="1"/>
  <c r="AO273" i="1"/>
  <c r="AN273" i="1"/>
  <c r="AP273" i="1" s="1"/>
  <c r="AR273" i="1" s="1"/>
  <c r="CH270" i="1"/>
  <c r="CG270" i="1"/>
  <c r="CI270" i="1" s="1"/>
  <c r="CK270" i="1" s="1"/>
  <c r="P274" i="1"/>
  <c r="O274" i="1"/>
  <c r="Z274" i="1"/>
  <c r="Y274" i="1"/>
  <c r="AA274" i="1" s="1"/>
  <c r="AC274" i="1" s="1"/>
  <c r="CH22" i="1"/>
  <c r="CJ22" i="1" s="1"/>
  <c r="CG22" i="1"/>
  <c r="CI22" i="1" s="1"/>
  <c r="CK22" i="1" s="1"/>
  <c r="Z26" i="1"/>
  <c r="AB26" i="1" s="1"/>
  <c r="Y26" i="1"/>
  <c r="AA26" i="1" s="1"/>
  <c r="AC26" i="1" s="1"/>
  <c r="BS23" i="1"/>
  <c r="BU23" i="1" s="1"/>
  <c r="BR23" i="1"/>
  <c r="BT23" i="1" s="1"/>
  <c r="BV23" i="1" s="1"/>
  <c r="BC24" i="1"/>
  <c r="BE24" i="1" s="1"/>
  <c r="BG24" i="1" s="1"/>
  <c r="BD24" i="1"/>
  <c r="BF24" i="1" s="1"/>
  <c r="CW21" i="1"/>
  <c r="CY21" i="1" s="1"/>
  <c r="CV21" i="1"/>
  <c r="CX21" i="1" s="1"/>
  <c r="CZ21" i="1" s="1"/>
  <c r="BS271" i="1"/>
  <c r="BR271" i="1"/>
  <c r="BT271" i="1" s="1"/>
  <c r="BV271" i="1" s="1"/>
  <c r="AO25" i="1"/>
  <c r="AQ25" i="1" s="1"/>
  <c r="AN25" i="1"/>
  <c r="AP25" i="1" s="1"/>
  <c r="AR25" i="1" s="1"/>
  <c r="G275" i="1" l="1"/>
  <c r="I275" i="1" s="1"/>
  <c r="Q275" i="1"/>
  <c r="S275" i="1" s="1"/>
  <c r="BI24" i="1"/>
  <c r="BK24" i="1" s="1"/>
  <c r="BH24" i="1"/>
  <c r="BJ24" i="1" s="1"/>
  <c r="BL24" i="1" s="1"/>
  <c r="AE274" i="1"/>
  <c r="AD274" i="1"/>
  <c r="AF274" i="1" s="1"/>
  <c r="AH274" i="1" s="1"/>
  <c r="AE26" i="1"/>
  <c r="AG26" i="1" s="1"/>
  <c r="AD26" i="1"/>
  <c r="AF26" i="1" s="1"/>
  <c r="AH26" i="1" s="1"/>
  <c r="CM270" i="1"/>
  <c r="CL270" i="1"/>
  <c r="CN270" i="1" s="1"/>
  <c r="BX23" i="1"/>
  <c r="BZ23" i="1" s="1"/>
  <c r="BW23" i="1"/>
  <c r="BY23" i="1" s="1"/>
  <c r="CA23" i="1" s="1"/>
  <c r="BX271" i="1"/>
  <c r="BW271" i="1"/>
  <c r="BY271" i="1" s="1"/>
  <c r="CA271" i="1" s="1"/>
  <c r="BI272" i="1"/>
  <c r="BH272" i="1"/>
  <c r="BJ272" i="1" s="1"/>
  <c r="BL272" i="1" s="1"/>
  <c r="AT273" i="1"/>
  <c r="AS273" i="1"/>
  <c r="AU273" i="1" s="1"/>
  <c r="AW273" i="1" s="1"/>
  <c r="AS25" i="1"/>
  <c r="AU25" i="1" s="1"/>
  <c r="AW25" i="1" s="1"/>
  <c r="AT25" i="1"/>
  <c r="AV25" i="1" s="1"/>
  <c r="Q27" i="1"/>
  <c r="S27" i="1" s="1"/>
  <c r="G27" i="1"/>
  <c r="I27" i="1" s="1"/>
  <c r="DB21" i="1"/>
  <c r="DD21" i="1" s="1"/>
  <c r="DA21" i="1"/>
  <c r="DC21" i="1" s="1"/>
  <c r="CM22" i="1"/>
  <c r="CO22" i="1" s="1"/>
  <c r="CL22" i="1"/>
  <c r="CN22" i="1" s="1"/>
  <c r="CP22" i="1" s="1"/>
  <c r="AI26" i="1" l="1"/>
  <c r="AK26" i="1" s="1"/>
  <c r="AM26" i="1" s="1"/>
  <c r="AJ26" i="1"/>
  <c r="AL26" i="1" s="1"/>
  <c r="K27" i="1"/>
  <c r="M27" i="1" s="1"/>
  <c r="J27" i="1"/>
  <c r="L27" i="1" s="1"/>
  <c r="N27" i="1" s="1"/>
  <c r="D28" i="1"/>
  <c r="CC271" i="1"/>
  <c r="CB271" i="1"/>
  <c r="CD271" i="1" s="1"/>
  <c r="CF271" i="1" s="1"/>
  <c r="AY25" i="1"/>
  <c r="BA25" i="1" s="1"/>
  <c r="AX25" i="1"/>
  <c r="AZ25" i="1" s="1"/>
  <c r="BB25" i="1" s="1"/>
  <c r="U27" i="1"/>
  <c r="W27" i="1" s="1"/>
  <c r="T27" i="1"/>
  <c r="V27" i="1" s="1"/>
  <c r="X27" i="1" s="1"/>
  <c r="BN24" i="1"/>
  <c r="BP24" i="1" s="1"/>
  <c r="BM24" i="1"/>
  <c r="BO24" i="1" s="1"/>
  <c r="BQ24" i="1" s="1"/>
  <c r="U275" i="1"/>
  <c r="T275" i="1"/>
  <c r="V275" i="1" s="1"/>
  <c r="X275" i="1" s="1"/>
  <c r="BN272" i="1"/>
  <c r="BM272" i="1"/>
  <c r="BO272" i="1" s="1"/>
  <c r="BQ272" i="1" s="1"/>
  <c r="AJ274" i="1"/>
  <c r="AI274" i="1"/>
  <c r="AK274" i="1" s="1"/>
  <c r="AM274" i="1" s="1"/>
  <c r="CC23" i="1"/>
  <c r="CE23" i="1" s="1"/>
  <c r="CB23" i="1"/>
  <c r="CD23" i="1" s="1"/>
  <c r="CF23" i="1" s="1"/>
  <c r="CR22" i="1"/>
  <c r="CT22" i="1" s="1"/>
  <c r="CQ22" i="1"/>
  <c r="CS22" i="1" s="1"/>
  <c r="CU22" i="1" s="1"/>
  <c r="AY273" i="1"/>
  <c r="AX273" i="1"/>
  <c r="AZ273" i="1" s="1"/>
  <c r="BB273" i="1" s="1"/>
  <c r="K275" i="1"/>
  <c r="J275" i="1"/>
  <c r="L275" i="1" s="1"/>
  <c r="N275" i="1" s="1"/>
  <c r="D276" i="1"/>
  <c r="F28" i="1" l="1"/>
  <c r="H28" i="1" s="1"/>
  <c r="E28" i="1"/>
  <c r="O27" i="1"/>
  <c r="P27" i="1"/>
  <c r="R27" i="1" s="1"/>
  <c r="BD273" i="1"/>
  <c r="BC273" i="1"/>
  <c r="BE273" i="1" s="1"/>
  <c r="BG273" i="1" s="1"/>
  <c r="CV22" i="1"/>
  <c r="CX22" i="1" s="1"/>
  <c r="CW22" i="1"/>
  <c r="CY22" i="1" s="1"/>
  <c r="CH23" i="1"/>
  <c r="CJ23" i="1" s="1"/>
  <c r="CG23" i="1"/>
  <c r="CI23" i="1" s="1"/>
  <c r="CK23" i="1" s="1"/>
  <c r="P275" i="1"/>
  <c r="O275" i="1"/>
  <c r="Z275" i="1"/>
  <c r="Y275" i="1"/>
  <c r="AA275" i="1" s="1"/>
  <c r="AC275" i="1" s="1"/>
  <c r="F276" i="1"/>
  <c r="E276" i="1"/>
  <c r="AO274" i="1"/>
  <c r="AN274" i="1"/>
  <c r="AP274" i="1" s="1"/>
  <c r="AR274" i="1" s="1"/>
  <c r="CG271" i="1"/>
  <c r="CI271" i="1" s="1"/>
  <c r="CH271" i="1"/>
  <c r="BS24" i="1"/>
  <c r="BU24" i="1" s="1"/>
  <c r="BR24" i="1"/>
  <c r="BT24" i="1" s="1"/>
  <c r="BV24" i="1" s="1"/>
  <c r="Y27" i="1"/>
  <c r="AA27" i="1" s="1"/>
  <c r="AC27" i="1" s="1"/>
  <c r="Z27" i="1"/>
  <c r="AB27" i="1" s="1"/>
  <c r="BS272" i="1"/>
  <c r="BR272" i="1"/>
  <c r="BT272" i="1" s="1"/>
  <c r="BV272" i="1" s="1"/>
  <c r="BD25" i="1"/>
  <c r="BF25" i="1" s="1"/>
  <c r="BC25" i="1"/>
  <c r="BE25" i="1" s="1"/>
  <c r="BG25" i="1" s="1"/>
  <c r="AO26" i="1"/>
  <c r="AQ26" i="1" s="1"/>
  <c r="AN26" i="1"/>
  <c r="AP26" i="1" s="1"/>
  <c r="AR26" i="1" s="1"/>
  <c r="BX24" i="1" l="1"/>
  <c r="BZ24" i="1" s="1"/>
  <c r="BW24" i="1"/>
  <c r="BY24" i="1" s="1"/>
  <c r="CA24" i="1" s="1"/>
  <c r="CZ22" i="1"/>
  <c r="AE275" i="1"/>
  <c r="AD275" i="1"/>
  <c r="AF275" i="1" s="1"/>
  <c r="AH275" i="1" s="1"/>
  <c r="G276" i="1"/>
  <c r="I276" i="1" s="1"/>
  <c r="Q276" i="1"/>
  <c r="S276" i="1" s="1"/>
  <c r="AT26" i="1"/>
  <c r="AV26" i="1" s="1"/>
  <c r="AS26" i="1"/>
  <c r="AU26" i="1" s="1"/>
  <c r="AW26" i="1" s="1"/>
  <c r="BI273" i="1"/>
  <c r="BH273" i="1"/>
  <c r="BJ273" i="1" s="1"/>
  <c r="BL273" i="1" s="1"/>
  <c r="CL23" i="1"/>
  <c r="CN23" i="1" s="1"/>
  <c r="CP23" i="1" s="1"/>
  <c r="CM23" i="1"/>
  <c r="CO23" i="1" s="1"/>
  <c r="G28" i="1"/>
  <c r="I28" i="1" s="1"/>
  <c r="Q28" i="1"/>
  <c r="S28" i="1" s="1"/>
  <c r="BI25" i="1"/>
  <c r="BK25" i="1" s="1"/>
  <c r="BH25" i="1"/>
  <c r="BJ25" i="1" s="1"/>
  <c r="BL25" i="1" s="1"/>
  <c r="BW272" i="1"/>
  <c r="BY272" i="1" s="1"/>
  <c r="CA272" i="1" s="1"/>
  <c r="BX272" i="1"/>
  <c r="AE27" i="1"/>
  <c r="AG27" i="1" s="1"/>
  <c r="AD27" i="1"/>
  <c r="AF27" i="1" s="1"/>
  <c r="AH27" i="1" s="1"/>
  <c r="AT274" i="1"/>
  <c r="AS274" i="1"/>
  <c r="AU274" i="1" s="1"/>
  <c r="AW274" i="1" s="1"/>
  <c r="BN25" i="1" l="1"/>
  <c r="BP25" i="1" s="1"/>
  <c r="BM25" i="1"/>
  <c r="BO25" i="1" s="1"/>
  <c r="BQ25" i="1" s="1"/>
  <c r="AY26" i="1"/>
  <c r="BA26" i="1" s="1"/>
  <c r="AX26" i="1"/>
  <c r="AZ26" i="1" s="1"/>
  <c r="BB26" i="1" s="1"/>
  <c r="K276" i="1"/>
  <c r="J276" i="1"/>
  <c r="L276" i="1" s="1"/>
  <c r="N276" i="1" s="1"/>
  <c r="D277" i="1"/>
  <c r="AJ27" i="1"/>
  <c r="AL27" i="1" s="1"/>
  <c r="AI27" i="1"/>
  <c r="AK27" i="1" s="1"/>
  <c r="AM27" i="1" s="1"/>
  <c r="AY274" i="1"/>
  <c r="AX274" i="1"/>
  <c r="AZ274" i="1" s="1"/>
  <c r="BB274" i="1" s="1"/>
  <c r="U276" i="1"/>
  <c r="T276" i="1"/>
  <c r="V276" i="1" s="1"/>
  <c r="X276" i="1" s="1"/>
  <c r="AJ275" i="1"/>
  <c r="AI275" i="1"/>
  <c r="AK275" i="1" s="1"/>
  <c r="AM275" i="1" s="1"/>
  <c r="BM273" i="1"/>
  <c r="BO273" i="1" s="1"/>
  <c r="BQ273" i="1" s="1"/>
  <c r="BN273" i="1"/>
  <c r="U28" i="1"/>
  <c r="W28" i="1" s="1"/>
  <c r="T28" i="1"/>
  <c r="V28" i="1" s="1"/>
  <c r="X28" i="1" s="1"/>
  <c r="DA22" i="1"/>
  <c r="DC22" i="1" s="1"/>
  <c r="DB22" i="1"/>
  <c r="DD22" i="1" s="1"/>
  <c r="K28" i="1"/>
  <c r="M28" i="1" s="1"/>
  <c r="J28" i="1"/>
  <c r="L28" i="1" s="1"/>
  <c r="N28" i="1" s="1"/>
  <c r="D29" i="1"/>
  <c r="CQ23" i="1"/>
  <c r="CS23" i="1" s="1"/>
  <c r="CU23" i="1" s="1"/>
  <c r="CR23" i="1"/>
  <c r="CT23" i="1" s="1"/>
  <c r="CC24" i="1"/>
  <c r="CE24" i="1" s="1"/>
  <c r="CB24" i="1"/>
  <c r="CD24" i="1" s="1"/>
  <c r="CF24" i="1" s="1"/>
  <c r="CC272" i="1"/>
  <c r="CB272" i="1"/>
  <c r="CD272" i="1" s="1"/>
  <c r="BS273" i="1" l="1"/>
  <c r="BR273" i="1"/>
  <c r="BT273" i="1" s="1"/>
  <c r="BV273" i="1" s="1"/>
  <c r="E29" i="1"/>
  <c r="F29" i="1"/>
  <c r="H29" i="1" s="1"/>
  <c r="AO275" i="1"/>
  <c r="AN275" i="1"/>
  <c r="AP275" i="1" s="1"/>
  <c r="AR275" i="1" s="1"/>
  <c r="CW23" i="1"/>
  <c r="CY23" i="1" s="1"/>
  <c r="CV23" i="1"/>
  <c r="CX23" i="1" s="1"/>
  <c r="CZ23" i="1" s="1"/>
  <c r="F277" i="1"/>
  <c r="E277" i="1"/>
  <c r="AO27" i="1"/>
  <c r="AQ27" i="1" s="1"/>
  <c r="AN27" i="1"/>
  <c r="AP27" i="1" s="1"/>
  <c r="AR27" i="1" s="1"/>
  <c r="P276" i="1"/>
  <c r="O276" i="1"/>
  <c r="BD26" i="1"/>
  <c r="BF26" i="1" s="1"/>
  <c r="BC26" i="1"/>
  <c r="BE26" i="1" s="1"/>
  <c r="BG26" i="1" s="1"/>
  <c r="BS25" i="1"/>
  <c r="BU25" i="1" s="1"/>
  <c r="BR25" i="1"/>
  <c r="BT25" i="1" s="1"/>
  <c r="BV25" i="1" s="1"/>
  <c r="Z276" i="1"/>
  <c r="Y276" i="1"/>
  <c r="AA276" i="1" s="1"/>
  <c r="AC276" i="1" s="1"/>
  <c r="Z28" i="1"/>
  <c r="AB28" i="1" s="1"/>
  <c r="Y28" i="1"/>
  <c r="AA28" i="1" s="1"/>
  <c r="AC28" i="1" s="1"/>
  <c r="O28" i="1"/>
  <c r="P28" i="1"/>
  <c r="R28" i="1" s="1"/>
  <c r="CG24" i="1"/>
  <c r="CI24" i="1" s="1"/>
  <c r="CK24" i="1" s="1"/>
  <c r="CH24" i="1"/>
  <c r="CJ24" i="1" s="1"/>
  <c r="BC274" i="1"/>
  <c r="BE274" i="1" s="1"/>
  <c r="BG274" i="1" s="1"/>
  <c r="BD274" i="1"/>
  <c r="DA23" i="1" l="1"/>
  <c r="DC23" i="1" s="1"/>
  <c r="DB23" i="1"/>
  <c r="DD23" i="1" s="1"/>
  <c r="AT27" i="1"/>
  <c r="AV27" i="1" s="1"/>
  <c r="AS27" i="1"/>
  <c r="AU27" i="1" s="1"/>
  <c r="AW27" i="1" s="1"/>
  <c r="AE276" i="1"/>
  <c r="AD276" i="1"/>
  <c r="AF276" i="1" s="1"/>
  <c r="AH276" i="1" s="1"/>
  <c r="Q29" i="1"/>
  <c r="S29" i="1" s="1"/>
  <c r="G29" i="1"/>
  <c r="I29" i="1" s="1"/>
  <c r="AS275" i="1"/>
  <c r="AU275" i="1" s="1"/>
  <c r="AW275" i="1" s="1"/>
  <c r="AT275" i="1"/>
  <c r="BI274" i="1"/>
  <c r="BH274" i="1"/>
  <c r="BJ274" i="1" s="1"/>
  <c r="BL274" i="1" s="1"/>
  <c r="AE28" i="1"/>
  <c r="AG28" i="1" s="1"/>
  <c r="AD28" i="1"/>
  <c r="AF28" i="1" s="1"/>
  <c r="AH28" i="1" s="1"/>
  <c r="CM24" i="1"/>
  <c r="CO24" i="1" s="1"/>
  <c r="CL24" i="1"/>
  <c r="CN24" i="1" s="1"/>
  <c r="CP24" i="1" s="1"/>
  <c r="G277" i="1"/>
  <c r="I277" i="1" s="1"/>
  <c r="Q277" i="1"/>
  <c r="S277" i="1" s="1"/>
  <c r="BX273" i="1"/>
  <c r="BW273" i="1"/>
  <c r="BY273" i="1" s="1"/>
  <c r="BW25" i="1"/>
  <c r="BY25" i="1" s="1"/>
  <c r="CA25" i="1" s="1"/>
  <c r="BX25" i="1"/>
  <c r="BZ25" i="1" s="1"/>
  <c r="BH26" i="1"/>
  <c r="BJ26" i="1" s="1"/>
  <c r="BL26" i="1" s="1"/>
  <c r="BI26" i="1"/>
  <c r="BK26" i="1" s="1"/>
  <c r="CQ24" i="1" l="1"/>
  <c r="CS24" i="1" s="1"/>
  <c r="CU24" i="1" s="1"/>
  <c r="CR24" i="1"/>
  <c r="CT24" i="1" s="1"/>
  <c r="U29" i="1"/>
  <c r="W29" i="1" s="1"/>
  <c r="T29" i="1"/>
  <c r="V29" i="1" s="1"/>
  <c r="X29" i="1" s="1"/>
  <c r="AI276" i="1"/>
  <c r="AK276" i="1" s="1"/>
  <c r="AM276" i="1" s="1"/>
  <c r="AJ276" i="1"/>
  <c r="K277" i="1"/>
  <c r="J277" i="1"/>
  <c r="L277" i="1" s="1"/>
  <c r="N277" i="1" s="1"/>
  <c r="D278" i="1"/>
  <c r="BM26" i="1"/>
  <c r="BO26" i="1" s="1"/>
  <c r="BQ26" i="1" s="1"/>
  <c r="BN26" i="1"/>
  <c r="BP26" i="1" s="1"/>
  <c r="AY27" i="1"/>
  <c r="BA27" i="1" s="1"/>
  <c r="AX27" i="1"/>
  <c r="AZ27" i="1" s="1"/>
  <c r="BB27" i="1" s="1"/>
  <c r="AY275" i="1"/>
  <c r="AX275" i="1"/>
  <c r="AZ275" i="1" s="1"/>
  <c r="BB275" i="1" s="1"/>
  <c r="CC25" i="1"/>
  <c r="CE25" i="1" s="1"/>
  <c r="CB25" i="1"/>
  <c r="CD25" i="1" s="1"/>
  <c r="CF25" i="1" s="1"/>
  <c r="K29" i="1"/>
  <c r="M29" i="1" s="1"/>
  <c r="J29" i="1"/>
  <c r="L29" i="1" s="1"/>
  <c r="N29" i="1" s="1"/>
  <c r="D30" i="1"/>
  <c r="AJ28" i="1"/>
  <c r="AL28" i="1" s="1"/>
  <c r="AI28" i="1"/>
  <c r="AK28" i="1" s="1"/>
  <c r="AM28" i="1" s="1"/>
  <c r="BN274" i="1"/>
  <c r="BM274" i="1"/>
  <c r="BO274" i="1" s="1"/>
  <c r="BQ274" i="1" s="1"/>
  <c r="U277" i="1"/>
  <c r="T277" i="1"/>
  <c r="V277" i="1" s="1"/>
  <c r="X277" i="1" s="1"/>
  <c r="BS274" i="1" l="1"/>
  <c r="BR274" i="1"/>
  <c r="BT274" i="1" s="1"/>
  <c r="P277" i="1"/>
  <c r="O277" i="1"/>
  <c r="AO28" i="1"/>
  <c r="AQ28" i="1" s="1"/>
  <c r="AN28" i="1"/>
  <c r="AP28" i="1" s="1"/>
  <c r="AR28" i="1" s="1"/>
  <c r="Z29" i="1"/>
  <c r="AB29" i="1" s="1"/>
  <c r="Y29" i="1"/>
  <c r="AA29" i="1" s="1"/>
  <c r="AC29" i="1" s="1"/>
  <c r="P29" i="1"/>
  <c r="R29" i="1" s="1"/>
  <c r="O29" i="1"/>
  <c r="CG25" i="1"/>
  <c r="CI25" i="1" s="1"/>
  <c r="CK25" i="1" s="1"/>
  <c r="CH25" i="1"/>
  <c r="CJ25" i="1" s="1"/>
  <c r="BD275" i="1"/>
  <c r="BC275" i="1"/>
  <c r="BE275" i="1" s="1"/>
  <c r="BG275" i="1" s="1"/>
  <c r="AO276" i="1"/>
  <c r="AN276" i="1"/>
  <c r="AP276" i="1" s="1"/>
  <c r="AR276" i="1" s="1"/>
  <c r="F30" i="1"/>
  <c r="H30" i="1" s="1"/>
  <c r="E30" i="1"/>
  <c r="BS26" i="1"/>
  <c r="BU26" i="1" s="1"/>
  <c r="BR26" i="1"/>
  <c r="BT26" i="1" s="1"/>
  <c r="BV26" i="1" s="1"/>
  <c r="BC27" i="1"/>
  <c r="BE27" i="1" s="1"/>
  <c r="BG27" i="1" s="1"/>
  <c r="BD27" i="1"/>
  <c r="BF27" i="1" s="1"/>
  <c r="Y277" i="1"/>
  <c r="AA277" i="1" s="1"/>
  <c r="AC277" i="1" s="1"/>
  <c r="Z277" i="1"/>
  <c r="F278" i="1"/>
  <c r="E278" i="1"/>
  <c r="CW24" i="1"/>
  <c r="CY24" i="1" s="1"/>
  <c r="CV24" i="1"/>
  <c r="CX24" i="1" s="1"/>
  <c r="CZ24" i="1" s="1"/>
  <c r="AD29" i="1" l="1"/>
  <c r="AF29" i="1" s="1"/>
  <c r="AH29" i="1" s="1"/>
  <c r="AE29" i="1"/>
  <c r="AG29" i="1" s="1"/>
  <c r="BI27" i="1"/>
  <c r="BK27" i="1" s="1"/>
  <c r="BH27" i="1"/>
  <c r="BJ27" i="1" s="1"/>
  <c r="BL27" i="1" s="1"/>
  <c r="AT276" i="1"/>
  <c r="AS276" i="1"/>
  <c r="AU276" i="1" s="1"/>
  <c r="AW276" i="1" s="1"/>
  <c r="BI275" i="1"/>
  <c r="BH275" i="1"/>
  <c r="BJ275" i="1" s="1"/>
  <c r="BL275" i="1" s="1"/>
  <c r="AS28" i="1"/>
  <c r="AU28" i="1" s="1"/>
  <c r="AW28" i="1" s="1"/>
  <c r="AT28" i="1"/>
  <c r="AV28" i="1" s="1"/>
  <c r="BW26" i="1"/>
  <c r="BY26" i="1" s="1"/>
  <c r="CA26" i="1" s="1"/>
  <c r="BX26" i="1"/>
  <c r="BZ26" i="1" s="1"/>
  <c r="AE277" i="1"/>
  <c r="AD277" i="1"/>
  <c r="AF277" i="1" s="1"/>
  <c r="AH277" i="1" s="1"/>
  <c r="DB24" i="1"/>
  <c r="DD24" i="1" s="1"/>
  <c r="DA24" i="1"/>
  <c r="DC24" i="1" s="1"/>
  <c r="CM25" i="1"/>
  <c r="CO25" i="1" s="1"/>
  <c r="CL25" i="1"/>
  <c r="CN25" i="1" s="1"/>
  <c r="CP25" i="1" s="1"/>
  <c r="G278" i="1"/>
  <c r="I278" i="1" s="1"/>
  <c r="Q278" i="1"/>
  <c r="S278" i="1" s="1"/>
  <c r="G30" i="1"/>
  <c r="I30" i="1" s="1"/>
  <c r="Q30" i="1"/>
  <c r="S30" i="1" s="1"/>
  <c r="BN275" i="1" l="1"/>
  <c r="BM275" i="1"/>
  <c r="BO275" i="1" s="1"/>
  <c r="U278" i="1"/>
  <c r="T278" i="1"/>
  <c r="V278" i="1" s="1"/>
  <c r="X278" i="1" s="1"/>
  <c r="U30" i="1"/>
  <c r="W30" i="1" s="1"/>
  <c r="T30" i="1"/>
  <c r="V30" i="1" s="1"/>
  <c r="X30" i="1" s="1"/>
  <c r="K278" i="1"/>
  <c r="J278" i="1"/>
  <c r="L278" i="1" s="1"/>
  <c r="N278" i="1" s="1"/>
  <c r="D279" i="1"/>
  <c r="K30" i="1"/>
  <c r="M30" i="1" s="1"/>
  <c r="J30" i="1"/>
  <c r="L30" i="1" s="1"/>
  <c r="N30" i="1" s="1"/>
  <c r="D31" i="1"/>
  <c r="CC26" i="1"/>
  <c r="CE26" i="1" s="1"/>
  <c r="CB26" i="1"/>
  <c r="CD26" i="1" s="1"/>
  <c r="CF26" i="1" s="1"/>
  <c r="AY276" i="1"/>
  <c r="AX276" i="1"/>
  <c r="AZ276" i="1" s="1"/>
  <c r="BB276" i="1" s="1"/>
  <c r="BM27" i="1"/>
  <c r="BO27" i="1" s="1"/>
  <c r="BQ27" i="1" s="1"/>
  <c r="BN27" i="1"/>
  <c r="BP27" i="1" s="1"/>
  <c r="AI29" i="1"/>
  <c r="AK29" i="1" s="1"/>
  <c r="AM29" i="1" s="1"/>
  <c r="AJ29" i="1"/>
  <c r="AL29" i="1" s="1"/>
  <c r="AJ277" i="1"/>
  <c r="AI277" i="1"/>
  <c r="AK277" i="1" s="1"/>
  <c r="AM277" i="1" s="1"/>
  <c r="CR25" i="1"/>
  <c r="CT25" i="1" s="1"/>
  <c r="CQ25" i="1"/>
  <c r="CS25" i="1" s="1"/>
  <c r="CU25" i="1" s="1"/>
  <c r="AY28" i="1"/>
  <c r="BA28" i="1" s="1"/>
  <c r="AX28" i="1"/>
  <c r="AZ28" i="1" s="1"/>
  <c r="BB28" i="1" s="1"/>
  <c r="BD276" i="1" l="1"/>
  <c r="BC276" i="1"/>
  <c r="BE276" i="1" s="1"/>
  <c r="BG276" i="1" s="1"/>
  <c r="AO277" i="1"/>
  <c r="AN277" i="1"/>
  <c r="AP277" i="1" s="1"/>
  <c r="AR277" i="1" s="1"/>
  <c r="Y30" i="1"/>
  <c r="AA30" i="1" s="1"/>
  <c r="AC30" i="1" s="1"/>
  <c r="Z30" i="1"/>
  <c r="AB30" i="1" s="1"/>
  <c r="BS27" i="1"/>
  <c r="BU27" i="1" s="1"/>
  <c r="BR27" i="1"/>
  <c r="BT27" i="1" s="1"/>
  <c r="BV27" i="1" s="1"/>
  <c r="F31" i="1"/>
  <c r="H31" i="1" s="1"/>
  <c r="E31" i="1"/>
  <c r="AO29" i="1"/>
  <c r="AQ29" i="1" s="1"/>
  <c r="AN29" i="1"/>
  <c r="AP29" i="1" s="1"/>
  <c r="AR29" i="1" s="1"/>
  <c r="CW25" i="1"/>
  <c r="CY25" i="1" s="1"/>
  <c r="CV25" i="1"/>
  <c r="CX25" i="1" s="1"/>
  <c r="CZ25" i="1" s="1"/>
  <c r="Z278" i="1"/>
  <c r="Y278" i="1"/>
  <c r="AA278" i="1" s="1"/>
  <c r="AC278" i="1" s="1"/>
  <c r="O278" i="1"/>
  <c r="P278" i="1"/>
  <c r="CH26" i="1"/>
  <c r="CJ26" i="1" s="1"/>
  <c r="CG26" i="1"/>
  <c r="CI26" i="1" s="1"/>
  <c r="CK26" i="1" s="1"/>
  <c r="P30" i="1"/>
  <c r="R30" i="1" s="1"/>
  <c r="O30" i="1"/>
  <c r="BC28" i="1"/>
  <c r="BE28" i="1" s="1"/>
  <c r="BG28" i="1" s="1"/>
  <c r="BD28" i="1"/>
  <c r="BF28" i="1" s="1"/>
  <c r="E279" i="1"/>
  <c r="F279" i="1"/>
  <c r="DA25" i="1" l="1"/>
  <c r="DC25" i="1" s="1"/>
  <c r="DB25" i="1"/>
  <c r="DD25" i="1" s="1"/>
  <c r="AE278" i="1"/>
  <c r="AD278" i="1"/>
  <c r="AF278" i="1" s="1"/>
  <c r="AH278" i="1" s="1"/>
  <c r="CM26" i="1"/>
  <c r="CO26" i="1" s="1"/>
  <c r="CL26" i="1"/>
  <c r="CN26" i="1" s="1"/>
  <c r="CP26" i="1" s="1"/>
  <c r="BI28" i="1"/>
  <c r="BK28" i="1" s="1"/>
  <c r="BH28" i="1"/>
  <c r="BJ28" i="1" s="1"/>
  <c r="BL28" i="1" s="1"/>
  <c r="AT277" i="1"/>
  <c r="AS277" i="1"/>
  <c r="AU277" i="1" s="1"/>
  <c r="AW277" i="1" s="1"/>
  <c r="G31" i="1"/>
  <c r="I31" i="1" s="1"/>
  <c r="Q31" i="1"/>
  <c r="S31" i="1" s="1"/>
  <c r="BI276" i="1"/>
  <c r="BH276" i="1"/>
  <c r="BJ276" i="1" s="1"/>
  <c r="BX27" i="1"/>
  <c r="BZ27" i="1" s="1"/>
  <c r="BW27" i="1"/>
  <c r="BY27" i="1" s="1"/>
  <c r="CA27" i="1" s="1"/>
  <c r="AE30" i="1"/>
  <c r="AG30" i="1" s="1"/>
  <c r="AD30" i="1"/>
  <c r="AF30" i="1" s="1"/>
  <c r="AH30" i="1" s="1"/>
  <c r="AS29" i="1"/>
  <c r="AU29" i="1" s="1"/>
  <c r="AW29" i="1" s="1"/>
  <c r="AT29" i="1"/>
  <c r="AV29" i="1" s="1"/>
  <c r="Q279" i="1"/>
  <c r="S279" i="1" s="1"/>
  <c r="G279" i="1"/>
  <c r="I279" i="1" s="1"/>
  <c r="CC27" i="1" l="1"/>
  <c r="CE27" i="1" s="1"/>
  <c r="CB27" i="1"/>
  <c r="CD27" i="1" s="1"/>
  <c r="CF27" i="1" s="1"/>
  <c r="BN28" i="1"/>
  <c r="BP28" i="1" s="1"/>
  <c r="BM28" i="1"/>
  <c r="BO28" i="1" s="1"/>
  <c r="BQ28" i="1" s="1"/>
  <c r="U31" i="1"/>
  <c r="W31" i="1" s="1"/>
  <c r="T31" i="1"/>
  <c r="V31" i="1" s="1"/>
  <c r="X31" i="1" s="1"/>
  <c r="K279" i="1"/>
  <c r="J279" i="1"/>
  <c r="L279" i="1" s="1"/>
  <c r="N279" i="1" s="1"/>
  <c r="D280" i="1"/>
  <c r="CQ26" i="1"/>
  <c r="CS26" i="1" s="1"/>
  <c r="CU26" i="1" s="1"/>
  <c r="CR26" i="1"/>
  <c r="CT26" i="1" s="1"/>
  <c r="U279" i="1"/>
  <c r="T279" i="1"/>
  <c r="V279" i="1" s="1"/>
  <c r="X279" i="1" s="1"/>
  <c r="K31" i="1"/>
  <c r="M31" i="1" s="1"/>
  <c r="J31" i="1"/>
  <c r="L31" i="1" s="1"/>
  <c r="N31" i="1" s="1"/>
  <c r="D32" i="1"/>
  <c r="AY277" i="1"/>
  <c r="AX277" i="1"/>
  <c r="AZ277" i="1" s="1"/>
  <c r="BB277" i="1" s="1"/>
  <c r="AJ278" i="1"/>
  <c r="AI278" i="1"/>
  <c r="AK278" i="1" s="1"/>
  <c r="AM278" i="1" s="1"/>
  <c r="AY29" i="1"/>
  <c r="BA29" i="1" s="1"/>
  <c r="AX29" i="1"/>
  <c r="AZ29" i="1" s="1"/>
  <c r="BB29" i="1" s="1"/>
  <c r="AI30" i="1"/>
  <c r="AK30" i="1" s="1"/>
  <c r="AM30" i="1" s="1"/>
  <c r="AJ30" i="1"/>
  <c r="AL30" i="1" s="1"/>
  <c r="O31" i="1" l="1"/>
  <c r="P31" i="1"/>
  <c r="R31" i="1" s="1"/>
  <c r="BS28" i="1"/>
  <c r="BU28" i="1" s="1"/>
  <c r="BR28" i="1"/>
  <c r="BT28" i="1" s="1"/>
  <c r="BV28" i="1" s="1"/>
  <c r="P279" i="1"/>
  <c r="O279" i="1"/>
  <c r="E32" i="1"/>
  <c r="F32" i="1"/>
  <c r="H32" i="1" s="1"/>
  <c r="Y31" i="1"/>
  <c r="AA31" i="1" s="1"/>
  <c r="AC31" i="1" s="1"/>
  <c r="Z31" i="1"/>
  <c r="AB31" i="1" s="1"/>
  <c r="BD29" i="1"/>
  <c r="BF29" i="1" s="1"/>
  <c r="BC29" i="1"/>
  <c r="BE29" i="1" s="1"/>
  <c r="BG29" i="1" s="1"/>
  <c r="BD277" i="1"/>
  <c r="BC277" i="1"/>
  <c r="BE277" i="1" s="1"/>
  <c r="AO30" i="1"/>
  <c r="AQ30" i="1" s="1"/>
  <c r="AN30" i="1"/>
  <c r="AP30" i="1" s="1"/>
  <c r="AR30" i="1" s="1"/>
  <c r="Z279" i="1"/>
  <c r="Y279" i="1"/>
  <c r="AA279" i="1" s="1"/>
  <c r="AC279" i="1" s="1"/>
  <c r="AO278" i="1"/>
  <c r="AN278" i="1"/>
  <c r="AP278" i="1" s="1"/>
  <c r="AR278" i="1" s="1"/>
  <c r="CW26" i="1"/>
  <c r="CY26" i="1" s="1"/>
  <c r="CV26" i="1"/>
  <c r="CX26" i="1" s="1"/>
  <c r="CZ26" i="1" s="1"/>
  <c r="CG27" i="1"/>
  <c r="CI27" i="1" s="1"/>
  <c r="CK27" i="1" s="1"/>
  <c r="CH27" i="1"/>
  <c r="CJ27" i="1" s="1"/>
  <c r="F280" i="1"/>
  <c r="E280" i="1"/>
  <c r="Q32" i="1" l="1"/>
  <c r="S32" i="1" s="1"/>
  <c r="G32" i="1"/>
  <c r="I32" i="1" s="1"/>
  <c r="CM27" i="1"/>
  <c r="CO27" i="1" s="1"/>
  <c r="CL27" i="1"/>
  <c r="CN27" i="1" s="1"/>
  <c r="CP27" i="1" s="1"/>
  <c r="AT30" i="1"/>
  <c r="AV30" i="1" s="1"/>
  <c r="AS30" i="1"/>
  <c r="AU30" i="1" s="1"/>
  <c r="AW30" i="1" s="1"/>
  <c r="BW28" i="1"/>
  <c r="BY28" i="1" s="1"/>
  <c r="CA28" i="1" s="1"/>
  <c r="BX28" i="1"/>
  <c r="BZ28" i="1" s="1"/>
  <c r="BI29" i="1"/>
  <c r="BK29" i="1" s="1"/>
  <c r="BH29" i="1"/>
  <c r="BJ29" i="1" s="1"/>
  <c r="BL29" i="1" s="1"/>
  <c r="DB26" i="1"/>
  <c r="DD26" i="1" s="1"/>
  <c r="DA26" i="1"/>
  <c r="DC26" i="1" s="1"/>
  <c r="AT278" i="1"/>
  <c r="AS278" i="1"/>
  <c r="AU278" i="1" s="1"/>
  <c r="AW278" i="1" s="1"/>
  <c r="G280" i="1"/>
  <c r="I280" i="1" s="1"/>
  <c r="Q280" i="1"/>
  <c r="S280" i="1" s="1"/>
  <c r="AE279" i="1"/>
  <c r="AD279" i="1"/>
  <c r="AF279" i="1" s="1"/>
  <c r="AH279" i="1" s="1"/>
  <c r="AE31" i="1"/>
  <c r="AG31" i="1" s="1"/>
  <c r="AD31" i="1"/>
  <c r="AF31" i="1" s="1"/>
  <c r="AH31" i="1" s="1"/>
  <c r="U280" i="1" l="1"/>
  <c r="T280" i="1"/>
  <c r="V280" i="1" s="1"/>
  <c r="X280" i="1" s="1"/>
  <c r="CR27" i="1"/>
  <c r="CT27" i="1" s="1"/>
  <c r="CQ27" i="1"/>
  <c r="CS27" i="1" s="1"/>
  <c r="CU27" i="1" s="1"/>
  <c r="AY30" i="1"/>
  <c r="BA30" i="1" s="1"/>
  <c r="AX30" i="1"/>
  <c r="AZ30" i="1" s="1"/>
  <c r="BB30" i="1" s="1"/>
  <c r="AY278" i="1"/>
  <c r="AX278" i="1"/>
  <c r="AZ278" i="1" s="1"/>
  <c r="BM29" i="1"/>
  <c r="BO29" i="1" s="1"/>
  <c r="BQ29" i="1" s="1"/>
  <c r="BN29" i="1"/>
  <c r="BP29" i="1" s="1"/>
  <c r="K280" i="1"/>
  <c r="J280" i="1"/>
  <c r="L280" i="1" s="1"/>
  <c r="N280" i="1" s="1"/>
  <c r="D281" i="1"/>
  <c r="K32" i="1"/>
  <c r="M32" i="1" s="1"/>
  <c r="J32" i="1"/>
  <c r="L32" i="1" s="1"/>
  <c r="N32" i="1" s="1"/>
  <c r="D33" i="1"/>
  <c r="CC28" i="1"/>
  <c r="CE28" i="1" s="1"/>
  <c r="CB28" i="1"/>
  <c r="CD28" i="1" s="1"/>
  <c r="CF28" i="1" s="1"/>
  <c r="AJ31" i="1"/>
  <c r="AL31" i="1" s="1"/>
  <c r="AI31" i="1"/>
  <c r="AK31" i="1" s="1"/>
  <c r="AM31" i="1" s="1"/>
  <c r="AJ279" i="1"/>
  <c r="AI279" i="1"/>
  <c r="AK279" i="1" s="1"/>
  <c r="AM279" i="1" s="1"/>
  <c r="T32" i="1"/>
  <c r="V32" i="1" s="1"/>
  <c r="X32" i="1" s="1"/>
  <c r="U32" i="1"/>
  <c r="W32" i="1" s="1"/>
  <c r="E33" i="1" l="1"/>
  <c r="F33" i="1"/>
  <c r="H33" i="1" s="1"/>
  <c r="Z32" i="1"/>
  <c r="AB32" i="1" s="1"/>
  <c r="Y32" i="1"/>
  <c r="AA32" i="1" s="1"/>
  <c r="AC32" i="1" s="1"/>
  <c r="AO279" i="1"/>
  <c r="AN279" i="1"/>
  <c r="AP279" i="1" s="1"/>
  <c r="AR279" i="1" s="1"/>
  <c r="O32" i="1"/>
  <c r="P32" i="1"/>
  <c r="R32" i="1" s="1"/>
  <c r="AO31" i="1"/>
  <c r="AQ31" i="1" s="1"/>
  <c r="AN31" i="1"/>
  <c r="AP31" i="1" s="1"/>
  <c r="AR31" i="1" s="1"/>
  <c r="Z280" i="1"/>
  <c r="Y280" i="1"/>
  <c r="AA280" i="1" s="1"/>
  <c r="AC280" i="1" s="1"/>
  <c r="BC30" i="1"/>
  <c r="BE30" i="1" s="1"/>
  <c r="BG30" i="1" s="1"/>
  <c r="BD30" i="1"/>
  <c r="BF30" i="1" s="1"/>
  <c r="P280" i="1"/>
  <c r="O280" i="1"/>
  <c r="CH28" i="1"/>
  <c r="CJ28" i="1" s="1"/>
  <c r="CG28" i="1"/>
  <c r="CI28" i="1" s="1"/>
  <c r="CK28" i="1" s="1"/>
  <c r="F281" i="1"/>
  <c r="E281" i="1"/>
  <c r="CW27" i="1"/>
  <c r="CY27" i="1" s="1"/>
  <c r="CV27" i="1"/>
  <c r="CX27" i="1" s="1"/>
  <c r="CZ27" i="1" s="1"/>
  <c r="BS29" i="1"/>
  <c r="BU29" i="1" s="1"/>
  <c r="BR29" i="1"/>
  <c r="BT29" i="1" s="1"/>
  <c r="BV29" i="1" s="1"/>
  <c r="AT279" i="1" l="1"/>
  <c r="AS279" i="1"/>
  <c r="AU279" i="1" s="1"/>
  <c r="DB27" i="1"/>
  <c r="DD27" i="1" s="1"/>
  <c r="DA27" i="1"/>
  <c r="DC27" i="1" s="1"/>
  <c r="AE280" i="1"/>
  <c r="AD280" i="1"/>
  <c r="AF280" i="1" s="1"/>
  <c r="AH280" i="1" s="1"/>
  <c r="AS31" i="1"/>
  <c r="AU31" i="1" s="1"/>
  <c r="AW31" i="1" s="1"/>
  <c r="AT31" i="1"/>
  <c r="AV31" i="1" s="1"/>
  <c r="BI30" i="1"/>
  <c r="BK30" i="1" s="1"/>
  <c r="BH30" i="1"/>
  <c r="BJ30" i="1" s="1"/>
  <c r="BL30" i="1" s="1"/>
  <c r="G281" i="1"/>
  <c r="I281" i="1" s="1"/>
  <c r="Q281" i="1"/>
  <c r="S281" i="1" s="1"/>
  <c r="AD32" i="1"/>
  <c r="AF32" i="1" s="1"/>
  <c r="AH32" i="1" s="1"/>
  <c r="AE32" i="1"/>
  <c r="AG32" i="1" s="1"/>
  <c r="BX29" i="1"/>
  <c r="BZ29" i="1" s="1"/>
  <c r="BW29" i="1"/>
  <c r="BY29" i="1" s="1"/>
  <c r="CA29" i="1" s="1"/>
  <c r="CM28" i="1"/>
  <c r="CO28" i="1" s="1"/>
  <c r="CL28" i="1"/>
  <c r="CN28" i="1" s="1"/>
  <c r="CP28" i="1" s="1"/>
  <c r="Q33" i="1"/>
  <c r="S33" i="1" s="1"/>
  <c r="G33" i="1"/>
  <c r="I33" i="1" s="1"/>
  <c r="AJ280" i="1" l="1"/>
  <c r="AI280" i="1"/>
  <c r="AK280" i="1" s="1"/>
  <c r="AM280" i="1" s="1"/>
  <c r="K281" i="1"/>
  <c r="J281" i="1"/>
  <c r="L281" i="1" s="1"/>
  <c r="N281" i="1" s="1"/>
  <c r="D282" i="1"/>
  <c r="AI32" i="1"/>
  <c r="AK32" i="1" s="1"/>
  <c r="AM32" i="1" s="1"/>
  <c r="AJ32" i="1"/>
  <c r="AL32" i="1" s="1"/>
  <c r="BN30" i="1"/>
  <c r="BP30" i="1" s="1"/>
  <c r="BM30" i="1"/>
  <c r="BO30" i="1" s="1"/>
  <c r="BQ30" i="1" s="1"/>
  <c r="CC29" i="1"/>
  <c r="CE29" i="1" s="1"/>
  <c r="CB29" i="1"/>
  <c r="CD29" i="1" s="1"/>
  <c r="CF29" i="1" s="1"/>
  <c r="U281" i="1"/>
  <c r="T281" i="1"/>
  <c r="V281" i="1" s="1"/>
  <c r="X281" i="1" s="1"/>
  <c r="U33" i="1"/>
  <c r="W33" i="1" s="1"/>
  <c r="T33" i="1"/>
  <c r="V33" i="1" s="1"/>
  <c r="X33" i="1" s="1"/>
  <c r="CQ28" i="1"/>
  <c r="CS28" i="1" s="1"/>
  <c r="CU28" i="1" s="1"/>
  <c r="CR28" i="1"/>
  <c r="CT28" i="1" s="1"/>
  <c r="AY31" i="1"/>
  <c r="BA31" i="1" s="1"/>
  <c r="AX31" i="1"/>
  <c r="AZ31" i="1" s="1"/>
  <c r="BB31" i="1" s="1"/>
  <c r="K33" i="1"/>
  <c r="M33" i="1" s="1"/>
  <c r="J33" i="1"/>
  <c r="L33" i="1" s="1"/>
  <c r="N33" i="1" s="1"/>
  <c r="D34" i="1"/>
  <c r="Z33" i="1" l="1"/>
  <c r="AB33" i="1" s="1"/>
  <c r="Y33" i="1"/>
  <c r="AA33" i="1" s="1"/>
  <c r="AC33" i="1" s="1"/>
  <c r="CW28" i="1"/>
  <c r="CY28" i="1" s="1"/>
  <c r="CV28" i="1"/>
  <c r="CX28" i="1" s="1"/>
  <c r="CZ28" i="1" s="1"/>
  <c r="F34" i="1"/>
  <c r="H34" i="1" s="1"/>
  <c r="E34" i="1"/>
  <c r="F282" i="1"/>
  <c r="E282" i="1"/>
  <c r="AO32" i="1"/>
  <c r="AQ32" i="1" s="1"/>
  <c r="AN32" i="1"/>
  <c r="AP32" i="1" s="1"/>
  <c r="AR32" i="1" s="1"/>
  <c r="BD31" i="1"/>
  <c r="BF31" i="1" s="1"/>
  <c r="BC31" i="1"/>
  <c r="BE31" i="1" s="1"/>
  <c r="BG31" i="1" s="1"/>
  <c r="BS30" i="1"/>
  <c r="BU30" i="1" s="1"/>
  <c r="BR30" i="1"/>
  <c r="BT30" i="1" s="1"/>
  <c r="BV30" i="1" s="1"/>
  <c r="Z281" i="1"/>
  <c r="Y281" i="1"/>
  <c r="AA281" i="1" s="1"/>
  <c r="AC281" i="1" s="1"/>
  <c r="CH29" i="1"/>
  <c r="CJ29" i="1" s="1"/>
  <c r="CG29" i="1"/>
  <c r="CI29" i="1" s="1"/>
  <c r="CK29" i="1" s="1"/>
  <c r="AO280" i="1"/>
  <c r="AN280" i="1"/>
  <c r="AP280" i="1" s="1"/>
  <c r="P33" i="1"/>
  <c r="R33" i="1" s="1"/>
  <c r="O33" i="1"/>
  <c r="P281" i="1"/>
  <c r="O281" i="1"/>
  <c r="AE281" i="1" l="1"/>
  <c r="AD281" i="1"/>
  <c r="AF281" i="1" s="1"/>
  <c r="AH281" i="1" s="1"/>
  <c r="G282" i="1"/>
  <c r="I282" i="1" s="1"/>
  <c r="Q282" i="1"/>
  <c r="S282" i="1" s="1"/>
  <c r="G34" i="1"/>
  <c r="I34" i="1" s="1"/>
  <c r="Q34" i="1"/>
  <c r="S34" i="1" s="1"/>
  <c r="BX30" i="1"/>
  <c r="BZ30" i="1" s="1"/>
  <c r="BW30" i="1"/>
  <c r="BY30" i="1" s="1"/>
  <c r="CA30" i="1" s="1"/>
  <c r="DA28" i="1"/>
  <c r="DC28" i="1" s="1"/>
  <c r="DB28" i="1"/>
  <c r="DD28" i="1" s="1"/>
  <c r="AT32" i="1"/>
  <c r="AV32" i="1" s="1"/>
  <c r="AS32" i="1"/>
  <c r="AU32" i="1" s="1"/>
  <c r="AW32" i="1" s="1"/>
  <c r="BI31" i="1"/>
  <c r="BK31" i="1" s="1"/>
  <c r="BH31" i="1"/>
  <c r="BJ31" i="1" s="1"/>
  <c r="BL31" i="1" s="1"/>
  <c r="CM29" i="1"/>
  <c r="CO29" i="1" s="1"/>
  <c r="CL29" i="1"/>
  <c r="CN29" i="1" s="1"/>
  <c r="CP29" i="1" s="1"/>
  <c r="AE33" i="1"/>
  <c r="AG33" i="1" s="1"/>
  <c r="AD33" i="1"/>
  <c r="AF33" i="1" s="1"/>
  <c r="AH33" i="1" s="1"/>
  <c r="BM31" i="1" l="1"/>
  <c r="BO31" i="1" s="1"/>
  <c r="BQ31" i="1" s="1"/>
  <c r="BN31" i="1"/>
  <c r="BP31" i="1" s="1"/>
  <c r="CQ29" i="1"/>
  <c r="CS29" i="1" s="1"/>
  <c r="CU29" i="1" s="1"/>
  <c r="CR29" i="1"/>
  <c r="CT29" i="1" s="1"/>
  <c r="K34" i="1"/>
  <c r="M34" i="1" s="1"/>
  <c r="J34" i="1"/>
  <c r="L34" i="1" s="1"/>
  <c r="N34" i="1" s="1"/>
  <c r="D35" i="1"/>
  <c r="K282" i="1"/>
  <c r="J282" i="1"/>
  <c r="L282" i="1" s="1"/>
  <c r="N282" i="1" s="1"/>
  <c r="D283" i="1"/>
  <c r="U34" i="1"/>
  <c r="W34" i="1" s="1"/>
  <c r="T34" i="1"/>
  <c r="V34" i="1" s="1"/>
  <c r="X34" i="1" s="1"/>
  <c r="U282" i="1"/>
  <c r="T282" i="1"/>
  <c r="V282" i="1" s="1"/>
  <c r="X282" i="1" s="1"/>
  <c r="CC30" i="1"/>
  <c r="CE30" i="1" s="1"/>
  <c r="CB30" i="1"/>
  <c r="CD30" i="1" s="1"/>
  <c r="CF30" i="1" s="1"/>
  <c r="AJ33" i="1"/>
  <c r="AL33" i="1" s="1"/>
  <c r="AI33" i="1"/>
  <c r="AK33" i="1" s="1"/>
  <c r="AM33" i="1" s="1"/>
  <c r="AJ281" i="1"/>
  <c r="AI281" i="1"/>
  <c r="AK281" i="1" s="1"/>
  <c r="AY32" i="1"/>
  <c r="BA32" i="1" s="1"/>
  <c r="AX32" i="1"/>
  <c r="AZ32" i="1" s="1"/>
  <c r="BB32" i="1" s="1"/>
  <c r="F35" i="1" l="1"/>
  <c r="H35" i="1" s="1"/>
  <c r="E35" i="1"/>
  <c r="P34" i="1"/>
  <c r="R34" i="1" s="1"/>
  <c r="O34" i="1"/>
  <c r="CG30" i="1"/>
  <c r="CI30" i="1" s="1"/>
  <c r="CK30" i="1" s="1"/>
  <c r="CH30" i="1"/>
  <c r="CJ30" i="1" s="1"/>
  <c r="P282" i="1"/>
  <c r="O282" i="1"/>
  <c r="Z282" i="1"/>
  <c r="Y282" i="1"/>
  <c r="AA282" i="1" s="1"/>
  <c r="AC282" i="1" s="1"/>
  <c r="Z34" i="1"/>
  <c r="AB34" i="1" s="1"/>
  <c r="Y34" i="1"/>
  <c r="AA34" i="1" s="1"/>
  <c r="AC34" i="1" s="1"/>
  <c r="BS31" i="1"/>
  <c r="BU31" i="1" s="1"/>
  <c r="BR31" i="1"/>
  <c r="BT31" i="1" s="1"/>
  <c r="BV31" i="1" s="1"/>
  <c r="BD32" i="1"/>
  <c r="BF32" i="1" s="1"/>
  <c r="BC32" i="1"/>
  <c r="BE32" i="1" s="1"/>
  <c r="BG32" i="1" s="1"/>
  <c r="CW29" i="1"/>
  <c r="CY29" i="1" s="1"/>
  <c r="CV29" i="1"/>
  <c r="CX29" i="1" s="1"/>
  <c r="CZ29" i="1" s="1"/>
  <c r="F283" i="1"/>
  <c r="E283" i="1"/>
  <c r="AO33" i="1"/>
  <c r="AQ33" i="1" s="1"/>
  <c r="AN33" i="1"/>
  <c r="AP33" i="1" s="1"/>
  <c r="AR33" i="1" s="1"/>
  <c r="BW31" i="1" l="1"/>
  <c r="BY31" i="1" s="1"/>
  <c r="CA31" i="1" s="1"/>
  <c r="BX31" i="1"/>
  <c r="BZ31" i="1" s="1"/>
  <c r="AE282" i="1"/>
  <c r="AD282" i="1"/>
  <c r="AF282" i="1" s="1"/>
  <c r="DA29" i="1"/>
  <c r="DC29" i="1" s="1"/>
  <c r="DB29" i="1"/>
  <c r="DD29" i="1" s="1"/>
  <c r="AT33" i="1"/>
  <c r="AV33" i="1" s="1"/>
  <c r="AS33" i="1"/>
  <c r="AU33" i="1" s="1"/>
  <c r="AW33" i="1" s="1"/>
  <c r="CM30" i="1"/>
  <c r="CO30" i="1" s="1"/>
  <c r="CL30" i="1"/>
  <c r="CN30" i="1" s="1"/>
  <c r="CP30" i="1" s="1"/>
  <c r="G283" i="1"/>
  <c r="I283" i="1" s="1"/>
  <c r="Q283" i="1"/>
  <c r="S283" i="1" s="1"/>
  <c r="G35" i="1"/>
  <c r="I35" i="1" s="1"/>
  <c r="Q35" i="1"/>
  <c r="S35" i="1" s="1"/>
  <c r="AE34" i="1"/>
  <c r="AG34" i="1" s="1"/>
  <c r="AD34" i="1"/>
  <c r="AF34" i="1" s="1"/>
  <c r="AH34" i="1" s="1"/>
  <c r="BI32" i="1"/>
  <c r="BK32" i="1" s="1"/>
  <c r="BH32" i="1"/>
  <c r="BJ32" i="1" s="1"/>
  <c r="BL32" i="1" s="1"/>
  <c r="U35" i="1" l="1"/>
  <c r="W35" i="1" s="1"/>
  <c r="T35" i="1"/>
  <c r="V35" i="1" s="1"/>
  <c r="X35" i="1" s="1"/>
  <c r="AJ34" i="1"/>
  <c r="AL34" i="1" s="1"/>
  <c r="AI34" i="1"/>
  <c r="AK34" i="1" s="1"/>
  <c r="AM34" i="1" s="1"/>
  <c r="K35" i="1"/>
  <c r="M35" i="1" s="1"/>
  <c r="J35" i="1"/>
  <c r="L35" i="1" s="1"/>
  <c r="N35" i="1" s="1"/>
  <c r="D36" i="1"/>
  <c r="BM32" i="1"/>
  <c r="BO32" i="1" s="1"/>
  <c r="BQ32" i="1" s="1"/>
  <c r="BN32" i="1"/>
  <c r="BP32" i="1" s="1"/>
  <c r="U283" i="1"/>
  <c r="T283" i="1"/>
  <c r="V283" i="1" s="1"/>
  <c r="X283" i="1" s="1"/>
  <c r="CC31" i="1"/>
  <c r="CE31" i="1" s="1"/>
  <c r="CB31" i="1"/>
  <c r="CD31" i="1" s="1"/>
  <c r="CF31" i="1" s="1"/>
  <c r="AY33" i="1"/>
  <c r="BA33" i="1" s="1"/>
  <c r="AX33" i="1"/>
  <c r="AZ33" i="1" s="1"/>
  <c r="BB33" i="1" s="1"/>
  <c r="K283" i="1"/>
  <c r="J283" i="1"/>
  <c r="L283" i="1" s="1"/>
  <c r="N283" i="1" s="1"/>
  <c r="D284" i="1"/>
  <c r="CQ30" i="1"/>
  <c r="CS30" i="1" s="1"/>
  <c r="CU30" i="1" s="1"/>
  <c r="CR30" i="1"/>
  <c r="CT30" i="1" s="1"/>
  <c r="BD33" i="1" l="1"/>
  <c r="BF33" i="1" s="1"/>
  <c r="BC33" i="1"/>
  <c r="BE33" i="1" s="1"/>
  <c r="BG33" i="1" s="1"/>
  <c r="Y283" i="1"/>
  <c r="AA283" i="1" s="1"/>
  <c r="Z283" i="1"/>
  <c r="P35" i="1"/>
  <c r="R35" i="1" s="1"/>
  <c r="O35" i="1"/>
  <c r="AO34" i="1"/>
  <c r="AQ34" i="1" s="1"/>
  <c r="AN34" i="1"/>
  <c r="AP34" i="1" s="1"/>
  <c r="AR34" i="1" s="1"/>
  <c r="CG31" i="1"/>
  <c r="CI31" i="1" s="1"/>
  <c r="CK31" i="1" s="1"/>
  <c r="CH31" i="1"/>
  <c r="CJ31" i="1" s="1"/>
  <c r="Z35" i="1"/>
  <c r="AB35" i="1" s="1"/>
  <c r="Y35" i="1"/>
  <c r="AA35" i="1" s="1"/>
  <c r="AC35" i="1" s="1"/>
  <c r="F36" i="1"/>
  <c r="H36" i="1" s="1"/>
  <c r="E36" i="1"/>
  <c r="CW30" i="1"/>
  <c r="CY30" i="1" s="1"/>
  <c r="CV30" i="1"/>
  <c r="CX30" i="1" s="1"/>
  <c r="CZ30" i="1" s="1"/>
  <c r="F284" i="1"/>
  <c r="E284" i="1"/>
  <c r="P283" i="1"/>
  <c r="O283" i="1"/>
  <c r="BS32" i="1"/>
  <c r="BU32" i="1" s="1"/>
  <c r="BR32" i="1"/>
  <c r="BT32" i="1" s="1"/>
  <c r="BV32" i="1" s="1"/>
  <c r="DB30" i="1" l="1"/>
  <c r="DD30" i="1" s="1"/>
  <c r="DA30" i="1"/>
  <c r="DC30" i="1" s="1"/>
  <c r="BW32" i="1"/>
  <c r="BY32" i="1" s="1"/>
  <c r="CA32" i="1" s="1"/>
  <c r="BX32" i="1"/>
  <c r="BZ32" i="1" s="1"/>
  <c r="AT34" i="1"/>
  <c r="AV34" i="1" s="1"/>
  <c r="AS34" i="1"/>
  <c r="AU34" i="1" s="1"/>
  <c r="AW34" i="1" s="1"/>
  <c r="AE35" i="1"/>
  <c r="AG35" i="1" s="1"/>
  <c r="AD35" i="1"/>
  <c r="AF35" i="1" s="1"/>
  <c r="AH35" i="1" s="1"/>
  <c r="G36" i="1"/>
  <c r="I36" i="1" s="1"/>
  <c r="Q36" i="1"/>
  <c r="S36" i="1" s="1"/>
  <c r="G284" i="1"/>
  <c r="I284" i="1" s="1"/>
  <c r="Q284" i="1"/>
  <c r="S284" i="1" s="1"/>
  <c r="BI33" i="1"/>
  <c r="BK33" i="1" s="1"/>
  <c r="BH33" i="1"/>
  <c r="BJ33" i="1" s="1"/>
  <c r="BL33" i="1" s="1"/>
  <c r="CM31" i="1"/>
  <c r="CO31" i="1" s="1"/>
  <c r="CL31" i="1"/>
  <c r="CN31" i="1" s="1"/>
  <c r="CP31" i="1" s="1"/>
  <c r="CR31" i="1" l="1"/>
  <c r="CT31" i="1" s="1"/>
  <c r="CQ31" i="1"/>
  <c r="CS31" i="1" s="1"/>
  <c r="CU31" i="1" s="1"/>
  <c r="AY34" i="1"/>
  <c r="BA34" i="1" s="1"/>
  <c r="AX34" i="1"/>
  <c r="AZ34" i="1" s="1"/>
  <c r="BB34" i="1" s="1"/>
  <c r="K284" i="1"/>
  <c r="J284" i="1"/>
  <c r="L284" i="1" s="1"/>
  <c r="N284" i="1" s="1"/>
  <c r="D285" i="1"/>
  <c r="BM33" i="1"/>
  <c r="BO33" i="1" s="1"/>
  <c r="BQ33" i="1" s="1"/>
  <c r="BN33" i="1"/>
  <c r="BP33" i="1" s="1"/>
  <c r="CC32" i="1"/>
  <c r="CE32" i="1" s="1"/>
  <c r="CB32" i="1"/>
  <c r="CD32" i="1" s="1"/>
  <c r="CF32" i="1" s="1"/>
  <c r="AJ35" i="1"/>
  <c r="AL35" i="1" s="1"/>
  <c r="AI35" i="1"/>
  <c r="AK35" i="1" s="1"/>
  <c r="AM35" i="1" s="1"/>
  <c r="K36" i="1"/>
  <c r="M36" i="1" s="1"/>
  <c r="J36" i="1"/>
  <c r="L36" i="1" s="1"/>
  <c r="N36" i="1" s="1"/>
  <c r="D37" i="1"/>
  <c r="U284" i="1"/>
  <c r="T284" i="1"/>
  <c r="V284" i="1" s="1"/>
  <c r="U36" i="1"/>
  <c r="W36" i="1" s="1"/>
  <c r="T36" i="1"/>
  <c r="V36" i="1" s="1"/>
  <c r="X36" i="1" s="1"/>
  <c r="P36" i="1" l="1"/>
  <c r="R36" i="1" s="1"/>
  <c r="O36" i="1"/>
  <c r="BS33" i="1"/>
  <c r="BU33" i="1" s="1"/>
  <c r="BR33" i="1"/>
  <c r="BT33" i="1" s="1"/>
  <c r="BV33" i="1" s="1"/>
  <c r="O284" i="1"/>
  <c r="P284" i="1"/>
  <c r="CH32" i="1"/>
  <c r="CJ32" i="1" s="1"/>
  <c r="CG32" i="1"/>
  <c r="CI32" i="1" s="1"/>
  <c r="CK32" i="1" s="1"/>
  <c r="F37" i="1"/>
  <c r="H37" i="1" s="1"/>
  <c r="E37" i="1"/>
  <c r="Z36" i="1"/>
  <c r="AB36" i="1" s="1"/>
  <c r="Y36" i="1"/>
  <c r="AA36" i="1" s="1"/>
  <c r="AC36" i="1" s="1"/>
  <c r="E285" i="1"/>
  <c r="F285" i="1"/>
  <c r="AO35" i="1"/>
  <c r="AQ35" i="1" s="1"/>
  <c r="AN35" i="1"/>
  <c r="AP35" i="1" s="1"/>
  <c r="AR35" i="1" s="1"/>
  <c r="BC34" i="1"/>
  <c r="BE34" i="1" s="1"/>
  <c r="BG34" i="1" s="1"/>
  <c r="BD34" i="1"/>
  <c r="BF34" i="1" s="1"/>
  <c r="CW31" i="1"/>
  <c r="CY31" i="1" s="1"/>
  <c r="CV31" i="1"/>
  <c r="CX31" i="1" s="1"/>
  <c r="CZ31" i="1" s="1"/>
  <c r="AE36" i="1" l="1"/>
  <c r="AG36" i="1" s="1"/>
  <c r="AD36" i="1"/>
  <c r="AF36" i="1" s="1"/>
  <c r="AH36" i="1" s="1"/>
  <c r="AS35" i="1"/>
  <c r="AU35" i="1" s="1"/>
  <c r="AW35" i="1" s="1"/>
  <c r="AT35" i="1"/>
  <c r="AV35" i="1" s="1"/>
  <c r="DA31" i="1"/>
  <c r="DC31" i="1" s="1"/>
  <c r="DB31" i="1"/>
  <c r="DD31" i="1" s="1"/>
  <c r="CM32" i="1"/>
  <c r="CO32" i="1" s="1"/>
  <c r="CL32" i="1"/>
  <c r="CN32" i="1" s="1"/>
  <c r="CP32" i="1" s="1"/>
  <c r="Q285" i="1"/>
  <c r="G285" i="1"/>
  <c r="I285" i="1" s="1"/>
  <c r="BX33" i="1"/>
  <c r="BZ33" i="1" s="1"/>
  <c r="BW33" i="1"/>
  <c r="BY33" i="1" s="1"/>
  <c r="CA33" i="1" s="1"/>
  <c r="G37" i="1"/>
  <c r="I37" i="1" s="1"/>
  <c r="Q37" i="1"/>
  <c r="S37" i="1" s="1"/>
  <c r="BI34" i="1"/>
  <c r="BK34" i="1" s="1"/>
  <c r="BH34" i="1"/>
  <c r="BJ34" i="1" s="1"/>
  <c r="BL34" i="1" s="1"/>
  <c r="U37" i="1" l="1"/>
  <c r="W37" i="1" s="1"/>
  <c r="T37" i="1"/>
  <c r="V37" i="1" s="1"/>
  <c r="X37" i="1" s="1"/>
  <c r="CC33" i="1"/>
  <c r="CE33" i="1" s="1"/>
  <c r="CB33" i="1"/>
  <c r="CD33" i="1" s="1"/>
  <c r="CF33" i="1" s="1"/>
  <c r="BN34" i="1"/>
  <c r="BP34" i="1" s="1"/>
  <c r="BM34" i="1"/>
  <c r="BO34" i="1" s="1"/>
  <c r="BQ34" i="1" s="1"/>
  <c r="K37" i="1"/>
  <c r="M37" i="1" s="1"/>
  <c r="J37" i="1"/>
  <c r="L37" i="1" s="1"/>
  <c r="N37" i="1" s="1"/>
  <c r="D38" i="1"/>
  <c r="AI36" i="1"/>
  <c r="AK36" i="1" s="1"/>
  <c r="AM36" i="1" s="1"/>
  <c r="AJ36" i="1"/>
  <c r="AL36" i="1" s="1"/>
  <c r="CR32" i="1"/>
  <c r="CT32" i="1" s="1"/>
  <c r="CQ32" i="1"/>
  <c r="CS32" i="1" s="1"/>
  <c r="CU32" i="1" s="1"/>
  <c r="AY35" i="1"/>
  <c r="BA35" i="1" s="1"/>
  <c r="AX35" i="1"/>
  <c r="AZ35" i="1" s="1"/>
  <c r="BB35" i="1" s="1"/>
  <c r="K285" i="1"/>
  <c r="J285" i="1"/>
  <c r="L285" i="1" s="1"/>
  <c r="N285" i="1" s="1"/>
  <c r="D286" i="1"/>
  <c r="CH33" i="1" l="1"/>
  <c r="CJ33" i="1" s="1"/>
  <c r="CG33" i="1"/>
  <c r="CI33" i="1" s="1"/>
  <c r="CK33" i="1" s="1"/>
  <c r="BS34" i="1"/>
  <c r="BU34" i="1" s="1"/>
  <c r="BR34" i="1"/>
  <c r="BT34" i="1" s="1"/>
  <c r="BV34" i="1" s="1"/>
  <c r="BD35" i="1"/>
  <c r="BF35" i="1" s="1"/>
  <c r="BC35" i="1"/>
  <c r="BE35" i="1" s="1"/>
  <c r="BG35" i="1" s="1"/>
  <c r="P285" i="1"/>
  <c r="O285" i="1"/>
  <c r="CW32" i="1"/>
  <c r="CY32" i="1" s="1"/>
  <c r="CV32" i="1"/>
  <c r="CX32" i="1" s="1"/>
  <c r="CZ32" i="1" s="1"/>
  <c r="AO36" i="1"/>
  <c r="AQ36" i="1" s="1"/>
  <c r="AN36" i="1"/>
  <c r="AP36" i="1" s="1"/>
  <c r="AR36" i="1" s="1"/>
  <c r="P37" i="1"/>
  <c r="R37" i="1" s="1"/>
  <c r="O37" i="1"/>
  <c r="F286" i="1"/>
  <c r="E286" i="1"/>
  <c r="Y37" i="1"/>
  <c r="AA37" i="1" s="1"/>
  <c r="AC37" i="1" s="1"/>
  <c r="Z37" i="1"/>
  <c r="AB37" i="1" s="1"/>
  <c r="F38" i="1"/>
  <c r="H38" i="1" s="1"/>
  <c r="E38" i="1"/>
  <c r="BX34" i="1" l="1"/>
  <c r="BZ34" i="1" s="1"/>
  <c r="BW34" i="1"/>
  <c r="BY34" i="1" s="1"/>
  <c r="CA34" i="1" s="1"/>
  <c r="BI35" i="1"/>
  <c r="BK35" i="1" s="1"/>
  <c r="BH35" i="1"/>
  <c r="BJ35" i="1" s="1"/>
  <c r="BL35" i="1" s="1"/>
  <c r="G38" i="1"/>
  <c r="I38" i="1" s="1"/>
  <c r="Q38" i="1"/>
  <c r="S38" i="1" s="1"/>
  <c r="CM33" i="1"/>
  <c r="CO33" i="1" s="1"/>
  <c r="CL33" i="1"/>
  <c r="CN33" i="1" s="1"/>
  <c r="CP33" i="1" s="1"/>
  <c r="G286" i="1"/>
  <c r="I286" i="1" s="1"/>
  <c r="Q286" i="1"/>
  <c r="AT36" i="1"/>
  <c r="AV36" i="1" s="1"/>
  <c r="AS36" i="1"/>
  <c r="AU36" i="1" s="1"/>
  <c r="AW36" i="1" s="1"/>
  <c r="DB32" i="1"/>
  <c r="DD32" i="1" s="1"/>
  <c r="DA32" i="1"/>
  <c r="DC32" i="1" s="1"/>
  <c r="AE37" i="1"/>
  <c r="AG37" i="1" s="1"/>
  <c r="AD37" i="1"/>
  <c r="AF37" i="1" s="1"/>
  <c r="AH37" i="1" s="1"/>
  <c r="BN35" i="1" l="1"/>
  <c r="BP35" i="1" s="1"/>
  <c r="BM35" i="1"/>
  <c r="BO35" i="1" s="1"/>
  <c r="BQ35" i="1" s="1"/>
  <c r="CR33" i="1"/>
  <c r="CT33" i="1" s="1"/>
  <c r="CQ33" i="1"/>
  <c r="CS33" i="1" s="1"/>
  <c r="CU33" i="1" s="1"/>
  <c r="AJ37" i="1"/>
  <c r="AL37" i="1" s="1"/>
  <c r="AI37" i="1"/>
  <c r="AK37" i="1" s="1"/>
  <c r="AM37" i="1" s="1"/>
  <c r="K38" i="1"/>
  <c r="M38" i="1" s="1"/>
  <c r="J38" i="1"/>
  <c r="L38" i="1" s="1"/>
  <c r="N38" i="1" s="1"/>
  <c r="D39" i="1"/>
  <c r="CC34" i="1"/>
  <c r="CE34" i="1" s="1"/>
  <c r="CB34" i="1"/>
  <c r="CD34" i="1" s="1"/>
  <c r="CF34" i="1" s="1"/>
  <c r="K286" i="1"/>
  <c r="J286" i="1"/>
  <c r="L286" i="1" s="1"/>
  <c r="D287" i="1"/>
  <c r="U38" i="1"/>
  <c r="W38" i="1" s="1"/>
  <c r="T38" i="1"/>
  <c r="V38" i="1" s="1"/>
  <c r="X38" i="1" s="1"/>
  <c r="AY36" i="1"/>
  <c r="BA36" i="1" s="1"/>
  <c r="AX36" i="1"/>
  <c r="AZ36" i="1" s="1"/>
  <c r="BB36" i="1" s="1"/>
  <c r="O38" i="1" l="1"/>
  <c r="P38" i="1"/>
  <c r="R38" i="1" s="1"/>
  <c r="AO37" i="1"/>
  <c r="AQ37" i="1" s="1"/>
  <c r="AN37" i="1"/>
  <c r="AP37" i="1" s="1"/>
  <c r="AR37" i="1" s="1"/>
  <c r="Z38" i="1"/>
  <c r="AB38" i="1" s="1"/>
  <c r="Y38" i="1"/>
  <c r="AA38" i="1" s="1"/>
  <c r="AC38" i="1" s="1"/>
  <c r="F287" i="1"/>
  <c r="E287" i="1"/>
  <c r="CH34" i="1"/>
  <c r="CJ34" i="1" s="1"/>
  <c r="CG34" i="1"/>
  <c r="CI34" i="1" s="1"/>
  <c r="CK34" i="1" s="1"/>
  <c r="BS35" i="1"/>
  <c r="BU35" i="1" s="1"/>
  <c r="BR35" i="1"/>
  <c r="BT35" i="1" s="1"/>
  <c r="BV35" i="1" s="1"/>
  <c r="CW33" i="1"/>
  <c r="CY33" i="1" s="1"/>
  <c r="CV33" i="1"/>
  <c r="CX33" i="1" s="1"/>
  <c r="CZ33" i="1" s="1"/>
  <c r="BD36" i="1"/>
  <c r="BF36" i="1" s="1"/>
  <c r="BC36" i="1"/>
  <c r="BE36" i="1" s="1"/>
  <c r="BG36" i="1" s="1"/>
  <c r="E39" i="1"/>
  <c r="F39" i="1"/>
  <c r="H39" i="1" s="1"/>
  <c r="BI36" i="1" l="1"/>
  <c r="BK36" i="1" s="1"/>
  <c r="BH36" i="1"/>
  <c r="BJ36" i="1" s="1"/>
  <c r="BL36" i="1" s="1"/>
  <c r="Q287" i="1"/>
  <c r="G287" i="1"/>
  <c r="BX35" i="1"/>
  <c r="BZ35" i="1" s="1"/>
  <c r="BW35" i="1"/>
  <c r="BY35" i="1" s="1"/>
  <c r="CA35" i="1" s="1"/>
  <c r="AE38" i="1"/>
  <c r="AG38" i="1" s="1"/>
  <c r="AD38" i="1"/>
  <c r="AF38" i="1" s="1"/>
  <c r="AH38" i="1" s="1"/>
  <c r="Q39" i="1"/>
  <c r="S39" i="1" s="1"/>
  <c r="G39" i="1"/>
  <c r="I39" i="1" s="1"/>
  <c r="DB33" i="1"/>
  <c r="DD33" i="1" s="1"/>
  <c r="DA33" i="1"/>
  <c r="DC33" i="1" s="1"/>
  <c r="AT37" i="1"/>
  <c r="AV37" i="1" s="1"/>
  <c r="AS37" i="1"/>
  <c r="AU37" i="1" s="1"/>
  <c r="AW37" i="1" s="1"/>
  <c r="CM34" i="1"/>
  <c r="CO34" i="1" s="1"/>
  <c r="CL34" i="1"/>
  <c r="CN34" i="1" s="1"/>
  <c r="CP34" i="1" s="1"/>
  <c r="U39" i="1" l="1"/>
  <c r="W39" i="1" s="1"/>
  <c r="T39" i="1"/>
  <c r="V39" i="1" s="1"/>
  <c r="X39" i="1" s="1"/>
  <c r="AJ38" i="1"/>
  <c r="AL38" i="1" s="1"/>
  <c r="AI38" i="1"/>
  <c r="AK38" i="1" s="1"/>
  <c r="AM38" i="1" s="1"/>
  <c r="CC35" i="1"/>
  <c r="CE35" i="1" s="1"/>
  <c r="CB35" i="1"/>
  <c r="CD35" i="1" s="1"/>
  <c r="CF35" i="1" s="1"/>
  <c r="BN36" i="1"/>
  <c r="BP36" i="1" s="1"/>
  <c r="BM36" i="1"/>
  <c r="BO36" i="1" s="1"/>
  <c r="BQ36" i="1" s="1"/>
  <c r="CR34" i="1"/>
  <c r="CT34" i="1" s="1"/>
  <c r="CQ34" i="1"/>
  <c r="CS34" i="1" s="1"/>
  <c r="CU34" i="1" s="1"/>
  <c r="AY37" i="1"/>
  <c r="BA37" i="1" s="1"/>
  <c r="AX37" i="1"/>
  <c r="AZ37" i="1" s="1"/>
  <c r="BB37" i="1" s="1"/>
  <c r="K39" i="1"/>
  <c r="M39" i="1" s="1"/>
  <c r="J39" i="1"/>
  <c r="L39" i="1" s="1"/>
  <c r="N39" i="1" s="1"/>
  <c r="D40" i="1"/>
  <c r="F40" i="1" l="1"/>
  <c r="H40" i="1" s="1"/>
  <c r="E40" i="1"/>
  <c r="P39" i="1"/>
  <c r="R39" i="1" s="1"/>
  <c r="O39" i="1"/>
  <c r="AO38" i="1"/>
  <c r="AQ38" i="1" s="1"/>
  <c r="AN38" i="1"/>
  <c r="AP38" i="1" s="1"/>
  <c r="AR38" i="1" s="1"/>
  <c r="BS36" i="1"/>
  <c r="BU36" i="1" s="1"/>
  <c r="BR36" i="1"/>
  <c r="BT36" i="1" s="1"/>
  <c r="BV36" i="1" s="1"/>
  <c r="BD37" i="1"/>
  <c r="BF37" i="1" s="1"/>
  <c r="BC37" i="1"/>
  <c r="BE37" i="1" s="1"/>
  <c r="BG37" i="1" s="1"/>
  <c r="CH35" i="1"/>
  <c r="CJ35" i="1" s="1"/>
  <c r="CG35" i="1"/>
  <c r="CI35" i="1" s="1"/>
  <c r="CK35" i="1" s="1"/>
  <c r="Z39" i="1"/>
  <c r="AB39" i="1" s="1"/>
  <c r="Y39" i="1"/>
  <c r="AA39" i="1" s="1"/>
  <c r="AC39" i="1" s="1"/>
  <c r="CW34" i="1"/>
  <c r="CY34" i="1" s="1"/>
  <c r="CV34" i="1"/>
  <c r="CX34" i="1" s="1"/>
  <c r="CZ34" i="1" s="1"/>
  <c r="DB34" i="1" l="1"/>
  <c r="DD34" i="1" s="1"/>
  <c r="DA34" i="1"/>
  <c r="DC34" i="1" s="1"/>
  <c r="CM35" i="1"/>
  <c r="CO35" i="1" s="1"/>
  <c r="CL35" i="1"/>
  <c r="CN35" i="1" s="1"/>
  <c r="CP35" i="1" s="1"/>
  <c r="BX36" i="1"/>
  <c r="BZ36" i="1" s="1"/>
  <c r="BW36" i="1"/>
  <c r="BY36" i="1" s="1"/>
  <c r="CA36" i="1" s="1"/>
  <c r="AE39" i="1"/>
  <c r="AG39" i="1" s="1"/>
  <c r="AD39" i="1"/>
  <c r="AF39" i="1" s="1"/>
  <c r="AH39" i="1" s="1"/>
  <c r="BI37" i="1"/>
  <c r="BK37" i="1" s="1"/>
  <c r="BH37" i="1"/>
  <c r="BJ37" i="1" s="1"/>
  <c r="BL37" i="1" s="1"/>
  <c r="G40" i="1"/>
  <c r="I40" i="1" s="1"/>
  <c r="Q40" i="1"/>
  <c r="S40" i="1" s="1"/>
  <c r="AT38" i="1"/>
  <c r="AV38" i="1" s="1"/>
  <c r="AS38" i="1"/>
  <c r="AU38" i="1" s="1"/>
  <c r="AW38" i="1" s="1"/>
  <c r="AJ39" i="1" l="1"/>
  <c r="AL39" i="1" s="1"/>
  <c r="AI39" i="1"/>
  <c r="AK39" i="1" s="1"/>
  <c r="AM39" i="1" s="1"/>
  <c r="CC36" i="1"/>
  <c r="CE36" i="1" s="1"/>
  <c r="CB36" i="1"/>
  <c r="CD36" i="1" s="1"/>
  <c r="CF36" i="1" s="1"/>
  <c r="CR35" i="1"/>
  <c r="CT35" i="1" s="1"/>
  <c r="CQ35" i="1"/>
  <c r="CS35" i="1" s="1"/>
  <c r="CU35" i="1" s="1"/>
  <c r="AY38" i="1"/>
  <c r="BA38" i="1" s="1"/>
  <c r="AX38" i="1"/>
  <c r="AZ38" i="1" s="1"/>
  <c r="BB38" i="1" s="1"/>
  <c r="U40" i="1"/>
  <c r="W40" i="1" s="1"/>
  <c r="T40" i="1"/>
  <c r="V40" i="1" s="1"/>
  <c r="X40" i="1" s="1"/>
  <c r="K40" i="1"/>
  <c r="M40" i="1" s="1"/>
  <c r="J40" i="1"/>
  <c r="L40" i="1" s="1"/>
  <c r="N40" i="1" s="1"/>
  <c r="D41" i="1"/>
  <c r="BN37" i="1"/>
  <c r="BP37" i="1" s="1"/>
  <c r="BM37" i="1"/>
  <c r="BO37" i="1" s="1"/>
  <c r="BQ37" i="1" s="1"/>
  <c r="P40" i="1" l="1"/>
  <c r="R40" i="1" s="1"/>
  <c r="O40" i="1"/>
  <c r="BS37" i="1"/>
  <c r="BU37" i="1" s="1"/>
  <c r="BR37" i="1"/>
  <c r="BT37" i="1" s="1"/>
  <c r="BV37" i="1" s="1"/>
  <c r="Z40" i="1"/>
  <c r="AB40" i="1" s="1"/>
  <c r="Y40" i="1"/>
  <c r="AA40" i="1" s="1"/>
  <c r="AC40" i="1" s="1"/>
  <c r="CW35" i="1"/>
  <c r="CY35" i="1" s="1"/>
  <c r="CV35" i="1"/>
  <c r="CX35" i="1" s="1"/>
  <c r="CZ35" i="1" s="1"/>
  <c r="BD38" i="1"/>
  <c r="BF38" i="1" s="1"/>
  <c r="BC38" i="1"/>
  <c r="BE38" i="1" s="1"/>
  <c r="BG38" i="1" s="1"/>
  <c r="F41" i="1"/>
  <c r="H41" i="1" s="1"/>
  <c r="E41" i="1"/>
  <c r="CH36" i="1"/>
  <c r="CJ36" i="1" s="1"/>
  <c r="CG36" i="1"/>
  <c r="CI36" i="1" s="1"/>
  <c r="CK36" i="1" s="1"/>
  <c r="AO39" i="1"/>
  <c r="AQ39" i="1" s="1"/>
  <c r="AN39" i="1"/>
  <c r="AP39" i="1" s="1"/>
  <c r="AR39" i="1" s="1"/>
  <c r="AT39" i="1" l="1"/>
  <c r="AV39" i="1" s="1"/>
  <c r="AS39" i="1"/>
  <c r="AU39" i="1" s="1"/>
  <c r="AW39" i="1" s="1"/>
  <c r="CM36" i="1"/>
  <c r="CO36" i="1" s="1"/>
  <c r="CL36" i="1"/>
  <c r="CN36" i="1" s="1"/>
  <c r="CP36" i="1" s="1"/>
  <c r="BX37" i="1"/>
  <c r="BZ37" i="1" s="1"/>
  <c r="BW37" i="1"/>
  <c r="BY37" i="1" s="1"/>
  <c r="CA37" i="1" s="1"/>
  <c r="AE40" i="1"/>
  <c r="AG40" i="1" s="1"/>
  <c r="AD40" i="1"/>
  <c r="AF40" i="1" s="1"/>
  <c r="AH40" i="1" s="1"/>
  <c r="G41" i="1"/>
  <c r="I41" i="1" s="1"/>
  <c r="Q41" i="1"/>
  <c r="S41" i="1" s="1"/>
  <c r="BI38" i="1"/>
  <c r="BK38" i="1" s="1"/>
  <c r="BH38" i="1"/>
  <c r="BJ38" i="1" s="1"/>
  <c r="BL38" i="1" s="1"/>
  <c r="DA35" i="1"/>
  <c r="DC35" i="1" s="1"/>
  <c r="DB35" i="1"/>
  <c r="DD35" i="1" s="1"/>
  <c r="AJ40" i="1" l="1"/>
  <c r="AL40" i="1" s="1"/>
  <c r="AI40" i="1"/>
  <c r="AK40" i="1" s="1"/>
  <c r="AM40" i="1" s="1"/>
  <c r="BN38" i="1"/>
  <c r="BP38" i="1" s="1"/>
  <c r="BM38" i="1"/>
  <c r="BO38" i="1" s="1"/>
  <c r="BQ38" i="1" s="1"/>
  <c r="CQ36" i="1"/>
  <c r="CS36" i="1" s="1"/>
  <c r="CU36" i="1" s="1"/>
  <c r="CR36" i="1"/>
  <c r="CT36" i="1" s="1"/>
  <c r="U41" i="1"/>
  <c r="W41" i="1" s="1"/>
  <c r="T41" i="1"/>
  <c r="V41" i="1" s="1"/>
  <c r="X41" i="1" s="1"/>
  <c r="AY39" i="1"/>
  <c r="BA39" i="1" s="1"/>
  <c r="AX39" i="1"/>
  <c r="AZ39" i="1" s="1"/>
  <c r="BB39" i="1" s="1"/>
  <c r="CC37" i="1"/>
  <c r="CE37" i="1" s="1"/>
  <c r="CB37" i="1"/>
  <c r="CD37" i="1" s="1"/>
  <c r="CF37" i="1" s="1"/>
  <c r="K41" i="1"/>
  <c r="M41" i="1" s="1"/>
  <c r="J41" i="1"/>
  <c r="L41" i="1" s="1"/>
  <c r="N41" i="1" s="1"/>
  <c r="D42" i="1"/>
  <c r="BS38" i="1" l="1"/>
  <c r="BU38" i="1" s="1"/>
  <c r="BR38" i="1"/>
  <c r="BT38" i="1" s="1"/>
  <c r="BV38" i="1" s="1"/>
  <c r="P41" i="1"/>
  <c r="R41" i="1" s="1"/>
  <c r="O41" i="1"/>
  <c r="CG37" i="1"/>
  <c r="CI37" i="1" s="1"/>
  <c r="CK37" i="1" s="1"/>
  <c r="CH37" i="1"/>
  <c r="CJ37" i="1" s="1"/>
  <c r="Z41" i="1"/>
  <c r="AB41" i="1" s="1"/>
  <c r="Y41" i="1"/>
  <c r="AA41" i="1" s="1"/>
  <c r="AC41" i="1" s="1"/>
  <c r="F42" i="1"/>
  <c r="H42" i="1" s="1"/>
  <c r="E42" i="1"/>
  <c r="CW36" i="1"/>
  <c r="CY36" i="1" s="1"/>
  <c r="CV36" i="1"/>
  <c r="CX36" i="1" s="1"/>
  <c r="CZ36" i="1" s="1"/>
  <c r="BD39" i="1"/>
  <c r="BF39" i="1" s="1"/>
  <c r="BC39" i="1"/>
  <c r="BE39" i="1" s="1"/>
  <c r="BG39" i="1" s="1"/>
  <c r="AO40" i="1"/>
  <c r="AQ40" i="1" s="1"/>
  <c r="AN40" i="1"/>
  <c r="AP40" i="1" s="1"/>
  <c r="AR40" i="1" s="1"/>
  <c r="AE41" i="1" l="1"/>
  <c r="AG41" i="1" s="1"/>
  <c r="AD41" i="1"/>
  <c r="AF41" i="1" s="1"/>
  <c r="AH41" i="1" s="1"/>
  <c r="BI39" i="1"/>
  <c r="BK39" i="1" s="1"/>
  <c r="BH39" i="1"/>
  <c r="BJ39" i="1" s="1"/>
  <c r="BL39" i="1" s="1"/>
  <c r="CM37" i="1"/>
  <c r="CO37" i="1" s="1"/>
  <c r="CL37" i="1"/>
  <c r="CN37" i="1" s="1"/>
  <c r="CP37" i="1" s="1"/>
  <c r="G42" i="1"/>
  <c r="I42" i="1" s="1"/>
  <c r="Q42" i="1"/>
  <c r="S42" i="1" s="1"/>
  <c r="BW38" i="1"/>
  <c r="BY38" i="1" s="1"/>
  <c r="CA38" i="1" s="1"/>
  <c r="BX38" i="1"/>
  <c r="BZ38" i="1" s="1"/>
  <c r="AT40" i="1"/>
  <c r="AV40" i="1" s="1"/>
  <c r="AS40" i="1"/>
  <c r="AU40" i="1" s="1"/>
  <c r="AW40" i="1" s="1"/>
  <c r="DB36" i="1"/>
  <c r="DD36" i="1" s="1"/>
  <c r="DA36" i="1"/>
  <c r="DC36" i="1" s="1"/>
  <c r="CR37" i="1" l="1"/>
  <c r="CT37" i="1" s="1"/>
  <c r="CQ37" i="1"/>
  <c r="CS37" i="1" s="1"/>
  <c r="CU37" i="1" s="1"/>
  <c r="K42" i="1"/>
  <c r="M42" i="1" s="1"/>
  <c r="J42" i="1"/>
  <c r="L42" i="1" s="1"/>
  <c r="N42" i="1" s="1"/>
  <c r="D43" i="1"/>
  <c r="U42" i="1"/>
  <c r="W42" i="1" s="1"/>
  <c r="T42" i="1"/>
  <c r="V42" i="1" s="1"/>
  <c r="X42" i="1" s="1"/>
  <c r="AY40" i="1"/>
  <c r="BA40" i="1" s="1"/>
  <c r="AX40" i="1"/>
  <c r="AZ40" i="1" s="1"/>
  <c r="BB40" i="1" s="1"/>
  <c r="AJ41" i="1"/>
  <c r="AL41" i="1" s="1"/>
  <c r="AI41" i="1"/>
  <c r="AK41" i="1" s="1"/>
  <c r="AM41" i="1" s="1"/>
  <c r="CC38" i="1"/>
  <c r="CE38" i="1" s="1"/>
  <c r="CB38" i="1"/>
  <c r="CD38" i="1" s="1"/>
  <c r="CF38" i="1" s="1"/>
  <c r="BM39" i="1"/>
  <c r="BO39" i="1" s="1"/>
  <c r="BQ39" i="1" s="1"/>
  <c r="BN39" i="1"/>
  <c r="BP39" i="1" s="1"/>
  <c r="BC40" i="1" l="1"/>
  <c r="BE40" i="1" s="1"/>
  <c r="BG40" i="1" s="1"/>
  <c r="BD40" i="1"/>
  <c r="BF40" i="1" s="1"/>
  <c r="Z42" i="1"/>
  <c r="AB42" i="1" s="1"/>
  <c r="Y42" i="1"/>
  <c r="AA42" i="1" s="1"/>
  <c r="AC42" i="1" s="1"/>
  <c r="F43" i="1"/>
  <c r="H43" i="1" s="1"/>
  <c r="E43" i="1"/>
  <c r="P42" i="1"/>
  <c r="R42" i="1" s="1"/>
  <c r="O42" i="1"/>
  <c r="AO41" i="1"/>
  <c r="AQ41" i="1" s="1"/>
  <c r="AN41" i="1"/>
  <c r="AP41" i="1" s="1"/>
  <c r="AR41" i="1" s="1"/>
  <c r="BS39" i="1"/>
  <c r="BU39" i="1" s="1"/>
  <c r="BR39" i="1"/>
  <c r="BT39" i="1" s="1"/>
  <c r="BV39" i="1" s="1"/>
  <c r="CH38" i="1"/>
  <c r="CJ38" i="1" s="1"/>
  <c r="CG38" i="1"/>
  <c r="CI38" i="1" s="1"/>
  <c r="CK38" i="1" s="1"/>
  <c r="CW37" i="1"/>
  <c r="CY37" i="1" s="1"/>
  <c r="CV37" i="1"/>
  <c r="CX37" i="1" s="1"/>
  <c r="CZ37" i="1" s="1"/>
  <c r="DB37" i="1" l="1"/>
  <c r="DD37" i="1" s="1"/>
  <c r="DA37" i="1"/>
  <c r="DC37" i="1" s="1"/>
  <c r="CM38" i="1"/>
  <c r="CO38" i="1" s="1"/>
  <c r="CL38" i="1"/>
  <c r="CN38" i="1" s="1"/>
  <c r="CP38" i="1" s="1"/>
  <c r="AE42" i="1"/>
  <c r="AG42" i="1" s="1"/>
  <c r="AD42" i="1"/>
  <c r="AF42" i="1" s="1"/>
  <c r="AH42" i="1" s="1"/>
  <c r="AS41" i="1"/>
  <c r="AU41" i="1" s="1"/>
  <c r="AW41" i="1" s="1"/>
  <c r="AT41" i="1"/>
  <c r="AV41" i="1" s="1"/>
  <c r="G43" i="1"/>
  <c r="I43" i="1" s="1"/>
  <c r="Q43" i="1"/>
  <c r="S43" i="1" s="1"/>
  <c r="BX39" i="1"/>
  <c r="BZ39" i="1" s="1"/>
  <c r="BW39" i="1"/>
  <c r="BY39" i="1" s="1"/>
  <c r="CA39" i="1" s="1"/>
  <c r="BI40" i="1"/>
  <c r="BK40" i="1" s="1"/>
  <c r="BH40" i="1"/>
  <c r="BJ40" i="1" s="1"/>
  <c r="BL40" i="1" s="1"/>
  <c r="AY41" i="1" l="1"/>
  <c r="BA41" i="1" s="1"/>
  <c r="AX41" i="1"/>
  <c r="AZ41" i="1" s="1"/>
  <c r="BB41" i="1" s="1"/>
  <c r="CR38" i="1"/>
  <c r="CT38" i="1" s="1"/>
  <c r="CQ38" i="1"/>
  <c r="CS38" i="1" s="1"/>
  <c r="CU38" i="1" s="1"/>
  <c r="AI42" i="1"/>
  <c r="AK42" i="1" s="1"/>
  <c r="AM42" i="1" s="1"/>
  <c r="AJ42" i="1"/>
  <c r="AL42" i="1" s="1"/>
  <c r="U43" i="1"/>
  <c r="W43" i="1" s="1"/>
  <c r="T43" i="1"/>
  <c r="V43" i="1" s="1"/>
  <c r="X43" i="1" s="1"/>
  <c r="BN40" i="1"/>
  <c r="BP40" i="1" s="1"/>
  <c r="BM40" i="1"/>
  <c r="BO40" i="1" s="1"/>
  <c r="BQ40" i="1" s="1"/>
  <c r="CC39" i="1"/>
  <c r="CE39" i="1" s="1"/>
  <c r="CB39" i="1"/>
  <c r="CD39" i="1" s="1"/>
  <c r="CF39" i="1" s="1"/>
  <c r="K43" i="1"/>
  <c r="M43" i="1" s="1"/>
  <c r="J43" i="1"/>
  <c r="L43" i="1" s="1"/>
  <c r="N43" i="1" s="1"/>
  <c r="D44" i="1"/>
  <c r="Y43" i="1" l="1"/>
  <c r="AA43" i="1" s="1"/>
  <c r="AC43" i="1" s="1"/>
  <c r="Z43" i="1"/>
  <c r="AB43" i="1" s="1"/>
  <c r="CH39" i="1"/>
  <c r="CJ39" i="1" s="1"/>
  <c r="CG39" i="1"/>
  <c r="CI39" i="1" s="1"/>
  <c r="CK39" i="1" s="1"/>
  <c r="F44" i="1"/>
  <c r="H44" i="1" s="1"/>
  <c r="E44" i="1"/>
  <c r="CW38" i="1"/>
  <c r="CY38" i="1" s="1"/>
  <c r="CV38" i="1"/>
  <c r="CX38" i="1" s="1"/>
  <c r="CZ38" i="1" s="1"/>
  <c r="P43" i="1"/>
  <c r="R43" i="1" s="1"/>
  <c r="O43" i="1"/>
  <c r="AO42" i="1"/>
  <c r="AQ42" i="1" s="1"/>
  <c r="AN42" i="1"/>
  <c r="AP42" i="1" s="1"/>
  <c r="AR42" i="1" s="1"/>
  <c r="BS40" i="1"/>
  <c r="BU40" i="1" s="1"/>
  <c r="BR40" i="1"/>
  <c r="BT40" i="1" s="1"/>
  <c r="BV40" i="1" s="1"/>
  <c r="BD41" i="1"/>
  <c r="BF41" i="1" s="1"/>
  <c r="BC41" i="1"/>
  <c r="BE41" i="1" s="1"/>
  <c r="BG41" i="1" s="1"/>
  <c r="DB38" i="1" l="1"/>
  <c r="DD38" i="1" s="1"/>
  <c r="DA38" i="1"/>
  <c r="DC38" i="1" s="1"/>
  <c r="G44" i="1"/>
  <c r="I44" i="1" s="1"/>
  <c r="Q44" i="1"/>
  <c r="S44" i="1" s="1"/>
  <c r="BX40" i="1"/>
  <c r="BZ40" i="1" s="1"/>
  <c r="BW40" i="1"/>
  <c r="BY40" i="1" s="1"/>
  <c r="CA40" i="1" s="1"/>
  <c r="BI41" i="1"/>
  <c r="BK41" i="1" s="1"/>
  <c r="BH41" i="1"/>
  <c r="BJ41" i="1" s="1"/>
  <c r="BL41" i="1" s="1"/>
  <c r="CM39" i="1"/>
  <c r="CO39" i="1" s="1"/>
  <c r="CL39" i="1"/>
  <c r="CN39" i="1" s="1"/>
  <c r="CP39" i="1" s="1"/>
  <c r="AT42" i="1"/>
  <c r="AV42" i="1" s="1"/>
  <c r="AS42" i="1"/>
  <c r="AU42" i="1" s="1"/>
  <c r="AW42" i="1" s="1"/>
  <c r="AE43" i="1"/>
  <c r="AG43" i="1" s="1"/>
  <c r="AD43" i="1"/>
  <c r="AF43" i="1" s="1"/>
  <c r="AH43" i="1" s="1"/>
  <c r="BN41" i="1" l="1"/>
  <c r="BP41" i="1" s="1"/>
  <c r="BM41" i="1"/>
  <c r="BO41" i="1" s="1"/>
  <c r="BQ41" i="1" s="1"/>
  <c r="CC40" i="1"/>
  <c r="CE40" i="1" s="1"/>
  <c r="CB40" i="1"/>
  <c r="CD40" i="1" s="1"/>
  <c r="CF40" i="1" s="1"/>
  <c r="AY42" i="1"/>
  <c r="BA42" i="1" s="1"/>
  <c r="AX42" i="1"/>
  <c r="AZ42" i="1" s="1"/>
  <c r="BB42" i="1" s="1"/>
  <c r="CR39" i="1"/>
  <c r="CT39" i="1" s="1"/>
  <c r="CQ39" i="1"/>
  <c r="CS39" i="1" s="1"/>
  <c r="CU39" i="1" s="1"/>
  <c r="AJ43" i="1"/>
  <c r="AL43" i="1" s="1"/>
  <c r="AI43" i="1"/>
  <c r="AK43" i="1" s="1"/>
  <c r="AM43" i="1" s="1"/>
  <c r="U44" i="1"/>
  <c r="W44" i="1" s="1"/>
  <c r="T44" i="1"/>
  <c r="V44" i="1" s="1"/>
  <c r="X44" i="1" s="1"/>
  <c r="K44" i="1"/>
  <c r="M44" i="1" s="1"/>
  <c r="J44" i="1"/>
  <c r="L44" i="1" s="1"/>
  <c r="N44" i="1" s="1"/>
  <c r="D45" i="1"/>
  <c r="CW39" i="1" l="1"/>
  <c r="CY39" i="1" s="1"/>
  <c r="CV39" i="1"/>
  <c r="CX39" i="1" s="1"/>
  <c r="CZ39" i="1" s="1"/>
  <c r="E45" i="1"/>
  <c r="F45" i="1"/>
  <c r="H45" i="1" s="1"/>
  <c r="Z44" i="1"/>
  <c r="AB44" i="1" s="1"/>
  <c r="Y44" i="1"/>
  <c r="AA44" i="1" s="1"/>
  <c r="AC44" i="1" s="1"/>
  <c r="O44" i="1"/>
  <c r="P44" i="1"/>
  <c r="R44" i="1" s="1"/>
  <c r="AO43" i="1"/>
  <c r="AQ43" i="1" s="1"/>
  <c r="AN43" i="1"/>
  <c r="AP43" i="1" s="1"/>
  <c r="AR43" i="1" s="1"/>
  <c r="BS41" i="1"/>
  <c r="BU41" i="1" s="1"/>
  <c r="BR41" i="1"/>
  <c r="BT41" i="1" s="1"/>
  <c r="BV41" i="1" s="1"/>
  <c r="BD42" i="1"/>
  <c r="BF42" i="1" s="1"/>
  <c r="BC42" i="1"/>
  <c r="BE42" i="1" s="1"/>
  <c r="BG42" i="1" s="1"/>
  <c r="CH40" i="1"/>
  <c r="CJ40" i="1" s="1"/>
  <c r="CG40" i="1"/>
  <c r="CI40" i="1" s="1"/>
  <c r="CK40" i="1" s="1"/>
  <c r="CM40" i="1" l="1"/>
  <c r="CO40" i="1" s="1"/>
  <c r="CL40" i="1"/>
  <c r="CN40" i="1" s="1"/>
  <c r="CP40" i="1" s="1"/>
  <c r="AE44" i="1"/>
  <c r="AG44" i="1" s="1"/>
  <c r="AD44" i="1"/>
  <c r="AF44" i="1" s="1"/>
  <c r="AH44" i="1" s="1"/>
  <c r="AT43" i="1"/>
  <c r="AV43" i="1" s="1"/>
  <c r="AS43" i="1"/>
  <c r="AU43" i="1" s="1"/>
  <c r="AW43" i="1" s="1"/>
  <c r="BX41" i="1"/>
  <c r="BZ41" i="1" s="1"/>
  <c r="BW41" i="1"/>
  <c r="BY41" i="1" s="1"/>
  <c r="CA41" i="1" s="1"/>
  <c r="BI42" i="1"/>
  <c r="BK42" i="1" s="1"/>
  <c r="BH42" i="1"/>
  <c r="BJ42" i="1" s="1"/>
  <c r="BL42" i="1" s="1"/>
  <c r="Q45" i="1"/>
  <c r="S45" i="1" s="1"/>
  <c r="G45" i="1"/>
  <c r="I45" i="1" s="1"/>
  <c r="DB39" i="1"/>
  <c r="DD39" i="1" s="1"/>
  <c r="DA39" i="1"/>
  <c r="DC39" i="1" s="1"/>
  <c r="K45" i="1" l="1"/>
  <c r="M45" i="1" s="1"/>
  <c r="J45" i="1"/>
  <c r="L45" i="1" s="1"/>
  <c r="N45" i="1" s="1"/>
  <c r="D46" i="1"/>
  <c r="CC41" i="1"/>
  <c r="CE41" i="1" s="1"/>
  <c r="CB41" i="1"/>
  <c r="CD41" i="1" s="1"/>
  <c r="CF41" i="1" s="1"/>
  <c r="BN42" i="1"/>
  <c r="BP42" i="1" s="1"/>
  <c r="BM42" i="1"/>
  <c r="BO42" i="1" s="1"/>
  <c r="BQ42" i="1" s="1"/>
  <c r="AY43" i="1"/>
  <c r="BA43" i="1" s="1"/>
  <c r="AX43" i="1"/>
  <c r="AZ43" i="1" s="1"/>
  <c r="BB43" i="1" s="1"/>
  <c r="AJ44" i="1"/>
  <c r="AL44" i="1" s="1"/>
  <c r="AI44" i="1"/>
  <c r="AK44" i="1" s="1"/>
  <c r="AM44" i="1" s="1"/>
  <c r="U45" i="1"/>
  <c r="W45" i="1" s="1"/>
  <c r="T45" i="1"/>
  <c r="V45" i="1" s="1"/>
  <c r="X45" i="1" s="1"/>
  <c r="CR40" i="1"/>
  <c r="CT40" i="1" s="1"/>
  <c r="CQ40" i="1"/>
  <c r="CS40" i="1" s="1"/>
  <c r="CU40" i="1" s="1"/>
  <c r="BS42" i="1" l="1"/>
  <c r="BU42" i="1" s="1"/>
  <c r="BR42" i="1"/>
  <c r="BT42" i="1" s="1"/>
  <c r="BV42" i="1" s="1"/>
  <c r="CW40" i="1"/>
  <c r="CY40" i="1" s="1"/>
  <c r="CV40" i="1"/>
  <c r="CX40" i="1" s="1"/>
  <c r="CZ40" i="1" s="1"/>
  <c r="Z45" i="1"/>
  <c r="AB45" i="1" s="1"/>
  <c r="Y45" i="1"/>
  <c r="AA45" i="1" s="1"/>
  <c r="AC45" i="1" s="1"/>
  <c r="P45" i="1"/>
  <c r="R45" i="1" s="1"/>
  <c r="O45" i="1"/>
  <c r="CH41" i="1"/>
  <c r="CJ41" i="1" s="1"/>
  <c r="CG41" i="1"/>
  <c r="CI41" i="1" s="1"/>
  <c r="CK41" i="1" s="1"/>
  <c r="F46" i="1"/>
  <c r="H46" i="1" s="1"/>
  <c r="E46" i="1"/>
  <c r="AO44" i="1"/>
  <c r="AQ44" i="1" s="1"/>
  <c r="AN44" i="1"/>
  <c r="AP44" i="1" s="1"/>
  <c r="AR44" i="1" s="1"/>
  <c r="BD43" i="1"/>
  <c r="BF43" i="1" s="1"/>
  <c r="BC43" i="1"/>
  <c r="BE43" i="1" s="1"/>
  <c r="BG43" i="1" s="1"/>
  <c r="AT44" i="1" l="1"/>
  <c r="AV44" i="1" s="1"/>
  <c r="AS44" i="1"/>
  <c r="AU44" i="1" s="1"/>
  <c r="AW44" i="1" s="1"/>
  <c r="DB40" i="1"/>
  <c r="DD40" i="1" s="1"/>
  <c r="DA40" i="1"/>
  <c r="DC40" i="1" s="1"/>
  <c r="CM41" i="1"/>
  <c r="CO41" i="1" s="1"/>
  <c r="CL41" i="1"/>
  <c r="CN41" i="1" s="1"/>
  <c r="CP41" i="1" s="1"/>
  <c r="BI43" i="1"/>
  <c r="BK43" i="1" s="1"/>
  <c r="BH43" i="1"/>
  <c r="BJ43" i="1" s="1"/>
  <c r="BL43" i="1" s="1"/>
  <c r="AE45" i="1"/>
  <c r="AG45" i="1" s="1"/>
  <c r="AD45" i="1"/>
  <c r="AF45" i="1" s="1"/>
  <c r="AH45" i="1" s="1"/>
  <c r="G46" i="1"/>
  <c r="I46" i="1" s="1"/>
  <c r="Q46" i="1"/>
  <c r="S46" i="1" s="1"/>
  <c r="BX42" i="1"/>
  <c r="BZ42" i="1" s="1"/>
  <c r="BW42" i="1"/>
  <c r="BY42" i="1" s="1"/>
  <c r="CA42" i="1" s="1"/>
  <c r="BN43" i="1" l="1"/>
  <c r="BP43" i="1" s="1"/>
  <c r="BM43" i="1"/>
  <c r="BO43" i="1" s="1"/>
  <c r="BQ43" i="1" s="1"/>
  <c r="K46" i="1"/>
  <c r="M46" i="1" s="1"/>
  <c r="J46" i="1"/>
  <c r="L46" i="1" s="1"/>
  <c r="N46" i="1" s="1"/>
  <c r="D47" i="1"/>
  <c r="CC42" i="1"/>
  <c r="CE42" i="1" s="1"/>
  <c r="CB42" i="1"/>
  <c r="CD42" i="1" s="1"/>
  <c r="CF42" i="1" s="1"/>
  <c r="AJ45" i="1"/>
  <c r="AL45" i="1" s="1"/>
  <c r="AI45" i="1"/>
  <c r="AK45" i="1" s="1"/>
  <c r="AM45" i="1" s="1"/>
  <c r="AY44" i="1"/>
  <c r="BA44" i="1" s="1"/>
  <c r="AX44" i="1"/>
  <c r="AZ44" i="1" s="1"/>
  <c r="BB44" i="1" s="1"/>
  <c r="CR41" i="1"/>
  <c r="CT41" i="1" s="1"/>
  <c r="CQ41" i="1"/>
  <c r="CS41" i="1" s="1"/>
  <c r="CU41" i="1" s="1"/>
  <c r="U46" i="1"/>
  <c r="W46" i="1" s="1"/>
  <c r="T46" i="1"/>
  <c r="V46" i="1" s="1"/>
  <c r="X46" i="1" s="1"/>
  <c r="AO45" i="1" l="1"/>
  <c r="AQ45" i="1" s="1"/>
  <c r="AN45" i="1"/>
  <c r="AP45" i="1" s="1"/>
  <c r="AR45" i="1" s="1"/>
  <c r="Z46" i="1"/>
  <c r="AB46" i="1" s="1"/>
  <c r="Y46" i="1"/>
  <c r="AA46" i="1" s="1"/>
  <c r="AC46" i="1" s="1"/>
  <c r="CW41" i="1"/>
  <c r="CY41" i="1" s="1"/>
  <c r="CV41" i="1"/>
  <c r="CX41" i="1" s="1"/>
  <c r="CZ41" i="1" s="1"/>
  <c r="CH42" i="1"/>
  <c r="CJ42" i="1" s="1"/>
  <c r="CG42" i="1"/>
  <c r="CI42" i="1" s="1"/>
  <c r="CK42" i="1" s="1"/>
  <c r="F47" i="1"/>
  <c r="H47" i="1" s="1"/>
  <c r="E47" i="1"/>
  <c r="P46" i="1"/>
  <c r="R46" i="1" s="1"/>
  <c r="O46" i="1"/>
  <c r="BD44" i="1"/>
  <c r="BF44" i="1" s="1"/>
  <c r="BC44" i="1"/>
  <c r="BE44" i="1" s="1"/>
  <c r="BG44" i="1" s="1"/>
  <c r="BS43" i="1"/>
  <c r="BU43" i="1" s="1"/>
  <c r="BR43" i="1"/>
  <c r="BT43" i="1" s="1"/>
  <c r="BV43" i="1" s="1"/>
  <c r="DA41" i="1" l="1"/>
  <c r="DC41" i="1" s="1"/>
  <c r="DB41" i="1"/>
  <c r="DD41" i="1" s="1"/>
  <c r="CM42" i="1"/>
  <c r="CO42" i="1" s="1"/>
  <c r="CL42" i="1"/>
  <c r="CN42" i="1" s="1"/>
  <c r="CP42" i="1" s="1"/>
  <c r="AT45" i="1"/>
  <c r="AV45" i="1" s="1"/>
  <c r="AS45" i="1"/>
  <c r="AU45" i="1" s="1"/>
  <c r="AW45" i="1" s="1"/>
  <c r="BX43" i="1"/>
  <c r="BZ43" i="1" s="1"/>
  <c r="BW43" i="1"/>
  <c r="BY43" i="1" s="1"/>
  <c r="CA43" i="1" s="1"/>
  <c r="BI44" i="1"/>
  <c r="BK44" i="1" s="1"/>
  <c r="BH44" i="1"/>
  <c r="BJ44" i="1" s="1"/>
  <c r="BL44" i="1" s="1"/>
  <c r="AE46" i="1"/>
  <c r="AG46" i="1" s="1"/>
  <c r="AD46" i="1"/>
  <c r="AF46" i="1" s="1"/>
  <c r="AH46" i="1" s="1"/>
  <c r="G47" i="1"/>
  <c r="I47" i="1" s="1"/>
  <c r="Q47" i="1"/>
  <c r="S47" i="1" s="1"/>
  <c r="CC43" i="1" l="1"/>
  <c r="CE43" i="1" s="1"/>
  <c r="CB43" i="1"/>
  <c r="CD43" i="1" s="1"/>
  <c r="CF43" i="1" s="1"/>
  <c r="U47" i="1"/>
  <c r="W47" i="1" s="1"/>
  <c r="T47" i="1"/>
  <c r="V47" i="1" s="1"/>
  <c r="X47" i="1" s="1"/>
  <c r="AJ46" i="1"/>
  <c r="AL46" i="1" s="1"/>
  <c r="AI46" i="1"/>
  <c r="AK46" i="1" s="1"/>
  <c r="AM46" i="1" s="1"/>
  <c r="K47" i="1"/>
  <c r="M47" i="1" s="1"/>
  <c r="J47" i="1"/>
  <c r="L47" i="1" s="1"/>
  <c r="N47" i="1" s="1"/>
  <c r="D48" i="1"/>
  <c r="AY45" i="1"/>
  <c r="BA45" i="1" s="1"/>
  <c r="AX45" i="1"/>
  <c r="AZ45" i="1" s="1"/>
  <c r="BB45" i="1" s="1"/>
  <c r="CQ42" i="1"/>
  <c r="CS42" i="1" s="1"/>
  <c r="CU42" i="1" s="1"/>
  <c r="CR42" i="1"/>
  <c r="CT42" i="1" s="1"/>
  <c r="BN44" i="1"/>
  <c r="BP44" i="1" s="1"/>
  <c r="BM44" i="1"/>
  <c r="BO44" i="1" s="1"/>
  <c r="BQ44" i="1" s="1"/>
  <c r="BS44" i="1" l="1"/>
  <c r="BU44" i="1" s="1"/>
  <c r="BR44" i="1"/>
  <c r="BT44" i="1" s="1"/>
  <c r="BV44" i="1" s="1"/>
  <c r="CW42" i="1"/>
  <c r="CY42" i="1" s="1"/>
  <c r="CV42" i="1"/>
  <c r="CX42" i="1" s="1"/>
  <c r="CZ42" i="1" s="1"/>
  <c r="P47" i="1"/>
  <c r="R47" i="1" s="1"/>
  <c r="O47" i="1"/>
  <c r="AO46" i="1"/>
  <c r="AQ46" i="1" s="1"/>
  <c r="AN46" i="1"/>
  <c r="AP46" i="1" s="1"/>
  <c r="AR46" i="1" s="1"/>
  <c r="Z47" i="1"/>
  <c r="AB47" i="1" s="1"/>
  <c r="Y47" i="1"/>
  <c r="AA47" i="1" s="1"/>
  <c r="AC47" i="1" s="1"/>
  <c r="BD45" i="1"/>
  <c r="BF45" i="1" s="1"/>
  <c r="BC45" i="1"/>
  <c r="BE45" i="1" s="1"/>
  <c r="BG45" i="1" s="1"/>
  <c r="CG43" i="1"/>
  <c r="CI43" i="1" s="1"/>
  <c r="CK43" i="1" s="1"/>
  <c r="CH43" i="1"/>
  <c r="CJ43" i="1" s="1"/>
  <c r="F48" i="1"/>
  <c r="H48" i="1" s="1"/>
  <c r="E48" i="1"/>
  <c r="G48" i="1" l="1"/>
  <c r="I48" i="1" s="1"/>
  <c r="Q48" i="1"/>
  <c r="S48" i="1" s="1"/>
  <c r="BI45" i="1"/>
  <c r="BK45" i="1" s="1"/>
  <c r="BH45" i="1"/>
  <c r="BJ45" i="1" s="1"/>
  <c r="BL45" i="1" s="1"/>
  <c r="DB42" i="1"/>
  <c r="DD42" i="1" s="1"/>
  <c r="DA42" i="1"/>
  <c r="DC42" i="1" s="1"/>
  <c r="CM43" i="1"/>
  <c r="CO43" i="1" s="1"/>
  <c r="CL43" i="1"/>
  <c r="CN43" i="1" s="1"/>
  <c r="CP43" i="1" s="1"/>
  <c r="AE47" i="1"/>
  <c r="AG47" i="1" s="1"/>
  <c r="AD47" i="1"/>
  <c r="AF47" i="1" s="1"/>
  <c r="AH47" i="1" s="1"/>
  <c r="BW44" i="1"/>
  <c r="BY44" i="1" s="1"/>
  <c r="CA44" i="1" s="1"/>
  <c r="BX44" i="1"/>
  <c r="BZ44" i="1" s="1"/>
  <c r="AT46" i="1"/>
  <c r="AV46" i="1" s="1"/>
  <c r="AS46" i="1"/>
  <c r="AU46" i="1" s="1"/>
  <c r="AW46" i="1" s="1"/>
  <c r="AY46" i="1" l="1"/>
  <c r="BA46" i="1" s="1"/>
  <c r="AX46" i="1"/>
  <c r="AZ46" i="1" s="1"/>
  <c r="BB46" i="1" s="1"/>
  <c r="CR43" i="1"/>
  <c r="CT43" i="1" s="1"/>
  <c r="CQ43" i="1"/>
  <c r="CS43" i="1" s="1"/>
  <c r="CU43" i="1" s="1"/>
  <c r="BM45" i="1"/>
  <c r="BO45" i="1" s="1"/>
  <c r="BQ45" i="1" s="1"/>
  <c r="BN45" i="1"/>
  <c r="BP45" i="1" s="1"/>
  <c r="CC44" i="1"/>
  <c r="CE44" i="1" s="1"/>
  <c r="CB44" i="1"/>
  <c r="CD44" i="1" s="1"/>
  <c r="CF44" i="1" s="1"/>
  <c r="U48" i="1"/>
  <c r="W48" i="1" s="1"/>
  <c r="T48" i="1"/>
  <c r="V48" i="1" s="1"/>
  <c r="X48" i="1" s="1"/>
  <c r="AJ47" i="1"/>
  <c r="AL47" i="1" s="1"/>
  <c r="AI47" i="1"/>
  <c r="AK47" i="1" s="1"/>
  <c r="AM47" i="1" s="1"/>
  <c r="K48" i="1"/>
  <c r="M48" i="1" s="1"/>
  <c r="J48" i="1"/>
  <c r="L48" i="1" s="1"/>
  <c r="N48" i="1" s="1"/>
  <c r="D49" i="1"/>
  <c r="F49" i="1" l="1"/>
  <c r="H49" i="1" s="1"/>
  <c r="E49" i="1"/>
  <c r="BS45" i="1"/>
  <c r="BU45" i="1" s="1"/>
  <c r="BR45" i="1"/>
  <c r="BT45" i="1" s="1"/>
  <c r="BV45" i="1" s="1"/>
  <c r="P48" i="1"/>
  <c r="R48" i="1" s="1"/>
  <c r="O48" i="1"/>
  <c r="AO47" i="1"/>
  <c r="AQ47" i="1" s="1"/>
  <c r="AN47" i="1"/>
  <c r="AP47" i="1" s="1"/>
  <c r="AR47" i="1" s="1"/>
  <c r="Z48" i="1"/>
  <c r="AB48" i="1" s="1"/>
  <c r="Y48" i="1"/>
  <c r="AA48" i="1" s="1"/>
  <c r="AC48" i="1" s="1"/>
  <c r="CH44" i="1"/>
  <c r="CJ44" i="1" s="1"/>
  <c r="CG44" i="1"/>
  <c r="CI44" i="1" s="1"/>
  <c r="CK44" i="1" s="1"/>
  <c r="CW43" i="1"/>
  <c r="CY43" i="1" s="1"/>
  <c r="CV43" i="1"/>
  <c r="CX43" i="1" s="1"/>
  <c r="CZ43" i="1" s="1"/>
  <c r="BC46" i="1"/>
  <c r="BE46" i="1" s="1"/>
  <c r="BG46" i="1" s="1"/>
  <c r="BD46" i="1"/>
  <c r="BF46" i="1" s="1"/>
  <c r="AS47" i="1" l="1"/>
  <c r="AU47" i="1" s="1"/>
  <c r="AW47" i="1" s="1"/>
  <c r="AT47" i="1"/>
  <c r="AV47" i="1" s="1"/>
  <c r="BI46" i="1"/>
  <c r="BK46" i="1" s="1"/>
  <c r="BH46" i="1"/>
  <c r="BJ46" i="1" s="1"/>
  <c r="BL46" i="1" s="1"/>
  <c r="CM44" i="1"/>
  <c r="CO44" i="1" s="1"/>
  <c r="CL44" i="1"/>
  <c r="CN44" i="1" s="1"/>
  <c r="CP44" i="1" s="1"/>
  <c r="DB43" i="1"/>
  <c r="DD43" i="1" s="1"/>
  <c r="DA43" i="1"/>
  <c r="DC43" i="1" s="1"/>
  <c r="BX45" i="1"/>
  <c r="BZ45" i="1" s="1"/>
  <c r="BW45" i="1"/>
  <c r="BY45" i="1" s="1"/>
  <c r="CA45" i="1" s="1"/>
  <c r="AE48" i="1"/>
  <c r="AG48" i="1" s="1"/>
  <c r="AD48" i="1"/>
  <c r="AF48" i="1" s="1"/>
  <c r="AH48" i="1" s="1"/>
  <c r="G49" i="1"/>
  <c r="I49" i="1" s="1"/>
  <c r="Q49" i="1"/>
  <c r="S49" i="1" s="1"/>
  <c r="K49" i="1" l="1"/>
  <c r="M49" i="1" s="1"/>
  <c r="J49" i="1"/>
  <c r="L49" i="1" s="1"/>
  <c r="N49" i="1" s="1"/>
  <c r="D50" i="1"/>
  <c r="BN46" i="1"/>
  <c r="BP46" i="1" s="1"/>
  <c r="BM46" i="1"/>
  <c r="BO46" i="1" s="1"/>
  <c r="BQ46" i="1" s="1"/>
  <c r="U49" i="1"/>
  <c r="W49" i="1" s="1"/>
  <c r="T49" i="1"/>
  <c r="V49" i="1" s="1"/>
  <c r="X49" i="1" s="1"/>
  <c r="AI48" i="1"/>
  <c r="AK48" i="1" s="1"/>
  <c r="AM48" i="1" s="1"/>
  <c r="AJ48" i="1"/>
  <c r="AL48" i="1" s="1"/>
  <c r="CC45" i="1"/>
  <c r="CE45" i="1" s="1"/>
  <c r="CB45" i="1"/>
  <c r="CD45" i="1" s="1"/>
  <c r="CF45" i="1" s="1"/>
  <c r="CR44" i="1"/>
  <c r="CT44" i="1" s="1"/>
  <c r="CQ44" i="1"/>
  <c r="CS44" i="1" s="1"/>
  <c r="CU44" i="1" s="1"/>
  <c r="AY47" i="1"/>
  <c r="BA47" i="1" s="1"/>
  <c r="AX47" i="1"/>
  <c r="AZ47" i="1" s="1"/>
  <c r="BB47" i="1" s="1"/>
  <c r="AO48" i="1" l="1"/>
  <c r="AQ48" i="1" s="1"/>
  <c r="AN48" i="1"/>
  <c r="AP48" i="1" s="1"/>
  <c r="AR48" i="1" s="1"/>
  <c r="Y49" i="1"/>
  <c r="AA49" i="1" s="1"/>
  <c r="AC49" i="1" s="1"/>
  <c r="Z49" i="1"/>
  <c r="AB49" i="1" s="1"/>
  <c r="CW44" i="1"/>
  <c r="CY44" i="1" s="1"/>
  <c r="CV44" i="1"/>
  <c r="CX44" i="1" s="1"/>
  <c r="CZ44" i="1" s="1"/>
  <c r="BD47" i="1"/>
  <c r="BF47" i="1" s="1"/>
  <c r="BC47" i="1"/>
  <c r="BE47" i="1" s="1"/>
  <c r="BG47" i="1" s="1"/>
  <c r="BS46" i="1"/>
  <c r="BU46" i="1" s="1"/>
  <c r="BR46" i="1"/>
  <c r="BT46" i="1" s="1"/>
  <c r="BV46" i="1" s="1"/>
  <c r="CH45" i="1"/>
  <c r="CJ45" i="1" s="1"/>
  <c r="CG45" i="1"/>
  <c r="CI45" i="1" s="1"/>
  <c r="CK45" i="1" s="1"/>
  <c r="P49" i="1"/>
  <c r="R49" i="1" s="1"/>
  <c r="O49" i="1"/>
  <c r="F50" i="1"/>
  <c r="H50" i="1" s="1"/>
  <c r="E50" i="1"/>
  <c r="AE49" i="1" l="1"/>
  <c r="AG49" i="1" s="1"/>
  <c r="AD49" i="1"/>
  <c r="AF49" i="1" s="1"/>
  <c r="AH49" i="1" s="1"/>
  <c r="DB44" i="1"/>
  <c r="DD44" i="1" s="1"/>
  <c r="DA44" i="1"/>
  <c r="DC44" i="1" s="1"/>
  <c r="BI47" i="1"/>
  <c r="BK47" i="1" s="1"/>
  <c r="BH47" i="1"/>
  <c r="BJ47" i="1" s="1"/>
  <c r="BL47" i="1" s="1"/>
  <c r="G50" i="1"/>
  <c r="I50" i="1" s="1"/>
  <c r="Q50" i="1"/>
  <c r="S50" i="1" s="1"/>
  <c r="CM45" i="1"/>
  <c r="CO45" i="1" s="1"/>
  <c r="CL45" i="1"/>
  <c r="CN45" i="1" s="1"/>
  <c r="CP45" i="1" s="1"/>
  <c r="BX46" i="1"/>
  <c r="BZ46" i="1" s="1"/>
  <c r="BW46" i="1"/>
  <c r="BY46" i="1" s="1"/>
  <c r="CA46" i="1" s="1"/>
  <c r="AT48" i="1"/>
  <c r="AV48" i="1" s="1"/>
  <c r="AS48" i="1"/>
  <c r="AU48" i="1" s="1"/>
  <c r="AW48" i="1" s="1"/>
  <c r="U50" i="1" l="1"/>
  <c r="W50" i="1" s="1"/>
  <c r="T50" i="1"/>
  <c r="V50" i="1" s="1"/>
  <c r="X50" i="1" s="1"/>
  <c r="AY48" i="1"/>
  <c r="BA48" i="1" s="1"/>
  <c r="AX48" i="1"/>
  <c r="AZ48" i="1" s="1"/>
  <c r="BB48" i="1" s="1"/>
  <c r="CC46" i="1"/>
  <c r="CE46" i="1" s="1"/>
  <c r="CB46" i="1"/>
  <c r="CD46" i="1" s="1"/>
  <c r="CF46" i="1" s="1"/>
  <c r="K50" i="1"/>
  <c r="M50" i="1" s="1"/>
  <c r="J50" i="1"/>
  <c r="L50" i="1" s="1"/>
  <c r="N50" i="1" s="1"/>
  <c r="D51" i="1"/>
  <c r="AJ49" i="1"/>
  <c r="AL49" i="1" s="1"/>
  <c r="AI49" i="1"/>
  <c r="AK49" i="1" s="1"/>
  <c r="AM49" i="1" s="1"/>
  <c r="BN47" i="1"/>
  <c r="BP47" i="1" s="1"/>
  <c r="BM47" i="1"/>
  <c r="BO47" i="1" s="1"/>
  <c r="BQ47" i="1" s="1"/>
  <c r="CR45" i="1"/>
  <c r="CT45" i="1" s="1"/>
  <c r="CQ45" i="1"/>
  <c r="CS45" i="1" s="1"/>
  <c r="CU45" i="1" s="1"/>
  <c r="O50" i="1" l="1"/>
  <c r="P50" i="1"/>
  <c r="R50" i="1" s="1"/>
  <c r="CH46" i="1"/>
  <c r="CJ46" i="1" s="1"/>
  <c r="CG46" i="1"/>
  <c r="CI46" i="1" s="1"/>
  <c r="CK46" i="1" s="1"/>
  <c r="AO49" i="1"/>
  <c r="AQ49" i="1" s="1"/>
  <c r="AN49" i="1"/>
  <c r="AP49" i="1" s="1"/>
  <c r="AR49" i="1" s="1"/>
  <c r="CW45" i="1"/>
  <c r="CY45" i="1" s="1"/>
  <c r="CV45" i="1"/>
  <c r="CX45" i="1" s="1"/>
  <c r="CZ45" i="1" s="1"/>
  <c r="BD48" i="1"/>
  <c r="BF48" i="1" s="1"/>
  <c r="BC48" i="1"/>
  <c r="BE48" i="1" s="1"/>
  <c r="BG48" i="1" s="1"/>
  <c r="BS47" i="1"/>
  <c r="BU47" i="1" s="1"/>
  <c r="BR47" i="1"/>
  <c r="BT47" i="1" s="1"/>
  <c r="BV47" i="1" s="1"/>
  <c r="Z50" i="1"/>
  <c r="AB50" i="1" s="1"/>
  <c r="Y50" i="1"/>
  <c r="AA50" i="1" s="1"/>
  <c r="AC50" i="1" s="1"/>
  <c r="E51" i="1"/>
  <c r="F51" i="1"/>
  <c r="H51" i="1" s="1"/>
  <c r="AT49" i="1" l="1"/>
  <c r="AV49" i="1" s="1"/>
  <c r="AS49" i="1"/>
  <c r="AU49" i="1" s="1"/>
  <c r="AW49" i="1" s="1"/>
  <c r="DB45" i="1"/>
  <c r="DD45" i="1" s="1"/>
  <c r="DA45" i="1"/>
  <c r="DC45" i="1" s="1"/>
  <c r="Q51" i="1"/>
  <c r="S51" i="1" s="1"/>
  <c r="G51" i="1"/>
  <c r="I51" i="1" s="1"/>
  <c r="BX47" i="1"/>
  <c r="BZ47" i="1" s="1"/>
  <c r="BW47" i="1"/>
  <c r="BY47" i="1" s="1"/>
  <c r="CA47" i="1" s="1"/>
  <c r="BI48" i="1"/>
  <c r="BK48" i="1" s="1"/>
  <c r="BH48" i="1"/>
  <c r="BJ48" i="1" s="1"/>
  <c r="BL48" i="1" s="1"/>
  <c r="AE50" i="1"/>
  <c r="AG50" i="1" s="1"/>
  <c r="AD50" i="1"/>
  <c r="AF50" i="1" s="1"/>
  <c r="AH50" i="1" s="1"/>
  <c r="CM46" i="1"/>
  <c r="CO46" i="1" s="1"/>
  <c r="CL46" i="1"/>
  <c r="CN46" i="1" s="1"/>
  <c r="CP46" i="1" s="1"/>
  <c r="U51" i="1" l="1"/>
  <c r="W51" i="1" s="1"/>
  <c r="T51" i="1"/>
  <c r="V51" i="1" s="1"/>
  <c r="X51" i="1" s="1"/>
  <c r="CC47" i="1"/>
  <c r="CE47" i="1" s="1"/>
  <c r="CB47" i="1"/>
  <c r="CD47" i="1" s="1"/>
  <c r="CF47" i="1" s="1"/>
  <c r="K51" i="1"/>
  <c r="M51" i="1" s="1"/>
  <c r="J51" i="1"/>
  <c r="L51" i="1" s="1"/>
  <c r="N51" i="1" s="1"/>
  <c r="D52" i="1"/>
  <c r="BN48" i="1"/>
  <c r="BP48" i="1" s="1"/>
  <c r="BM48" i="1"/>
  <c r="BO48" i="1" s="1"/>
  <c r="BQ48" i="1" s="1"/>
  <c r="CR46" i="1"/>
  <c r="CT46" i="1" s="1"/>
  <c r="CQ46" i="1"/>
  <c r="CS46" i="1" s="1"/>
  <c r="CU46" i="1" s="1"/>
  <c r="AJ50" i="1"/>
  <c r="AL50" i="1" s="1"/>
  <c r="AI50" i="1"/>
  <c r="AK50" i="1" s="1"/>
  <c r="AM50" i="1" s="1"/>
  <c r="AY49" i="1"/>
  <c r="BA49" i="1" s="1"/>
  <c r="AX49" i="1"/>
  <c r="AZ49" i="1" s="1"/>
  <c r="BB49" i="1" s="1"/>
  <c r="BS48" i="1" l="1"/>
  <c r="BU48" i="1" s="1"/>
  <c r="BR48" i="1"/>
  <c r="BT48" i="1" s="1"/>
  <c r="BV48" i="1" s="1"/>
  <c r="F52" i="1"/>
  <c r="H52" i="1" s="1"/>
  <c r="E52" i="1"/>
  <c r="AO50" i="1"/>
  <c r="AQ50" i="1" s="1"/>
  <c r="AN50" i="1"/>
  <c r="AP50" i="1" s="1"/>
  <c r="AR50" i="1" s="1"/>
  <c r="P51" i="1"/>
  <c r="R51" i="1" s="1"/>
  <c r="O51" i="1"/>
  <c r="Z51" i="1"/>
  <c r="AB51" i="1" s="1"/>
  <c r="Y51" i="1"/>
  <c r="AA51" i="1" s="1"/>
  <c r="AC51" i="1" s="1"/>
  <c r="CH47" i="1"/>
  <c r="CJ47" i="1" s="1"/>
  <c r="CG47" i="1"/>
  <c r="CI47" i="1" s="1"/>
  <c r="CK47" i="1" s="1"/>
  <c r="BD49" i="1"/>
  <c r="BF49" i="1" s="1"/>
  <c r="BC49" i="1"/>
  <c r="BE49" i="1" s="1"/>
  <c r="BG49" i="1" s="1"/>
  <c r="CW46" i="1"/>
  <c r="CY46" i="1" s="1"/>
  <c r="CV46" i="1"/>
  <c r="CX46" i="1" s="1"/>
  <c r="CZ46" i="1" s="1"/>
  <c r="CM47" i="1" l="1"/>
  <c r="CO47" i="1" s="1"/>
  <c r="CL47" i="1"/>
  <c r="CN47" i="1" s="1"/>
  <c r="CP47" i="1" s="1"/>
  <c r="G52" i="1"/>
  <c r="I52" i="1" s="1"/>
  <c r="Q52" i="1"/>
  <c r="S52" i="1" s="1"/>
  <c r="AT50" i="1"/>
  <c r="AV50" i="1" s="1"/>
  <c r="AS50" i="1"/>
  <c r="AU50" i="1" s="1"/>
  <c r="AW50" i="1" s="1"/>
  <c r="DB46" i="1"/>
  <c r="DD46" i="1" s="1"/>
  <c r="DA46" i="1"/>
  <c r="DC46" i="1" s="1"/>
  <c r="BI49" i="1"/>
  <c r="BK49" i="1" s="1"/>
  <c r="BH49" i="1"/>
  <c r="BJ49" i="1" s="1"/>
  <c r="BL49" i="1" s="1"/>
  <c r="BX48" i="1"/>
  <c r="BZ48" i="1" s="1"/>
  <c r="BW48" i="1"/>
  <c r="BY48" i="1" s="1"/>
  <c r="CA48" i="1" s="1"/>
  <c r="AE51" i="1"/>
  <c r="AG51" i="1" s="1"/>
  <c r="AD51" i="1"/>
  <c r="AF51" i="1" s="1"/>
  <c r="AH51" i="1" s="1"/>
  <c r="AJ51" i="1" l="1"/>
  <c r="AL51" i="1" s="1"/>
  <c r="AI51" i="1"/>
  <c r="AK51" i="1" s="1"/>
  <c r="AM51" i="1" s="1"/>
  <c r="U52" i="1"/>
  <c r="W52" i="1" s="1"/>
  <c r="T52" i="1"/>
  <c r="V52" i="1" s="1"/>
  <c r="X52" i="1" s="1"/>
  <c r="CR47" i="1"/>
  <c r="CT47" i="1" s="1"/>
  <c r="CQ47" i="1"/>
  <c r="CS47" i="1" s="1"/>
  <c r="CU47" i="1" s="1"/>
  <c r="AY50" i="1"/>
  <c r="BA50" i="1" s="1"/>
  <c r="AX50" i="1"/>
  <c r="AZ50" i="1" s="1"/>
  <c r="BB50" i="1" s="1"/>
  <c r="CC48" i="1"/>
  <c r="CE48" i="1" s="1"/>
  <c r="CB48" i="1"/>
  <c r="CD48" i="1" s="1"/>
  <c r="CF48" i="1" s="1"/>
  <c r="K52" i="1"/>
  <c r="M52" i="1" s="1"/>
  <c r="J52" i="1"/>
  <c r="L52" i="1" s="1"/>
  <c r="N52" i="1" s="1"/>
  <c r="D53" i="1"/>
  <c r="BN49" i="1"/>
  <c r="BP49" i="1" s="1"/>
  <c r="BM49" i="1"/>
  <c r="BO49" i="1" s="1"/>
  <c r="BQ49" i="1" s="1"/>
  <c r="BS49" i="1" l="1"/>
  <c r="BU49" i="1" s="1"/>
  <c r="BR49" i="1"/>
  <c r="BT49" i="1" s="1"/>
  <c r="BV49" i="1" s="1"/>
  <c r="BD50" i="1"/>
  <c r="BF50" i="1" s="1"/>
  <c r="BC50" i="1"/>
  <c r="BE50" i="1" s="1"/>
  <c r="BG50" i="1" s="1"/>
  <c r="F53" i="1"/>
  <c r="H53" i="1" s="1"/>
  <c r="E53" i="1"/>
  <c r="CW47" i="1"/>
  <c r="CY47" i="1" s="1"/>
  <c r="CV47" i="1"/>
  <c r="CX47" i="1" s="1"/>
  <c r="CZ47" i="1" s="1"/>
  <c r="P52" i="1"/>
  <c r="R52" i="1" s="1"/>
  <c r="O52" i="1"/>
  <c r="AO51" i="1"/>
  <c r="AQ51" i="1" s="1"/>
  <c r="AN51" i="1"/>
  <c r="AP51" i="1" s="1"/>
  <c r="AR51" i="1" s="1"/>
  <c r="Z52" i="1"/>
  <c r="AB52" i="1" s="1"/>
  <c r="Y52" i="1"/>
  <c r="AA52" i="1" s="1"/>
  <c r="AC52" i="1" s="1"/>
  <c r="CH48" i="1"/>
  <c r="CJ48" i="1" s="1"/>
  <c r="CG48" i="1"/>
  <c r="CI48" i="1" s="1"/>
  <c r="CK48" i="1" s="1"/>
  <c r="CM48" i="1" l="1"/>
  <c r="CO48" i="1" s="1"/>
  <c r="CL48" i="1"/>
  <c r="CN48" i="1" s="1"/>
  <c r="CP48" i="1" s="1"/>
  <c r="BI50" i="1"/>
  <c r="BK50" i="1" s="1"/>
  <c r="BH50" i="1"/>
  <c r="BJ50" i="1" s="1"/>
  <c r="BL50" i="1" s="1"/>
  <c r="DA47" i="1"/>
  <c r="DC47" i="1" s="1"/>
  <c r="DB47" i="1"/>
  <c r="DD47" i="1" s="1"/>
  <c r="AE52" i="1"/>
  <c r="AG52" i="1" s="1"/>
  <c r="AD52" i="1"/>
  <c r="AF52" i="1" s="1"/>
  <c r="AH52" i="1" s="1"/>
  <c r="G53" i="1"/>
  <c r="I53" i="1" s="1"/>
  <c r="Q53" i="1"/>
  <c r="S53" i="1" s="1"/>
  <c r="AT51" i="1"/>
  <c r="AV51" i="1" s="1"/>
  <c r="AS51" i="1"/>
  <c r="AU51" i="1" s="1"/>
  <c r="AW51" i="1" s="1"/>
  <c r="BX49" i="1"/>
  <c r="BZ49" i="1" s="1"/>
  <c r="BW49" i="1"/>
  <c r="BY49" i="1" s="1"/>
  <c r="CA49" i="1" s="1"/>
  <c r="AJ52" i="1" l="1"/>
  <c r="AL52" i="1" s="1"/>
  <c r="AI52" i="1"/>
  <c r="AK52" i="1" s="1"/>
  <c r="AM52" i="1" s="1"/>
  <c r="CC49" i="1"/>
  <c r="CE49" i="1" s="1"/>
  <c r="CB49" i="1"/>
  <c r="CD49" i="1" s="1"/>
  <c r="CF49" i="1" s="1"/>
  <c r="AY51" i="1"/>
  <c r="BA51" i="1" s="1"/>
  <c r="AX51" i="1"/>
  <c r="AZ51" i="1" s="1"/>
  <c r="BB51" i="1" s="1"/>
  <c r="U53" i="1"/>
  <c r="W53" i="1" s="1"/>
  <c r="T53" i="1"/>
  <c r="V53" i="1" s="1"/>
  <c r="X53" i="1" s="1"/>
  <c r="CQ48" i="1"/>
  <c r="CS48" i="1" s="1"/>
  <c r="CU48" i="1" s="1"/>
  <c r="CR48" i="1"/>
  <c r="CT48" i="1" s="1"/>
  <c r="BN50" i="1"/>
  <c r="BP50" i="1" s="1"/>
  <c r="BM50" i="1"/>
  <c r="BO50" i="1" s="1"/>
  <c r="BQ50" i="1" s="1"/>
  <c r="K53" i="1"/>
  <c r="M53" i="1" s="1"/>
  <c r="J53" i="1"/>
  <c r="L53" i="1" s="1"/>
  <c r="N53" i="1" s="1"/>
  <c r="D54" i="1"/>
  <c r="F54" i="1" l="1"/>
  <c r="H54" i="1" s="1"/>
  <c r="E54" i="1"/>
  <c r="P53" i="1"/>
  <c r="R53" i="1" s="1"/>
  <c r="O53" i="1"/>
  <c r="BS50" i="1"/>
  <c r="BU50" i="1" s="1"/>
  <c r="BR50" i="1"/>
  <c r="BT50" i="1" s="1"/>
  <c r="BV50" i="1" s="1"/>
  <c r="AO52" i="1"/>
  <c r="AQ52" i="1" s="1"/>
  <c r="AN52" i="1"/>
  <c r="AP52" i="1" s="1"/>
  <c r="AR52" i="1" s="1"/>
  <c r="Z53" i="1"/>
  <c r="AB53" i="1" s="1"/>
  <c r="Y53" i="1"/>
  <c r="AA53" i="1" s="1"/>
  <c r="AC53" i="1" s="1"/>
  <c r="BD51" i="1"/>
  <c r="BF51" i="1" s="1"/>
  <c r="BC51" i="1"/>
  <c r="BE51" i="1" s="1"/>
  <c r="BG51" i="1" s="1"/>
  <c r="CG49" i="1"/>
  <c r="CI49" i="1" s="1"/>
  <c r="CK49" i="1" s="1"/>
  <c r="CH49" i="1"/>
  <c r="CJ49" i="1" s="1"/>
  <c r="CW48" i="1"/>
  <c r="CY48" i="1" s="1"/>
  <c r="CV48" i="1"/>
  <c r="CX48" i="1" s="1"/>
  <c r="CZ48" i="1" s="1"/>
  <c r="BW50" i="1" l="1"/>
  <c r="BY50" i="1" s="1"/>
  <c r="CA50" i="1" s="1"/>
  <c r="BX50" i="1"/>
  <c r="BZ50" i="1" s="1"/>
  <c r="AT52" i="1"/>
  <c r="AV52" i="1" s="1"/>
  <c r="AS52" i="1"/>
  <c r="AU52" i="1" s="1"/>
  <c r="AW52" i="1" s="1"/>
  <c r="BI51" i="1"/>
  <c r="BK51" i="1" s="1"/>
  <c r="BH51" i="1"/>
  <c r="BJ51" i="1" s="1"/>
  <c r="BL51" i="1" s="1"/>
  <c r="G54" i="1"/>
  <c r="I54" i="1" s="1"/>
  <c r="Q54" i="1"/>
  <c r="S54" i="1" s="1"/>
  <c r="DB48" i="1"/>
  <c r="DD48" i="1" s="1"/>
  <c r="DA48" i="1"/>
  <c r="DC48" i="1" s="1"/>
  <c r="CM49" i="1"/>
  <c r="CO49" i="1" s="1"/>
  <c r="CL49" i="1"/>
  <c r="CN49" i="1" s="1"/>
  <c r="CP49" i="1" s="1"/>
  <c r="AE53" i="1"/>
  <c r="AG53" i="1" s="1"/>
  <c r="AD53" i="1"/>
  <c r="AF53" i="1" s="1"/>
  <c r="AH53" i="1" s="1"/>
  <c r="K54" i="1" l="1"/>
  <c r="M54" i="1" s="1"/>
  <c r="J54" i="1"/>
  <c r="L54" i="1" s="1"/>
  <c r="N54" i="1" s="1"/>
  <c r="D55" i="1"/>
  <c r="U54" i="1"/>
  <c r="W54" i="1" s="1"/>
  <c r="T54" i="1"/>
  <c r="V54" i="1" s="1"/>
  <c r="X54" i="1" s="1"/>
  <c r="AJ53" i="1"/>
  <c r="AL53" i="1" s="1"/>
  <c r="AI53" i="1"/>
  <c r="AK53" i="1" s="1"/>
  <c r="AM53" i="1" s="1"/>
  <c r="CR49" i="1"/>
  <c r="CT49" i="1" s="1"/>
  <c r="CQ49" i="1"/>
  <c r="CS49" i="1" s="1"/>
  <c r="CU49" i="1" s="1"/>
  <c r="BM51" i="1"/>
  <c r="BO51" i="1" s="1"/>
  <c r="BQ51" i="1" s="1"/>
  <c r="BN51" i="1"/>
  <c r="BP51" i="1" s="1"/>
  <c r="AY52" i="1"/>
  <c r="BA52" i="1" s="1"/>
  <c r="AX52" i="1"/>
  <c r="AZ52" i="1" s="1"/>
  <c r="BB52" i="1" s="1"/>
  <c r="CC50" i="1"/>
  <c r="CE50" i="1" s="1"/>
  <c r="CB50" i="1"/>
  <c r="CD50" i="1" s="1"/>
  <c r="CF50" i="1" s="1"/>
  <c r="CW49" i="1" l="1"/>
  <c r="CY49" i="1" s="1"/>
  <c r="CV49" i="1"/>
  <c r="CX49" i="1" s="1"/>
  <c r="CZ49" i="1" s="1"/>
  <c r="AO53" i="1"/>
  <c r="AQ53" i="1" s="1"/>
  <c r="AN53" i="1"/>
  <c r="AP53" i="1" s="1"/>
  <c r="AR53" i="1" s="1"/>
  <c r="BC52" i="1"/>
  <c r="BE52" i="1" s="1"/>
  <c r="BG52" i="1" s="1"/>
  <c r="BD52" i="1"/>
  <c r="BF52" i="1" s="1"/>
  <c r="F55" i="1"/>
  <c r="H55" i="1" s="1"/>
  <c r="E55" i="1"/>
  <c r="CH50" i="1"/>
  <c r="CJ50" i="1" s="1"/>
  <c r="CG50" i="1"/>
  <c r="CI50" i="1" s="1"/>
  <c r="CK50" i="1" s="1"/>
  <c r="Z54" i="1"/>
  <c r="AB54" i="1" s="1"/>
  <c r="Y54" i="1"/>
  <c r="AA54" i="1" s="1"/>
  <c r="AC54" i="1" s="1"/>
  <c r="P54" i="1"/>
  <c r="R54" i="1" s="1"/>
  <c r="O54" i="1"/>
  <c r="BS51" i="1"/>
  <c r="BU51" i="1" s="1"/>
  <c r="BR51" i="1"/>
  <c r="BT51" i="1" s="1"/>
  <c r="BV51" i="1" s="1"/>
  <c r="BX51" i="1" l="1"/>
  <c r="BZ51" i="1" s="1"/>
  <c r="BW51" i="1"/>
  <c r="BY51" i="1" s="1"/>
  <c r="CA51" i="1" s="1"/>
  <c r="G55" i="1"/>
  <c r="I55" i="1" s="1"/>
  <c r="Q55" i="1"/>
  <c r="S55" i="1" s="1"/>
  <c r="AE54" i="1"/>
  <c r="AG54" i="1" s="1"/>
  <c r="AD54" i="1"/>
  <c r="AF54" i="1" s="1"/>
  <c r="AH54" i="1" s="1"/>
  <c r="CM50" i="1"/>
  <c r="CO50" i="1" s="1"/>
  <c r="CL50" i="1"/>
  <c r="CN50" i="1" s="1"/>
  <c r="CP50" i="1" s="1"/>
  <c r="BI52" i="1"/>
  <c r="BK52" i="1" s="1"/>
  <c r="BH52" i="1"/>
  <c r="BJ52" i="1" s="1"/>
  <c r="BL52" i="1" s="1"/>
  <c r="AS53" i="1"/>
  <c r="AU53" i="1" s="1"/>
  <c r="AW53" i="1" s="1"/>
  <c r="AT53" i="1"/>
  <c r="AV53" i="1" s="1"/>
  <c r="DB49" i="1"/>
  <c r="DD49" i="1" s="1"/>
  <c r="DA49" i="1"/>
  <c r="DC49" i="1" s="1"/>
  <c r="CR50" i="1" l="1"/>
  <c r="CT50" i="1" s="1"/>
  <c r="CQ50" i="1"/>
  <c r="CS50" i="1" s="1"/>
  <c r="CU50" i="1" s="1"/>
  <c r="AY53" i="1"/>
  <c r="BA53" i="1" s="1"/>
  <c r="AX53" i="1"/>
  <c r="AZ53" i="1" s="1"/>
  <c r="BB53" i="1" s="1"/>
  <c r="AI54" i="1"/>
  <c r="AK54" i="1" s="1"/>
  <c r="AM54" i="1" s="1"/>
  <c r="AJ54" i="1"/>
  <c r="AL54" i="1" s="1"/>
  <c r="U55" i="1"/>
  <c r="W55" i="1" s="1"/>
  <c r="T55" i="1"/>
  <c r="V55" i="1" s="1"/>
  <c r="X55" i="1" s="1"/>
  <c r="K55" i="1"/>
  <c r="M55" i="1" s="1"/>
  <c r="J55" i="1"/>
  <c r="L55" i="1" s="1"/>
  <c r="N55" i="1" s="1"/>
  <c r="D56" i="1"/>
  <c r="CC51" i="1"/>
  <c r="CE51" i="1" s="1"/>
  <c r="CB51" i="1"/>
  <c r="CD51" i="1" s="1"/>
  <c r="CF51" i="1" s="1"/>
  <c r="BN52" i="1"/>
  <c r="BP52" i="1" s="1"/>
  <c r="BM52" i="1"/>
  <c r="BO52" i="1" s="1"/>
  <c r="BQ52" i="1" s="1"/>
  <c r="BS52" i="1" l="1"/>
  <c r="BU52" i="1" s="1"/>
  <c r="BR52" i="1"/>
  <c r="BT52" i="1" s="1"/>
  <c r="BV52" i="1" s="1"/>
  <c r="CH51" i="1"/>
  <c r="CJ51" i="1" s="1"/>
  <c r="CG51" i="1"/>
  <c r="CI51" i="1" s="1"/>
  <c r="CK51" i="1" s="1"/>
  <c r="BD53" i="1"/>
  <c r="BF53" i="1" s="1"/>
  <c r="BC53" i="1"/>
  <c r="BE53" i="1" s="1"/>
  <c r="BG53" i="1" s="1"/>
  <c r="AO54" i="1"/>
  <c r="AQ54" i="1" s="1"/>
  <c r="AN54" i="1"/>
  <c r="AP54" i="1" s="1"/>
  <c r="AR54" i="1" s="1"/>
  <c r="F56" i="1"/>
  <c r="H56" i="1" s="1"/>
  <c r="E56" i="1"/>
  <c r="CW50" i="1"/>
  <c r="CY50" i="1" s="1"/>
  <c r="CV50" i="1"/>
  <c r="CX50" i="1" s="1"/>
  <c r="CZ50" i="1" s="1"/>
  <c r="Y55" i="1"/>
  <c r="AA55" i="1" s="1"/>
  <c r="AC55" i="1" s="1"/>
  <c r="Z55" i="1"/>
  <c r="AB55" i="1" s="1"/>
  <c r="P55" i="1"/>
  <c r="R55" i="1" s="1"/>
  <c r="O55" i="1"/>
  <c r="BI53" i="1" l="1"/>
  <c r="BK53" i="1" s="1"/>
  <c r="BH53" i="1"/>
  <c r="BJ53" i="1" s="1"/>
  <c r="BL53" i="1" s="1"/>
  <c r="AE55" i="1"/>
  <c r="AG55" i="1" s="1"/>
  <c r="AD55" i="1"/>
  <c r="AF55" i="1" s="1"/>
  <c r="AH55" i="1" s="1"/>
  <c r="CM51" i="1"/>
  <c r="CO51" i="1" s="1"/>
  <c r="CL51" i="1"/>
  <c r="CN51" i="1" s="1"/>
  <c r="CP51" i="1" s="1"/>
  <c r="G56" i="1"/>
  <c r="I56" i="1" s="1"/>
  <c r="Q56" i="1"/>
  <c r="S56" i="1" s="1"/>
  <c r="AT54" i="1"/>
  <c r="AV54" i="1" s="1"/>
  <c r="AS54" i="1"/>
  <c r="AU54" i="1" s="1"/>
  <c r="AW54" i="1" s="1"/>
  <c r="DB50" i="1"/>
  <c r="DD50" i="1" s="1"/>
  <c r="DA50" i="1"/>
  <c r="DC50" i="1" s="1"/>
  <c r="BX52" i="1"/>
  <c r="BZ52" i="1" s="1"/>
  <c r="BW52" i="1"/>
  <c r="BY52" i="1" s="1"/>
  <c r="CA52" i="1" s="1"/>
  <c r="U56" i="1" l="1"/>
  <c r="W56" i="1" s="1"/>
  <c r="T56" i="1"/>
  <c r="V56" i="1" s="1"/>
  <c r="X56" i="1" s="1"/>
  <c r="CC52" i="1"/>
  <c r="CE52" i="1" s="1"/>
  <c r="CB52" i="1"/>
  <c r="CD52" i="1" s="1"/>
  <c r="CF52" i="1" s="1"/>
  <c r="K56" i="1"/>
  <c r="M56" i="1" s="1"/>
  <c r="J56" i="1"/>
  <c r="L56" i="1" s="1"/>
  <c r="N56" i="1" s="1"/>
  <c r="D57" i="1"/>
  <c r="AJ55" i="1"/>
  <c r="AL55" i="1" s="1"/>
  <c r="AI55" i="1"/>
  <c r="AK55" i="1" s="1"/>
  <c r="AM55" i="1" s="1"/>
  <c r="CR51" i="1"/>
  <c r="CT51" i="1" s="1"/>
  <c r="CQ51" i="1"/>
  <c r="CS51" i="1" s="1"/>
  <c r="CU51" i="1" s="1"/>
  <c r="BN53" i="1"/>
  <c r="BP53" i="1" s="1"/>
  <c r="BM53" i="1"/>
  <c r="BO53" i="1" s="1"/>
  <c r="BQ53" i="1" s="1"/>
  <c r="AY54" i="1"/>
  <c r="BA54" i="1" s="1"/>
  <c r="AX54" i="1"/>
  <c r="AZ54" i="1" s="1"/>
  <c r="BB54" i="1" s="1"/>
  <c r="AO55" i="1" l="1"/>
  <c r="AQ55" i="1" s="1"/>
  <c r="AN55" i="1"/>
  <c r="AP55" i="1" s="1"/>
  <c r="AR55" i="1" s="1"/>
  <c r="E57" i="1"/>
  <c r="F57" i="1"/>
  <c r="H57" i="1" s="1"/>
  <c r="BD54" i="1"/>
  <c r="BF54" i="1" s="1"/>
  <c r="BC54" i="1"/>
  <c r="BE54" i="1" s="1"/>
  <c r="BG54" i="1" s="1"/>
  <c r="CH52" i="1"/>
  <c r="CJ52" i="1" s="1"/>
  <c r="CG52" i="1"/>
  <c r="CI52" i="1" s="1"/>
  <c r="CK52" i="1" s="1"/>
  <c r="O56" i="1"/>
  <c r="P56" i="1"/>
  <c r="R56" i="1" s="1"/>
  <c r="Z56" i="1"/>
  <c r="AB56" i="1" s="1"/>
  <c r="Y56" i="1"/>
  <c r="AA56" i="1" s="1"/>
  <c r="AC56" i="1" s="1"/>
  <c r="BS53" i="1"/>
  <c r="BU53" i="1" s="1"/>
  <c r="BR53" i="1"/>
  <c r="BT53" i="1" s="1"/>
  <c r="BV53" i="1" s="1"/>
  <c r="CW51" i="1"/>
  <c r="CY51" i="1" s="1"/>
  <c r="CV51" i="1"/>
  <c r="CX51" i="1" s="1"/>
  <c r="CZ51" i="1" s="1"/>
  <c r="CM52" i="1" l="1"/>
  <c r="CO52" i="1" s="1"/>
  <c r="CL52" i="1"/>
  <c r="CN52" i="1" s="1"/>
  <c r="CP52" i="1" s="1"/>
  <c r="DB51" i="1"/>
  <c r="DD51" i="1" s="1"/>
  <c r="DA51" i="1"/>
  <c r="DC51" i="1" s="1"/>
  <c r="BX53" i="1"/>
  <c r="BZ53" i="1" s="1"/>
  <c r="BW53" i="1"/>
  <c r="BY53" i="1" s="1"/>
  <c r="CA53" i="1" s="1"/>
  <c r="Q57" i="1"/>
  <c r="S57" i="1" s="1"/>
  <c r="G57" i="1"/>
  <c r="I57" i="1" s="1"/>
  <c r="BI54" i="1"/>
  <c r="BK54" i="1" s="1"/>
  <c r="BH54" i="1"/>
  <c r="BJ54" i="1" s="1"/>
  <c r="BL54" i="1" s="1"/>
  <c r="AE56" i="1"/>
  <c r="AG56" i="1" s="1"/>
  <c r="AD56" i="1"/>
  <c r="AF56" i="1" s="1"/>
  <c r="AH56" i="1" s="1"/>
  <c r="AT55" i="1"/>
  <c r="AV55" i="1" s="1"/>
  <c r="AS55" i="1"/>
  <c r="AU55" i="1" s="1"/>
  <c r="AW55" i="1" s="1"/>
  <c r="K57" i="1" l="1"/>
  <c r="M57" i="1" s="1"/>
  <c r="J57" i="1"/>
  <c r="L57" i="1" s="1"/>
  <c r="N57" i="1" s="1"/>
  <c r="D58" i="1"/>
  <c r="U57" i="1"/>
  <c r="W57" i="1" s="1"/>
  <c r="T57" i="1"/>
  <c r="V57" i="1" s="1"/>
  <c r="X57" i="1" s="1"/>
  <c r="CC53" i="1"/>
  <c r="CE53" i="1" s="1"/>
  <c r="CB53" i="1"/>
  <c r="CD53" i="1" s="1"/>
  <c r="CF53" i="1" s="1"/>
  <c r="AY55" i="1"/>
  <c r="BA55" i="1" s="1"/>
  <c r="AX55" i="1"/>
  <c r="AZ55" i="1" s="1"/>
  <c r="BB55" i="1" s="1"/>
  <c r="AJ56" i="1"/>
  <c r="AL56" i="1" s="1"/>
  <c r="AI56" i="1"/>
  <c r="AK56" i="1" s="1"/>
  <c r="AM56" i="1" s="1"/>
  <c r="BN54" i="1"/>
  <c r="BP54" i="1" s="1"/>
  <c r="BM54" i="1"/>
  <c r="BO54" i="1" s="1"/>
  <c r="BQ54" i="1" s="1"/>
  <c r="CR52" i="1"/>
  <c r="CT52" i="1" s="1"/>
  <c r="CQ52" i="1"/>
  <c r="CS52" i="1" s="1"/>
  <c r="CU52" i="1" s="1"/>
  <c r="CH53" i="1" l="1"/>
  <c r="CJ53" i="1" s="1"/>
  <c r="CG53" i="1"/>
  <c r="CI53" i="1" s="1"/>
  <c r="CK53" i="1" s="1"/>
  <c r="CW52" i="1"/>
  <c r="CY52" i="1" s="1"/>
  <c r="CV52" i="1"/>
  <c r="CX52" i="1" s="1"/>
  <c r="CZ52" i="1" s="1"/>
  <c r="AO56" i="1"/>
  <c r="AQ56" i="1" s="1"/>
  <c r="AN56" i="1"/>
  <c r="AP56" i="1" s="1"/>
  <c r="AR56" i="1" s="1"/>
  <c r="Z57" i="1"/>
  <c r="AB57" i="1" s="1"/>
  <c r="Y57" i="1"/>
  <c r="AA57" i="1" s="1"/>
  <c r="AC57" i="1" s="1"/>
  <c r="BS54" i="1"/>
  <c r="BU54" i="1" s="1"/>
  <c r="BR54" i="1"/>
  <c r="BT54" i="1" s="1"/>
  <c r="BV54" i="1" s="1"/>
  <c r="F58" i="1"/>
  <c r="H58" i="1" s="1"/>
  <c r="E58" i="1"/>
  <c r="P57" i="1"/>
  <c r="R57" i="1" s="1"/>
  <c r="O57" i="1"/>
  <c r="BD55" i="1"/>
  <c r="BF55" i="1" s="1"/>
  <c r="BC55" i="1"/>
  <c r="BE55" i="1" s="1"/>
  <c r="BG55" i="1" s="1"/>
  <c r="AE57" i="1" l="1"/>
  <c r="AG57" i="1" s="1"/>
  <c r="AD57" i="1"/>
  <c r="AF57" i="1" s="1"/>
  <c r="AH57" i="1" s="1"/>
  <c r="G58" i="1"/>
  <c r="I58" i="1" s="1"/>
  <c r="Q58" i="1"/>
  <c r="S58" i="1" s="1"/>
  <c r="BI55" i="1"/>
  <c r="BK55" i="1" s="1"/>
  <c r="BH55" i="1"/>
  <c r="BJ55" i="1" s="1"/>
  <c r="BL55" i="1" s="1"/>
  <c r="BX54" i="1"/>
  <c r="BZ54" i="1" s="1"/>
  <c r="BW54" i="1"/>
  <c r="BY54" i="1" s="1"/>
  <c r="CA54" i="1" s="1"/>
  <c r="AT56" i="1"/>
  <c r="AV56" i="1" s="1"/>
  <c r="AS56" i="1"/>
  <c r="AU56" i="1" s="1"/>
  <c r="AW56" i="1" s="1"/>
  <c r="DB52" i="1"/>
  <c r="DD52" i="1" s="1"/>
  <c r="DA52" i="1"/>
  <c r="DC52" i="1" s="1"/>
  <c r="CM53" i="1"/>
  <c r="CO53" i="1" s="1"/>
  <c r="CL53" i="1"/>
  <c r="CN53" i="1" s="1"/>
  <c r="CP53" i="1" s="1"/>
  <c r="CC54" i="1" l="1"/>
  <c r="CE54" i="1" s="1"/>
  <c r="CB54" i="1"/>
  <c r="CD54" i="1" s="1"/>
  <c r="CF54" i="1" s="1"/>
  <c r="K58" i="1"/>
  <c r="M58" i="1" s="1"/>
  <c r="J58" i="1"/>
  <c r="L58" i="1" s="1"/>
  <c r="N58" i="1" s="1"/>
  <c r="D59" i="1"/>
  <c r="CR53" i="1"/>
  <c r="CT53" i="1" s="1"/>
  <c r="CQ53" i="1"/>
  <c r="CS53" i="1" s="1"/>
  <c r="CU53" i="1" s="1"/>
  <c r="AJ57" i="1"/>
  <c r="AL57" i="1" s="1"/>
  <c r="AI57" i="1"/>
  <c r="AK57" i="1" s="1"/>
  <c r="AM57" i="1" s="1"/>
  <c r="BN55" i="1"/>
  <c r="BP55" i="1" s="1"/>
  <c r="BM55" i="1"/>
  <c r="BO55" i="1" s="1"/>
  <c r="BQ55" i="1" s="1"/>
  <c r="U58" i="1"/>
  <c r="W58" i="1" s="1"/>
  <c r="T58" i="1"/>
  <c r="V58" i="1" s="1"/>
  <c r="X58" i="1" s="1"/>
  <c r="AY56" i="1"/>
  <c r="BA56" i="1" s="1"/>
  <c r="AX56" i="1"/>
  <c r="AZ56" i="1" s="1"/>
  <c r="BB56" i="1" s="1"/>
  <c r="CW53" i="1" l="1"/>
  <c r="CY53" i="1" s="1"/>
  <c r="CV53" i="1"/>
  <c r="CX53" i="1" s="1"/>
  <c r="CZ53" i="1" s="1"/>
  <c r="F59" i="1"/>
  <c r="H59" i="1" s="1"/>
  <c r="E59" i="1"/>
  <c r="BS55" i="1"/>
  <c r="BU55" i="1" s="1"/>
  <c r="BR55" i="1"/>
  <c r="BT55" i="1" s="1"/>
  <c r="BV55" i="1" s="1"/>
  <c r="AO57" i="1"/>
  <c r="AQ57" i="1" s="1"/>
  <c r="AN57" i="1"/>
  <c r="AP57" i="1" s="1"/>
  <c r="AR57" i="1" s="1"/>
  <c r="BD56" i="1"/>
  <c r="BF56" i="1" s="1"/>
  <c r="BC56" i="1"/>
  <c r="BE56" i="1" s="1"/>
  <c r="BG56" i="1" s="1"/>
  <c r="Z58" i="1"/>
  <c r="AB58" i="1" s="1"/>
  <c r="Y58" i="1"/>
  <c r="AA58" i="1" s="1"/>
  <c r="AC58" i="1" s="1"/>
  <c r="P58" i="1"/>
  <c r="R58" i="1" s="1"/>
  <c r="O58" i="1"/>
  <c r="CH54" i="1"/>
  <c r="CJ54" i="1" s="1"/>
  <c r="CG54" i="1"/>
  <c r="CI54" i="1" s="1"/>
  <c r="CK54" i="1" s="1"/>
  <c r="CM54" i="1" l="1"/>
  <c r="CO54" i="1" s="1"/>
  <c r="CL54" i="1"/>
  <c r="CN54" i="1" s="1"/>
  <c r="CP54" i="1" s="1"/>
  <c r="BX55" i="1"/>
  <c r="BZ55" i="1" s="1"/>
  <c r="BW55" i="1"/>
  <c r="BY55" i="1" s="1"/>
  <c r="CA55" i="1" s="1"/>
  <c r="AE58" i="1"/>
  <c r="AG58" i="1" s="1"/>
  <c r="AD58" i="1"/>
  <c r="AF58" i="1" s="1"/>
  <c r="AH58" i="1" s="1"/>
  <c r="DA53" i="1"/>
  <c r="DC53" i="1" s="1"/>
  <c r="DB53" i="1"/>
  <c r="DD53" i="1" s="1"/>
  <c r="AT57" i="1"/>
  <c r="AV57" i="1" s="1"/>
  <c r="AS57" i="1"/>
  <c r="AU57" i="1" s="1"/>
  <c r="AW57" i="1" s="1"/>
  <c r="G59" i="1"/>
  <c r="I59" i="1" s="1"/>
  <c r="Q59" i="1"/>
  <c r="S59" i="1" s="1"/>
  <c r="BI56" i="1"/>
  <c r="BK56" i="1" s="1"/>
  <c r="BH56" i="1"/>
  <c r="BJ56" i="1" s="1"/>
  <c r="BL56" i="1" s="1"/>
  <c r="AJ58" i="1" l="1"/>
  <c r="AL58" i="1" s="1"/>
  <c r="AI58" i="1"/>
  <c r="AK58" i="1" s="1"/>
  <c r="AM58" i="1" s="1"/>
  <c r="BN56" i="1"/>
  <c r="BP56" i="1" s="1"/>
  <c r="BM56" i="1"/>
  <c r="BO56" i="1" s="1"/>
  <c r="BQ56" i="1" s="1"/>
  <c r="K59" i="1"/>
  <c r="M59" i="1" s="1"/>
  <c r="J59" i="1"/>
  <c r="L59" i="1" s="1"/>
  <c r="N59" i="1" s="1"/>
  <c r="D60" i="1"/>
  <c r="U59" i="1"/>
  <c r="W59" i="1" s="1"/>
  <c r="T59" i="1"/>
  <c r="V59" i="1" s="1"/>
  <c r="X59" i="1" s="1"/>
  <c r="CQ54" i="1"/>
  <c r="CS54" i="1" s="1"/>
  <c r="CU54" i="1" s="1"/>
  <c r="CR54" i="1"/>
  <c r="CT54" i="1" s="1"/>
  <c r="CC55" i="1"/>
  <c r="CE55" i="1" s="1"/>
  <c r="CB55" i="1"/>
  <c r="CD55" i="1" s="1"/>
  <c r="CF55" i="1" s="1"/>
  <c r="AY57" i="1"/>
  <c r="BA57" i="1" s="1"/>
  <c r="AX57" i="1"/>
  <c r="AZ57" i="1" s="1"/>
  <c r="BB57" i="1" s="1"/>
  <c r="E60" i="1" l="1"/>
  <c r="F60" i="1"/>
  <c r="H60" i="1" s="1"/>
  <c r="BD57" i="1"/>
  <c r="BF57" i="1" s="1"/>
  <c r="BC57" i="1"/>
  <c r="BE57" i="1" s="1"/>
  <c r="BG57" i="1" s="1"/>
  <c r="O59" i="1"/>
  <c r="P59" i="1"/>
  <c r="R59" i="1" s="1"/>
  <c r="BS56" i="1"/>
  <c r="BU56" i="1" s="1"/>
  <c r="BR56" i="1"/>
  <c r="BT56" i="1" s="1"/>
  <c r="BV56" i="1" s="1"/>
  <c r="AO58" i="1"/>
  <c r="AQ58" i="1" s="1"/>
  <c r="AN58" i="1"/>
  <c r="AP58" i="1" s="1"/>
  <c r="AR58" i="1" s="1"/>
  <c r="CW54" i="1"/>
  <c r="CY54" i="1" s="1"/>
  <c r="CV54" i="1"/>
  <c r="CX54" i="1" s="1"/>
  <c r="CZ54" i="1" s="1"/>
  <c r="Z59" i="1"/>
  <c r="AB59" i="1" s="1"/>
  <c r="Y59" i="1"/>
  <c r="AA59" i="1" s="1"/>
  <c r="AC59" i="1" s="1"/>
  <c r="CG55" i="1"/>
  <c r="CI55" i="1" s="1"/>
  <c r="CK55" i="1" s="1"/>
  <c r="CH55" i="1"/>
  <c r="CJ55" i="1" s="1"/>
  <c r="BW56" i="1" l="1"/>
  <c r="BY56" i="1" s="1"/>
  <c r="CA56" i="1" s="1"/>
  <c r="BX56" i="1"/>
  <c r="BZ56" i="1" s="1"/>
  <c r="AE59" i="1"/>
  <c r="AG59" i="1" s="1"/>
  <c r="AD59" i="1"/>
  <c r="AF59" i="1" s="1"/>
  <c r="AH59" i="1" s="1"/>
  <c r="CM55" i="1"/>
  <c r="CO55" i="1" s="1"/>
  <c r="CL55" i="1"/>
  <c r="CN55" i="1" s="1"/>
  <c r="CP55" i="1" s="1"/>
  <c r="BI57" i="1"/>
  <c r="BK57" i="1" s="1"/>
  <c r="BH57" i="1"/>
  <c r="BJ57" i="1" s="1"/>
  <c r="BL57" i="1" s="1"/>
  <c r="DB54" i="1"/>
  <c r="DD54" i="1" s="1"/>
  <c r="DA54" i="1"/>
  <c r="DC54" i="1" s="1"/>
  <c r="AT58" i="1"/>
  <c r="AV58" i="1" s="1"/>
  <c r="AS58" i="1"/>
  <c r="AU58" i="1" s="1"/>
  <c r="AW58" i="1" s="1"/>
  <c r="Q60" i="1"/>
  <c r="S60" i="1" s="1"/>
  <c r="G60" i="1"/>
  <c r="I60" i="1" s="1"/>
  <c r="BM57" i="1" l="1"/>
  <c r="BO57" i="1" s="1"/>
  <c r="BQ57" i="1" s="1"/>
  <c r="BN57" i="1"/>
  <c r="BP57" i="1" s="1"/>
  <c r="AY58" i="1"/>
  <c r="BA58" i="1" s="1"/>
  <c r="AX58" i="1"/>
  <c r="AZ58" i="1" s="1"/>
  <c r="BB58" i="1" s="1"/>
  <c r="K60" i="1"/>
  <c r="M60" i="1" s="1"/>
  <c r="J60" i="1"/>
  <c r="L60" i="1" s="1"/>
  <c r="N60" i="1" s="1"/>
  <c r="D61" i="1"/>
  <c r="CR55" i="1"/>
  <c r="CT55" i="1" s="1"/>
  <c r="CQ55" i="1"/>
  <c r="CS55" i="1" s="1"/>
  <c r="CU55" i="1" s="1"/>
  <c r="U60" i="1"/>
  <c r="W60" i="1" s="1"/>
  <c r="T60" i="1"/>
  <c r="V60" i="1" s="1"/>
  <c r="X60" i="1" s="1"/>
  <c r="AJ59" i="1"/>
  <c r="AL59" i="1" s="1"/>
  <c r="AI59" i="1"/>
  <c r="AK59" i="1" s="1"/>
  <c r="AM59" i="1" s="1"/>
  <c r="CC56" i="1"/>
  <c r="CE56" i="1" s="1"/>
  <c r="CB56" i="1"/>
  <c r="CD56" i="1" s="1"/>
  <c r="CF56" i="1" s="1"/>
  <c r="CH56" i="1" l="1"/>
  <c r="CJ56" i="1" s="1"/>
  <c r="CG56" i="1"/>
  <c r="CI56" i="1" s="1"/>
  <c r="CK56" i="1" s="1"/>
  <c r="CW55" i="1"/>
  <c r="CY55" i="1" s="1"/>
  <c r="CV55" i="1"/>
  <c r="CX55" i="1" s="1"/>
  <c r="CZ55" i="1" s="1"/>
  <c r="P60" i="1"/>
  <c r="R60" i="1" s="1"/>
  <c r="O60" i="1"/>
  <c r="BC58" i="1"/>
  <c r="BE58" i="1" s="1"/>
  <c r="BG58" i="1" s="1"/>
  <c r="BD58" i="1"/>
  <c r="BF58" i="1" s="1"/>
  <c r="Z60" i="1"/>
  <c r="AB60" i="1" s="1"/>
  <c r="Y60" i="1"/>
  <c r="AA60" i="1" s="1"/>
  <c r="AC60" i="1" s="1"/>
  <c r="F61" i="1"/>
  <c r="H61" i="1" s="1"/>
  <c r="E61" i="1"/>
  <c r="AO59" i="1"/>
  <c r="AQ59" i="1" s="1"/>
  <c r="AN59" i="1"/>
  <c r="AP59" i="1" s="1"/>
  <c r="AR59" i="1" s="1"/>
  <c r="BS57" i="1"/>
  <c r="BU57" i="1" s="1"/>
  <c r="BR57" i="1"/>
  <c r="BT57" i="1" s="1"/>
  <c r="BV57" i="1" s="1"/>
  <c r="AS59" i="1" l="1"/>
  <c r="AU59" i="1" s="1"/>
  <c r="AW59" i="1" s="1"/>
  <c r="AT59" i="1"/>
  <c r="AV59" i="1" s="1"/>
  <c r="BI58" i="1"/>
  <c r="BK58" i="1" s="1"/>
  <c r="BH58" i="1"/>
  <c r="BJ58" i="1" s="1"/>
  <c r="BL58" i="1" s="1"/>
  <c r="G61" i="1"/>
  <c r="I61" i="1" s="1"/>
  <c r="Q61" i="1"/>
  <c r="S61" i="1" s="1"/>
  <c r="AE60" i="1"/>
  <c r="AG60" i="1" s="1"/>
  <c r="AD60" i="1"/>
  <c r="AF60" i="1" s="1"/>
  <c r="AH60" i="1" s="1"/>
  <c r="CM56" i="1"/>
  <c r="CO56" i="1" s="1"/>
  <c r="CL56" i="1"/>
  <c r="CN56" i="1" s="1"/>
  <c r="CP56" i="1" s="1"/>
  <c r="BX57" i="1"/>
  <c r="BZ57" i="1" s="1"/>
  <c r="BW57" i="1"/>
  <c r="BY57" i="1" s="1"/>
  <c r="CA57" i="1" s="1"/>
  <c r="DB55" i="1"/>
  <c r="DD55" i="1" s="1"/>
  <c r="DA55" i="1"/>
  <c r="DC55" i="1" s="1"/>
  <c r="AI60" i="1" l="1"/>
  <c r="AK60" i="1" s="1"/>
  <c r="AM60" i="1" s="1"/>
  <c r="AJ60" i="1"/>
  <c r="AL60" i="1" s="1"/>
  <c r="CC57" i="1"/>
  <c r="CE57" i="1" s="1"/>
  <c r="CB57" i="1"/>
  <c r="CD57" i="1" s="1"/>
  <c r="CF57" i="1" s="1"/>
  <c r="K61" i="1"/>
  <c r="M61" i="1" s="1"/>
  <c r="J61" i="1"/>
  <c r="L61" i="1" s="1"/>
  <c r="N61" i="1" s="1"/>
  <c r="D62" i="1"/>
  <c r="U61" i="1"/>
  <c r="W61" i="1" s="1"/>
  <c r="T61" i="1"/>
  <c r="V61" i="1" s="1"/>
  <c r="X61" i="1" s="1"/>
  <c r="BN58" i="1"/>
  <c r="BP58" i="1" s="1"/>
  <c r="BM58" i="1"/>
  <c r="BO58" i="1" s="1"/>
  <c r="BQ58" i="1" s="1"/>
  <c r="CR56" i="1"/>
  <c r="CT56" i="1" s="1"/>
  <c r="CQ56" i="1"/>
  <c r="CS56" i="1" s="1"/>
  <c r="CU56" i="1" s="1"/>
  <c r="AY59" i="1"/>
  <c r="BA59" i="1" s="1"/>
  <c r="AX59" i="1"/>
  <c r="AZ59" i="1" s="1"/>
  <c r="BB59" i="1" s="1"/>
  <c r="F62" i="1" l="1"/>
  <c r="H62" i="1" s="1"/>
  <c r="E62" i="1"/>
  <c r="CW56" i="1"/>
  <c r="CY56" i="1" s="1"/>
  <c r="CV56" i="1"/>
  <c r="CX56" i="1" s="1"/>
  <c r="CZ56" i="1" s="1"/>
  <c r="P61" i="1"/>
  <c r="R61" i="1" s="1"/>
  <c r="O61" i="1"/>
  <c r="BR58" i="1"/>
  <c r="BT58" i="1" s="1"/>
  <c r="BV58" i="1" s="1"/>
  <c r="BS58" i="1"/>
  <c r="BU58" i="1" s="1"/>
  <c r="BD59" i="1"/>
  <c r="BF59" i="1" s="1"/>
  <c r="BC59" i="1"/>
  <c r="BE59" i="1" s="1"/>
  <c r="BG59" i="1" s="1"/>
  <c r="CH57" i="1"/>
  <c r="CJ57" i="1" s="1"/>
  <c r="CG57" i="1"/>
  <c r="CI57" i="1" s="1"/>
  <c r="CK57" i="1" s="1"/>
  <c r="Y61" i="1"/>
  <c r="AA61" i="1" s="1"/>
  <c r="AC61" i="1" s="1"/>
  <c r="Z61" i="1"/>
  <c r="AB61" i="1" s="1"/>
  <c r="AO60" i="1"/>
  <c r="AQ60" i="1" s="1"/>
  <c r="AN60" i="1"/>
  <c r="AP60" i="1" s="1"/>
  <c r="AR60" i="1" s="1"/>
  <c r="BX58" i="1" l="1"/>
  <c r="BZ58" i="1" s="1"/>
  <c r="BW58" i="1"/>
  <c r="BY58" i="1" s="1"/>
  <c r="CA58" i="1" s="1"/>
  <c r="AS60" i="1"/>
  <c r="AU60" i="1" s="1"/>
  <c r="AW60" i="1" s="1"/>
  <c r="AT60" i="1"/>
  <c r="AV60" i="1" s="1"/>
  <c r="DB56" i="1"/>
  <c r="DD56" i="1" s="1"/>
  <c r="DA56" i="1"/>
  <c r="DC56" i="1" s="1"/>
  <c r="BI59" i="1"/>
  <c r="BK59" i="1" s="1"/>
  <c r="BH59" i="1"/>
  <c r="BJ59" i="1" s="1"/>
  <c r="BL59" i="1" s="1"/>
  <c r="CM57" i="1"/>
  <c r="CO57" i="1" s="1"/>
  <c r="CL57" i="1"/>
  <c r="CN57" i="1" s="1"/>
  <c r="CP57" i="1" s="1"/>
  <c r="Q62" i="1"/>
  <c r="S62" i="1" s="1"/>
  <c r="G62" i="1"/>
  <c r="I62" i="1" s="1"/>
  <c r="AE61" i="1"/>
  <c r="AG61" i="1" s="1"/>
  <c r="AD61" i="1"/>
  <c r="AF61" i="1" s="1"/>
  <c r="AH61" i="1" s="1"/>
  <c r="AJ61" i="1" l="1"/>
  <c r="AL61" i="1" s="1"/>
  <c r="AI61" i="1"/>
  <c r="AK61" i="1" s="1"/>
  <c r="AM61" i="1" s="1"/>
  <c r="AY60" i="1"/>
  <c r="BA60" i="1" s="1"/>
  <c r="AX60" i="1"/>
  <c r="AZ60" i="1" s="1"/>
  <c r="BB60" i="1" s="1"/>
  <c r="BM59" i="1"/>
  <c r="BO59" i="1" s="1"/>
  <c r="BQ59" i="1" s="1"/>
  <c r="BN59" i="1"/>
  <c r="BP59" i="1" s="1"/>
  <c r="CC58" i="1"/>
  <c r="CE58" i="1" s="1"/>
  <c r="CB58" i="1"/>
  <c r="CD58" i="1" s="1"/>
  <c r="CF58" i="1" s="1"/>
  <c r="K62" i="1"/>
  <c r="M62" i="1" s="1"/>
  <c r="J62" i="1"/>
  <c r="L62" i="1" s="1"/>
  <c r="N62" i="1" s="1"/>
  <c r="D63" i="1"/>
  <c r="U62" i="1"/>
  <c r="W62" i="1" s="1"/>
  <c r="T62" i="1"/>
  <c r="V62" i="1" s="1"/>
  <c r="X62" i="1" s="1"/>
  <c r="CR57" i="1"/>
  <c r="CT57" i="1" s="1"/>
  <c r="CQ57" i="1"/>
  <c r="CS57" i="1" s="1"/>
  <c r="CU57" i="1" s="1"/>
  <c r="BS59" i="1" l="1"/>
  <c r="BU59" i="1" s="1"/>
  <c r="BR59" i="1"/>
  <c r="BT59" i="1" s="1"/>
  <c r="BV59" i="1" s="1"/>
  <c r="O62" i="1"/>
  <c r="P62" i="1"/>
  <c r="R62" i="1" s="1"/>
  <c r="CG58" i="1"/>
  <c r="CI58" i="1" s="1"/>
  <c r="CK58" i="1" s="1"/>
  <c r="CH58" i="1"/>
  <c r="CJ58" i="1" s="1"/>
  <c r="Z62" i="1"/>
  <c r="AB62" i="1" s="1"/>
  <c r="Y62" i="1"/>
  <c r="AA62" i="1" s="1"/>
  <c r="AC62" i="1" s="1"/>
  <c r="E63" i="1"/>
  <c r="F63" i="1"/>
  <c r="H63" i="1" s="1"/>
  <c r="CW57" i="1"/>
  <c r="CY57" i="1" s="1"/>
  <c r="CV57" i="1"/>
  <c r="CX57" i="1" s="1"/>
  <c r="CZ57" i="1" s="1"/>
  <c r="BD60" i="1"/>
  <c r="BF60" i="1" s="1"/>
  <c r="BC60" i="1"/>
  <c r="BE60" i="1" s="1"/>
  <c r="BG60" i="1" s="1"/>
  <c r="AN61" i="1"/>
  <c r="AP61" i="1" s="1"/>
  <c r="AR61" i="1" s="1"/>
  <c r="AO61" i="1"/>
  <c r="AQ61" i="1" s="1"/>
  <c r="AE62" i="1" l="1"/>
  <c r="AG62" i="1" s="1"/>
  <c r="AD62" i="1"/>
  <c r="AF62" i="1" s="1"/>
  <c r="AH62" i="1" s="1"/>
  <c r="BH60" i="1"/>
  <c r="BJ60" i="1" s="1"/>
  <c r="BL60" i="1" s="1"/>
  <c r="BI60" i="1"/>
  <c r="BK60" i="1" s="1"/>
  <c r="AT61" i="1"/>
  <c r="AV61" i="1" s="1"/>
  <c r="AS61" i="1"/>
  <c r="AU61" i="1" s="1"/>
  <c r="AW61" i="1" s="1"/>
  <c r="DB57" i="1"/>
  <c r="DD57" i="1" s="1"/>
  <c r="DA57" i="1"/>
  <c r="DC57" i="1" s="1"/>
  <c r="CM58" i="1"/>
  <c r="CO58" i="1" s="1"/>
  <c r="CL58" i="1"/>
  <c r="CN58" i="1" s="1"/>
  <c r="CP58" i="1" s="1"/>
  <c r="BW59" i="1"/>
  <c r="BY59" i="1" s="1"/>
  <c r="CA59" i="1" s="1"/>
  <c r="BX59" i="1"/>
  <c r="BZ59" i="1" s="1"/>
  <c r="Q63" i="1"/>
  <c r="S63" i="1" s="1"/>
  <c r="G63" i="1"/>
  <c r="I63" i="1" s="1"/>
  <c r="U63" i="1" l="1"/>
  <c r="W63" i="1" s="1"/>
  <c r="T63" i="1"/>
  <c r="V63" i="1" s="1"/>
  <c r="X63" i="1" s="1"/>
  <c r="BM60" i="1"/>
  <c r="BO60" i="1" s="1"/>
  <c r="BQ60" i="1" s="1"/>
  <c r="BN60" i="1"/>
  <c r="BP60" i="1" s="1"/>
  <c r="CC59" i="1"/>
  <c r="CE59" i="1" s="1"/>
  <c r="CB59" i="1"/>
  <c r="CD59" i="1" s="1"/>
  <c r="CF59" i="1" s="1"/>
  <c r="AI62" i="1"/>
  <c r="AK62" i="1" s="1"/>
  <c r="AM62" i="1" s="1"/>
  <c r="AJ62" i="1"/>
  <c r="AL62" i="1" s="1"/>
  <c r="AY61" i="1"/>
  <c r="BA61" i="1" s="1"/>
  <c r="AX61" i="1"/>
  <c r="AZ61" i="1" s="1"/>
  <c r="BB61" i="1" s="1"/>
  <c r="CR58" i="1"/>
  <c r="CT58" i="1" s="1"/>
  <c r="CQ58" i="1"/>
  <c r="CS58" i="1" s="1"/>
  <c r="CU58" i="1" s="1"/>
  <c r="K63" i="1"/>
  <c r="M63" i="1" s="1"/>
  <c r="J63" i="1"/>
  <c r="L63" i="1" s="1"/>
  <c r="N63" i="1" s="1"/>
  <c r="D64" i="1"/>
  <c r="P63" i="1" l="1"/>
  <c r="R63" i="1" s="1"/>
  <c r="O63" i="1"/>
  <c r="AO62" i="1"/>
  <c r="AQ62" i="1" s="1"/>
  <c r="AN62" i="1"/>
  <c r="AP62" i="1" s="1"/>
  <c r="AR62" i="1" s="1"/>
  <c r="CW58" i="1"/>
  <c r="CY58" i="1" s="1"/>
  <c r="CV58" i="1"/>
  <c r="CX58" i="1" s="1"/>
  <c r="CZ58" i="1" s="1"/>
  <c r="F64" i="1"/>
  <c r="H64" i="1" s="1"/>
  <c r="E64" i="1"/>
  <c r="CH59" i="1"/>
  <c r="CJ59" i="1" s="1"/>
  <c r="CG59" i="1"/>
  <c r="CI59" i="1" s="1"/>
  <c r="CK59" i="1" s="1"/>
  <c r="BS60" i="1"/>
  <c r="BU60" i="1" s="1"/>
  <c r="BR60" i="1"/>
  <c r="BT60" i="1" s="1"/>
  <c r="BV60" i="1" s="1"/>
  <c r="BC61" i="1"/>
  <c r="BE61" i="1" s="1"/>
  <c r="BG61" i="1" s="1"/>
  <c r="BD61" i="1"/>
  <c r="BF61" i="1" s="1"/>
  <c r="Z63" i="1"/>
  <c r="AB63" i="1" s="1"/>
  <c r="Y63" i="1"/>
  <c r="AA63" i="1" s="1"/>
  <c r="AC63" i="1" s="1"/>
  <c r="AE63" i="1" l="1"/>
  <c r="AG63" i="1" s="1"/>
  <c r="AD63" i="1"/>
  <c r="AF63" i="1" s="1"/>
  <c r="AH63" i="1" s="1"/>
  <c r="AS62" i="1"/>
  <c r="AU62" i="1" s="1"/>
  <c r="AW62" i="1" s="1"/>
  <c r="AT62" i="1"/>
  <c r="AV62" i="1" s="1"/>
  <c r="BI61" i="1"/>
  <c r="BK61" i="1" s="1"/>
  <c r="BH61" i="1"/>
  <c r="BJ61" i="1" s="1"/>
  <c r="BL61" i="1" s="1"/>
  <c r="G64" i="1"/>
  <c r="I64" i="1" s="1"/>
  <c r="Q64" i="1"/>
  <c r="S64" i="1" s="1"/>
  <c r="CM59" i="1"/>
  <c r="CO59" i="1" s="1"/>
  <c r="CL59" i="1"/>
  <c r="CN59" i="1" s="1"/>
  <c r="CP59" i="1" s="1"/>
  <c r="DB58" i="1"/>
  <c r="DD58" i="1" s="1"/>
  <c r="DA58" i="1"/>
  <c r="DC58" i="1" s="1"/>
  <c r="BX60" i="1"/>
  <c r="BZ60" i="1" s="1"/>
  <c r="BW60" i="1"/>
  <c r="BY60" i="1" s="1"/>
  <c r="CA60" i="1" s="1"/>
  <c r="CC60" i="1" l="1"/>
  <c r="CE60" i="1" s="1"/>
  <c r="CB60" i="1"/>
  <c r="CD60" i="1" s="1"/>
  <c r="CF60" i="1" s="1"/>
  <c r="BN61" i="1"/>
  <c r="BP61" i="1" s="1"/>
  <c r="BM61" i="1"/>
  <c r="BO61" i="1" s="1"/>
  <c r="BQ61" i="1" s="1"/>
  <c r="AY62" i="1"/>
  <c r="BA62" i="1" s="1"/>
  <c r="AX62" i="1"/>
  <c r="AZ62" i="1" s="1"/>
  <c r="BB62" i="1" s="1"/>
  <c r="U64" i="1"/>
  <c r="W64" i="1" s="1"/>
  <c r="T64" i="1"/>
  <c r="V64" i="1" s="1"/>
  <c r="X64" i="1" s="1"/>
  <c r="CR59" i="1"/>
  <c r="CT59" i="1" s="1"/>
  <c r="CQ59" i="1"/>
  <c r="CS59" i="1" s="1"/>
  <c r="CU59" i="1" s="1"/>
  <c r="AJ63" i="1"/>
  <c r="AL63" i="1" s="1"/>
  <c r="AI63" i="1"/>
  <c r="AK63" i="1" s="1"/>
  <c r="AM63" i="1" s="1"/>
  <c r="K64" i="1"/>
  <c r="M64" i="1" s="1"/>
  <c r="J64" i="1"/>
  <c r="L64" i="1" s="1"/>
  <c r="N64" i="1" s="1"/>
  <c r="D65" i="1"/>
  <c r="Z64" i="1" l="1"/>
  <c r="AB64" i="1" s="1"/>
  <c r="Y64" i="1"/>
  <c r="AA64" i="1" s="1"/>
  <c r="AC64" i="1" s="1"/>
  <c r="F65" i="1"/>
  <c r="H65" i="1" s="1"/>
  <c r="E65" i="1"/>
  <c r="AO63" i="1"/>
  <c r="AQ63" i="1" s="1"/>
  <c r="AN63" i="1"/>
  <c r="AP63" i="1" s="1"/>
  <c r="AR63" i="1" s="1"/>
  <c r="CH60" i="1"/>
  <c r="CJ60" i="1" s="1"/>
  <c r="CG60" i="1"/>
  <c r="CI60" i="1" s="1"/>
  <c r="CK60" i="1" s="1"/>
  <c r="BD62" i="1"/>
  <c r="BF62" i="1" s="1"/>
  <c r="BC62" i="1"/>
  <c r="BE62" i="1" s="1"/>
  <c r="BG62" i="1" s="1"/>
  <c r="BS61" i="1"/>
  <c r="BU61" i="1" s="1"/>
  <c r="BR61" i="1"/>
  <c r="BT61" i="1" s="1"/>
  <c r="BV61" i="1" s="1"/>
  <c r="P64" i="1"/>
  <c r="R64" i="1" s="1"/>
  <c r="O64" i="1"/>
  <c r="CW59" i="1"/>
  <c r="CY59" i="1" s="1"/>
  <c r="CV59" i="1"/>
  <c r="CX59" i="1" s="1"/>
  <c r="CZ59" i="1" l="1"/>
  <c r="BX61" i="1"/>
  <c r="BZ61" i="1" s="1"/>
  <c r="BW61" i="1"/>
  <c r="BY61" i="1" s="1"/>
  <c r="CA61" i="1" s="1"/>
  <c r="CM60" i="1"/>
  <c r="CO60" i="1" s="1"/>
  <c r="CL60" i="1"/>
  <c r="CN60" i="1" s="1"/>
  <c r="CP60" i="1" s="1"/>
  <c r="BI62" i="1"/>
  <c r="BK62" i="1" s="1"/>
  <c r="BH62" i="1"/>
  <c r="BJ62" i="1" s="1"/>
  <c r="BL62" i="1" s="1"/>
  <c r="AT63" i="1"/>
  <c r="AV63" i="1" s="1"/>
  <c r="AS63" i="1"/>
  <c r="AU63" i="1" s="1"/>
  <c r="AW63" i="1" s="1"/>
  <c r="G65" i="1"/>
  <c r="I65" i="1" s="1"/>
  <c r="Q65" i="1"/>
  <c r="S65" i="1" s="1"/>
  <c r="AE64" i="1"/>
  <c r="AG64" i="1" s="1"/>
  <c r="AD64" i="1"/>
  <c r="AF64" i="1" s="1"/>
  <c r="AH64" i="1" s="1"/>
  <c r="CQ60" i="1" l="1"/>
  <c r="CS60" i="1" s="1"/>
  <c r="CU60" i="1" s="1"/>
  <c r="CR60" i="1"/>
  <c r="CT60" i="1" s="1"/>
  <c r="CC61" i="1"/>
  <c r="CE61" i="1" s="1"/>
  <c r="CB61" i="1"/>
  <c r="CD61" i="1" s="1"/>
  <c r="CF61" i="1" s="1"/>
  <c r="U65" i="1"/>
  <c r="W65" i="1" s="1"/>
  <c r="T65" i="1"/>
  <c r="V65" i="1" s="1"/>
  <c r="X65" i="1" s="1"/>
  <c r="AY63" i="1"/>
  <c r="BA63" i="1" s="1"/>
  <c r="AX63" i="1"/>
  <c r="AZ63" i="1" s="1"/>
  <c r="BB63" i="1" s="1"/>
  <c r="AJ64" i="1"/>
  <c r="AL64" i="1" s="1"/>
  <c r="AI64" i="1"/>
  <c r="AK64" i="1" s="1"/>
  <c r="AM64" i="1" s="1"/>
  <c r="K65" i="1"/>
  <c r="M65" i="1" s="1"/>
  <c r="J65" i="1"/>
  <c r="L65" i="1" s="1"/>
  <c r="N65" i="1" s="1"/>
  <c r="D66" i="1"/>
  <c r="BN62" i="1"/>
  <c r="BP62" i="1" s="1"/>
  <c r="BM62" i="1"/>
  <c r="BO62" i="1" s="1"/>
  <c r="BQ62" i="1" s="1"/>
  <c r="DA59" i="1"/>
  <c r="DC59" i="1" s="1"/>
  <c r="DB59" i="1"/>
  <c r="DD59" i="1" s="1"/>
  <c r="Z65" i="1" l="1"/>
  <c r="AB65" i="1" s="1"/>
  <c r="Y65" i="1"/>
  <c r="AA65" i="1" s="1"/>
  <c r="AC65" i="1" s="1"/>
  <c r="P65" i="1"/>
  <c r="R65" i="1" s="1"/>
  <c r="O65" i="1"/>
  <c r="BS62" i="1"/>
  <c r="BU62" i="1" s="1"/>
  <c r="BR62" i="1"/>
  <c r="BT62" i="1" s="1"/>
  <c r="BV62" i="1" s="1"/>
  <c r="F66" i="1"/>
  <c r="H66" i="1" s="1"/>
  <c r="E66" i="1"/>
  <c r="AO64" i="1"/>
  <c r="AQ64" i="1" s="1"/>
  <c r="AN64" i="1"/>
  <c r="AP64" i="1" s="1"/>
  <c r="AR64" i="1" s="1"/>
  <c r="BD63" i="1"/>
  <c r="BF63" i="1" s="1"/>
  <c r="BC63" i="1"/>
  <c r="BE63" i="1" s="1"/>
  <c r="BG63" i="1" s="1"/>
  <c r="CG61" i="1"/>
  <c r="CI61" i="1" s="1"/>
  <c r="CK61" i="1" s="1"/>
  <c r="CH61" i="1"/>
  <c r="CJ61" i="1" s="1"/>
  <c r="CW60" i="1"/>
  <c r="CY60" i="1" s="1"/>
  <c r="CV60" i="1"/>
  <c r="CX60" i="1" s="1"/>
  <c r="CM61" i="1" l="1"/>
  <c r="CO61" i="1" s="1"/>
  <c r="CL61" i="1"/>
  <c r="CN61" i="1" s="1"/>
  <c r="CP61" i="1" s="1"/>
  <c r="BH63" i="1"/>
  <c r="BJ63" i="1" s="1"/>
  <c r="BL63" i="1" s="1"/>
  <c r="BI63" i="1"/>
  <c r="BK63" i="1" s="1"/>
  <c r="AE65" i="1"/>
  <c r="AG65" i="1" s="1"/>
  <c r="AD65" i="1"/>
  <c r="AF65" i="1" s="1"/>
  <c r="AH65" i="1" s="1"/>
  <c r="CZ60" i="1"/>
  <c r="Q66" i="1"/>
  <c r="S66" i="1" s="1"/>
  <c r="G66" i="1"/>
  <c r="I66" i="1" s="1"/>
  <c r="BW62" i="1"/>
  <c r="BY62" i="1" s="1"/>
  <c r="CA62" i="1" s="1"/>
  <c r="BX62" i="1"/>
  <c r="BZ62" i="1" s="1"/>
  <c r="AT64" i="1"/>
  <c r="AV64" i="1" s="1"/>
  <c r="AS64" i="1"/>
  <c r="AU64" i="1" s="1"/>
  <c r="AW64" i="1" s="1"/>
  <c r="K66" i="1" l="1"/>
  <c r="M66" i="1" s="1"/>
  <c r="J66" i="1"/>
  <c r="L66" i="1" s="1"/>
  <c r="N66" i="1" s="1"/>
  <c r="D67" i="1"/>
  <c r="DB60" i="1"/>
  <c r="DD60" i="1" s="1"/>
  <c r="DA60" i="1"/>
  <c r="DC60" i="1" s="1"/>
  <c r="U66" i="1"/>
  <c r="W66" i="1" s="1"/>
  <c r="T66" i="1"/>
  <c r="V66" i="1" s="1"/>
  <c r="X66" i="1" s="1"/>
  <c r="AJ65" i="1"/>
  <c r="AL65" i="1" s="1"/>
  <c r="AI65" i="1"/>
  <c r="AK65" i="1" s="1"/>
  <c r="AM65" i="1" s="1"/>
  <c r="AX64" i="1"/>
  <c r="AZ64" i="1" s="1"/>
  <c r="BB64" i="1" s="1"/>
  <c r="AY64" i="1"/>
  <c r="BA64" i="1" s="1"/>
  <c r="BM63" i="1"/>
  <c r="BO63" i="1" s="1"/>
  <c r="BQ63" i="1" s="1"/>
  <c r="BN63" i="1"/>
  <c r="BP63" i="1" s="1"/>
  <c r="CR61" i="1"/>
  <c r="CT61" i="1" s="1"/>
  <c r="CQ61" i="1"/>
  <c r="CS61" i="1" s="1"/>
  <c r="CU61" i="1" s="1"/>
  <c r="CC62" i="1"/>
  <c r="CE62" i="1" s="1"/>
  <c r="CB62" i="1"/>
  <c r="CD62" i="1" s="1"/>
  <c r="CF62" i="1" s="1"/>
  <c r="Z66" i="1" l="1"/>
  <c r="AB66" i="1" s="1"/>
  <c r="Y66" i="1"/>
  <c r="AA66" i="1" s="1"/>
  <c r="AC66" i="1" s="1"/>
  <c r="CW61" i="1"/>
  <c r="CY61" i="1" s="1"/>
  <c r="CV61" i="1"/>
  <c r="CX61" i="1" s="1"/>
  <c r="CZ61" i="1" s="1"/>
  <c r="BC64" i="1"/>
  <c r="BE64" i="1" s="1"/>
  <c r="BG64" i="1" s="1"/>
  <c r="BD64" i="1"/>
  <c r="BF64" i="1" s="1"/>
  <c r="BS63" i="1"/>
  <c r="BU63" i="1" s="1"/>
  <c r="BR63" i="1"/>
  <c r="BT63" i="1" s="1"/>
  <c r="BV63" i="1" s="1"/>
  <c r="F67" i="1"/>
  <c r="H67" i="1" s="1"/>
  <c r="E67" i="1"/>
  <c r="P66" i="1"/>
  <c r="R66" i="1" s="1"/>
  <c r="O66" i="1"/>
  <c r="CH62" i="1"/>
  <c r="CJ62" i="1" s="1"/>
  <c r="CG62" i="1"/>
  <c r="CI62" i="1" s="1"/>
  <c r="CK62" i="1" s="1"/>
  <c r="AN65" i="1"/>
  <c r="AP65" i="1" s="1"/>
  <c r="AR65" i="1" s="1"/>
  <c r="AO65" i="1"/>
  <c r="AQ65" i="1" s="1"/>
  <c r="BX63" i="1" l="1"/>
  <c r="BZ63" i="1" s="1"/>
  <c r="BW63" i="1"/>
  <c r="BY63" i="1" s="1"/>
  <c r="CA63" i="1" s="1"/>
  <c r="CM62" i="1"/>
  <c r="CO62" i="1" s="1"/>
  <c r="CL62" i="1"/>
  <c r="CN62" i="1" s="1"/>
  <c r="CP62" i="1" s="1"/>
  <c r="DB61" i="1"/>
  <c r="DD61" i="1" s="1"/>
  <c r="DA61" i="1"/>
  <c r="DC61" i="1" s="1"/>
  <c r="BI64" i="1"/>
  <c r="BK64" i="1" s="1"/>
  <c r="BH64" i="1"/>
  <c r="BJ64" i="1" s="1"/>
  <c r="BL64" i="1" s="1"/>
  <c r="AD66" i="1"/>
  <c r="AF66" i="1" s="1"/>
  <c r="AH66" i="1" s="1"/>
  <c r="AE66" i="1"/>
  <c r="AG66" i="1" s="1"/>
  <c r="AS65" i="1"/>
  <c r="AU65" i="1" s="1"/>
  <c r="AW65" i="1" s="1"/>
  <c r="AT65" i="1"/>
  <c r="AV65" i="1" s="1"/>
  <c r="G67" i="1"/>
  <c r="I67" i="1" s="1"/>
  <c r="Q67" i="1"/>
  <c r="S67" i="1" s="1"/>
  <c r="T67" i="1" l="1"/>
  <c r="V67" i="1" s="1"/>
  <c r="X67" i="1" s="1"/>
  <c r="U67" i="1"/>
  <c r="W67" i="1" s="1"/>
  <c r="CR62" i="1"/>
  <c r="CT62" i="1" s="1"/>
  <c r="CQ62" i="1"/>
  <c r="CS62" i="1" s="1"/>
  <c r="CU62" i="1" s="1"/>
  <c r="CC63" i="1"/>
  <c r="CE63" i="1" s="1"/>
  <c r="CB63" i="1"/>
  <c r="CD63" i="1" s="1"/>
  <c r="CF63" i="1" s="1"/>
  <c r="BN64" i="1"/>
  <c r="BP64" i="1" s="1"/>
  <c r="BM64" i="1"/>
  <c r="BO64" i="1" s="1"/>
  <c r="BQ64" i="1" s="1"/>
  <c r="K67" i="1"/>
  <c r="M67" i="1" s="1"/>
  <c r="J67" i="1"/>
  <c r="L67" i="1" s="1"/>
  <c r="N67" i="1" s="1"/>
  <c r="D68" i="1"/>
  <c r="AY65" i="1"/>
  <c r="BA65" i="1" s="1"/>
  <c r="AX65" i="1"/>
  <c r="AZ65" i="1" s="1"/>
  <c r="BB65" i="1" s="1"/>
  <c r="AI66" i="1"/>
  <c r="AK66" i="1" s="1"/>
  <c r="AM66" i="1" s="1"/>
  <c r="AJ66" i="1"/>
  <c r="AL66" i="1" s="1"/>
  <c r="CH63" i="1" l="1"/>
  <c r="CJ63" i="1" s="1"/>
  <c r="CG63" i="1"/>
  <c r="CI63" i="1" s="1"/>
  <c r="CK63" i="1" s="1"/>
  <c r="BD65" i="1"/>
  <c r="BF65" i="1" s="1"/>
  <c r="BC65" i="1"/>
  <c r="BE65" i="1" s="1"/>
  <c r="BG65" i="1" s="1"/>
  <c r="P67" i="1"/>
  <c r="R67" i="1" s="1"/>
  <c r="O67" i="1"/>
  <c r="AO66" i="1"/>
  <c r="AQ66" i="1" s="1"/>
  <c r="AN66" i="1"/>
  <c r="AP66" i="1" s="1"/>
  <c r="AR66" i="1" s="1"/>
  <c r="BS64" i="1"/>
  <c r="BU64" i="1" s="1"/>
  <c r="BR64" i="1"/>
  <c r="BT64" i="1" s="1"/>
  <c r="BV64" i="1" s="1"/>
  <c r="CW62" i="1"/>
  <c r="CY62" i="1" s="1"/>
  <c r="CV62" i="1"/>
  <c r="CX62" i="1" s="1"/>
  <c r="CZ62" i="1" s="1"/>
  <c r="F68" i="1"/>
  <c r="H68" i="1" s="1"/>
  <c r="E68" i="1"/>
  <c r="Y67" i="1"/>
  <c r="AA67" i="1" s="1"/>
  <c r="AC67" i="1" s="1"/>
  <c r="Z67" i="1"/>
  <c r="AB67" i="1" s="1"/>
  <c r="DB62" i="1" l="1"/>
  <c r="DD62" i="1" s="1"/>
  <c r="DA62" i="1"/>
  <c r="DC62" i="1" s="1"/>
  <c r="BI65" i="1"/>
  <c r="BK65" i="1" s="1"/>
  <c r="BH65" i="1"/>
  <c r="BJ65" i="1" s="1"/>
  <c r="BL65" i="1" s="1"/>
  <c r="AE67" i="1"/>
  <c r="AG67" i="1" s="1"/>
  <c r="AD67" i="1"/>
  <c r="AF67" i="1" s="1"/>
  <c r="AH67" i="1" s="1"/>
  <c r="Q68" i="1"/>
  <c r="S68" i="1" s="1"/>
  <c r="G68" i="1"/>
  <c r="I68" i="1" s="1"/>
  <c r="BX64" i="1"/>
  <c r="BZ64" i="1" s="1"/>
  <c r="BW64" i="1"/>
  <c r="BY64" i="1" s="1"/>
  <c r="CA64" i="1" s="1"/>
  <c r="AT66" i="1"/>
  <c r="AV66" i="1" s="1"/>
  <c r="AS66" i="1"/>
  <c r="AU66" i="1" s="1"/>
  <c r="AW66" i="1" s="1"/>
  <c r="CM63" i="1"/>
  <c r="CO63" i="1" s="1"/>
  <c r="CL63" i="1"/>
  <c r="CN63" i="1" s="1"/>
  <c r="CP63" i="1" s="1"/>
  <c r="J68" i="1" l="1"/>
  <c r="L68" i="1" s="1"/>
  <c r="N68" i="1" s="1"/>
  <c r="K68" i="1"/>
  <c r="M68" i="1" s="1"/>
  <c r="D69" i="1"/>
  <c r="U68" i="1"/>
  <c r="W68" i="1" s="1"/>
  <c r="T68" i="1"/>
  <c r="V68" i="1" s="1"/>
  <c r="X68" i="1" s="1"/>
  <c r="BN65" i="1"/>
  <c r="BP65" i="1" s="1"/>
  <c r="BM65" i="1"/>
  <c r="BO65" i="1" s="1"/>
  <c r="BQ65" i="1" s="1"/>
  <c r="AJ67" i="1"/>
  <c r="AL67" i="1" s="1"/>
  <c r="AI67" i="1"/>
  <c r="AK67" i="1" s="1"/>
  <c r="AM67" i="1" s="1"/>
  <c r="CR63" i="1"/>
  <c r="CT63" i="1" s="1"/>
  <c r="CQ63" i="1"/>
  <c r="CS63" i="1" s="1"/>
  <c r="CU63" i="1" s="1"/>
  <c r="AY66" i="1"/>
  <c r="BA66" i="1" s="1"/>
  <c r="AX66" i="1"/>
  <c r="AZ66" i="1" s="1"/>
  <c r="BB66" i="1" s="1"/>
  <c r="CC64" i="1"/>
  <c r="CE64" i="1" s="1"/>
  <c r="CB64" i="1"/>
  <c r="CD64" i="1" s="1"/>
  <c r="CF64" i="1" s="1"/>
  <c r="BD66" i="1" l="1"/>
  <c r="BF66" i="1" s="1"/>
  <c r="BC66" i="1"/>
  <c r="BE66" i="1" s="1"/>
  <c r="BG66" i="1" s="1"/>
  <c r="BS65" i="1"/>
  <c r="BU65" i="1" s="1"/>
  <c r="BR65" i="1"/>
  <c r="BT65" i="1" s="1"/>
  <c r="BV65" i="1" s="1"/>
  <c r="CW63" i="1"/>
  <c r="CY63" i="1" s="1"/>
  <c r="CV63" i="1"/>
  <c r="CX63" i="1" s="1"/>
  <c r="CZ63" i="1" s="1"/>
  <c r="CH64" i="1"/>
  <c r="CJ64" i="1" s="1"/>
  <c r="CG64" i="1"/>
  <c r="CI64" i="1" s="1"/>
  <c r="CK64" i="1" s="1"/>
  <c r="Z68" i="1"/>
  <c r="AB68" i="1" s="1"/>
  <c r="Y68" i="1"/>
  <c r="AA68" i="1" s="1"/>
  <c r="AC68" i="1" s="1"/>
  <c r="E69" i="1"/>
  <c r="F69" i="1"/>
  <c r="H69" i="1" s="1"/>
  <c r="AO67" i="1"/>
  <c r="AQ67" i="1" s="1"/>
  <c r="AN67" i="1"/>
  <c r="AP67" i="1" s="1"/>
  <c r="AR67" i="1" s="1"/>
  <c r="O68" i="1"/>
  <c r="P68" i="1"/>
  <c r="R68" i="1" s="1"/>
  <c r="CM64" i="1" l="1"/>
  <c r="CO64" i="1" s="1"/>
  <c r="CL64" i="1"/>
  <c r="CN64" i="1" s="1"/>
  <c r="CP64" i="1" s="1"/>
  <c r="BX65" i="1"/>
  <c r="BZ65" i="1" s="1"/>
  <c r="BW65" i="1"/>
  <c r="BY65" i="1" s="1"/>
  <c r="CA65" i="1" s="1"/>
  <c r="BI66" i="1"/>
  <c r="BK66" i="1" s="1"/>
  <c r="BH66" i="1"/>
  <c r="BJ66" i="1" s="1"/>
  <c r="BL66" i="1" s="1"/>
  <c r="AT67" i="1"/>
  <c r="AV67" i="1" s="1"/>
  <c r="AS67" i="1"/>
  <c r="AU67" i="1" s="1"/>
  <c r="AW67" i="1" s="1"/>
  <c r="Q69" i="1"/>
  <c r="S69" i="1" s="1"/>
  <c r="G69" i="1"/>
  <c r="I69" i="1" s="1"/>
  <c r="DB63" i="1"/>
  <c r="DD63" i="1" s="1"/>
  <c r="DA63" i="1"/>
  <c r="DC63" i="1" s="1"/>
  <c r="AE68" i="1"/>
  <c r="AG68" i="1" s="1"/>
  <c r="AD68" i="1"/>
  <c r="AF68" i="1" s="1"/>
  <c r="AH68" i="1" s="1"/>
  <c r="AY67" i="1" l="1"/>
  <c r="BA67" i="1" s="1"/>
  <c r="AX67" i="1"/>
  <c r="AZ67" i="1" s="1"/>
  <c r="BB67" i="1" s="1"/>
  <c r="CC65" i="1"/>
  <c r="CE65" i="1" s="1"/>
  <c r="CB65" i="1"/>
  <c r="CD65" i="1" s="1"/>
  <c r="CF65" i="1" s="1"/>
  <c r="AJ68" i="1"/>
  <c r="AL68" i="1" s="1"/>
  <c r="AI68" i="1"/>
  <c r="AK68" i="1" s="1"/>
  <c r="AM68" i="1" s="1"/>
  <c r="BN66" i="1"/>
  <c r="BP66" i="1" s="1"/>
  <c r="BM66" i="1"/>
  <c r="BO66" i="1" s="1"/>
  <c r="BQ66" i="1" s="1"/>
  <c r="K69" i="1"/>
  <c r="M69" i="1" s="1"/>
  <c r="J69" i="1"/>
  <c r="L69" i="1" s="1"/>
  <c r="N69" i="1" s="1"/>
  <c r="D70" i="1"/>
  <c r="CR64" i="1"/>
  <c r="CT64" i="1" s="1"/>
  <c r="CQ64" i="1"/>
  <c r="CS64" i="1" s="1"/>
  <c r="CU64" i="1" s="1"/>
  <c r="U69" i="1"/>
  <c r="W69" i="1" s="1"/>
  <c r="T69" i="1"/>
  <c r="V69" i="1" s="1"/>
  <c r="X69" i="1" s="1"/>
  <c r="AO68" i="1" l="1"/>
  <c r="AQ68" i="1" s="1"/>
  <c r="AN68" i="1"/>
  <c r="AP68" i="1" s="1"/>
  <c r="AR68" i="1" s="1"/>
  <c r="BS66" i="1"/>
  <c r="BU66" i="1" s="1"/>
  <c r="BR66" i="1"/>
  <c r="BT66" i="1" s="1"/>
  <c r="BV66" i="1" s="1"/>
  <c r="CW64" i="1"/>
  <c r="CY64" i="1" s="1"/>
  <c r="CV64" i="1"/>
  <c r="CX64" i="1" s="1"/>
  <c r="CZ64" i="1" s="1"/>
  <c r="BD67" i="1"/>
  <c r="BF67" i="1" s="1"/>
  <c r="BC67" i="1"/>
  <c r="BE67" i="1" s="1"/>
  <c r="BG67" i="1" s="1"/>
  <c r="CH65" i="1"/>
  <c r="CJ65" i="1" s="1"/>
  <c r="CG65" i="1"/>
  <c r="CI65" i="1" s="1"/>
  <c r="CK65" i="1" s="1"/>
  <c r="F70" i="1"/>
  <c r="H70" i="1" s="1"/>
  <c r="E70" i="1"/>
  <c r="Z69" i="1"/>
  <c r="AB69" i="1" s="1"/>
  <c r="Y69" i="1"/>
  <c r="AA69" i="1" s="1"/>
  <c r="AC69" i="1" s="1"/>
  <c r="P69" i="1"/>
  <c r="R69" i="1" s="1"/>
  <c r="O69" i="1"/>
  <c r="DA64" i="1" l="1"/>
  <c r="DC64" i="1" s="1"/>
  <c r="DB64" i="1"/>
  <c r="DD64" i="1" s="1"/>
  <c r="BX66" i="1"/>
  <c r="BZ66" i="1" s="1"/>
  <c r="BW66" i="1"/>
  <c r="BY66" i="1" s="1"/>
  <c r="CA66" i="1" s="1"/>
  <c r="AE69" i="1"/>
  <c r="AG69" i="1" s="1"/>
  <c r="AD69" i="1"/>
  <c r="AF69" i="1" s="1"/>
  <c r="AH69" i="1" s="1"/>
  <c r="CM65" i="1"/>
  <c r="CO65" i="1" s="1"/>
  <c r="CL65" i="1"/>
  <c r="CN65" i="1" s="1"/>
  <c r="CP65" i="1" s="1"/>
  <c r="AT68" i="1"/>
  <c r="AV68" i="1" s="1"/>
  <c r="AS68" i="1"/>
  <c r="AU68" i="1" s="1"/>
  <c r="AW68" i="1" s="1"/>
  <c r="BI67" i="1"/>
  <c r="BK67" i="1" s="1"/>
  <c r="BH67" i="1"/>
  <c r="BJ67" i="1" s="1"/>
  <c r="BL67" i="1" s="1"/>
  <c r="G70" i="1"/>
  <c r="I70" i="1" s="1"/>
  <c r="Q70" i="1"/>
  <c r="S70" i="1" s="1"/>
  <c r="U70" i="1" l="1"/>
  <c r="W70" i="1" s="1"/>
  <c r="T70" i="1"/>
  <c r="V70" i="1" s="1"/>
  <c r="X70" i="1" s="1"/>
  <c r="AJ69" i="1"/>
  <c r="AL69" i="1" s="1"/>
  <c r="AI69" i="1"/>
  <c r="AK69" i="1" s="1"/>
  <c r="AM69" i="1" s="1"/>
  <c r="BN67" i="1"/>
  <c r="BP67" i="1" s="1"/>
  <c r="BM67" i="1"/>
  <c r="BO67" i="1" s="1"/>
  <c r="BQ67" i="1" s="1"/>
  <c r="CC66" i="1"/>
  <c r="CE66" i="1" s="1"/>
  <c r="CB66" i="1"/>
  <c r="CD66" i="1" s="1"/>
  <c r="CF66" i="1" s="1"/>
  <c r="AY68" i="1"/>
  <c r="BA68" i="1" s="1"/>
  <c r="AX68" i="1"/>
  <c r="AZ68" i="1" s="1"/>
  <c r="BB68" i="1" s="1"/>
  <c r="CQ65" i="1"/>
  <c r="CS65" i="1" s="1"/>
  <c r="CU65" i="1" s="1"/>
  <c r="CR65" i="1"/>
  <c r="CT65" i="1" s="1"/>
  <c r="K70" i="1"/>
  <c r="M70" i="1" s="1"/>
  <c r="J70" i="1"/>
  <c r="L70" i="1" s="1"/>
  <c r="N70" i="1" s="1"/>
  <c r="D71" i="1"/>
  <c r="CG66" i="1" l="1"/>
  <c r="CI66" i="1" s="1"/>
  <c r="CK66" i="1" s="1"/>
  <c r="CH66" i="1"/>
  <c r="CJ66" i="1" s="1"/>
  <c r="P70" i="1"/>
  <c r="R70" i="1" s="1"/>
  <c r="O70" i="1"/>
  <c r="CV65" i="1"/>
  <c r="CX65" i="1" s="1"/>
  <c r="CZ65" i="1" s="1"/>
  <c r="CW65" i="1"/>
  <c r="CY65" i="1" s="1"/>
  <c r="F71" i="1"/>
  <c r="H71" i="1" s="1"/>
  <c r="E71" i="1"/>
  <c r="AO69" i="1"/>
  <c r="AQ69" i="1" s="1"/>
  <c r="AN69" i="1"/>
  <c r="AP69" i="1" s="1"/>
  <c r="AR69" i="1" s="1"/>
  <c r="BD68" i="1"/>
  <c r="BF68" i="1" s="1"/>
  <c r="BC68" i="1"/>
  <c r="BE68" i="1" s="1"/>
  <c r="BG68" i="1" s="1"/>
  <c r="BS67" i="1"/>
  <c r="BU67" i="1" s="1"/>
  <c r="BR67" i="1"/>
  <c r="BT67" i="1" s="1"/>
  <c r="BV67" i="1" s="1"/>
  <c r="Z70" i="1"/>
  <c r="AB70" i="1" s="1"/>
  <c r="Y70" i="1"/>
  <c r="AA70" i="1" s="1"/>
  <c r="AC70" i="1" s="1"/>
  <c r="BW67" i="1" l="1"/>
  <c r="BY67" i="1" s="1"/>
  <c r="CA67" i="1" s="1"/>
  <c r="BX67" i="1"/>
  <c r="BZ67" i="1" s="1"/>
  <c r="DA65" i="1"/>
  <c r="DC65" i="1" s="1"/>
  <c r="DB65" i="1"/>
  <c r="DD65" i="1" s="1"/>
  <c r="AE70" i="1"/>
  <c r="AG70" i="1" s="1"/>
  <c r="AD70" i="1"/>
  <c r="AF70" i="1" s="1"/>
  <c r="AH70" i="1" s="1"/>
  <c r="AT69" i="1"/>
  <c r="AV69" i="1" s="1"/>
  <c r="AS69" i="1"/>
  <c r="AU69" i="1" s="1"/>
  <c r="AW69" i="1" s="1"/>
  <c r="Q71" i="1"/>
  <c r="S71" i="1" s="1"/>
  <c r="G71" i="1"/>
  <c r="I71" i="1" s="1"/>
  <c r="BI68" i="1"/>
  <c r="BK68" i="1" s="1"/>
  <c r="BH68" i="1"/>
  <c r="BJ68" i="1" s="1"/>
  <c r="BL68" i="1" s="1"/>
  <c r="CL66" i="1"/>
  <c r="CN66" i="1" s="1"/>
  <c r="CP66" i="1" s="1"/>
  <c r="CM66" i="1"/>
  <c r="CO66" i="1" s="1"/>
  <c r="AJ70" i="1" l="1"/>
  <c r="AL70" i="1" s="1"/>
  <c r="AI70" i="1"/>
  <c r="AK70" i="1" s="1"/>
  <c r="AM70" i="1" s="1"/>
  <c r="BM68" i="1"/>
  <c r="BO68" i="1" s="1"/>
  <c r="BQ68" i="1" s="1"/>
  <c r="BN68" i="1"/>
  <c r="BP68" i="1" s="1"/>
  <c r="K71" i="1"/>
  <c r="M71" i="1" s="1"/>
  <c r="J71" i="1"/>
  <c r="L71" i="1" s="1"/>
  <c r="N71" i="1" s="1"/>
  <c r="D72" i="1"/>
  <c r="AY69" i="1"/>
  <c r="BA69" i="1" s="1"/>
  <c r="AX69" i="1"/>
  <c r="AZ69" i="1" s="1"/>
  <c r="BB69" i="1" s="1"/>
  <c r="CQ66" i="1"/>
  <c r="CS66" i="1" s="1"/>
  <c r="CU66" i="1" s="1"/>
  <c r="CR66" i="1"/>
  <c r="CT66" i="1" s="1"/>
  <c r="U71" i="1"/>
  <c r="W71" i="1" s="1"/>
  <c r="T71" i="1"/>
  <c r="V71" i="1" s="1"/>
  <c r="X71" i="1" s="1"/>
  <c r="CB67" i="1"/>
  <c r="CD67" i="1" s="1"/>
  <c r="CF67" i="1" s="1"/>
  <c r="CC67" i="1"/>
  <c r="CE67" i="1" s="1"/>
  <c r="F72" i="1" l="1"/>
  <c r="H72" i="1" s="1"/>
  <c r="E72" i="1"/>
  <c r="Z71" i="1"/>
  <c r="AB71" i="1" s="1"/>
  <c r="Y71" i="1"/>
  <c r="AA71" i="1" s="1"/>
  <c r="AC71" i="1" s="1"/>
  <c r="P71" i="1"/>
  <c r="R71" i="1" s="1"/>
  <c r="O71" i="1"/>
  <c r="CG67" i="1"/>
  <c r="CI67" i="1" s="1"/>
  <c r="CK67" i="1" s="1"/>
  <c r="CH67" i="1"/>
  <c r="CJ67" i="1" s="1"/>
  <c r="BR68" i="1"/>
  <c r="BT68" i="1" s="1"/>
  <c r="BV68" i="1" s="1"/>
  <c r="BS68" i="1"/>
  <c r="BU68" i="1" s="1"/>
  <c r="CW66" i="1"/>
  <c r="CY66" i="1" s="1"/>
  <c r="CV66" i="1"/>
  <c r="CX66" i="1" s="1"/>
  <c r="CZ66" i="1" s="1"/>
  <c r="AO70" i="1"/>
  <c r="AQ70" i="1" s="1"/>
  <c r="AN70" i="1"/>
  <c r="AP70" i="1" s="1"/>
  <c r="AR70" i="1" s="1"/>
  <c r="BC69" i="1"/>
  <c r="BE69" i="1" s="1"/>
  <c r="BG69" i="1" s="1"/>
  <c r="BD69" i="1"/>
  <c r="BF69" i="1" s="1"/>
  <c r="AS70" i="1" l="1"/>
  <c r="AU70" i="1" s="1"/>
  <c r="AW70" i="1" s="1"/>
  <c r="AT70" i="1"/>
  <c r="AV70" i="1" s="1"/>
  <c r="BH69" i="1"/>
  <c r="BJ69" i="1" s="1"/>
  <c r="BL69" i="1" s="1"/>
  <c r="BI69" i="1"/>
  <c r="BK69" i="1" s="1"/>
  <c r="DB66" i="1"/>
  <c r="DD66" i="1" s="1"/>
  <c r="DA66" i="1"/>
  <c r="DC66" i="1" s="1"/>
  <c r="G72" i="1"/>
  <c r="I72" i="1" s="1"/>
  <c r="Q72" i="1"/>
  <c r="S72" i="1" s="1"/>
  <c r="CM67" i="1"/>
  <c r="CO67" i="1" s="1"/>
  <c r="CL67" i="1"/>
  <c r="CN67" i="1" s="1"/>
  <c r="CP67" i="1" s="1"/>
  <c r="AD71" i="1"/>
  <c r="AF71" i="1" s="1"/>
  <c r="AH71" i="1" s="1"/>
  <c r="AE71" i="1"/>
  <c r="AG71" i="1" s="1"/>
  <c r="BW68" i="1"/>
  <c r="BY68" i="1" s="1"/>
  <c r="CA68" i="1" s="1"/>
  <c r="BX68" i="1"/>
  <c r="BZ68" i="1" s="1"/>
  <c r="U72" i="1" l="1"/>
  <c r="W72" i="1" s="1"/>
  <c r="T72" i="1"/>
  <c r="V72" i="1" s="1"/>
  <c r="X72" i="1" s="1"/>
  <c r="CC68" i="1"/>
  <c r="CE68" i="1" s="1"/>
  <c r="CB68" i="1"/>
  <c r="CD68" i="1" s="1"/>
  <c r="CF68" i="1" s="1"/>
  <c r="BM69" i="1"/>
  <c r="BO69" i="1" s="1"/>
  <c r="BQ69" i="1" s="1"/>
  <c r="BN69" i="1"/>
  <c r="BP69" i="1" s="1"/>
  <c r="K72" i="1"/>
  <c r="M72" i="1" s="1"/>
  <c r="J72" i="1"/>
  <c r="L72" i="1" s="1"/>
  <c r="N72" i="1" s="1"/>
  <c r="D73" i="1"/>
  <c r="AJ71" i="1"/>
  <c r="AL71" i="1" s="1"/>
  <c r="AI71" i="1"/>
  <c r="AK71" i="1" s="1"/>
  <c r="AM71" i="1" s="1"/>
  <c r="AX70" i="1"/>
  <c r="AZ70" i="1" s="1"/>
  <c r="BB70" i="1" s="1"/>
  <c r="AY70" i="1"/>
  <c r="BA70" i="1" s="1"/>
  <c r="CR67" i="1"/>
  <c r="CT67" i="1" s="1"/>
  <c r="CQ67" i="1"/>
  <c r="CS67" i="1" s="1"/>
  <c r="CU67" i="1" s="1"/>
  <c r="P72" i="1" l="1"/>
  <c r="R72" i="1" s="1"/>
  <c r="O72" i="1"/>
  <c r="CW67" i="1"/>
  <c r="CY67" i="1" s="1"/>
  <c r="CV67" i="1"/>
  <c r="CX67" i="1" s="1"/>
  <c r="CZ67" i="1" s="1"/>
  <c r="CH68" i="1"/>
  <c r="CJ68" i="1" s="1"/>
  <c r="CG68" i="1"/>
  <c r="CI68" i="1" s="1"/>
  <c r="CK68" i="1" s="1"/>
  <c r="BC70" i="1"/>
  <c r="BE70" i="1" s="1"/>
  <c r="BG70" i="1" s="1"/>
  <c r="BD70" i="1"/>
  <c r="BF70" i="1" s="1"/>
  <c r="BS69" i="1"/>
  <c r="BU69" i="1" s="1"/>
  <c r="BR69" i="1"/>
  <c r="BT69" i="1" s="1"/>
  <c r="BV69" i="1" s="1"/>
  <c r="AO71" i="1"/>
  <c r="AQ71" i="1" s="1"/>
  <c r="AN71" i="1"/>
  <c r="AP71" i="1" s="1"/>
  <c r="AR71" i="1" s="1"/>
  <c r="Z72" i="1"/>
  <c r="AB72" i="1" s="1"/>
  <c r="Y72" i="1"/>
  <c r="AA72" i="1" s="1"/>
  <c r="AC72" i="1" s="1"/>
  <c r="F73" i="1"/>
  <c r="H73" i="1" s="1"/>
  <c r="E73" i="1"/>
  <c r="G73" i="1" l="1"/>
  <c r="I73" i="1" s="1"/>
  <c r="Q73" i="1"/>
  <c r="S73" i="1" s="1"/>
  <c r="BI70" i="1"/>
  <c r="BK70" i="1" s="1"/>
  <c r="BH70" i="1"/>
  <c r="BJ70" i="1" s="1"/>
  <c r="BL70" i="1" s="1"/>
  <c r="AS71" i="1"/>
  <c r="AU71" i="1" s="1"/>
  <c r="AW71" i="1" s="1"/>
  <c r="AT71" i="1"/>
  <c r="AV71" i="1" s="1"/>
  <c r="AE72" i="1"/>
  <c r="AG72" i="1" s="1"/>
  <c r="AD72" i="1"/>
  <c r="AF72" i="1" s="1"/>
  <c r="AH72" i="1" s="1"/>
  <c r="CM68" i="1"/>
  <c r="CO68" i="1" s="1"/>
  <c r="CL68" i="1"/>
  <c r="CN68" i="1" s="1"/>
  <c r="CP68" i="1" s="1"/>
  <c r="BX69" i="1"/>
  <c r="BZ69" i="1" s="1"/>
  <c r="BW69" i="1"/>
  <c r="BY69" i="1" s="1"/>
  <c r="CA69" i="1" s="1"/>
  <c r="DB67" i="1"/>
  <c r="DD67" i="1" s="1"/>
  <c r="DA67" i="1"/>
  <c r="DC67" i="1" s="1"/>
  <c r="AI72" i="1" l="1"/>
  <c r="AK72" i="1" s="1"/>
  <c r="AM72" i="1" s="1"/>
  <c r="AJ72" i="1"/>
  <c r="AL72" i="1" s="1"/>
  <c r="AY71" i="1"/>
  <c r="BA71" i="1" s="1"/>
  <c r="AX71" i="1"/>
  <c r="AZ71" i="1" s="1"/>
  <c r="BB71" i="1" s="1"/>
  <c r="BN70" i="1"/>
  <c r="BP70" i="1" s="1"/>
  <c r="BM70" i="1"/>
  <c r="BO70" i="1" s="1"/>
  <c r="BQ70" i="1" s="1"/>
  <c r="CR68" i="1"/>
  <c r="CT68" i="1" s="1"/>
  <c r="CQ68" i="1"/>
  <c r="CS68" i="1" s="1"/>
  <c r="CU68" i="1" s="1"/>
  <c r="U73" i="1"/>
  <c r="W73" i="1" s="1"/>
  <c r="T73" i="1"/>
  <c r="V73" i="1" s="1"/>
  <c r="X73" i="1" s="1"/>
  <c r="CC69" i="1"/>
  <c r="CE69" i="1" s="1"/>
  <c r="CB69" i="1"/>
  <c r="CD69" i="1" s="1"/>
  <c r="CF69" i="1" s="1"/>
  <c r="K73" i="1"/>
  <c r="M73" i="1" s="1"/>
  <c r="J73" i="1"/>
  <c r="L73" i="1" s="1"/>
  <c r="N73" i="1" s="1"/>
  <c r="D74" i="1"/>
  <c r="CH69" i="1" l="1"/>
  <c r="CJ69" i="1" s="1"/>
  <c r="CG69" i="1"/>
  <c r="CI69" i="1" s="1"/>
  <c r="CK69" i="1" s="1"/>
  <c r="CW68" i="1"/>
  <c r="CY68" i="1" s="1"/>
  <c r="CV68" i="1"/>
  <c r="CX68" i="1" s="1"/>
  <c r="CZ68" i="1" s="1"/>
  <c r="P73" i="1"/>
  <c r="R73" i="1" s="1"/>
  <c r="O73" i="1"/>
  <c r="BD71" i="1"/>
  <c r="BF71" i="1" s="1"/>
  <c r="BC71" i="1"/>
  <c r="BE71" i="1" s="1"/>
  <c r="BG71" i="1" s="1"/>
  <c r="F74" i="1"/>
  <c r="H74" i="1" s="1"/>
  <c r="E74" i="1"/>
  <c r="Y73" i="1"/>
  <c r="AA73" i="1" s="1"/>
  <c r="AC73" i="1" s="1"/>
  <c r="Z73" i="1"/>
  <c r="AB73" i="1" s="1"/>
  <c r="BS70" i="1"/>
  <c r="BU70" i="1" s="1"/>
  <c r="BR70" i="1"/>
  <c r="BT70" i="1" s="1"/>
  <c r="BV70" i="1" s="1"/>
  <c r="AO72" i="1"/>
  <c r="AQ72" i="1" s="1"/>
  <c r="AN72" i="1"/>
  <c r="AP72" i="1" s="1"/>
  <c r="AR72" i="1" s="1"/>
  <c r="BI71" i="1" l="1"/>
  <c r="BK71" i="1" s="1"/>
  <c r="BH71" i="1"/>
  <c r="BJ71" i="1" s="1"/>
  <c r="BL71" i="1" s="1"/>
  <c r="BX70" i="1"/>
  <c r="BZ70" i="1" s="1"/>
  <c r="BW70" i="1"/>
  <c r="BY70" i="1" s="1"/>
  <c r="CA70" i="1" s="1"/>
  <c r="AE73" i="1"/>
  <c r="AG73" i="1" s="1"/>
  <c r="AD73" i="1"/>
  <c r="AF73" i="1" s="1"/>
  <c r="AH73" i="1" s="1"/>
  <c r="AT72" i="1"/>
  <c r="AV72" i="1" s="1"/>
  <c r="AS72" i="1"/>
  <c r="AU72" i="1" s="1"/>
  <c r="AW72" i="1" s="1"/>
  <c r="DB68" i="1"/>
  <c r="DD68" i="1" s="1"/>
  <c r="DA68" i="1"/>
  <c r="DC68" i="1" s="1"/>
  <c r="G74" i="1"/>
  <c r="I74" i="1" s="1"/>
  <c r="Q74" i="1"/>
  <c r="S74" i="1" s="1"/>
  <c r="CM69" i="1"/>
  <c r="CO69" i="1" s="1"/>
  <c r="CL69" i="1"/>
  <c r="CN69" i="1" s="1"/>
  <c r="CP69" i="1" s="1"/>
  <c r="AY72" i="1" l="1"/>
  <c r="BA72" i="1" s="1"/>
  <c r="AX72" i="1"/>
  <c r="AZ72" i="1" s="1"/>
  <c r="BB72" i="1" s="1"/>
  <c r="AJ73" i="1"/>
  <c r="AL73" i="1" s="1"/>
  <c r="AI73" i="1"/>
  <c r="AK73" i="1" s="1"/>
  <c r="AM73" i="1" s="1"/>
  <c r="CC70" i="1"/>
  <c r="CE70" i="1" s="1"/>
  <c r="CB70" i="1"/>
  <c r="CD70" i="1" s="1"/>
  <c r="CF70" i="1" s="1"/>
  <c r="U74" i="1"/>
  <c r="W74" i="1" s="1"/>
  <c r="T74" i="1"/>
  <c r="V74" i="1" s="1"/>
  <c r="X74" i="1" s="1"/>
  <c r="K74" i="1"/>
  <c r="M74" i="1" s="1"/>
  <c r="J74" i="1"/>
  <c r="L74" i="1" s="1"/>
  <c r="N74" i="1" s="1"/>
  <c r="D75" i="1"/>
  <c r="CR69" i="1"/>
  <c r="CT69" i="1" s="1"/>
  <c r="CQ69" i="1"/>
  <c r="CS69" i="1" s="1"/>
  <c r="CU69" i="1" s="1"/>
  <c r="BN71" i="1"/>
  <c r="BP71" i="1" s="1"/>
  <c r="BM71" i="1"/>
  <c r="BO71" i="1" s="1"/>
  <c r="BQ71" i="1" s="1"/>
  <c r="CH70" i="1" l="1"/>
  <c r="CJ70" i="1" s="1"/>
  <c r="CG70" i="1"/>
  <c r="CI70" i="1" s="1"/>
  <c r="CK70" i="1" s="1"/>
  <c r="BD72" i="1"/>
  <c r="BF72" i="1" s="1"/>
  <c r="BC72" i="1"/>
  <c r="BE72" i="1" s="1"/>
  <c r="BG72" i="1" s="1"/>
  <c r="Z74" i="1"/>
  <c r="AB74" i="1" s="1"/>
  <c r="Y74" i="1"/>
  <c r="AA74" i="1" s="1"/>
  <c r="AC74" i="1" s="1"/>
  <c r="AO73" i="1"/>
  <c r="AQ73" i="1" s="1"/>
  <c r="AN73" i="1"/>
  <c r="AP73" i="1" s="1"/>
  <c r="AR73" i="1" s="1"/>
  <c r="BS71" i="1"/>
  <c r="BU71" i="1" s="1"/>
  <c r="BR71" i="1"/>
  <c r="BT71" i="1" s="1"/>
  <c r="BV71" i="1" s="1"/>
  <c r="CW69" i="1"/>
  <c r="CY69" i="1" s="1"/>
  <c r="CV69" i="1"/>
  <c r="CX69" i="1" s="1"/>
  <c r="CZ69" i="1" s="1"/>
  <c r="E75" i="1"/>
  <c r="F75" i="1"/>
  <c r="H75" i="1" s="1"/>
  <c r="O74" i="1"/>
  <c r="P74" i="1"/>
  <c r="R74" i="1" s="1"/>
  <c r="AE74" i="1" l="1"/>
  <c r="AG74" i="1" s="1"/>
  <c r="AD74" i="1"/>
  <c r="AF74" i="1" s="1"/>
  <c r="AH74" i="1" s="1"/>
  <c r="Q75" i="1"/>
  <c r="S75" i="1" s="1"/>
  <c r="G75" i="1"/>
  <c r="I75" i="1" s="1"/>
  <c r="AT73" i="1"/>
  <c r="AV73" i="1" s="1"/>
  <c r="AS73" i="1"/>
  <c r="AU73" i="1" s="1"/>
  <c r="AW73" i="1" s="1"/>
  <c r="BX71" i="1"/>
  <c r="BZ71" i="1" s="1"/>
  <c r="BW71" i="1"/>
  <c r="BY71" i="1" s="1"/>
  <c r="CA71" i="1" s="1"/>
  <c r="DB69" i="1"/>
  <c r="DD69" i="1" s="1"/>
  <c r="DA69" i="1"/>
  <c r="DC69" i="1" s="1"/>
  <c r="BH72" i="1"/>
  <c r="BJ72" i="1" s="1"/>
  <c r="BL72" i="1" s="1"/>
  <c r="BI72" i="1"/>
  <c r="BK72" i="1" s="1"/>
  <c r="CM70" i="1"/>
  <c r="CO70" i="1" s="1"/>
  <c r="CL70" i="1"/>
  <c r="CN70" i="1" s="1"/>
  <c r="CP70" i="1" s="1"/>
  <c r="CC71" i="1" l="1"/>
  <c r="CE71" i="1" s="1"/>
  <c r="CB71" i="1"/>
  <c r="CD71" i="1" s="1"/>
  <c r="CF71" i="1" s="1"/>
  <c r="CR70" i="1"/>
  <c r="CT70" i="1" s="1"/>
  <c r="CQ70" i="1"/>
  <c r="CS70" i="1" s="1"/>
  <c r="CU70" i="1" s="1"/>
  <c r="BN72" i="1"/>
  <c r="BP72" i="1" s="1"/>
  <c r="BM72" i="1"/>
  <c r="BO72" i="1" s="1"/>
  <c r="BQ72" i="1" s="1"/>
  <c r="U75" i="1"/>
  <c r="W75" i="1" s="1"/>
  <c r="T75" i="1"/>
  <c r="V75" i="1" s="1"/>
  <c r="X75" i="1" s="1"/>
  <c r="AX73" i="1"/>
  <c r="AZ73" i="1" s="1"/>
  <c r="BB73" i="1" s="1"/>
  <c r="AY73" i="1"/>
  <c r="BA73" i="1" s="1"/>
  <c r="K75" i="1"/>
  <c r="M75" i="1" s="1"/>
  <c r="J75" i="1"/>
  <c r="L75" i="1" s="1"/>
  <c r="N75" i="1" s="1"/>
  <c r="D76" i="1"/>
  <c r="AJ74" i="1"/>
  <c r="AL74" i="1" s="1"/>
  <c r="AI74" i="1"/>
  <c r="AK74" i="1" s="1"/>
  <c r="AM74" i="1" s="1"/>
  <c r="F76" i="1" l="1"/>
  <c r="H76" i="1" s="1"/>
  <c r="E76" i="1"/>
  <c r="Z75" i="1"/>
  <c r="AB75" i="1" s="1"/>
  <c r="Y75" i="1"/>
  <c r="AA75" i="1" s="1"/>
  <c r="AC75" i="1" s="1"/>
  <c r="BS72" i="1"/>
  <c r="BU72" i="1" s="1"/>
  <c r="BR72" i="1"/>
  <c r="BT72" i="1" s="1"/>
  <c r="BV72" i="1" s="1"/>
  <c r="CV70" i="1"/>
  <c r="CX70" i="1" s="1"/>
  <c r="CW70" i="1"/>
  <c r="CY70" i="1" s="1"/>
  <c r="AN74" i="1"/>
  <c r="AP74" i="1" s="1"/>
  <c r="AR74" i="1" s="1"/>
  <c r="AO74" i="1"/>
  <c r="AQ74" i="1" s="1"/>
  <c r="P75" i="1"/>
  <c r="R75" i="1" s="1"/>
  <c r="O75" i="1"/>
  <c r="BD73" i="1"/>
  <c r="BF73" i="1" s="1"/>
  <c r="BC73" i="1"/>
  <c r="BE73" i="1" s="1"/>
  <c r="BG73" i="1" s="1"/>
  <c r="CH71" i="1"/>
  <c r="CJ71" i="1" s="1"/>
  <c r="CG71" i="1"/>
  <c r="CI71" i="1" s="1"/>
  <c r="CK71" i="1" s="1"/>
  <c r="CL71" i="1" l="1"/>
  <c r="CN71" i="1" s="1"/>
  <c r="CP71" i="1" s="1"/>
  <c r="CM71" i="1"/>
  <c r="CO71" i="1" s="1"/>
  <c r="BX72" i="1"/>
  <c r="BZ72" i="1" s="1"/>
  <c r="BW72" i="1"/>
  <c r="BY72" i="1" s="1"/>
  <c r="CA72" i="1" s="1"/>
  <c r="CZ70" i="1"/>
  <c r="G76" i="1"/>
  <c r="I76" i="1" s="1"/>
  <c r="Q76" i="1"/>
  <c r="S76" i="1" s="1"/>
  <c r="BI73" i="1"/>
  <c r="BK73" i="1" s="1"/>
  <c r="BH73" i="1"/>
  <c r="BJ73" i="1" s="1"/>
  <c r="BL73" i="1" s="1"/>
  <c r="AD75" i="1"/>
  <c r="AF75" i="1" s="1"/>
  <c r="AH75" i="1" s="1"/>
  <c r="AE75" i="1"/>
  <c r="AG75" i="1" s="1"/>
  <c r="AT74" i="1"/>
  <c r="AV74" i="1" s="1"/>
  <c r="AS74" i="1"/>
  <c r="AU74" i="1" s="1"/>
  <c r="AW74" i="1" s="1"/>
  <c r="BN73" i="1" l="1"/>
  <c r="BP73" i="1" s="1"/>
  <c r="BM73" i="1"/>
  <c r="BO73" i="1" s="1"/>
  <c r="BQ73" i="1" s="1"/>
  <c r="K76" i="1"/>
  <c r="M76" i="1" s="1"/>
  <c r="J76" i="1"/>
  <c r="L76" i="1" s="1"/>
  <c r="N76" i="1" s="1"/>
  <c r="D77" i="1"/>
  <c r="CC72" i="1"/>
  <c r="CE72" i="1" s="1"/>
  <c r="CB72" i="1"/>
  <c r="CD72" i="1" s="1"/>
  <c r="CF72" i="1" s="1"/>
  <c r="DB70" i="1"/>
  <c r="DD70" i="1" s="1"/>
  <c r="DA70" i="1"/>
  <c r="DC70" i="1" s="1"/>
  <c r="AJ75" i="1"/>
  <c r="AL75" i="1" s="1"/>
  <c r="AI75" i="1"/>
  <c r="AK75" i="1" s="1"/>
  <c r="AM75" i="1" s="1"/>
  <c r="T76" i="1"/>
  <c r="V76" i="1" s="1"/>
  <c r="X76" i="1" s="1"/>
  <c r="U76" i="1"/>
  <c r="W76" i="1" s="1"/>
  <c r="AY74" i="1"/>
  <c r="BA74" i="1" s="1"/>
  <c r="AX74" i="1"/>
  <c r="AZ74" i="1" s="1"/>
  <c r="BB74" i="1" s="1"/>
  <c r="CR71" i="1"/>
  <c r="CT71" i="1" s="1"/>
  <c r="CQ71" i="1"/>
  <c r="CS71" i="1" s="1"/>
  <c r="CU71" i="1" s="1"/>
  <c r="BD74" i="1" l="1"/>
  <c r="BF74" i="1" s="1"/>
  <c r="BC74" i="1"/>
  <c r="BE74" i="1" s="1"/>
  <c r="BG74" i="1" s="1"/>
  <c r="F77" i="1"/>
  <c r="H77" i="1" s="1"/>
  <c r="E77" i="1"/>
  <c r="P76" i="1"/>
  <c r="R76" i="1" s="1"/>
  <c r="O76" i="1"/>
  <c r="AO75" i="1"/>
  <c r="AQ75" i="1" s="1"/>
  <c r="AN75" i="1"/>
  <c r="AP75" i="1" s="1"/>
  <c r="AR75" i="1" s="1"/>
  <c r="CH72" i="1"/>
  <c r="CJ72" i="1" s="1"/>
  <c r="CG72" i="1"/>
  <c r="CI72" i="1" s="1"/>
  <c r="CK72" i="1" s="1"/>
  <c r="BS73" i="1"/>
  <c r="BU73" i="1" s="1"/>
  <c r="BR73" i="1"/>
  <c r="BT73" i="1" s="1"/>
  <c r="BV73" i="1" s="1"/>
  <c r="Z76" i="1"/>
  <c r="AB76" i="1" s="1"/>
  <c r="Y76" i="1"/>
  <c r="AA76" i="1" s="1"/>
  <c r="AC76" i="1" s="1"/>
  <c r="CW71" i="1"/>
  <c r="CY71" i="1" s="1"/>
  <c r="CV71" i="1"/>
  <c r="CX71" i="1" s="1"/>
  <c r="CZ71" i="1" s="1"/>
  <c r="AT75" i="1" l="1"/>
  <c r="AV75" i="1" s="1"/>
  <c r="AS75" i="1"/>
  <c r="AU75" i="1" s="1"/>
  <c r="AW75" i="1" s="1"/>
  <c r="DA71" i="1"/>
  <c r="DC71" i="1" s="1"/>
  <c r="DB71" i="1"/>
  <c r="DD71" i="1" s="1"/>
  <c r="CM72" i="1"/>
  <c r="CO72" i="1" s="1"/>
  <c r="CL72" i="1"/>
  <c r="CN72" i="1" s="1"/>
  <c r="CP72" i="1" s="1"/>
  <c r="AE76" i="1"/>
  <c r="AG76" i="1" s="1"/>
  <c r="AD76" i="1"/>
  <c r="AF76" i="1" s="1"/>
  <c r="AH76" i="1" s="1"/>
  <c r="BX73" i="1"/>
  <c r="BZ73" i="1" s="1"/>
  <c r="BW73" i="1"/>
  <c r="BY73" i="1" s="1"/>
  <c r="CA73" i="1" s="1"/>
  <c r="G77" i="1"/>
  <c r="I77" i="1" s="1"/>
  <c r="Q77" i="1"/>
  <c r="S77" i="1" s="1"/>
  <c r="BI74" i="1"/>
  <c r="BK74" i="1" s="1"/>
  <c r="BH74" i="1"/>
  <c r="BJ74" i="1" s="1"/>
  <c r="BL74" i="1" s="1"/>
  <c r="AJ76" i="1" l="1"/>
  <c r="AL76" i="1" s="1"/>
  <c r="AI76" i="1"/>
  <c r="AK76" i="1" s="1"/>
  <c r="AM76" i="1" s="1"/>
  <c r="J77" i="1"/>
  <c r="L77" i="1" s="1"/>
  <c r="N77" i="1" s="1"/>
  <c r="K77" i="1"/>
  <c r="M77" i="1" s="1"/>
  <c r="D78" i="1"/>
  <c r="CQ72" i="1"/>
  <c r="CS72" i="1" s="1"/>
  <c r="CU72" i="1" s="1"/>
  <c r="CR72" i="1"/>
  <c r="CT72" i="1" s="1"/>
  <c r="U77" i="1"/>
  <c r="W77" i="1" s="1"/>
  <c r="T77" i="1"/>
  <c r="V77" i="1" s="1"/>
  <c r="X77" i="1" s="1"/>
  <c r="AY75" i="1"/>
  <c r="BA75" i="1" s="1"/>
  <c r="AX75" i="1"/>
  <c r="AZ75" i="1" s="1"/>
  <c r="BB75" i="1" s="1"/>
  <c r="BN74" i="1"/>
  <c r="BP74" i="1" s="1"/>
  <c r="BM74" i="1"/>
  <c r="BO74" i="1" s="1"/>
  <c r="BQ74" i="1" s="1"/>
  <c r="CC73" i="1"/>
  <c r="CE73" i="1" s="1"/>
  <c r="CB73" i="1"/>
  <c r="CD73" i="1" s="1"/>
  <c r="CF73" i="1" s="1"/>
  <c r="Z77" i="1" l="1"/>
  <c r="AB77" i="1" s="1"/>
  <c r="Y77" i="1"/>
  <c r="AA77" i="1" s="1"/>
  <c r="AC77" i="1" s="1"/>
  <c r="CG73" i="1"/>
  <c r="CI73" i="1" s="1"/>
  <c r="CK73" i="1" s="1"/>
  <c r="CH73" i="1"/>
  <c r="CJ73" i="1" s="1"/>
  <c r="BD75" i="1"/>
  <c r="BF75" i="1" s="1"/>
  <c r="BC75" i="1"/>
  <c r="BE75" i="1" s="1"/>
  <c r="BG75" i="1" s="1"/>
  <c r="CW72" i="1"/>
  <c r="CY72" i="1" s="1"/>
  <c r="CV72" i="1"/>
  <c r="CX72" i="1" s="1"/>
  <c r="CZ72" i="1" s="1"/>
  <c r="F78" i="1"/>
  <c r="H78" i="1" s="1"/>
  <c r="E78" i="1"/>
  <c r="AO76" i="1"/>
  <c r="AQ76" i="1" s="1"/>
  <c r="AN76" i="1"/>
  <c r="AP76" i="1" s="1"/>
  <c r="AR76" i="1" s="1"/>
  <c r="BS74" i="1"/>
  <c r="BU74" i="1" s="1"/>
  <c r="BR74" i="1"/>
  <c r="BT74" i="1" s="1"/>
  <c r="BV74" i="1" s="1"/>
  <c r="P77" i="1"/>
  <c r="R77" i="1" s="1"/>
  <c r="O77" i="1"/>
  <c r="DB72" i="1" l="1"/>
  <c r="DD72" i="1" s="1"/>
  <c r="DA72" i="1"/>
  <c r="DC72" i="1" s="1"/>
  <c r="BI75" i="1"/>
  <c r="BK75" i="1" s="1"/>
  <c r="BH75" i="1"/>
  <c r="BJ75" i="1" s="1"/>
  <c r="BL75" i="1" s="1"/>
  <c r="CM73" i="1"/>
  <c r="CO73" i="1" s="1"/>
  <c r="CL73" i="1"/>
  <c r="CN73" i="1" s="1"/>
  <c r="CP73" i="1" s="1"/>
  <c r="BW74" i="1"/>
  <c r="BY74" i="1" s="1"/>
  <c r="CA74" i="1" s="1"/>
  <c r="BX74" i="1"/>
  <c r="BZ74" i="1" s="1"/>
  <c r="AT76" i="1"/>
  <c r="AV76" i="1" s="1"/>
  <c r="AS76" i="1"/>
  <c r="AU76" i="1" s="1"/>
  <c r="AW76" i="1" s="1"/>
  <c r="G78" i="1"/>
  <c r="I78" i="1" s="1"/>
  <c r="Q78" i="1"/>
  <c r="S78" i="1" s="1"/>
  <c r="AE77" i="1"/>
  <c r="AG77" i="1" s="1"/>
  <c r="AD77" i="1"/>
  <c r="AF77" i="1" s="1"/>
  <c r="AH77" i="1" s="1"/>
  <c r="CR73" i="1" l="1"/>
  <c r="CT73" i="1" s="1"/>
  <c r="CQ73" i="1"/>
  <c r="CS73" i="1" s="1"/>
  <c r="CU73" i="1" s="1"/>
  <c r="U78" i="1"/>
  <c r="W78" i="1" s="1"/>
  <c r="T78" i="1"/>
  <c r="V78" i="1" s="1"/>
  <c r="X78" i="1" s="1"/>
  <c r="BM75" i="1"/>
  <c r="BO75" i="1" s="1"/>
  <c r="BQ75" i="1" s="1"/>
  <c r="BN75" i="1"/>
  <c r="BP75" i="1" s="1"/>
  <c r="AJ77" i="1"/>
  <c r="AL77" i="1" s="1"/>
  <c r="AI77" i="1"/>
  <c r="AK77" i="1" s="1"/>
  <c r="AM77" i="1" s="1"/>
  <c r="K78" i="1"/>
  <c r="M78" i="1" s="1"/>
  <c r="J78" i="1"/>
  <c r="L78" i="1" s="1"/>
  <c r="N78" i="1" s="1"/>
  <c r="D79" i="1"/>
  <c r="CC74" i="1"/>
  <c r="CE74" i="1" s="1"/>
  <c r="CB74" i="1"/>
  <c r="CD74" i="1" s="1"/>
  <c r="CF74" i="1" s="1"/>
  <c r="AY76" i="1"/>
  <c r="BA76" i="1" s="1"/>
  <c r="AX76" i="1"/>
  <c r="AZ76" i="1" s="1"/>
  <c r="BB76" i="1" s="1"/>
  <c r="AO77" i="1" l="1"/>
  <c r="AQ77" i="1" s="1"/>
  <c r="AN77" i="1"/>
  <c r="AP77" i="1" s="1"/>
  <c r="AR77" i="1" s="1"/>
  <c r="CH74" i="1"/>
  <c r="CJ74" i="1" s="1"/>
  <c r="CG74" i="1"/>
  <c r="CI74" i="1" s="1"/>
  <c r="CK74" i="1" s="1"/>
  <c r="BC76" i="1"/>
  <c r="BE76" i="1" s="1"/>
  <c r="BG76" i="1" s="1"/>
  <c r="BD76" i="1"/>
  <c r="BF76" i="1" s="1"/>
  <c r="Z78" i="1"/>
  <c r="AB78" i="1" s="1"/>
  <c r="Y78" i="1"/>
  <c r="AA78" i="1" s="1"/>
  <c r="AC78" i="1" s="1"/>
  <c r="CW73" i="1"/>
  <c r="CY73" i="1" s="1"/>
  <c r="CV73" i="1"/>
  <c r="CX73" i="1" s="1"/>
  <c r="CZ73" i="1" s="1"/>
  <c r="BS75" i="1"/>
  <c r="BU75" i="1" s="1"/>
  <c r="BR75" i="1"/>
  <c r="BT75" i="1" s="1"/>
  <c r="BV75" i="1" s="1"/>
  <c r="F79" i="1"/>
  <c r="H79" i="1" s="1"/>
  <c r="E79" i="1"/>
  <c r="P78" i="1"/>
  <c r="R78" i="1" s="1"/>
  <c r="O78" i="1"/>
  <c r="AE78" i="1" l="1"/>
  <c r="AG78" i="1" s="1"/>
  <c r="AD78" i="1"/>
  <c r="AF78" i="1" s="1"/>
  <c r="AH78" i="1" s="1"/>
  <c r="BX75" i="1"/>
  <c r="BZ75" i="1" s="1"/>
  <c r="BW75" i="1"/>
  <c r="BY75" i="1" s="1"/>
  <c r="CA75" i="1" s="1"/>
  <c r="G79" i="1"/>
  <c r="I79" i="1" s="1"/>
  <c r="Q79" i="1"/>
  <c r="S79" i="1" s="1"/>
  <c r="CM74" i="1"/>
  <c r="CO74" i="1" s="1"/>
  <c r="CL74" i="1"/>
  <c r="CN74" i="1" s="1"/>
  <c r="CP74" i="1" s="1"/>
  <c r="AS77" i="1"/>
  <c r="AU77" i="1" s="1"/>
  <c r="AW77" i="1" s="1"/>
  <c r="AT77" i="1"/>
  <c r="AV77" i="1" s="1"/>
  <c r="BI76" i="1"/>
  <c r="BK76" i="1" s="1"/>
  <c r="BH76" i="1"/>
  <c r="BJ76" i="1" s="1"/>
  <c r="BL76" i="1" s="1"/>
  <c r="DB73" i="1"/>
  <c r="DD73" i="1" s="1"/>
  <c r="DA73" i="1"/>
  <c r="DC73" i="1" s="1"/>
  <c r="CR74" i="1" l="1"/>
  <c r="CT74" i="1" s="1"/>
  <c r="CQ74" i="1"/>
  <c r="CS74" i="1" s="1"/>
  <c r="CU74" i="1" s="1"/>
  <c r="U79" i="1"/>
  <c r="W79" i="1" s="1"/>
  <c r="T79" i="1"/>
  <c r="V79" i="1" s="1"/>
  <c r="X79" i="1" s="1"/>
  <c r="CC75" i="1"/>
  <c r="CE75" i="1" s="1"/>
  <c r="CB75" i="1"/>
  <c r="CD75" i="1" s="1"/>
  <c r="CF75" i="1" s="1"/>
  <c r="AY77" i="1"/>
  <c r="BA77" i="1" s="1"/>
  <c r="AX77" i="1"/>
  <c r="AZ77" i="1" s="1"/>
  <c r="BB77" i="1" s="1"/>
  <c r="AI78" i="1"/>
  <c r="AK78" i="1" s="1"/>
  <c r="AM78" i="1" s="1"/>
  <c r="AJ78" i="1"/>
  <c r="AL78" i="1" s="1"/>
  <c r="K79" i="1"/>
  <c r="M79" i="1" s="1"/>
  <c r="J79" i="1"/>
  <c r="L79" i="1" s="1"/>
  <c r="N79" i="1" s="1"/>
  <c r="D80" i="1"/>
  <c r="BN76" i="1"/>
  <c r="BP76" i="1" s="1"/>
  <c r="BM76" i="1"/>
  <c r="BO76" i="1" s="1"/>
  <c r="BQ76" i="1" s="1"/>
  <c r="BD77" i="1" l="1"/>
  <c r="BF77" i="1" s="1"/>
  <c r="BC77" i="1"/>
  <c r="BE77" i="1" s="1"/>
  <c r="BG77" i="1" s="1"/>
  <c r="CH75" i="1"/>
  <c r="CJ75" i="1" s="1"/>
  <c r="CG75" i="1"/>
  <c r="CI75" i="1" s="1"/>
  <c r="CK75" i="1" s="1"/>
  <c r="Y79" i="1"/>
  <c r="AA79" i="1" s="1"/>
  <c r="AC79" i="1" s="1"/>
  <c r="Z79" i="1"/>
  <c r="AB79" i="1" s="1"/>
  <c r="BS76" i="1"/>
  <c r="BU76" i="1" s="1"/>
  <c r="BR76" i="1"/>
  <c r="BT76" i="1" s="1"/>
  <c r="BV76" i="1" s="1"/>
  <c r="F80" i="1"/>
  <c r="H80" i="1" s="1"/>
  <c r="E80" i="1"/>
  <c r="P79" i="1"/>
  <c r="R79" i="1" s="1"/>
  <c r="O79" i="1"/>
  <c r="CV74" i="1"/>
  <c r="CX74" i="1" s="1"/>
  <c r="CZ74" i="1" s="1"/>
  <c r="CW74" i="1"/>
  <c r="CY74" i="1" s="1"/>
  <c r="AO78" i="1"/>
  <c r="AQ78" i="1" s="1"/>
  <c r="AN78" i="1"/>
  <c r="AP78" i="1" s="1"/>
  <c r="AR78" i="1" s="1"/>
  <c r="AT78" i="1" l="1"/>
  <c r="AV78" i="1" s="1"/>
  <c r="AS78" i="1"/>
  <c r="AU78" i="1" s="1"/>
  <c r="AW78" i="1" s="1"/>
  <c r="DB74" i="1"/>
  <c r="DD74" i="1" s="1"/>
  <c r="DA74" i="1"/>
  <c r="DC74" i="1" s="1"/>
  <c r="AE79" i="1"/>
  <c r="AG79" i="1" s="1"/>
  <c r="AD79" i="1"/>
  <c r="AF79" i="1" s="1"/>
  <c r="AH79" i="1" s="1"/>
  <c r="CL75" i="1"/>
  <c r="CN75" i="1" s="1"/>
  <c r="CP75" i="1" s="1"/>
  <c r="CM75" i="1"/>
  <c r="CO75" i="1" s="1"/>
  <c r="BI77" i="1"/>
  <c r="BK77" i="1" s="1"/>
  <c r="BH77" i="1"/>
  <c r="BJ77" i="1" s="1"/>
  <c r="BL77" i="1" s="1"/>
  <c r="BX76" i="1"/>
  <c r="BZ76" i="1" s="1"/>
  <c r="BW76" i="1"/>
  <c r="BY76" i="1" s="1"/>
  <c r="CA76" i="1" s="1"/>
  <c r="G80" i="1"/>
  <c r="I80" i="1" s="1"/>
  <c r="Q80" i="1"/>
  <c r="S80" i="1" s="1"/>
  <c r="K80" i="1" l="1"/>
  <c r="M80" i="1" s="1"/>
  <c r="J80" i="1"/>
  <c r="L80" i="1" s="1"/>
  <c r="N80" i="1" s="1"/>
  <c r="D81" i="1"/>
  <c r="CR75" i="1"/>
  <c r="CT75" i="1" s="1"/>
  <c r="CQ75" i="1"/>
  <c r="CS75" i="1" s="1"/>
  <c r="CU75" i="1" s="1"/>
  <c r="AJ79" i="1"/>
  <c r="AL79" i="1" s="1"/>
  <c r="AI79" i="1"/>
  <c r="AK79" i="1" s="1"/>
  <c r="AM79" i="1" s="1"/>
  <c r="U80" i="1"/>
  <c r="W80" i="1" s="1"/>
  <c r="T80" i="1"/>
  <c r="V80" i="1" s="1"/>
  <c r="X80" i="1" s="1"/>
  <c r="CB76" i="1"/>
  <c r="CD76" i="1" s="1"/>
  <c r="CF76" i="1" s="1"/>
  <c r="CC76" i="1"/>
  <c r="CE76" i="1" s="1"/>
  <c r="AY78" i="1"/>
  <c r="BA78" i="1" s="1"/>
  <c r="AX78" i="1"/>
  <c r="AZ78" i="1" s="1"/>
  <c r="BB78" i="1" s="1"/>
  <c r="BN77" i="1"/>
  <c r="BP77" i="1" s="1"/>
  <c r="BM77" i="1"/>
  <c r="BO77" i="1" s="1"/>
  <c r="BQ77" i="1" s="1"/>
  <c r="BR77" i="1" l="1"/>
  <c r="BT77" i="1" s="1"/>
  <c r="BV77" i="1" s="1"/>
  <c r="BS77" i="1"/>
  <c r="BU77" i="1" s="1"/>
  <c r="Z80" i="1"/>
  <c r="AB80" i="1" s="1"/>
  <c r="Y80" i="1"/>
  <c r="AA80" i="1" s="1"/>
  <c r="AC80" i="1" s="1"/>
  <c r="AO79" i="1"/>
  <c r="AQ79" i="1" s="1"/>
  <c r="AN79" i="1"/>
  <c r="AP79" i="1" s="1"/>
  <c r="AR79" i="1" s="1"/>
  <c r="BD78" i="1"/>
  <c r="BF78" i="1" s="1"/>
  <c r="BC78" i="1"/>
  <c r="BE78" i="1" s="1"/>
  <c r="BG78" i="1" s="1"/>
  <c r="CW75" i="1"/>
  <c r="CY75" i="1" s="1"/>
  <c r="CV75" i="1"/>
  <c r="CX75" i="1" s="1"/>
  <c r="CZ75" i="1" s="1"/>
  <c r="E81" i="1"/>
  <c r="F81" i="1"/>
  <c r="H81" i="1" s="1"/>
  <c r="CH76" i="1"/>
  <c r="CJ76" i="1" s="1"/>
  <c r="CG76" i="1"/>
  <c r="CI76" i="1" s="1"/>
  <c r="CK76" i="1" s="1"/>
  <c r="O80" i="1"/>
  <c r="P80" i="1"/>
  <c r="R80" i="1" s="1"/>
  <c r="BH78" i="1" l="1"/>
  <c r="BJ78" i="1" s="1"/>
  <c r="BL78" i="1" s="1"/>
  <c r="BI78" i="1"/>
  <c r="BK78" i="1" s="1"/>
  <c r="CM76" i="1"/>
  <c r="CO76" i="1" s="1"/>
  <c r="CL76" i="1"/>
  <c r="CN76" i="1" s="1"/>
  <c r="CP76" i="1" s="1"/>
  <c r="AT79" i="1"/>
  <c r="AV79" i="1" s="1"/>
  <c r="AS79" i="1"/>
  <c r="AU79" i="1" s="1"/>
  <c r="AW79" i="1" s="1"/>
  <c r="AE80" i="1"/>
  <c r="AG80" i="1" s="1"/>
  <c r="AD80" i="1"/>
  <c r="AF80" i="1" s="1"/>
  <c r="AH80" i="1" s="1"/>
  <c r="Q81" i="1"/>
  <c r="S81" i="1" s="1"/>
  <c r="G81" i="1"/>
  <c r="I81" i="1" s="1"/>
  <c r="BX77" i="1"/>
  <c r="BZ77" i="1" s="1"/>
  <c r="BW77" i="1"/>
  <c r="BY77" i="1" s="1"/>
  <c r="CA77" i="1" s="1"/>
  <c r="DB75" i="1"/>
  <c r="DD75" i="1" s="1"/>
  <c r="DA75" i="1"/>
  <c r="DC75" i="1" s="1"/>
  <c r="AJ80" i="1" l="1"/>
  <c r="AL80" i="1" s="1"/>
  <c r="AI80" i="1"/>
  <c r="AK80" i="1" s="1"/>
  <c r="AM80" i="1" s="1"/>
  <c r="CC77" i="1"/>
  <c r="CE77" i="1" s="1"/>
  <c r="CB77" i="1"/>
  <c r="CD77" i="1" s="1"/>
  <c r="CF77" i="1" s="1"/>
  <c r="CR76" i="1"/>
  <c r="CT76" i="1" s="1"/>
  <c r="CQ76" i="1"/>
  <c r="CS76" i="1" s="1"/>
  <c r="CU76" i="1" s="1"/>
  <c r="BN78" i="1"/>
  <c r="BP78" i="1" s="1"/>
  <c r="BM78" i="1"/>
  <c r="BO78" i="1" s="1"/>
  <c r="BQ78" i="1" s="1"/>
  <c r="AX79" i="1"/>
  <c r="AZ79" i="1" s="1"/>
  <c r="BB79" i="1" s="1"/>
  <c r="AY79" i="1"/>
  <c r="BA79" i="1" s="1"/>
  <c r="K81" i="1"/>
  <c r="M81" i="1" s="1"/>
  <c r="J81" i="1"/>
  <c r="L81" i="1" s="1"/>
  <c r="N81" i="1" s="1"/>
  <c r="D82" i="1"/>
  <c r="U81" i="1"/>
  <c r="W81" i="1" s="1"/>
  <c r="T81" i="1"/>
  <c r="V81" i="1" s="1"/>
  <c r="X81" i="1" s="1"/>
  <c r="CW76" i="1" l="1"/>
  <c r="CY76" i="1" s="1"/>
  <c r="CV76" i="1"/>
  <c r="CX76" i="1" s="1"/>
  <c r="CZ76" i="1" s="1"/>
  <c r="Z81" i="1"/>
  <c r="AB81" i="1" s="1"/>
  <c r="Y81" i="1"/>
  <c r="AA81" i="1" s="1"/>
  <c r="AC81" i="1" s="1"/>
  <c r="P81" i="1"/>
  <c r="R81" i="1" s="1"/>
  <c r="O81" i="1"/>
  <c r="BS78" i="1"/>
  <c r="BU78" i="1" s="1"/>
  <c r="BR78" i="1"/>
  <c r="BT78" i="1" s="1"/>
  <c r="BV78" i="1" s="1"/>
  <c r="AN80" i="1"/>
  <c r="AP80" i="1" s="1"/>
  <c r="AR80" i="1" s="1"/>
  <c r="AO80" i="1"/>
  <c r="AQ80" i="1" s="1"/>
  <c r="F82" i="1"/>
  <c r="H82" i="1" s="1"/>
  <c r="E82" i="1"/>
  <c r="CH77" i="1"/>
  <c r="CJ77" i="1" s="1"/>
  <c r="CG77" i="1"/>
  <c r="CI77" i="1" s="1"/>
  <c r="CK77" i="1" s="1"/>
  <c r="BD79" i="1"/>
  <c r="BF79" i="1" s="1"/>
  <c r="BC79" i="1"/>
  <c r="BE79" i="1" s="1"/>
  <c r="BG79" i="1" s="1"/>
  <c r="CM77" i="1" l="1"/>
  <c r="CO77" i="1" s="1"/>
  <c r="CL77" i="1"/>
  <c r="CN77" i="1" s="1"/>
  <c r="CP77" i="1" s="1"/>
  <c r="BX78" i="1"/>
  <c r="BZ78" i="1" s="1"/>
  <c r="BW78" i="1"/>
  <c r="BY78" i="1" s="1"/>
  <c r="CA78" i="1" s="1"/>
  <c r="G82" i="1"/>
  <c r="I82" i="1" s="1"/>
  <c r="Q82" i="1"/>
  <c r="S82" i="1" s="1"/>
  <c r="DB76" i="1"/>
  <c r="DD76" i="1" s="1"/>
  <c r="DA76" i="1"/>
  <c r="DC76" i="1" s="1"/>
  <c r="BI79" i="1"/>
  <c r="BK79" i="1" s="1"/>
  <c r="BH79" i="1"/>
  <c r="BJ79" i="1" s="1"/>
  <c r="BL79" i="1" s="1"/>
  <c r="AD81" i="1"/>
  <c r="AF81" i="1" s="1"/>
  <c r="AH81" i="1" s="1"/>
  <c r="AE81" i="1"/>
  <c r="AG81" i="1" s="1"/>
  <c r="AT80" i="1"/>
  <c r="AV80" i="1" s="1"/>
  <c r="AS80" i="1"/>
  <c r="AU80" i="1" s="1"/>
  <c r="AW80" i="1" s="1"/>
  <c r="AY80" i="1" l="1"/>
  <c r="BA80" i="1" s="1"/>
  <c r="AX80" i="1"/>
  <c r="AZ80" i="1" s="1"/>
  <c r="BB80" i="1" s="1"/>
  <c r="K82" i="1"/>
  <c r="M82" i="1" s="1"/>
  <c r="J82" i="1"/>
  <c r="L82" i="1" s="1"/>
  <c r="N82" i="1" s="1"/>
  <c r="D83" i="1"/>
  <c r="CC78" i="1"/>
  <c r="CE78" i="1" s="1"/>
  <c r="CB78" i="1"/>
  <c r="CD78" i="1" s="1"/>
  <c r="CF78" i="1" s="1"/>
  <c r="CR77" i="1"/>
  <c r="CT77" i="1" s="1"/>
  <c r="CQ77" i="1"/>
  <c r="CS77" i="1" s="1"/>
  <c r="CU77" i="1" s="1"/>
  <c r="T82" i="1"/>
  <c r="V82" i="1" s="1"/>
  <c r="X82" i="1" s="1"/>
  <c r="U82" i="1"/>
  <c r="W82" i="1" s="1"/>
  <c r="AJ81" i="1"/>
  <c r="AL81" i="1" s="1"/>
  <c r="AI81" i="1"/>
  <c r="AK81" i="1" s="1"/>
  <c r="AM81" i="1" s="1"/>
  <c r="BN79" i="1"/>
  <c r="BP79" i="1" s="1"/>
  <c r="BM79" i="1"/>
  <c r="BO79" i="1" s="1"/>
  <c r="BQ79" i="1" s="1"/>
  <c r="CH78" i="1" l="1"/>
  <c r="CJ78" i="1" s="1"/>
  <c r="CG78" i="1"/>
  <c r="CI78" i="1" s="1"/>
  <c r="CK78" i="1" s="1"/>
  <c r="F83" i="1"/>
  <c r="H83" i="1" s="1"/>
  <c r="E83" i="1"/>
  <c r="AO81" i="1"/>
  <c r="AQ81" i="1" s="1"/>
  <c r="AN81" i="1"/>
  <c r="AP81" i="1" s="1"/>
  <c r="AR81" i="1" s="1"/>
  <c r="BS79" i="1"/>
  <c r="BU79" i="1" s="1"/>
  <c r="BR79" i="1"/>
  <c r="BT79" i="1" s="1"/>
  <c r="BV79" i="1" s="1"/>
  <c r="P82" i="1"/>
  <c r="R82" i="1" s="1"/>
  <c r="O82" i="1"/>
  <c r="Z82" i="1"/>
  <c r="AB82" i="1" s="1"/>
  <c r="Y82" i="1"/>
  <c r="AA82" i="1" s="1"/>
  <c r="AC82" i="1" s="1"/>
  <c r="BD80" i="1"/>
  <c r="BF80" i="1" s="1"/>
  <c r="BC80" i="1"/>
  <c r="BE80" i="1" s="1"/>
  <c r="BG80" i="1" s="1"/>
  <c r="CW77" i="1"/>
  <c r="CY77" i="1" s="1"/>
  <c r="CV77" i="1"/>
  <c r="CX77" i="1" s="1"/>
  <c r="CZ77" i="1" s="1"/>
  <c r="BX79" i="1" l="1"/>
  <c r="BZ79" i="1" s="1"/>
  <c r="BW79" i="1"/>
  <c r="BY79" i="1" s="1"/>
  <c r="CA79" i="1" s="1"/>
  <c r="AT81" i="1"/>
  <c r="AV81" i="1" s="1"/>
  <c r="AS81" i="1"/>
  <c r="AU81" i="1" s="1"/>
  <c r="AW81" i="1" s="1"/>
  <c r="DA77" i="1"/>
  <c r="DC77" i="1" s="1"/>
  <c r="DB77" i="1"/>
  <c r="DD77" i="1" s="1"/>
  <c r="G83" i="1"/>
  <c r="I83" i="1" s="1"/>
  <c r="Q83" i="1"/>
  <c r="S83" i="1" s="1"/>
  <c r="AE82" i="1"/>
  <c r="AG82" i="1" s="1"/>
  <c r="AD82" i="1"/>
  <c r="AF82" i="1" s="1"/>
  <c r="AH82" i="1" s="1"/>
  <c r="BI80" i="1"/>
  <c r="BK80" i="1" s="1"/>
  <c r="BH80" i="1"/>
  <c r="BJ80" i="1" s="1"/>
  <c r="BL80" i="1" s="1"/>
  <c r="CM78" i="1"/>
  <c r="CO78" i="1" s="1"/>
  <c r="CL78" i="1"/>
  <c r="CN78" i="1" s="1"/>
  <c r="CP78" i="1" s="1"/>
  <c r="J83" i="1" l="1"/>
  <c r="L83" i="1" s="1"/>
  <c r="N83" i="1" s="1"/>
  <c r="K83" i="1"/>
  <c r="M83" i="1" s="1"/>
  <c r="D84" i="1"/>
  <c r="AY81" i="1"/>
  <c r="BA81" i="1" s="1"/>
  <c r="AX81" i="1"/>
  <c r="AZ81" i="1" s="1"/>
  <c r="BB81" i="1" s="1"/>
  <c r="CQ78" i="1"/>
  <c r="CS78" i="1" s="1"/>
  <c r="CU78" i="1" s="1"/>
  <c r="CR78" i="1"/>
  <c r="CT78" i="1" s="1"/>
  <c r="BN80" i="1"/>
  <c r="BP80" i="1" s="1"/>
  <c r="BM80" i="1"/>
  <c r="BO80" i="1" s="1"/>
  <c r="BQ80" i="1" s="1"/>
  <c r="U83" i="1"/>
  <c r="W83" i="1" s="1"/>
  <c r="T83" i="1"/>
  <c r="V83" i="1" s="1"/>
  <c r="X83" i="1" s="1"/>
  <c r="CC79" i="1"/>
  <c r="CE79" i="1" s="1"/>
  <c r="CB79" i="1"/>
  <c r="CD79" i="1" s="1"/>
  <c r="CF79" i="1" s="1"/>
  <c r="AJ82" i="1"/>
  <c r="AL82" i="1" s="1"/>
  <c r="AI82" i="1"/>
  <c r="AK82" i="1" s="1"/>
  <c r="AM82" i="1" s="1"/>
  <c r="AO82" i="1" l="1"/>
  <c r="AQ82" i="1" s="1"/>
  <c r="AN82" i="1"/>
  <c r="AP82" i="1" s="1"/>
  <c r="AR82" i="1" s="1"/>
  <c r="BD81" i="1"/>
  <c r="BF81" i="1" s="1"/>
  <c r="BC81" i="1"/>
  <c r="BE81" i="1" s="1"/>
  <c r="BG81" i="1" s="1"/>
  <c r="CG79" i="1"/>
  <c r="CI79" i="1" s="1"/>
  <c r="CK79" i="1" s="1"/>
  <c r="CH79" i="1"/>
  <c r="CJ79" i="1" s="1"/>
  <c r="Z83" i="1"/>
  <c r="AB83" i="1" s="1"/>
  <c r="Y83" i="1"/>
  <c r="AA83" i="1" s="1"/>
  <c r="AC83" i="1" s="1"/>
  <c r="CW78" i="1"/>
  <c r="CY78" i="1" s="1"/>
  <c r="CV78" i="1"/>
  <c r="CX78" i="1" s="1"/>
  <c r="CZ78" i="1" s="1"/>
  <c r="F84" i="1"/>
  <c r="H84" i="1" s="1"/>
  <c r="E84" i="1"/>
  <c r="P83" i="1"/>
  <c r="R83" i="1" s="1"/>
  <c r="O83" i="1"/>
  <c r="BS80" i="1"/>
  <c r="BU80" i="1" s="1"/>
  <c r="BR80" i="1"/>
  <c r="BT80" i="1" s="1"/>
  <c r="BV80" i="1" s="1"/>
  <c r="AE83" i="1" l="1"/>
  <c r="AG83" i="1" s="1"/>
  <c r="AD83" i="1"/>
  <c r="AF83" i="1" s="1"/>
  <c r="AH83" i="1" s="1"/>
  <c r="G84" i="1"/>
  <c r="I84" i="1" s="1"/>
  <c r="Q84" i="1"/>
  <c r="S84" i="1" s="1"/>
  <c r="BW80" i="1"/>
  <c r="BY80" i="1" s="1"/>
  <c r="CA80" i="1" s="1"/>
  <c r="BX80" i="1"/>
  <c r="BZ80" i="1" s="1"/>
  <c r="BI81" i="1"/>
  <c r="BK81" i="1" s="1"/>
  <c r="BH81" i="1"/>
  <c r="BJ81" i="1" s="1"/>
  <c r="BL81" i="1" s="1"/>
  <c r="AT82" i="1"/>
  <c r="AV82" i="1" s="1"/>
  <c r="AS82" i="1"/>
  <c r="AU82" i="1" s="1"/>
  <c r="AW82" i="1" s="1"/>
  <c r="CM79" i="1"/>
  <c r="CO79" i="1" s="1"/>
  <c r="CL79" i="1"/>
  <c r="CN79" i="1" s="1"/>
  <c r="CP79" i="1" s="1"/>
  <c r="DB78" i="1"/>
  <c r="DD78" i="1" s="1"/>
  <c r="DA78" i="1"/>
  <c r="DC78" i="1" s="1"/>
  <c r="BM81" i="1" l="1"/>
  <c r="BO81" i="1" s="1"/>
  <c r="BQ81" i="1" s="1"/>
  <c r="BN81" i="1"/>
  <c r="BP81" i="1" s="1"/>
  <c r="U84" i="1"/>
  <c r="W84" i="1" s="1"/>
  <c r="T84" i="1"/>
  <c r="V84" i="1" s="1"/>
  <c r="X84" i="1" s="1"/>
  <c r="K84" i="1"/>
  <c r="M84" i="1" s="1"/>
  <c r="J84" i="1"/>
  <c r="L84" i="1" s="1"/>
  <c r="N84" i="1" s="1"/>
  <c r="D85" i="1"/>
  <c r="AJ83" i="1"/>
  <c r="AL83" i="1" s="1"/>
  <c r="AI83" i="1"/>
  <c r="AK83" i="1" s="1"/>
  <c r="AM83" i="1" s="1"/>
  <c r="CC80" i="1"/>
  <c r="CE80" i="1" s="1"/>
  <c r="CB80" i="1"/>
  <c r="CD80" i="1" s="1"/>
  <c r="CF80" i="1" s="1"/>
  <c r="CR79" i="1"/>
  <c r="CT79" i="1" s="1"/>
  <c r="CQ79" i="1"/>
  <c r="CS79" i="1" s="1"/>
  <c r="CU79" i="1" s="1"/>
  <c r="AY82" i="1"/>
  <c r="BA82" i="1" s="1"/>
  <c r="AX82" i="1"/>
  <c r="AZ82" i="1" s="1"/>
  <c r="BB82" i="1" s="1"/>
  <c r="F85" i="1" l="1"/>
  <c r="H85" i="1" s="1"/>
  <c r="E85" i="1"/>
  <c r="CW79" i="1"/>
  <c r="CY79" i="1" s="1"/>
  <c r="CV79" i="1"/>
  <c r="CX79" i="1" s="1"/>
  <c r="CZ79" i="1" s="1"/>
  <c r="P84" i="1"/>
  <c r="R84" i="1" s="1"/>
  <c r="O84" i="1"/>
  <c r="Z84" i="1"/>
  <c r="AB84" i="1" s="1"/>
  <c r="Y84" i="1"/>
  <c r="AA84" i="1" s="1"/>
  <c r="AC84" i="1" s="1"/>
  <c r="BC82" i="1"/>
  <c r="BE82" i="1" s="1"/>
  <c r="BG82" i="1" s="1"/>
  <c r="BD82" i="1"/>
  <c r="BF82" i="1" s="1"/>
  <c r="CH80" i="1"/>
  <c r="CJ80" i="1" s="1"/>
  <c r="CG80" i="1"/>
  <c r="CI80" i="1" s="1"/>
  <c r="CK80" i="1" s="1"/>
  <c r="AO83" i="1"/>
  <c r="AQ83" i="1" s="1"/>
  <c r="AN83" i="1"/>
  <c r="AP83" i="1" s="1"/>
  <c r="AR83" i="1" s="1"/>
  <c r="BS81" i="1"/>
  <c r="BU81" i="1" s="1"/>
  <c r="BR81" i="1"/>
  <c r="BT81" i="1" s="1"/>
  <c r="BV81" i="1" s="1"/>
  <c r="AS83" i="1" l="1"/>
  <c r="AU83" i="1" s="1"/>
  <c r="AW83" i="1" s="1"/>
  <c r="AT83" i="1"/>
  <c r="AV83" i="1" s="1"/>
  <c r="AE84" i="1"/>
  <c r="AG84" i="1" s="1"/>
  <c r="AD84" i="1"/>
  <c r="AF84" i="1" s="1"/>
  <c r="AH84" i="1" s="1"/>
  <c r="DB79" i="1"/>
  <c r="DD79" i="1" s="1"/>
  <c r="DA79" i="1"/>
  <c r="DC79" i="1" s="1"/>
  <c r="Q85" i="1"/>
  <c r="S85" i="1" s="1"/>
  <c r="G85" i="1"/>
  <c r="I85" i="1" s="1"/>
  <c r="BX81" i="1"/>
  <c r="BZ81" i="1" s="1"/>
  <c r="BW81" i="1"/>
  <c r="BY81" i="1" s="1"/>
  <c r="CA81" i="1" s="1"/>
  <c r="CM80" i="1"/>
  <c r="CO80" i="1" s="1"/>
  <c r="CL80" i="1"/>
  <c r="CN80" i="1" s="1"/>
  <c r="CP80" i="1" s="1"/>
  <c r="BI82" i="1"/>
  <c r="BK82" i="1" s="1"/>
  <c r="BH82" i="1"/>
  <c r="BJ82" i="1" s="1"/>
  <c r="BL82" i="1" s="1"/>
  <c r="BN82" i="1" l="1"/>
  <c r="BP82" i="1" s="1"/>
  <c r="BM82" i="1"/>
  <c r="BO82" i="1" s="1"/>
  <c r="BQ82" i="1" s="1"/>
  <c r="U85" i="1"/>
  <c r="W85" i="1" s="1"/>
  <c r="T85" i="1"/>
  <c r="V85" i="1" s="1"/>
  <c r="X85" i="1" s="1"/>
  <c r="AI84" i="1"/>
  <c r="AK84" i="1" s="1"/>
  <c r="AM84" i="1" s="1"/>
  <c r="AJ84" i="1"/>
  <c r="AL84" i="1" s="1"/>
  <c r="K85" i="1"/>
  <c r="M85" i="1" s="1"/>
  <c r="J85" i="1"/>
  <c r="L85" i="1" s="1"/>
  <c r="N85" i="1" s="1"/>
  <c r="D86" i="1"/>
  <c r="CR80" i="1"/>
  <c r="CT80" i="1" s="1"/>
  <c r="CQ80" i="1"/>
  <c r="CS80" i="1" s="1"/>
  <c r="CU80" i="1" s="1"/>
  <c r="CC81" i="1"/>
  <c r="CE81" i="1" s="1"/>
  <c r="CB81" i="1"/>
  <c r="CD81" i="1" s="1"/>
  <c r="CF81" i="1" s="1"/>
  <c r="AY83" i="1"/>
  <c r="BA83" i="1" s="1"/>
  <c r="AX83" i="1"/>
  <c r="AZ83" i="1" s="1"/>
  <c r="BB83" i="1" s="1"/>
  <c r="CH81" i="1" l="1"/>
  <c r="CJ81" i="1" s="1"/>
  <c r="CG81" i="1"/>
  <c r="CI81" i="1" s="1"/>
  <c r="CK81" i="1" s="1"/>
  <c r="O85" i="1"/>
  <c r="P85" i="1"/>
  <c r="R85" i="1" s="1"/>
  <c r="AO84" i="1"/>
  <c r="AQ84" i="1" s="1"/>
  <c r="AN84" i="1"/>
  <c r="AP84" i="1" s="1"/>
  <c r="AR84" i="1" s="1"/>
  <c r="Z85" i="1"/>
  <c r="AB85" i="1" s="1"/>
  <c r="Y85" i="1"/>
  <c r="AA85" i="1" s="1"/>
  <c r="AC85" i="1" s="1"/>
  <c r="BS82" i="1"/>
  <c r="BU82" i="1" s="1"/>
  <c r="BR82" i="1"/>
  <c r="BT82" i="1" s="1"/>
  <c r="BV82" i="1" s="1"/>
  <c r="BD83" i="1"/>
  <c r="BF83" i="1" s="1"/>
  <c r="BC83" i="1"/>
  <c r="BE83" i="1" s="1"/>
  <c r="BG83" i="1" s="1"/>
  <c r="CV80" i="1"/>
  <c r="CX80" i="1" s="1"/>
  <c r="CW80" i="1"/>
  <c r="CY80" i="1" s="1"/>
  <c r="E86" i="1"/>
  <c r="F86" i="1"/>
  <c r="H86" i="1" s="1"/>
  <c r="AE85" i="1" l="1"/>
  <c r="AG85" i="1" s="1"/>
  <c r="AD85" i="1"/>
  <c r="AF85" i="1" s="1"/>
  <c r="AH85" i="1" s="1"/>
  <c r="BI83" i="1"/>
  <c r="BK83" i="1" s="1"/>
  <c r="BH83" i="1"/>
  <c r="BJ83" i="1" s="1"/>
  <c r="BL83" i="1" s="1"/>
  <c r="AT84" i="1"/>
  <c r="AV84" i="1" s="1"/>
  <c r="AS84" i="1"/>
  <c r="AU84" i="1" s="1"/>
  <c r="AW84" i="1" s="1"/>
  <c r="BX82" i="1"/>
  <c r="BZ82" i="1" s="1"/>
  <c r="BW82" i="1"/>
  <c r="BY82" i="1" s="1"/>
  <c r="CA82" i="1" s="1"/>
  <c r="CL81" i="1"/>
  <c r="CN81" i="1" s="1"/>
  <c r="CP81" i="1" s="1"/>
  <c r="CM81" i="1"/>
  <c r="CO81" i="1" s="1"/>
  <c r="Q86" i="1"/>
  <c r="S86" i="1" s="1"/>
  <c r="G86" i="1"/>
  <c r="I86" i="1" s="1"/>
  <c r="CZ80" i="1"/>
  <c r="AY84" i="1" l="1"/>
  <c r="BA84" i="1" s="1"/>
  <c r="AX84" i="1"/>
  <c r="AZ84" i="1" s="1"/>
  <c r="BB84" i="1" s="1"/>
  <c r="K86" i="1"/>
  <c r="M86" i="1" s="1"/>
  <c r="J86" i="1"/>
  <c r="L86" i="1" s="1"/>
  <c r="N86" i="1" s="1"/>
  <c r="D87" i="1"/>
  <c r="CB82" i="1"/>
  <c r="CD82" i="1" s="1"/>
  <c r="CF82" i="1" s="1"/>
  <c r="CC82" i="1"/>
  <c r="CE82" i="1" s="1"/>
  <c r="DB80" i="1"/>
  <c r="DD80" i="1" s="1"/>
  <c r="DA80" i="1"/>
  <c r="DC80" i="1" s="1"/>
  <c r="CR81" i="1"/>
  <c r="CT81" i="1" s="1"/>
  <c r="CQ81" i="1"/>
  <c r="CS81" i="1" s="1"/>
  <c r="CU81" i="1" s="1"/>
  <c r="BN83" i="1"/>
  <c r="BP83" i="1" s="1"/>
  <c r="BM83" i="1"/>
  <c r="BO83" i="1" s="1"/>
  <c r="BQ83" i="1" s="1"/>
  <c r="U86" i="1"/>
  <c r="W86" i="1" s="1"/>
  <c r="T86" i="1"/>
  <c r="V86" i="1" s="1"/>
  <c r="X86" i="1" s="1"/>
  <c r="AI85" i="1"/>
  <c r="AK85" i="1" s="1"/>
  <c r="AM85" i="1" s="1"/>
  <c r="AJ85" i="1"/>
  <c r="AL85" i="1" s="1"/>
  <c r="Y86" i="1" l="1"/>
  <c r="AA86" i="1" s="1"/>
  <c r="AC86" i="1" s="1"/>
  <c r="Z86" i="1"/>
  <c r="AB86" i="1" s="1"/>
  <c r="F87" i="1"/>
  <c r="H87" i="1" s="1"/>
  <c r="E87" i="1"/>
  <c r="BD84" i="1"/>
  <c r="BF84" i="1" s="1"/>
  <c r="BC84" i="1"/>
  <c r="BE84" i="1" s="1"/>
  <c r="BG84" i="1" s="1"/>
  <c r="CH82" i="1"/>
  <c r="CJ82" i="1" s="1"/>
  <c r="CG82" i="1"/>
  <c r="CI82" i="1" s="1"/>
  <c r="CK82" i="1" s="1"/>
  <c r="BR83" i="1"/>
  <c r="BT83" i="1" s="1"/>
  <c r="BV83" i="1" s="1"/>
  <c r="BS83" i="1"/>
  <c r="BU83" i="1" s="1"/>
  <c r="CW81" i="1"/>
  <c r="CY81" i="1" s="1"/>
  <c r="CV81" i="1"/>
  <c r="CX81" i="1" s="1"/>
  <c r="CZ81" i="1" s="1"/>
  <c r="AN85" i="1"/>
  <c r="AP85" i="1" s="1"/>
  <c r="AR85" i="1" s="1"/>
  <c r="AO85" i="1"/>
  <c r="AQ85" i="1" s="1"/>
  <c r="P86" i="1"/>
  <c r="R86" i="1" s="1"/>
  <c r="O86" i="1"/>
  <c r="CM82" i="1" l="1"/>
  <c r="CO82" i="1" s="1"/>
  <c r="CL82" i="1"/>
  <c r="CN82" i="1" s="1"/>
  <c r="CP82" i="1" s="1"/>
  <c r="DB81" i="1"/>
  <c r="DD81" i="1" s="1"/>
  <c r="DA81" i="1"/>
  <c r="DC81" i="1" s="1"/>
  <c r="AT85" i="1"/>
  <c r="AV85" i="1" s="1"/>
  <c r="AS85" i="1"/>
  <c r="AU85" i="1" s="1"/>
  <c r="AW85" i="1" s="1"/>
  <c r="BH84" i="1"/>
  <c r="BJ84" i="1" s="1"/>
  <c r="BL84" i="1" s="1"/>
  <c r="BI84" i="1"/>
  <c r="BK84" i="1" s="1"/>
  <c r="G87" i="1"/>
  <c r="I87" i="1" s="1"/>
  <c r="Q87" i="1"/>
  <c r="S87" i="1" s="1"/>
  <c r="BX83" i="1"/>
  <c r="BZ83" i="1" s="1"/>
  <c r="BW83" i="1"/>
  <c r="BY83" i="1" s="1"/>
  <c r="CA83" i="1" s="1"/>
  <c r="AD86" i="1"/>
  <c r="AF86" i="1" s="1"/>
  <c r="AH86" i="1" s="1"/>
  <c r="AE86" i="1"/>
  <c r="AG86" i="1" s="1"/>
  <c r="AJ86" i="1" l="1"/>
  <c r="AL86" i="1" s="1"/>
  <c r="AI86" i="1"/>
  <c r="AK86" i="1" s="1"/>
  <c r="AM86" i="1" s="1"/>
  <c r="AY85" i="1"/>
  <c r="BA85" i="1" s="1"/>
  <c r="AX85" i="1"/>
  <c r="AZ85" i="1" s="1"/>
  <c r="BB85" i="1" s="1"/>
  <c r="CR82" i="1"/>
  <c r="CT82" i="1" s="1"/>
  <c r="CQ82" i="1"/>
  <c r="CS82" i="1" s="1"/>
  <c r="CU82" i="1" s="1"/>
  <c r="BN84" i="1"/>
  <c r="BP84" i="1" s="1"/>
  <c r="BM84" i="1"/>
  <c r="BO84" i="1" s="1"/>
  <c r="BQ84" i="1" s="1"/>
  <c r="CC83" i="1"/>
  <c r="CE83" i="1" s="1"/>
  <c r="CB83" i="1"/>
  <c r="CD83" i="1" s="1"/>
  <c r="CF83" i="1" s="1"/>
  <c r="T87" i="1"/>
  <c r="V87" i="1" s="1"/>
  <c r="X87" i="1" s="1"/>
  <c r="U87" i="1"/>
  <c r="W87" i="1" s="1"/>
  <c r="K87" i="1"/>
  <c r="M87" i="1" s="1"/>
  <c r="J87" i="1"/>
  <c r="L87" i="1" s="1"/>
  <c r="N87" i="1" s="1"/>
  <c r="D88" i="1"/>
  <c r="O87" i="1" l="1"/>
  <c r="P87" i="1"/>
  <c r="R87" i="1" s="1"/>
  <c r="CW82" i="1"/>
  <c r="CY82" i="1" s="1"/>
  <c r="CV82" i="1"/>
  <c r="CX82" i="1" s="1"/>
  <c r="CZ82" i="1" s="1"/>
  <c r="AO86" i="1"/>
  <c r="AQ86" i="1" s="1"/>
  <c r="AN86" i="1"/>
  <c r="AP86" i="1" s="1"/>
  <c r="AR86" i="1" s="1"/>
  <c r="BS84" i="1"/>
  <c r="BU84" i="1" s="1"/>
  <c r="BR84" i="1"/>
  <c r="BT84" i="1" s="1"/>
  <c r="BV84" i="1" s="1"/>
  <c r="Z87" i="1"/>
  <c r="AB87" i="1" s="1"/>
  <c r="Y87" i="1"/>
  <c r="AA87" i="1" s="1"/>
  <c r="AC87" i="1" s="1"/>
  <c r="CH83" i="1"/>
  <c r="CJ83" i="1" s="1"/>
  <c r="CG83" i="1"/>
  <c r="CI83" i="1" s="1"/>
  <c r="CK83" i="1" s="1"/>
  <c r="E88" i="1"/>
  <c r="F88" i="1"/>
  <c r="H88" i="1" s="1"/>
  <c r="BC85" i="1"/>
  <c r="BE85" i="1" s="1"/>
  <c r="BG85" i="1" s="1"/>
  <c r="BD85" i="1"/>
  <c r="BF85" i="1" s="1"/>
  <c r="AS86" i="1" l="1"/>
  <c r="AU86" i="1" s="1"/>
  <c r="AW86" i="1" s="1"/>
  <c r="AT86" i="1"/>
  <c r="AV86" i="1" s="1"/>
  <c r="Q88" i="1"/>
  <c r="S88" i="1" s="1"/>
  <c r="G88" i="1"/>
  <c r="I88" i="1" s="1"/>
  <c r="BI85" i="1"/>
  <c r="BK85" i="1" s="1"/>
  <c r="BH85" i="1"/>
  <c r="BJ85" i="1" s="1"/>
  <c r="BL85" i="1" s="1"/>
  <c r="DB82" i="1"/>
  <c r="DD82" i="1" s="1"/>
  <c r="DA82" i="1"/>
  <c r="DC82" i="1" s="1"/>
  <c r="BX84" i="1"/>
  <c r="BZ84" i="1" s="1"/>
  <c r="BW84" i="1"/>
  <c r="BY84" i="1" s="1"/>
  <c r="CA84" i="1" s="1"/>
  <c r="CM83" i="1"/>
  <c r="CO83" i="1" s="1"/>
  <c r="CL83" i="1"/>
  <c r="CN83" i="1" s="1"/>
  <c r="CP83" i="1" s="1"/>
  <c r="AE87" i="1"/>
  <c r="AG87" i="1" s="1"/>
  <c r="AD87" i="1"/>
  <c r="AF87" i="1" s="1"/>
  <c r="AH87" i="1" s="1"/>
  <c r="AI87" i="1" l="1"/>
  <c r="AK87" i="1" s="1"/>
  <c r="AM87" i="1" s="1"/>
  <c r="AJ87" i="1"/>
  <c r="AL87" i="1" s="1"/>
  <c r="J88" i="1"/>
  <c r="L88" i="1" s="1"/>
  <c r="N88" i="1" s="1"/>
  <c r="K88" i="1"/>
  <c r="M88" i="1" s="1"/>
  <c r="D89" i="1"/>
  <c r="BN85" i="1"/>
  <c r="BP85" i="1" s="1"/>
  <c r="BM85" i="1"/>
  <c r="BO85" i="1" s="1"/>
  <c r="BQ85" i="1" s="1"/>
  <c r="U88" i="1"/>
  <c r="W88" i="1" s="1"/>
  <c r="T88" i="1"/>
  <c r="V88" i="1" s="1"/>
  <c r="X88" i="1" s="1"/>
  <c r="AY86" i="1"/>
  <c r="BA86" i="1" s="1"/>
  <c r="AX86" i="1"/>
  <c r="AZ86" i="1" s="1"/>
  <c r="BB86" i="1" s="1"/>
  <c r="CR83" i="1"/>
  <c r="CT83" i="1" s="1"/>
  <c r="CQ83" i="1"/>
  <c r="CS83" i="1" s="1"/>
  <c r="CU83" i="1" s="1"/>
  <c r="CC84" i="1"/>
  <c r="CE84" i="1" s="1"/>
  <c r="CB84" i="1"/>
  <c r="CD84" i="1" s="1"/>
  <c r="CF84" i="1" s="1"/>
  <c r="P88" i="1" l="1"/>
  <c r="R88" i="1" s="1"/>
  <c r="O88" i="1"/>
  <c r="BD86" i="1"/>
  <c r="BF86" i="1" s="1"/>
  <c r="BC86" i="1"/>
  <c r="BE86" i="1" s="1"/>
  <c r="BG86" i="1" s="1"/>
  <c r="BS85" i="1"/>
  <c r="BU85" i="1" s="1"/>
  <c r="BR85" i="1"/>
  <c r="BT85" i="1" s="1"/>
  <c r="BV85" i="1" s="1"/>
  <c r="F89" i="1"/>
  <c r="H89" i="1" s="1"/>
  <c r="E89" i="1"/>
  <c r="CH84" i="1"/>
  <c r="CJ84" i="1" s="1"/>
  <c r="CG84" i="1"/>
  <c r="CI84" i="1" s="1"/>
  <c r="CK84" i="1" s="1"/>
  <c r="AO87" i="1"/>
  <c r="AQ87" i="1" s="1"/>
  <c r="AN87" i="1"/>
  <c r="AP87" i="1" s="1"/>
  <c r="AR87" i="1" s="1"/>
  <c r="CW83" i="1"/>
  <c r="CY83" i="1" s="1"/>
  <c r="CV83" i="1"/>
  <c r="CX83" i="1" s="1"/>
  <c r="CZ83" i="1" s="1"/>
  <c r="Y88" i="1"/>
  <c r="AA88" i="1" s="1"/>
  <c r="AC88" i="1" s="1"/>
  <c r="Z88" i="1"/>
  <c r="AB88" i="1" s="1"/>
  <c r="G89" i="1" l="1"/>
  <c r="I89" i="1" s="1"/>
  <c r="Q89" i="1"/>
  <c r="S89" i="1" s="1"/>
  <c r="AT87" i="1"/>
  <c r="AV87" i="1" s="1"/>
  <c r="AS87" i="1"/>
  <c r="AU87" i="1" s="1"/>
  <c r="AW87" i="1" s="1"/>
  <c r="BW85" i="1"/>
  <c r="BY85" i="1" s="1"/>
  <c r="CA85" i="1" s="1"/>
  <c r="BX85" i="1"/>
  <c r="BZ85" i="1" s="1"/>
  <c r="DA83" i="1"/>
  <c r="DC83" i="1" s="1"/>
  <c r="DB83" i="1"/>
  <c r="DD83" i="1" s="1"/>
  <c r="CM84" i="1"/>
  <c r="CO84" i="1" s="1"/>
  <c r="CL84" i="1"/>
  <c r="CN84" i="1" s="1"/>
  <c r="CP84" i="1" s="1"/>
  <c r="AE88" i="1"/>
  <c r="AG88" i="1" s="1"/>
  <c r="AD88" i="1"/>
  <c r="AF88" i="1" s="1"/>
  <c r="AH88" i="1" s="1"/>
  <c r="BI86" i="1"/>
  <c r="BK86" i="1" s="1"/>
  <c r="BH86" i="1"/>
  <c r="BJ86" i="1" s="1"/>
  <c r="BL86" i="1" s="1"/>
  <c r="AY87" i="1" l="1"/>
  <c r="BA87" i="1" s="1"/>
  <c r="AX87" i="1"/>
  <c r="AZ87" i="1" s="1"/>
  <c r="BB87" i="1" s="1"/>
  <c r="BM86" i="1"/>
  <c r="BO86" i="1" s="1"/>
  <c r="BQ86" i="1" s="1"/>
  <c r="BN86" i="1"/>
  <c r="BP86" i="1" s="1"/>
  <c r="AJ88" i="1"/>
  <c r="AL88" i="1" s="1"/>
  <c r="AI88" i="1"/>
  <c r="AK88" i="1" s="1"/>
  <c r="AM88" i="1" s="1"/>
  <c r="CC85" i="1"/>
  <c r="CE85" i="1" s="1"/>
  <c r="CB85" i="1"/>
  <c r="CD85" i="1" s="1"/>
  <c r="CF85" i="1" s="1"/>
  <c r="U89" i="1"/>
  <c r="W89" i="1" s="1"/>
  <c r="T89" i="1"/>
  <c r="V89" i="1" s="1"/>
  <c r="X89" i="1" s="1"/>
  <c r="CR84" i="1"/>
  <c r="CT84" i="1" s="1"/>
  <c r="CQ84" i="1"/>
  <c r="CS84" i="1" s="1"/>
  <c r="CU84" i="1" s="1"/>
  <c r="K89" i="1"/>
  <c r="M89" i="1" s="1"/>
  <c r="J89" i="1"/>
  <c r="L89" i="1" s="1"/>
  <c r="N89" i="1" s="1"/>
  <c r="D90" i="1"/>
  <c r="AO88" i="1" l="1"/>
  <c r="AQ88" i="1" s="1"/>
  <c r="AN88" i="1"/>
  <c r="AP88" i="1" s="1"/>
  <c r="AR88" i="1" s="1"/>
  <c r="CH85" i="1"/>
  <c r="CJ85" i="1" s="1"/>
  <c r="CG85" i="1"/>
  <c r="CI85" i="1" s="1"/>
  <c r="CK85" i="1" s="1"/>
  <c r="E90" i="1"/>
  <c r="F90" i="1"/>
  <c r="H90" i="1" s="1"/>
  <c r="BS86" i="1"/>
  <c r="BU86" i="1" s="1"/>
  <c r="BR86" i="1"/>
  <c r="BT86" i="1" s="1"/>
  <c r="BV86" i="1" s="1"/>
  <c r="O89" i="1"/>
  <c r="P89" i="1"/>
  <c r="R89" i="1" s="1"/>
  <c r="CW84" i="1"/>
  <c r="CY84" i="1" s="1"/>
  <c r="CV84" i="1"/>
  <c r="CX84" i="1" s="1"/>
  <c r="CZ84" i="1" s="1"/>
  <c r="Z89" i="1"/>
  <c r="AB89" i="1" s="1"/>
  <c r="Y89" i="1"/>
  <c r="AA89" i="1" s="1"/>
  <c r="AC89" i="1" s="1"/>
  <c r="BC87" i="1"/>
  <c r="BE87" i="1" s="1"/>
  <c r="BG87" i="1" s="1"/>
  <c r="BD87" i="1"/>
  <c r="BF87" i="1" s="1"/>
  <c r="AE89" i="1" l="1"/>
  <c r="AG89" i="1" s="1"/>
  <c r="AD89" i="1"/>
  <c r="AF89" i="1" s="1"/>
  <c r="AH89" i="1" s="1"/>
  <c r="CM85" i="1"/>
  <c r="CO85" i="1" s="1"/>
  <c r="CL85" i="1"/>
  <c r="CN85" i="1" s="1"/>
  <c r="CP85" i="1" s="1"/>
  <c r="BI87" i="1"/>
  <c r="BK87" i="1" s="1"/>
  <c r="BH87" i="1"/>
  <c r="BJ87" i="1" s="1"/>
  <c r="BL87" i="1" s="1"/>
  <c r="Q90" i="1"/>
  <c r="S90" i="1" s="1"/>
  <c r="G90" i="1"/>
  <c r="I90" i="1" s="1"/>
  <c r="AS88" i="1"/>
  <c r="AU88" i="1" s="1"/>
  <c r="AW88" i="1" s="1"/>
  <c r="AT88" i="1"/>
  <c r="AV88" i="1" s="1"/>
  <c r="BX86" i="1"/>
  <c r="BZ86" i="1" s="1"/>
  <c r="BW86" i="1"/>
  <c r="BY86" i="1" s="1"/>
  <c r="CA86" i="1" s="1"/>
  <c r="DA84" i="1"/>
  <c r="DC84" i="1" s="1"/>
  <c r="DB84" i="1"/>
  <c r="DD84" i="1" s="1"/>
  <c r="CQ85" i="1" l="1"/>
  <c r="CS85" i="1" s="1"/>
  <c r="CU85" i="1" s="1"/>
  <c r="CR85" i="1"/>
  <c r="CT85" i="1" s="1"/>
  <c r="AY88" i="1"/>
  <c r="BA88" i="1" s="1"/>
  <c r="AX88" i="1"/>
  <c r="AZ88" i="1" s="1"/>
  <c r="BB88" i="1" s="1"/>
  <c r="BN87" i="1"/>
  <c r="BP87" i="1" s="1"/>
  <c r="BM87" i="1"/>
  <c r="BO87" i="1" s="1"/>
  <c r="BQ87" i="1" s="1"/>
  <c r="K90" i="1"/>
  <c r="M90" i="1" s="1"/>
  <c r="J90" i="1"/>
  <c r="L90" i="1" s="1"/>
  <c r="N90" i="1" s="1"/>
  <c r="D91" i="1"/>
  <c r="CC86" i="1"/>
  <c r="CE86" i="1" s="1"/>
  <c r="CB86" i="1"/>
  <c r="CD86" i="1" s="1"/>
  <c r="CF86" i="1" s="1"/>
  <c r="U90" i="1"/>
  <c r="W90" i="1" s="1"/>
  <c r="T90" i="1"/>
  <c r="V90" i="1" s="1"/>
  <c r="X90" i="1" s="1"/>
  <c r="AI89" i="1"/>
  <c r="AK89" i="1" s="1"/>
  <c r="AM89" i="1" s="1"/>
  <c r="AJ89" i="1"/>
  <c r="AL89" i="1" s="1"/>
  <c r="Y90" i="1" l="1"/>
  <c r="AA90" i="1" s="1"/>
  <c r="AC90" i="1" s="1"/>
  <c r="Z90" i="1"/>
  <c r="AB90" i="1" s="1"/>
  <c r="P90" i="1"/>
  <c r="R90" i="1" s="1"/>
  <c r="O90" i="1"/>
  <c r="AO89" i="1"/>
  <c r="AQ89" i="1" s="1"/>
  <c r="AN89" i="1"/>
  <c r="AP89" i="1" s="1"/>
  <c r="AR89" i="1" s="1"/>
  <c r="BD88" i="1"/>
  <c r="BF88" i="1" s="1"/>
  <c r="BC88" i="1"/>
  <c r="BE88" i="1" s="1"/>
  <c r="BG88" i="1" s="1"/>
  <c r="BS87" i="1"/>
  <c r="BU87" i="1" s="1"/>
  <c r="BR87" i="1"/>
  <c r="BT87" i="1" s="1"/>
  <c r="BV87" i="1" s="1"/>
  <c r="CG86" i="1"/>
  <c r="CI86" i="1" s="1"/>
  <c r="CK86" i="1" s="1"/>
  <c r="CH86" i="1"/>
  <c r="CJ86" i="1" s="1"/>
  <c r="F91" i="1"/>
  <c r="H91" i="1" s="1"/>
  <c r="E91" i="1"/>
  <c r="CW85" i="1"/>
  <c r="CY85" i="1" s="1"/>
  <c r="CV85" i="1"/>
  <c r="CX85" i="1" s="1"/>
  <c r="CZ85" i="1" s="1"/>
  <c r="BI88" i="1" l="1"/>
  <c r="BK88" i="1" s="1"/>
  <c r="BH88" i="1"/>
  <c r="BJ88" i="1" s="1"/>
  <c r="BL88" i="1" s="1"/>
  <c r="DB85" i="1"/>
  <c r="DD85" i="1" s="1"/>
  <c r="DA85" i="1"/>
  <c r="DC85" i="1" s="1"/>
  <c r="Q91" i="1"/>
  <c r="S91" i="1" s="1"/>
  <c r="G91" i="1"/>
  <c r="I91" i="1" s="1"/>
  <c r="AT89" i="1"/>
  <c r="AV89" i="1" s="1"/>
  <c r="AS89" i="1"/>
  <c r="AU89" i="1" s="1"/>
  <c r="AW89" i="1" s="1"/>
  <c r="CM86" i="1"/>
  <c r="CO86" i="1" s="1"/>
  <c r="CL86" i="1"/>
  <c r="CN86" i="1" s="1"/>
  <c r="CP86" i="1" s="1"/>
  <c r="BW87" i="1"/>
  <c r="BY87" i="1" s="1"/>
  <c r="CA87" i="1" s="1"/>
  <c r="BX87" i="1"/>
  <c r="BZ87" i="1" s="1"/>
  <c r="AE90" i="1"/>
  <c r="AG90" i="1" s="1"/>
  <c r="AD90" i="1"/>
  <c r="AF90" i="1" s="1"/>
  <c r="AH90" i="1" s="1"/>
  <c r="AJ90" i="1" l="1"/>
  <c r="AL90" i="1" s="1"/>
  <c r="AI90" i="1"/>
  <c r="AK90" i="1" s="1"/>
  <c r="AM90" i="1" s="1"/>
  <c r="BM88" i="1"/>
  <c r="BO88" i="1" s="1"/>
  <c r="BQ88" i="1" s="1"/>
  <c r="BN88" i="1"/>
  <c r="BP88" i="1" s="1"/>
  <c r="U91" i="1"/>
  <c r="W91" i="1" s="1"/>
  <c r="T91" i="1"/>
  <c r="V91" i="1" s="1"/>
  <c r="X91" i="1" s="1"/>
  <c r="AY89" i="1"/>
  <c r="BA89" i="1" s="1"/>
  <c r="AX89" i="1"/>
  <c r="AZ89" i="1" s="1"/>
  <c r="BB89" i="1" s="1"/>
  <c r="K91" i="1"/>
  <c r="M91" i="1" s="1"/>
  <c r="J91" i="1"/>
  <c r="L91" i="1" s="1"/>
  <c r="N91" i="1" s="1"/>
  <c r="D92" i="1"/>
  <c r="CC87" i="1"/>
  <c r="CE87" i="1" s="1"/>
  <c r="CB87" i="1"/>
  <c r="CD87" i="1" s="1"/>
  <c r="CF87" i="1" s="1"/>
  <c r="CR86" i="1"/>
  <c r="CT86" i="1" s="1"/>
  <c r="CQ86" i="1"/>
  <c r="CS86" i="1" s="1"/>
  <c r="CU86" i="1" s="1"/>
  <c r="CH87" i="1" l="1"/>
  <c r="CJ87" i="1" s="1"/>
  <c r="CG87" i="1"/>
  <c r="CI87" i="1" s="1"/>
  <c r="CK87" i="1" s="1"/>
  <c r="BC89" i="1"/>
  <c r="BE89" i="1" s="1"/>
  <c r="BG89" i="1" s="1"/>
  <c r="BD89" i="1"/>
  <c r="BF89" i="1" s="1"/>
  <c r="AO90" i="1"/>
  <c r="AQ90" i="1" s="1"/>
  <c r="AN90" i="1"/>
  <c r="AP90" i="1" s="1"/>
  <c r="AR90" i="1" s="1"/>
  <c r="CW86" i="1"/>
  <c r="CY86" i="1" s="1"/>
  <c r="CV86" i="1"/>
  <c r="CX86" i="1" s="1"/>
  <c r="CZ86" i="1" s="1"/>
  <c r="E92" i="1"/>
  <c r="F92" i="1"/>
  <c r="H92" i="1" s="1"/>
  <c r="Z91" i="1"/>
  <c r="AB91" i="1" s="1"/>
  <c r="Y91" i="1"/>
  <c r="AA91" i="1" s="1"/>
  <c r="AC91" i="1" s="1"/>
  <c r="BS88" i="1"/>
  <c r="BU88" i="1" s="1"/>
  <c r="BR88" i="1"/>
  <c r="BT88" i="1" s="1"/>
  <c r="BV88" i="1" s="1"/>
  <c r="O91" i="1"/>
  <c r="P91" i="1"/>
  <c r="R91" i="1" s="1"/>
  <c r="DB86" i="1" l="1"/>
  <c r="DD86" i="1" s="1"/>
  <c r="DA86" i="1"/>
  <c r="DC86" i="1" s="1"/>
  <c r="BX88" i="1"/>
  <c r="BZ88" i="1" s="1"/>
  <c r="BW88" i="1"/>
  <c r="BY88" i="1" s="1"/>
  <c r="CA88" i="1" s="1"/>
  <c r="AD91" i="1"/>
  <c r="AF91" i="1" s="1"/>
  <c r="AH91" i="1" s="1"/>
  <c r="AE91" i="1"/>
  <c r="AG91" i="1" s="1"/>
  <c r="BI89" i="1"/>
  <c r="BK89" i="1" s="1"/>
  <c r="BH89" i="1"/>
  <c r="BJ89" i="1" s="1"/>
  <c r="BL89" i="1" s="1"/>
  <c r="AS90" i="1"/>
  <c r="AU90" i="1" s="1"/>
  <c r="AW90" i="1" s="1"/>
  <c r="AT90" i="1"/>
  <c r="AV90" i="1" s="1"/>
  <c r="CM87" i="1"/>
  <c r="CO87" i="1" s="1"/>
  <c r="CL87" i="1"/>
  <c r="CN87" i="1" s="1"/>
  <c r="CP87" i="1" s="1"/>
  <c r="Q92" i="1"/>
  <c r="S92" i="1" s="1"/>
  <c r="G92" i="1"/>
  <c r="I92" i="1" s="1"/>
  <c r="BN89" i="1" l="1"/>
  <c r="BP89" i="1" s="1"/>
  <c r="BM89" i="1"/>
  <c r="BO89" i="1" s="1"/>
  <c r="BQ89" i="1" s="1"/>
  <c r="AI91" i="1"/>
  <c r="AK91" i="1" s="1"/>
  <c r="AM91" i="1" s="1"/>
  <c r="AJ91" i="1"/>
  <c r="AL91" i="1" s="1"/>
  <c r="U92" i="1"/>
  <c r="W92" i="1" s="1"/>
  <c r="T92" i="1"/>
  <c r="V92" i="1" s="1"/>
  <c r="X92" i="1" s="1"/>
  <c r="CC88" i="1"/>
  <c r="CE88" i="1" s="1"/>
  <c r="CB88" i="1"/>
  <c r="CD88" i="1" s="1"/>
  <c r="CF88" i="1" s="1"/>
  <c r="K92" i="1"/>
  <c r="M92" i="1" s="1"/>
  <c r="J92" i="1"/>
  <c r="L92" i="1" s="1"/>
  <c r="N92" i="1" s="1"/>
  <c r="D93" i="1"/>
  <c r="CR87" i="1"/>
  <c r="CT87" i="1" s="1"/>
  <c r="CQ87" i="1"/>
  <c r="CS87" i="1" s="1"/>
  <c r="CU87" i="1" s="1"/>
  <c r="AY90" i="1"/>
  <c r="BA90" i="1" s="1"/>
  <c r="AX90" i="1"/>
  <c r="AZ90" i="1" s="1"/>
  <c r="BB90" i="1" s="1"/>
  <c r="Y92" i="1" l="1"/>
  <c r="AA92" i="1" s="1"/>
  <c r="AC92" i="1" s="1"/>
  <c r="Z92" i="1"/>
  <c r="AB92" i="1" s="1"/>
  <c r="BD90" i="1"/>
  <c r="BF90" i="1" s="1"/>
  <c r="BC90" i="1"/>
  <c r="BE90" i="1" s="1"/>
  <c r="BG90" i="1" s="1"/>
  <c r="P92" i="1"/>
  <c r="R92" i="1" s="1"/>
  <c r="O92" i="1"/>
  <c r="CH88" i="1"/>
  <c r="CJ88" i="1" s="1"/>
  <c r="CG88" i="1"/>
  <c r="CI88" i="1" s="1"/>
  <c r="CK88" i="1" s="1"/>
  <c r="CV87" i="1"/>
  <c r="CX87" i="1" s="1"/>
  <c r="CW87" i="1"/>
  <c r="CY87" i="1" s="1"/>
  <c r="AO91" i="1"/>
  <c r="AQ91" i="1" s="1"/>
  <c r="AN91" i="1"/>
  <c r="AP91" i="1" s="1"/>
  <c r="AR91" i="1" s="1"/>
  <c r="F93" i="1"/>
  <c r="H93" i="1" s="1"/>
  <c r="E93" i="1"/>
  <c r="BS89" i="1"/>
  <c r="BU89" i="1" s="1"/>
  <c r="BR89" i="1"/>
  <c r="BT89" i="1" s="1"/>
  <c r="BV89" i="1" s="1"/>
  <c r="CL88" i="1" l="1"/>
  <c r="CN88" i="1" s="1"/>
  <c r="CP88" i="1" s="1"/>
  <c r="CM88" i="1"/>
  <c r="CO88" i="1" s="1"/>
  <c r="BX89" i="1"/>
  <c r="BZ89" i="1" s="1"/>
  <c r="BW89" i="1"/>
  <c r="BY89" i="1" s="1"/>
  <c r="CA89" i="1" s="1"/>
  <c r="G93" i="1"/>
  <c r="I93" i="1" s="1"/>
  <c r="Q93" i="1"/>
  <c r="S93" i="1" s="1"/>
  <c r="AT91" i="1"/>
  <c r="AV91" i="1" s="1"/>
  <c r="AS91" i="1"/>
  <c r="AU91" i="1" s="1"/>
  <c r="AW91" i="1" s="1"/>
  <c r="CZ87" i="1"/>
  <c r="BI90" i="1"/>
  <c r="BK90" i="1" s="1"/>
  <c r="BH90" i="1"/>
  <c r="BJ90" i="1" s="1"/>
  <c r="BL90" i="1" s="1"/>
  <c r="AE92" i="1"/>
  <c r="AG92" i="1" s="1"/>
  <c r="AD92" i="1"/>
  <c r="AF92" i="1" s="1"/>
  <c r="AH92" i="1" s="1"/>
  <c r="U93" i="1" l="1"/>
  <c r="W93" i="1" s="1"/>
  <c r="T93" i="1"/>
  <c r="V93" i="1" s="1"/>
  <c r="X93" i="1" s="1"/>
  <c r="K93" i="1"/>
  <c r="M93" i="1" s="1"/>
  <c r="J93" i="1"/>
  <c r="L93" i="1" s="1"/>
  <c r="N93" i="1" s="1"/>
  <c r="D94" i="1"/>
  <c r="DB87" i="1"/>
  <c r="DD87" i="1" s="1"/>
  <c r="DA87" i="1"/>
  <c r="DC87" i="1" s="1"/>
  <c r="AJ92" i="1"/>
  <c r="AL92" i="1" s="1"/>
  <c r="AI92" i="1"/>
  <c r="AK92" i="1" s="1"/>
  <c r="AM92" i="1" s="1"/>
  <c r="AY91" i="1"/>
  <c r="BA91" i="1" s="1"/>
  <c r="AX91" i="1"/>
  <c r="AZ91" i="1" s="1"/>
  <c r="BB91" i="1" s="1"/>
  <c r="CB89" i="1"/>
  <c r="CD89" i="1" s="1"/>
  <c r="CF89" i="1" s="1"/>
  <c r="CC89" i="1"/>
  <c r="CE89" i="1" s="1"/>
  <c r="BN90" i="1"/>
  <c r="BP90" i="1" s="1"/>
  <c r="BM90" i="1"/>
  <c r="BO90" i="1" s="1"/>
  <c r="BQ90" i="1" s="1"/>
  <c r="CR88" i="1"/>
  <c r="CT88" i="1" s="1"/>
  <c r="CQ88" i="1"/>
  <c r="CS88" i="1" s="1"/>
  <c r="CU88" i="1" s="1"/>
  <c r="E94" i="1" l="1"/>
  <c r="F94" i="1"/>
  <c r="H94" i="1" s="1"/>
  <c r="BR90" i="1"/>
  <c r="BT90" i="1" s="1"/>
  <c r="BV90" i="1" s="1"/>
  <c r="BS90" i="1"/>
  <c r="BU90" i="1" s="1"/>
  <c r="BD91" i="1"/>
  <c r="BF91" i="1" s="1"/>
  <c r="BC91" i="1"/>
  <c r="BE91" i="1" s="1"/>
  <c r="BG91" i="1" s="1"/>
  <c r="O93" i="1"/>
  <c r="P93" i="1"/>
  <c r="R93" i="1" s="1"/>
  <c r="Z93" i="1"/>
  <c r="AB93" i="1" s="1"/>
  <c r="Y93" i="1"/>
  <c r="AA93" i="1" s="1"/>
  <c r="AC93" i="1" s="1"/>
  <c r="AO92" i="1"/>
  <c r="AQ92" i="1" s="1"/>
  <c r="AN92" i="1"/>
  <c r="AP92" i="1" s="1"/>
  <c r="AR92" i="1" s="1"/>
  <c r="CH89" i="1"/>
  <c r="CJ89" i="1" s="1"/>
  <c r="CG89" i="1"/>
  <c r="CI89" i="1" s="1"/>
  <c r="CK89" i="1" s="1"/>
  <c r="CW88" i="1"/>
  <c r="CY88" i="1" s="1"/>
  <c r="CV88" i="1"/>
  <c r="CX88" i="1" s="1"/>
  <c r="CZ88" i="1" s="1"/>
  <c r="DA88" i="1" l="1"/>
  <c r="DC88" i="1" s="1"/>
  <c r="DB88" i="1"/>
  <c r="DD88" i="1" s="1"/>
  <c r="CM89" i="1"/>
  <c r="CO89" i="1" s="1"/>
  <c r="CL89" i="1"/>
  <c r="CN89" i="1" s="1"/>
  <c r="CP89" i="1" s="1"/>
  <c r="BX90" i="1"/>
  <c r="BZ90" i="1" s="1"/>
  <c r="BW90" i="1"/>
  <c r="BY90" i="1" s="1"/>
  <c r="CA90" i="1" s="1"/>
  <c r="BI91" i="1"/>
  <c r="BK91" i="1" s="1"/>
  <c r="BH91" i="1"/>
  <c r="BJ91" i="1" s="1"/>
  <c r="BL91" i="1" s="1"/>
  <c r="AT92" i="1"/>
  <c r="AV92" i="1" s="1"/>
  <c r="AS92" i="1"/>
  <c r="AU92" i="1" s="1"/>
  <c r="AW92" i="1" s="1"/>
  <c r="AE93" i="1"/>
  <c r="AG93" i="1" s="1"/>
  <c r="AD93" i="1"/>
  <c r="AF93" i="1" s="1"/>
  <c r="AH93" i="1" s="1"/>
  <c r="Q94" i="1"/>
  <c r="S94" i="1" s="1"/>
  <c r="G94" i="1"/>
  <c r="I94" i="1" s="1"/>
  <c r="CC90" i="1" l="1"/>
  <c r="CE90" i="1" s="1"/>
  <c r="CB90" i="1"/>
  <c r="CD90" i="1" s="1"/>
  <c r="CF90" i="1" s="1"/>
  <c r="BM91" i="1"/>
  <c r="BO91" i="1" s="1"/>
  <c r="BQ91" i="1" s="1"/>
  <c r="BN91" i="1"/>
  <c r="BP91" i="1" s="1"/>
  <c r="U94" i="1"/>
  <c r="W94" i="1" s="1"/>
  <c r="T94" i="1"/>
  <c r="V94" i="1" s="1"/>
  <c r="X94" i="1" s="1"/>
  <c r="K94" i="1"/>
  <c r="M94" i="1" s="1"/>
  <c r="J94" i="1"/>
  <c r="L94" i="1" s="1"/>
  <c r="N94" i="1" s="1"/>
  <c r="D95" i="1"/>
  <c r="AJ93" i="1"/>
  <c r="AL93" i="1" s="1"/>
  <c r="AI93" i="1"/>
  <c r="AK93" i="1" s="1"/>
  <c r="AM93" i="1" s="1"/>
  <c r="CQ89" i="1"/>
  <c r="CS89" i="1" s="1"/>
  <c r="CU89" i="1" s="1"/>
  <c r="CR89" i="1"/>
  <c r="CT89" i="1" s="1"/>
  <c r="AX92" i="1"/>
  <c r="AZ92" i="1" s="1"/>
  <c r="BB92" i="1" s="1"/>
  <c r="AY92" i="1"/>
  <c r="BA92" i="1" s="1"/>
  <c r="BC92" i="1" l="1"/>
  <c r="BE92" i="1" s="1"/>
  <c r="BG92" i="1" s="1"/>
  <c r="BD92" i="1"/>
  <c r="BF92" i="1" s="1"/>
  <c r="AO93" i="1"/>
  <c r="AQ93" i="1" s="1"/>
  <c r="AN93" i="1"/>
  <c r="AP93" i="1" s="1"/>
  <c r="AR93" i="1" s="1"/>
  <c r="Z94" i="1"/>
  <c r="AB94" i="1" s="1"/>
  <c r="Y94" i="1"/>
  <c r="AA94" i="1" s="1"/>
  <c r="AC94" i="1" s="1"/>
  <c r="CW89" i="1"/>
  <c r="CY89" i="1" s="1"/>
  <c r="CV89" i="1"/>
  <c r="CX89" i="1" s="1"/>
  <c r="CZ89" i="1" s="1"/>
  <c r="P94" i="1"/>
  <c r="R94" i="1" s="1"/>
  <c r="O94" i="1"/>
  <c r="BS91" i="1"/>
  <c r="BU91" i="1" s="1"/>
  <c r="BR91" i="1"/>
  <c r="BT91" i="1" s="1"/>
  <c r="BV91" i="1" s="1"/>
  <c r="CG90" i="1"/>
  <c r="CI90" i="1" s="1"/>
  <c r="CK90" i="1" s="1"/>
  <c r="CH90" i="1"/>
  <c r="CJ90" i="1" s="1"/>
  <c r="F95" i="1"/>
  <c r="H95" i="1" s="1"/>
  <c r="E95" i="1"/>
  <c r="CM90" i="1" l="1"/>
  <c r="CO90" i="1" s="1"/>
  <c r="CL90" i="1"/>
  <c r="CN90" i="1" s="1"/>
  <c r="CP90" i="1" s="1"/>
  <c r="G95" i="1"/>
  <c r="I95" i="1" s="1"/>
  <c r="Q95" i="1"/>
  <c r="S95" i="1" s="1"/>
  <c r="AE94" i="1"/>
  <c r="AG94" i="1" s="1"/>
  <c r="AD94" i="1"/>
  <c r="AF94" i="1" s="1"/>
  <c r="AH94" i="1" s="1"/>
  <c r="AS93" i="1"/>
  <c r="AU93" i="1" s="1"/>
  <c r="AW93" i="1" s="1"/>
  <c r="AT93" i="1"/>
  <c r="AV93" i="1" s="1"/>
  <c r="DB89" i="1"/>
  <c r="DD89" i="1" s="1"/>
  <c r="DA89" i="1"/>
  <c r="DC89" i="1" s="1"/>
  <c r="BW91" i="1"/>
  <c r="BY91" i="1" s="1"/>
  <c r="CA91" i="1" s="1"/>
  <c r="BX91" i="1"/>
  <c r="BZ91" i="1" s="1"/>
  <c r="BI92" i="1"/>
  <c r="BK92" i="1" s="1"/>
  <c r="BH92" i="1"/>
  <c r="BJ92" i="1" s="1"/>
  <c r="BL92" i="1" s="1"/>
  <c r="T95" i="1" l="1"/>
  <c r="V95" i="1" s="1"/>
  <c r="X95" i="1" s="1"/>
  <c r="U95" i="1"/>
  <c r="W95" i="1" s="1"/>
  <c r="BM92" i="1"/>
  <c r="BO92" i="1" s="1"/>
  <c r="BQ92" i="1" s="1"/>
  <c r="BN92" i="1"/>
  <c r="BP92" i="1" s="1"/>
  <c r="CC91" i="1"/>
  <c r="CE91" i="1" s="1"/>
  <c r="CB91" i="1"/>
  <c r="CD91" i="1" s="1"/>
  <c r="CF91" i="1" s="1"/>
  <c r="AY93" i="1"/>
  <c r="BA93" i="1" s="1"/>
  <c r="AX93" i="1"/>
  <c r="AZ93" i="1" s="1"/>
  <c r="BB93" i="1" s="1"/>
  <c r="AI94" i="1"/>
  <c r="AK94" i="1" s="1"/>
  <c r="AM94" i="1" s="1"/>
  <c r="AJ94" i="1"/>
  <c r="AL94" i="1" s="1"/>
  <c r="K95" i="1"/>
  <c r="M95" i="1" s="1"/>
  <c r="J95" i="1"/>
  <c r="L95" i="1" s="1"/>
  <c r="N95" i="1" s="1"/>
  <c r="D96" i="1"/>
  <c r="CR90" i="1"/>
  <c r="CT90" i="1" s="1"/>
  <c r="CQ90" i="1"/>
  <c r="CS90" i="1" s="1"/>
  <c r="CU90" i="1" s="1"/>
  <c r="CV90" i="1" l="1"/>
  <c r="CX90" i="1" s="1"/>
  <c r="CW90" i="1"/>
  <c r="CY90" i="1" s="1"/>
  <c r="BS92" i="1"/>
  <c r="BU92" i="1" s="1"/>
  <c r="BR92" i="1"/>
  <c r="BT92" i="1" s="1"/>
  <c r="BV92" i="1" s="1"/>
  <c r="BC93" i="1"/>
  <c r="BE93" i="1" s="1"/>
  <c r="BG93" i="1" s="1"/>
  <c r="BD93" i="1"/>
  <c r="BF93" i="1" s="1"/>
  <c r="P95" i="1"/>
  <c r="R95" i="1" s="1"/>
  <c r="O95" i="1"/>
  <c r="Y95" i="1"/>
  <c r="AA95" i="1" s="1"/>
  <c r="AC95" i="1" s="1"/>
  <c r="Z95" i="1"/>
  <c r="AB95" i="1" s="1"/>
  <c r="CH91" i="1"/>
  <c r="CJ91" i="1" s="1"/>
  <c r="CG91" i="1"/>
  <c r="CI91" i="1" s="1"/>
  <c r="CK91" i="1" s="1"/>
  <c r="F96" i="1"/>
  <c r="H96" i="1" s="1"/>
  <c r="E96" i="1"/>
  <c r="AO94" i="1"/>
  <c r="AQ94" i="1" s="1"/>
  <c r="AN94" i="1"/>
  <c r="AP94" i="1" s="1"/>
  <c r="AR94" i="1" s="1"/>
  <c r="BI93" i="1" l="1"/>
  <c r="BK93" i="1" s="1"/>
  <c r="BH93" i="1"/>
  <c r="BJ93" i="1" s="1"/>
  <c r="BL93" i="1" s="1"/>
  <c r="Q96" i="1"/>
  <c r="S96" i="1" s="1"/>
  <c r="G96" i="1"/>
  <c r="I96" i="1" s="1"/>
  <c r="AS94" i="1"/>
  <c r="AU94" i="1" s="1"/>
  <c r="AW94" i="1" s="1"/>
  <c r="AT94" i="1"/>
  <c r="AV94" i="1" s="1"/>
  <c r="BX92" i="1"/>
  <c r="BZ92" i="1" s="1"/>
  <c r="BW92" i="1"/>
  <c r="BY92" i="1" s="1"/>
  <c r="CA92" i="1" s="1"/>
  <c r="CM91" i="1"/>
  <c r="CO91" i="1" s="1"/>
  <c r="CL91" i="1"/>
  <c r="CN91" i="1" s="1"/>
  <c r="CP91" i="1" s="1"/>
  <c r="CZ90" i="1"/>
  <c r="AE95" i="1"/>
  <c r="AG95" i="1" s="1"/>
  <c r="AD95" i="1"/>
  <c r="AF95" i="1" s="1"/>
  <c r="AH95" i="1" s="1"/>
  <c r="AY94" i="1" l="1"/>
  <c r="BA94" i="1" s="1"/>
  <c r="AX94" i="1"/>
  <c r="AZ94" i="1" s="1"/>
  <c r="BB94" i="1" s="1"/>
  <c r="U96" i="1"/>
  <c r="W96" i="1" s="1"/>
  <c r="T96" i="1"/>
  <c r="V96" i="1" s="1"/>
  <c r="X96" i="1" s="1"/>
  <c r="CC92" i="1"/>
  <c r="CE92" i="1" s="1"/>
  <c r="CB92" i="1"/>
  <c r="CD92" i="1" s="1"/>
  <c r="CF92" i="1" s="1"/>
  <c r="K96" i="1"/>
  <c r="M96" i="1" s="1"/>
  <c r="J96" i="1"/>
  <c r="L96" i="1" s="1"/>
  <c r="N96" i="1" s="1"/>
  <c r="D97" i="1"/>
  <c r="BN93" i="1"/>
  <c r="BP93" i="1" s="1"/>
  <c r="BM93" i="1"/>
  <c r="BO93" i="1" s="1"/>
  <c r="BQ93" i="1" s="1"/>
  <c r="AI95" i="1"/>
  <c r="AK95" i="1" s="1"/>
  <c r="AM95" i="1" s="1"/>
  <c r="AJ95" i="1"/>
  <c r="AL95" i="1" s="1"/>
  <c r="DA90" i="1"/>
  <c r="DC90" i="1" s="1"/>
  <c r="DB90" i="1"/>
  <c r="DD90" i="1" s="1"/>
  <c r="CQ91" i="1"/>
  <c r="CS91" i="1" s="1"/>
  <c r="CU91" i="1" s="1"/>
  <c r="CR91" i="1"/>
  <c r="CT91" i="1" s="1"/>
  <c r="CW91" i="1" l="1"/>
  <c r="CY91" i="1" s="1"/>
  <c r="CV91" i="1"/>
  <c r="CX91" i="1" s="1"/>
  <c r="CZ91" i="1" s="1"/>
  <c r="AO95" i="1"/>
  <c r="AQ95" i="1" s="1"/>
  <c r="AN95" i="1"/>
  <c r="AP95" i="1" s="1"/>
  <c r="AR95" i="1" s="1"/>
  <c r="O96" i="1"/>
  <c r="P96" i="1"/>
  <c r="R96" i="1" s="1"/>
  <c r="Y96" i="1"/>
  <c r="AA96" i="1" s="1"/>
  <c r="AC96" i="1" s="1"/>
  <c r="Z96" i="1"/>
  <c r="AB96" i="1" s="1"/>
  <c r="CG92" i="1"/>
  <c r="CI92" i="1" s="1"/>
  <c r="CK92" i="1" s="1"/>
  <c r="CH92" i="1"/>
  <c r="CJ92" i="1" s="1"/>
  <c r="BR93" i="1"/>
  <c r="BT93" i="1" s="1"/>
  <c r="BV93" i="1" s="1"/>
  <c r="BS93" i="1"/>
  <c r="BU93" i="1" s="1"/>
  <c r="BD94" i="1"/>
  <c r="BF94" i="1" s="1"/>
  <c r="BC94" i="1"/>
  <c r="BE94" i="1" s="1"/>
  <c r="BG94" i="1" s="1"/>
  <c r="E97" i="1"/>
  <c r="F97" i="1"/>
  <c r="H97" i="1" s="1"/>
  <c r="Q97" i="1" l="1"/>
  <c r="S97" i="1" s="1"/>
  <c r="G97" i="1"/>
  <c r="I97" i="1" s="1"/>
  <c r="BW93" i="1"/>
  <c r="BY93" i="1" s="1"/>
  <c r="CA93" i="1" s="1"/>
  <c r="BX93" i="1"/>
  <c r="BZ93" i="1" s="1"/>
  <c r="AE96" i="1"/>
  <c r="AG96" i="1" s="1"/>
  <c r="AD96" i="1"/>
  <c r="AF96" i="1" s="1"/>
  <c r="AH96" i="1" s="1"/>
  <c r="AT95" i="1"/>
  <c r="AV95" i="1" s="1"/>
  <c r="AS95" i="1"/>
  <c r="AU95" i="1" s="1"/>
  <c r="AW95" i="1" s="1"/>
  <c r="DB91" i="1"/>
  <c r="DD91" i="1" s="1"/>
  <c r="DA91" i="1"/>
  <c r="DC91" i="1" s="1"/>
  <c r="BI94" i="1"/>
  <c r="BK94" i="1" s="1"/>
  <c r="BH94" i="1"/>
  <c r="BJ94" i="1" s="1"/>
  <c r="BL94" i="1" s="1"/>
  <c r="CM92" i="1"/>
  <c r="CO92" i="1" s="1"/>
  <c r="CL92" i="1"/>
  <c r="CN92" i="1" s="1"/>
  <c r="CP92" i="1" s="1"/>
  <c r="AY95" i="1" l="1"/>
  <c r="BA95" i="1" s="1"/>
  <c r="AX95" i="1"/>
  <c r="AZ95" i="1" s="1"/>
  <c r="BB95" i="1" s="1"/>
  <c r="AJ96" i="1"/>
  <c r="AL96" i="1" s="1"/>
  <c r="AI96" i="1"/>
  <c r="AK96" i="1" s="1"/>
  <c r="AM96" i="1" s="1"/>
  <c r="BM94" i="1"/>
  <c r="BO94" i="1" s="1"/>
  <c r="BQ94" i="1" s="1"/>
  <c r="BN94" i="1"/>
  <c r="BP94" i="1" s="1"/>
  <c r="CC93" i="1"/>
  <c r="CE93" i="1" s="1"/>
  <c r="CB93" i="1"/>
  <c r="CD93" i="1" s="1"/>
  <c r="CF93" i="1" s="1"/>
  <c r="CR92" i="1"/>
  <c r="CT92" i="1" s="1"/>
  <c r="CQ92" i="1"/>
  <c r="CS92" i="1" s="1"/>
  <c r="CU92" i="1" s="1"/>
  <c r="K97" i="1"/>
  <c r="M97" i="1" s="1"/>
  <c r="J97" i="1"/>
  <c r="L97" i="1" s="1"/>
  <c r="N97" i="1" s="1"/>
  <c r="D98" i="1"/>
  <c r="U97" i="1"/>
  <c r="W97" i="1" s="1"/>
  <c r="T97" i="1"/>
  <c r="V97" i="1" s="1"/>
  <c r="X97" i="1" s="1"/>
  <c r="E98" i="1" l="1"/>
  <c r="F98" i="1"/>
  <c r="H98" i="1" s="1"/>
  <c r="O97" i="1"/>
  <c r="P97" i="1"/>
  <c r="R97" i="1" s="1"/>
  <c r="BC95" i="1"/>
  <c r="BE95" i="1" s="1"/>
  <c r="BG95" i="1" s="1"/>
  <c r="BD95" i="1"/>
  <c r="BF95" i="1" s="1"/>
  <c r="Y97" i="1"/>
  <c r="AA97" i="1" s="1"/>
  <c r="AC97" i="1" s="1"/>
  <c r="Z97" i="1"/>
  <c r="AB97" i="1" s="1"/>
  <c r="BS94" i="1"/>
  <c r="BU94" i="1" s="1"/>
  <c r="BR94" i="1"/>
  <c r="BT94" i="1" s="1"/>
  <c r="BV94" i="1" s="1"/>
  <c r="CW92" i="1"/>
  <c r="CY92" i="1" s="1"/>
  <c r="CV92" i="1"/>
  <c r="CX92" i="1" s="1"/>
  <c r="CZ92" i="1" s="1"/>
  <c r="CH93" i="1"/>
  <c r="CJ93" i="1" s="1"/>
  <c r="CG93" i="1"/>
  <c r="CI93" i="1" s="1"/>
  <c r="CK93" i="1" s="1"/>
  <c r="AN96" i="1"/>
  <c r="AP96" i="1" s="1"/>
  <c r="AR96" i="1" s="1"/>
  <c r="AO96" i="1"/>
  <c r="AQ96" i="1" s="1"/>
  <c r="CM93" i="1" l="1"/>
  <c r="CO93" i="1" s="1"/>
  <c r="CL93" i="1"/>
  <c r="CN93" i="1" s="1"/>
  <c r="CP93" i="1" s="1"/>
  <c r="BI95" i="1"/>
  <c r="BK95" i="1" s="1"/>
  <c r="BH95" i="1"/>
  <c r="BJ95" i="1" s="1"/>
  <c r="BL95" i="1" s="1"/>
  <c r="AS96" i="1"/>
  <c r="AU96" i="1" s="1"/>
  <c r="AW96" i="1" s="1"/>
  <c r="AT96" i="1"/>
  <c r="AV96" i="1" s="1"/>
  <c r="AE97" i="1"/>
  <c r="AG97" i="1" s="1"/>
  <c r="AD97" i="1"/>
  <c r="AF97" i="1" s="1"/>
  <c r="AH97" i="1" s="1"/>
  <c r="DB92" i="1"/>
  <c r="DD92" i="1" s="1"/>
  <c r="DA92" i="1"/>
  <c r="DC92" i="1" s="1"/>
  <c r="BX94" i="1"/>
  <c r="BZ94" i="1" s="1"/>
  <c r="BW94" i="1"/>
  <c r="BY94" i="1" s="1"/>
  <c r="CA94" i="1" s="1"/>
  <c r="Q98" i="1"/>
  <c r="S98" i="1" s="1"/>
  <c r="G98" i="1"/>
  <c r="I98" i="1" s="1"/>
  <c r="CC94" i="1" l="1"/>
  <c r="CE94" i="1" s="1"/>
  <c r="CB94" i="1"/>
  <c r="CD94" i="1" s="1"/>
  <c r="CF94" i="1" s="1"/>
  <c r="U98" i="1"/>
  <c r="W98" i="1" s="1"/>
  <c r="T98" i="1"/>
  <c r="V98" i="1" s="1"/>
  <c r="X98" i="1" s="1"/>
  <c r="AY96" i="1"/>
  <c r="BA96" i="1" s="1"/>
  <c r="AX96" i="1"/>
  <c r="AZ96" i="1" s="1"/>
  <c r="BB96" i="1" s="1"/>
  <c r="AJ97" i="1"/>
  <c r="AL97" i="1" s="1"/>
  <c r="AI97" i="1"/>
  <c r="AK97" i="1" s="1"/>
  <c r="AM97" i="1" s="1"/>
  <c r="K98" i="1"/>
  <c r="M98" i="1" s="1"/>
  <c r="J98" i="1"/>
  <c r="L98" i="1" s="1"/>
  <c r="N98" i="1" s="1"/>
  <c r="D99" i="1"/>
  <c r="BN95" i="1"/>
  <c r="BP95" i="1" s="1"/>
  <c r="BM95" i="1"/>
  <c r="BO95" i="1" s="1"/>
  <c r="BQ95" i="1" s="1"/>
  <c r="CR93" i="1"/>
  <c r="CT93" i="1" s="1"/>
  <c r="CQ93" i="1"/>
  <c r="CS93" i="1" s="1"/>
  <c r="CU93" i="1" s="1"/>
  <c r="AO97" i="1" l="1"/>
  <c r="AQ97" i="1" s="1"/>
  <c r="AN97" i="1"/>
  <c r="AP97" i="1" s="1"/>
  <c r="AR97" i="1" s="1"/>
  <c r="CW93" i="1"/>
  <c r="CY93" i="1" s="1"/>
  <c r="CV93" i="1"/>
  <c r="CX93" i="1" s="1"/>
  <c r="CZ93" i="1" s="1"/>
  <c r="BS95" i="1"/>
  <c r="BU95" i="1" s="1"/>
  <c r="BR95" i="1"/>
  <c r="BT95" i="1" s="1"/>
  <c r="BV95" i="1" s="1"/>
  <c r="P98" i="1"/>
  <c r="R98" i="1" s="1"/>
  <c r="O98" i="1"/>
  <c r="BD96" i="1"/>
  <c r="BF96" i="1" s="1"/>
  <c r="BC96" i="1"/>
  <c r="BE96" i="1" s="1"/>
  <c r="BG96" i="1" s="1"/>
  <c r="Z98" i="1"/>
  <c r="AB98" i="1" s="1"/>
  <c r="Y98" i="1"/>
  <c r="AA98" i="1" s="1"/>
  <c r="AC98" i="1" s="1"/>
  <c r="F99" i="1"/>
  <c r="H99" i="1" s="1"/>
  <c r="E99" i="1"/>
  <c r="CH94" i="1"/>
  <c r="CJ94" i="1" s="1"/>
  <c r="CG94" i="1"/>
  <c r="CI94" i="1" s="1"/>
  <c r="CK94" i="1" s="1"/>
  <c r="G99" i="1" l="1"/>
  <c r="I99" i="1" s="1"/>
  <c r="Q99" i="1"/>
  <c r="S99" i="1" s="1"/>
  <c r="AT97" i="1"/>
  <c r="AV97" i="1" s="1"/>
  <c r="AS97" i="1"/>
  <c r="AU97" i="1" s="1"/>
  <c r="AW97" i="1" s="1"/>
  <c r="CL94" i="1"/>
  <c r="CN94" i="1" s="1"/>
  <c r="CP94" i="1" s="1"/>
  <c r="CM94" i="1"/>
  <c r="CO94" i="1" s="1"/>
  <c r="DA93" i="1"/>
  <c r="DC93" i="1" s="1"/>
  <c r="DB93" i="1"/>
  <c r="DD93" i="1" s="1"/>
  <c r="BI96" i="1"/>
  <c r="BK96" i="1" s="1"/>
  <c r="BH96" i="1"/>
  <c r="BJ96" i="1" s="1"/>
  <c r="BL96" i="1" s="1"/>
  <c r="BX95" i="1"/>
  <c r="BZ95" i="1" s="1"/>
  <c r="BW95" i="1"/>
  <c r="BY95" i="1" s="1"/>
  <c r="CA95" i="1" s="1"/>
  <c r="AE98" i="1"/>
  <c r="AG98" i="1" s="1"/>
  <c r="AD98" i="1"/>
  <c r="AF98" i="1" s="1"/>
  <c r="AH98" i="1" s="1"/>
  <c r="CC95" i="1" l="1"/>
  <c r="CE95" i="1" s="1"/>
  <c r="CB95" i="1"/>
  <c r="CD95" i="1" s="1"/>
  <c r="CF95" i="1" s="1"/>
  <c r="U99" i="1"/>
  <c r="W99" i="1" s="1"/>
  <c r="T99" i="1"/>
  <c r="V99" i="1" s="1"/>
  <c r="X99" i="1" s="1"/>
  <c r="AJ98" i="1"/>
  <c r="AL98" i="1" s="1"/>
  <c r="AI98" i="1"/>
  <c r="AK98" i="1" s="1"/>
  <c r="AM98" i="1" s="1"/>
  <c r="CQ94" i="1"/>
  <c r="CS94" i="1" s="1"/>
  <c r="CU94" i="1" s="1"/>
  <c r="CR94" i="1"/>
  <c r="CT94" i="1" s="1"/>
  <c r="AY97" i="1"/>
  <c r="BA97" i="1" s="1"/>
  <c r="AX97" i="1"/>
  <c r="AZ97" i="1" s="1"/>
  <c r="BB97" i="1" s="1"/>
  <c r="BN96" i="1"/>
  <c r="BP96" i="1" s="1"/>
  <c r="BM96" i="1"/>
  <c r="BO96" i="1" s="1"/>
  <c r="BQ96" i="1" s="1"/>
  <c r="K99" i="1"/>
  <c r="M99" i="1" s="1"/>
  <c r="J99" i="1"/>
  <c r="L99" i="1" s="1"/>
  <c r="N99" i="1" s="1"/>
  <c r="D100" i="1"/>
  <c r="F100" i="1" l="1"/>
  <c r="H100" i="1" s="1"/>
  <c r="E100" i="1"/>
  <c r="CW94" i="1"/>
  <c r="CY94" i="1" s="1"/>
  <c r="CV94" i="1"/>
  <c r="CX94" i="1" s="1"/>
  <c r="CZ94" i="1" s="1"/>
  <c r="Z99" i="1"/>
  <c r="AB99" i="1" s="1"/>
  <c r="Y99" i="1"/>
  <c r="AA99" i="1" s="1"/>
  <c r="AC99" i="1" s="1"/>
  <c r="P99" i="1"/>
  <c r="R99" i="1" s="1"/>
  <c r="O99" i="1"/>
  <c r="BD97" i="1"/>
  <c r="BF97" i="1" s="1"/>
  <c r="BC97" i="1"/>
  <c r="BE97" i="1" s="1"/>
  <c r="BG97" i="1" s="1"/>
  <c r="AO98" i="1"/>
  <c r="AQ98" i="1" s="1"/>
  <c r="AN98" i="1"/>
  <c r="AP98" i="1" s="1"/>
  <c r="AR98" i="1" s="1"/>
  <c r="BS96" i="1"/>
  <c r="BU96" i="1" s="1"/>
  <c r="BR96" i="1"/>
  <c r="BT96" i="1" s="1"/>
  <c r="BV96" i="1" s="1"/>
  <c r="CG95" i="1"/>
  <c r="CI95" i="1" s="1"/>
  <c r="CK95" i="1" s="1"/>
  <c r="CH95" i="1"/>
  <c r="CJ95" i="1" s="1"/>
  <c r="AE99" i="1" l="1"/>
  <c r="AG99" i="1" s="1"/>
  <c r="AD99" i="1"/>
  <c r="AF99" i="1" s="1"/>
  <c r="AH99" i="1" s="1"/>
  <c r="BW96" i="1"/>
  <c r="BY96" i="1" s="1"/>
  <c r="CA96" i="1" s="1"/>
  <c r="BX96" i="1"/>
  <c r="BZ96" i="1" s="1"/>
  <c r="AT98" i="1"/>
  <c r="AV98" i="1" s="1"/>
  <c r="AS98" i="1"/>
  <c r="AU98" i="1" s="1"/>
  <c r="AW98" i="1" s="1"/>
  <c r="CM95" i="1"/>
  <c r="CO95" i="1" s="1"/>
  <c r="CL95" i="1"/>
  <c r="CN95" i="1" s="1"/>
  <c r="CP95" i="1" s="1"/>
  <c r="DA94" i="1"/>
  <c r="DC94" i="1" s="1"/>
  <c r="DB94" i="1"/>
  <c r="DD94" i="1" s="1"/>
  <c r="BH97" i="1"/>
  <c r="BJ97" i="1" s="1"/>
  <c r="BL97" i="1" s="1"/>
  <c r="BI97" i="1"/>
  <c r="BK97" i="1" s="1"/>
  <c r="G100" i="1"/>
  <c r="I100" i="1" s="1"/>
  <c r="Q100" i="1"/>
  <c r="S100" i="1" s="1"/>
  <c r="K100" i="1" l="1"/>
  <c r="M100" i="1" s="1"/>
  <c r="J100" i="1"/>
  <c r="L100" i="1" s="1"/>
  <c r="N100" i="1" s="1"/>
  <c r="D101" i="1"/>
  <c r="AY98" i="1"/>
  <c r="BA98" i="1" s="1"/>
  <c r="AX98" i="1"/>
  <c r="AZ98" i="1" s="1"/>
  <c r="BB98" i="1" s="1"/>
  <c r="CC96" i="1"/>
  <c r="CE96" i="1" s="1"/>
  <c r="CB96" i="1"/>
  <c r="CD96" i="1" s="1"/>
  <c r="CF96" i="1" s="1"/>
  <c r="AJ99" i="1"/>
  <c r="AL99" i="1" s="1"/>
  <c r="AI99" i="1"/>
  <c r="AK99" i="1" s="1"/>
  <c r="AM99" i="1" s="1"/>
  <c r="CQ95" i="1"/>
  <c r="CS95" i="1" s="1"/>
  <c r="CU95" i="1" s="1"/>
  <c r="CR95" i="1"/>
  <c r="CT95" i="1" s="1"/>
  <c r="U100" i="1"/>
  <c r="W100" i="1" s="1"/>
  <c r="T100" i="1"/>
  <c r="V100" i="1" s="1"/>
  <c r="X100" i="1" s="1"/>
  <c r="BM97" i="1"/>
  <c r="BO97" i="1" s="1"/>
  <c r="BQ97" i="1" s="1"/>
  <c r="BN97" i="1"/>
  <c r="BP97" i="1" s="1"/>
  <c r="BC98" i="1" l="1"/>
  <c r="BE98" i="1" s="1"/>
  <c r="BG98" i="1" s="1"/>
  <c r="BD98" i="1"/>
  <c r="BF98" i="1" s="1"/>
  <c r="CG96" i="1"/>
  <c r="CI96" i="1" s="1"/>
  <c r="CK96" i="1" s="1"/>
  <c r="CH96" i="1"/>
  <c r="CJ96" i="1" s="1"/>
  <c r="P100" i="1"/>
  <c r="R100" i="1" s="1"/>
  <c r="O100" i="1"/>
  <c r="BS97" i="1"/>
  <c r="BU97" i="1" s="1"/>
  <c r="BR97" i="1"/>
  <c r="BT97" i="1" s="1"/>
  <c r="BV97" i="1" s="1"/>
  <c r="Z100" i="1"/>
  <c r="AB100" i="1" s="1"/>
  <c r="Y100" i="1"/>
  <c r="AA100" i="1" s="1"/>
  <c r="AC100" i="1" s="1"/>
  <c r="CW95" i="1"/>
  <c r="CY95" i="1" s="1"/>
  <c r="CV95" i="1"/>
  <c r="CX95" i="1" s="1"/>
  <c r="CZ95" i="1" s="1"/>
  <c r="F101" i="1"/>
  <c r="H101" i="1" s="1"/>
  <c r="E101" i="1"/>
  <c r="AO99" i="1"/>
  <c r="AQ99" i="1" s="1"/>
  <c r="AN99" i="1"/>
  <c r="AP99" i="1" s="1"/>
  <c r="AR99" i="1" s="1"/>
  <c r="AS99" i="1" l="1"/>
  <c r="AU99" i="1" s="1"/>
  <c r="AW99" i="1" s="1"/>
  <c r="AT99" i="1"/>
  <c r="AV99" i="1" s="1"/>
  <c r="DB95" i="1"/>
  <c r="DD95" i="1" s="1"/>
  <c r="DA95" i="1"/>
  <c r="DC95" i="1" s="1"/>
  <c r="CM96" i="1"/>
  <c r="CO96" i="1" s="1"/>
  <c r="CL96" i="1"/>
  <c r="CN96" i="1" s="1"/>
  <c r="CP96" i="1" s="1"/>
  <c r="BI98" i="1"/>
  <c r="BK98" i="1" s="1"/>
  <c r="BH98" i="1"/>
  <c r="BJ98" i="1" s="1"/>
  <c r="BL98" i="1" s="1"/>
  <c r="BW97" i="1"/>
  <c r="BY97" i="1" s="1"/>
  <c r="CA97" i="1" s="1"/>
  <c r="BX97" i="1"/>
  <c r="BZ97" i="1" s="1"/>
  <c r="G101" i="1"/>
  <c r="I101" i="1" s="1"/>
  <c r="Q101" i="1"/>
  <c r="S101" i="1" s="1"/>
  <c r="AE100" i="1"/>
  <c r="AG100" i="1" s="1"/>
  <c r="AD100" i="1"/>
  <c r="AF100" i="1" s="1"/>
  <c r="AH100" i="1" s="1"/>
  <c r="BM98" i="1" l="1"/>
  <c r="BO98" i="1" s="1"/>
  <c r="BQ98" i="1" s="1"/>
  <c r="BN98" i="1"/>
  <c r="BP98" i="1" s="1"/>
  <c r="CR96" i="1"/>
  <c r="CT96" i="1" s="1"/>
  <c r="CQ96" i="1"/>
  <c r="CS96" i="1" s="1"/>
  <c r="CU96" i="1" s="1"/>
  <c r="U101" i="1"/>
  <c r="W101" i="1" s="1"/>
  <c r="T101" i="1"/>
  <c r="V101" i="1" s="1"/>
  <c r="X101" i="1" s="1"/>
  <c r="AY99" i="1"/>
  <c r="BA99" i="1" s="1"/>
  <c r="AX99" i="1"/>
  <c r="AZ99" i="1" s="1"/>
  <c r="BB99" i="1" s="1"/>
  <c r="AJ100" i="1"/>
  <c r="AL100" i="1" s="1"/>
  <c r="AI100" i="1"/>
  <c r="AK100" i="1" s="1"/>
  <c r="AM100" i="1" s="1"/>
  <c r="K101" i="1"/>
  <c r="M101" i="1" s="1"/>
  <c r="J101" i="1"/>
  <c r="L101" i="1" s="1"/>
  <c r="N101" i="1" s="1"/>
  <c r="D102" i="1"/>
  <c r="CC97" i="1"/>
  <c r="CE97" i="1" s="1"/>
  <c r="CB97" i="1"/>
  <c r="CD97" i="1" s="1"/>
  <c r="CF97" i="1" s="1"/>
  <c r="Z101" i="1" l="1"/>
  <c r="AB101" i="1" s="1"/>
  <c r="Y101" i="1"/>
  <c r="AA101" i="1" s="1"/>
  <c r="AC101" i="1" s="1"/>
  <c r="CH97" i="1"/>
  <c r="CJ97" i="1" s="1"/>
  <c r="CG97" i="1"/>
  <c r="CI97" i="1" s="1"/>
  <c r="CK97" i="1" s="1"/>
  <c r="CW96" i="1"/>
  <c r="CY96" i="1" s="1"/>
  <c r="CV96" i="1"/>
  <c r="CX96" i="1" s="1"/>
  <c r="CZ96" i="1" s="1"/>
  <c r="BC99" i="1"/>
  <c r="BE99" i="1" s="1"/>
  <c r="BG99" i="1" s="1"/>
  <c r="BD99" i="1"/>
  <c r="BF99" i="1" s="1"/>
  <c r="F102" i="1"/>
  <c r="H102" i="1" s="1"/>
  <c r="E102" i="1"/>
  <c r="P101" i="1"/>
  <c r="R101" i="1" s="1"/>
  <c r="O101" i="1"/>
  <c r="AO100" i="1"/>
  <c r="AQ100" i="1" s="1"/>
  <c r="AN100" i="1"/>
  <c r="AP100" i="1" s="1"/>
  <c r="AR100" i="1" s="1"/>
  <c r="BS98" i="1"/>
  <c r="BU98" i="1" s="1"/>
  <c r="BR98" i="1"/>
  <c r="BT98" i="1" s="1"/>
  <c r="BV98" i="1" s="1"/>
  <c r="BX98" i="1" l="1"/>
  <c r="BZ98" i="1" s="1"/>
  <c r="BW98" i="1"/>
  <c r="BY98" i="1" s="1"/>
  <c r="CA98" i="1" s="1"/>
  <c r="AS100" i="1"/>
  <c r="AU100" i="1" s="1"/>
  <c r="AW100" i="1" s="1"/>
  <c r="AT100" i="1"/>
  <c r="AV100" i="1" s="1"/>
  <c r="AE101" i="1"/>
  <c r="AG101" i="1" s="1"/>
  <c r="AD101" i="1"/>
  <c r="AF101" i="1" s="1"/>
  <c r="AH101" i="1" s="1"/>
  <c r="DA96" i="1"/>
  <c r="DC96" i="1" s="1"/>
  <c r="DB96" i="1"/>
  <c r="DD96" i="1" s="1"/>
  <c r="G102" i="1"/>
  <c r="I102" i="1" s="1"/>
  <c r="Q102" i="1"/>
  <c r="S102" i="1" s="1"/>
  <c r="BI99" i="1"/>
  <c r="BK99" i="1" s="1"/>
  <c r="BH99" i="1"/>
  <c r="BJ99" i="1" s="1"/>
  <c r="BL99" i="1" s="1"/>
  <c r="CM97" i="1"/>
  <c r="CO97" i="1" s="1"/>
  <c r="CL97" i="1"/>
  <c r="CN97" i="1" s="1"/>
  <c r="CP97" i="1" s="1"/>
  <c r="CR97" i="1" l="1"/>
  <c r="CT97" i="1" s="1"/>
  <c r="CQ97" i="1"/>
  <c r="CS97" i="1" s="1"/>
  <c r="CU97" i="1" s="1"/>
  <c r="AI101" i="1"/>
  <c r="AK101" i="1" s="1"/>
  <c r="AM101" i="1" s="1"/>
  <c r="AJ101" i="1"/>
  <c r="AL101" i="1" s="1"/>
  <c r="AY100" i="1"/>
  <c r="BA100" i="1" s="1"/>
  <c r="AX100" i="1"/>
  <c r="AZ100" i="1" s="1"/>
  <c r="BB100" i="1" s="1"/>
  <c r="CC98" i="1"/>
  <c r="CE98" i="1" s="1"/>
  <c r="CB98" i="1"/>
  <c r="CD98" i="1" s="1"/>
  <c r="CF98" i="1" s="1"/>
  <c r="BN99" i="1"/>
  <c r="BP99" i="1" s="1"/>
  <c r="BM99" i="1"/>
  <c r="BO99" i="1" s="1"/>
  <c r="BQ99" i="1" s="1"/>
  <c r="U102" i="1"/>
  <c r="W102" i="1" s="1"/>
  <c r="T102" i="1"/>
  <c r="V102" i="1" s="1"/>
  <c r="X102" i="1" s="1"/>
  <c r="K102" i="1"/>
  <c r="M102" i="1" s="1"/>
  <c r="J102" i="1"/>
  <c r="L102" i="1" s="1"/>
  <c r="N102" i="1" s="1"/>
  <c r="D103" i="1"/>
  <c r="P102" i="1" l="1"/>
  <c r="R102" i="1" s="1"/>
  <c r="O102" i="1"/>
  <c r="CH98" i="1"/>
  <c r="CJ98" i="1" s="1"/>
  <c r="CG98" i="1"/>
  <c r="CI98" i="1" s="1"/>
  <c r="CK98" i="1" s="1"/>
  <c r="F103" i="1"/>
  <c r="H103" i="1" s="1"/>
  <c r="E103" i="1"/>
  <c r="AO101" i="1"/>
  <c r="AQ101" i="1" s="1"/>
  <c r="AN101" i="1"/>
  <c r="AP101" i="1" s="1"/>
  <c r="AR101" i="1" s="1"/>
  <c r="BD100" i="1"/>
  <c r="BF100" i="1" s="1"/>
  <c r="BC100" i="1"/>
  <c r="BE100" i="1" s="1"/>
  <c r="BG100" i="1" s="1"/>
  <c r="Y102" i="1"/>
  <c r="AA102" i="1" s="1"/>
  <c r="AC102" i="1" s="1"/>
  <c r="Z102" i="1"/>
  <c r="AB102" i="1" s="1"/>
  <c r="CW97" i="1"/>
  <c r="CY97" i="1" s="1"/>
  <c r="CV97" i="1"/>
  <c r="CX97" i="1" s="1"/>
  <c r="CZ97" i="1" s="1"/>
  <c r="BS99" i="1"/>
  <c r="BU99" i="1" s="1"/>
  <c r="BR99" i="1"/>
  <c r="BT99" i="1" s="1"/>
  <c r="BV99" i="1" s="1"/>
  <c r="DB97" i="1" l="1"/>
  <c r="DD97" i="1" s="1"/>
  <c r="DA97" i="1"/>
  <c r="DC97" i="1" s="1"/>
  <c r="AT101" i="1"/>
  <c r="AV101" i="1" s="1"/>
  <c r="AS101" i="1"/>
  <c r="AU101" i="1" s="1"/>
  <c r="AW101" i="1" s="1"/>
  <c r="G103" i="1"/>
  <c r="I103" i="1" s="1"/>
  <c r="Q103" i="1"/>
  <c r="S103" i="1" s="1"/>
  <c r="AE102" i="1"/>
  <c r="AG102" i="1" s="1"/>
  <c r="AD102" i="1"/>
  <c r="AF102" i="1" s="1"/>
  <c r="AH102" i="1" s="1"/>
  <c r="BI100" i="1"/>
  <c r="BK100" i="1" s="1"/>
  <c r="BH100" i="1"/>
  <c r="BJ100" i="1" s="1"/>
  <c r="BL100" i="1" s="1"/>
  <c r="BX99" i="1"/>
  <c r="BZ99" i="1" s="1"/>
  <c r="BW99" i="1"/>
  <c r="BY99" i="1" s="1"/>
  <c r="CA99" i="1" s="1"/>
  <c r="CM98" i="1"/>
  <c r="CO98" i="1" s="1"/>
  <c r="CL98" i="1"/>
  <c r="CN98" i="1" s="1"/>
  <c r="CP98" i="1" s="1"/>
  <c r="CR98" i="1" l="1"/>
  <c r="CT98" i="1" s="1"/>
  <c r="CQ98" i="1"/>
  <c r="CS98" i="1" s="1"/>
  <c r="CU98" i="1" s="1"/>
  <c r="U103" i="1"/>
  <c r="W103" i="1" s="1"/>
  <c r="T103" i="1"/>
  <c r="V103" i="1" s="1"/>
  <c r="X103" i="1" s="1"/>
  <c r="AY101" i="1"/>
  <c r="BA101" i="1" s="1"/>
  <c r="AX101" i="1"/>
  <c r="AZ101" i="1" s="1"/>
  <c r="BB101" i="1" s="1"/>
  <c r="AJ102" i="1"/>
  <c r="AL102" i="1" s="1"/>
  <c r="AI102" i="1"/>
  <c r="AK102" i="1" s="1"/>
  <c r="AM102" i="1" s="1"/>
  <c r="K103" i="1"/>
  <c r="M103" i="1" s="1"/>
  <c r="J103" i="1"/>
  <c r="L103" i="1" s="1"/>
  <c r="N103" i="1" s="1"/>
  <c r="D104" i="1"/>
  <c r="CC99" i="1"/>
  <c r="CE99" i="1" s="1"/>
  <c r="CB99" i="1"/>
  <c r="CD99" i="1" s="1"/>
  <c r="CF99" i="1" s="1"/>
  <c r="BN100" i="1"/>
  <c r="BP100" i="1" s="1"/>
  <c r="BM100" i="1"/>
  <c r="BO100" i="1" s="1"/>
  <c r="BQ100" i="1" s="1"/>
  <c r="AO102" i="1" l="1"/>
  <c r="AQ102" i="1" s="1"/>
  <c r="AN102" i="1"/>
  <c r="AP102" i="1" s="1"/>
  <c r="AR102" i="1" s="1"/>
  <c r="E104" i="1"/>
  <c r="F104" i="1"/>
  <c r="H104" i="1" s="1"/>
  <c r="BD101" i="1"/>
  <c r="BF101" i="1" s="1"/>
  <c r="BC101" i="1"/>
  <c r="BE101" i="1" s="1"/>
  <c r="BG101" i="1" s="1"/>
  <c r="BS100" i="1"/>
  <c r="BU100" i="1" s="1"/>
  <c r="BR100" i="1"/>
  <c r="BT100" i="1" s="1"/>
  <c r="BV100" i="1" s="1"/>
  <c r="CH99" i="1"/>
  <c r="CJ99" i="1" s="1"/>
  <c r="CG99" i="1"/>
  <c r="CI99" i="1" s="1"/>
  <c r="CK99" i="1" s="1"/>
  <c r="CW98" i="1"/>
  <c r="CY98" i="1" s="1"/>
  <c r="CV98" i="1"/>
  <c r="CX98" i="1" s="1"/>
  <c r="CZ98" i="1" s="1"/>
  <c r="Z103" i="1"/>
  <c r="AB103" i="1" s="1"/>
  <c r="Y103" i="1"/>
  <c r="AA103" i="1" s="1"/>
  <c r="AC103" i="1" s="1"/>
  <c r="O103" i="1"/>
  <c r="P103" i="1"/>
  <c r="R103" i="1" s="1"/>
  <c r="AE103" i="1" l="1"/>
  <c r="AG103" i="1" s="1"/>
  <c r="AD103" i="1"/>
  <c r="AF103" i="1" s="1"/>
  <c r="AH103" i="1" s="1"/>
  <c r="BI101" i="1"/>
  <c r="BK101" i="1" s="1"/>
  <c r="BH101" i="1"/>
  <c r="BJ101" i="1" s="1"/>
  <c r="BL101" i="1" s="1"/>
  <c r="AT102" i="1"/>
  <c r="AV102" i="1" s="1"/>
  <c r="AS102" i="1"/>
  <c r="AU102" i="1" s="1"/>
  <c r="AW102" i="1" s="1"/>
  <c r="DB98" i="1"/>
  <c r="DD98" i="1" s="1"/>
  <c r="DA98" i="1"/>
  <c r="DC98" i="1" s="1"/>
  <c r="Q104" i="1"/>
  <c r="S104" i="1" s="1"/>
  <c r="G104" i="1"/>
  <c r="I104" i="1" s="1"/>
  <c r="BX100" i="1"/>
  <c r="BZ100" i="1" s="1"/>
  <c r="BW100" i="1"/>
  <c r="BY100" i="1" s="1"/>
  <c r="CA100" i="1" s="1"/>
  <c r="CM99" i="1"/>
  <c r="CO99" i="1" s="1"/>
  <c r="CL99" i="1"/>
  <c r="CN99" i="1" s="1"/>
  <c r="CP99" i="1" s="1"/>
  <c r="CQ99" i="1" l="1"/>
  <c r="CS99" i="1" s="1"/>
  <c r="CU99" i="1" s="1"/>
  <c r="CR99" i="1"/>
  <c r="CT99" i="1" s="1"/>
  <c r="CC100" i="1"/>
  <c r="CE100" i="1" s="1"/>
  <c r="CB100" i="1"/>
  <c r="CD100" i="1" s="1"/>
  <c r="CF100" i="1" s="1"/>
  <c r="AY102" i="1"/>
  <c r="BA102" i="1" s="1"/>
  <c r="AX102" i="1"/>
  <c r="AZ102" i="1" s="1"/>
  <c r="BB102" i="1" s="1"/>
  <c r="BN101" i="1"/>
  <c r="BP101" i="1" s="1"/>
  <c r="BM101" i="1"/>
  <c r="BO101" i="1" s="1"/>
  <c r="BQ101" i="1" s="1"/>
  <c r="AJ103" i="1"/>
  <c r="AL103" i="1" s="1"/>
  <c r="AI103" i="1"/>
  <c r="AK103" i="1" s="1"/>
  <c r="AM103" i="1" s="1"/>
  <c r="K104" i="1"/>
  <c r="M104" i="1" s="1"/>
  <c r="J104" i="1"/>
  <c r="L104" i="1" s="1"/>
  <c r="N104" i="1" s="1"/>
  <c r="D105" i="1"/>
  <c r="U104" i="1"/>
  <c r="W104" i="1" s="1"/>
  <c r="T104" i="1"/>
  <c r="V104" i="1" s="1"/>
  <c r="X104" i="1" s="1"/>
  <c r="Z104" i="1" l="1"/>
  <c r="AB104" i="1" s="1"/>
  <c r="Y104" i="1"/>
  <c r="AA104" i="1" s="1"/>
  <c r="AC104" i="1" s="1"/>
  <c r="F105" i="1"/>
  <c r="H105" i="1" s="1"/>
  <c r="E105" i="1"/>
  <c r="BS101" i="1"/>
  <c r="BU101" i="1" s="1"/>
  <c r="BR101" i="1"/>
  <c r="BT101" i="1" s="1"/>
  <c r="BV101" i="1" s="1"/>
  <c r="CH100" i="1"/>
  <c r="CJ100" i="1" s="1"/>
  <c r="CG100" i="1"/>
  <c r="CI100" i="1" s="1"/>
  <c r="CK100" i="1" s="1"/>
  <c r="AO103" i="1"/>
  <c r="AQ103" i="1" s="1"/>
  <c r="AN103" i="1"/>
  <c r="AP103" i="1" s="1"/>
  <c r="AR103" i="1" s="1"/>
  <c r="BD102" i="1"/>
  <c r="BF102" i="1" s="1"/>
  <c r="BC102" i="1"/>
  <c r="BE102" i="1" s="1"/>
  <c r="BG102" i="1" s="1"/>
  <c r="P104" i="1"/>
  <c r="R104" i="1" s="1"/>
  <c r="O104" i="1"/>
  <c r="CW99" i="1"/>
  <c r="CY99" i="1" s="1"/>
  <c r="CV99" i="1"/>
  <c r="CX99" i="1" s="1"/>
  <c r="CZ99" i="1" s="1"/>
  <c r="DA99" i="1" l="1"/>
  <c r="DC99" i="1" s="1"/>
  <c r="DB99" i="1"/>
  <c r="DD99" i="1" s="1"/>
  <c r="BX101" i="1"/>
  <c r="BZ101" i="1" s="1"/>
  <c r="BW101" i="1"/>
  <c r="BY101" i="1" s="1"/>
  <c r="CA101" i="1" s="1"/>
  <c r="BI102" i="1"/>
  <c r="BK102" i="1" s="1"/>
  <c r="BH102" i="1"/>
  <c r="BJ102" i="1" s="1"/>
  <c r="BL102" i="1" s="1"/>
  <c r="G105" i="1"/>
  <c r="I105" i="1" s="1"/>
  <c r="Q105" i="1"/>
  <c r="S105" i="1" s="1"/>
  <c r="CM100" i="1"/>
  <c r="CO100" i="1" s="1"/>
  <c r="CL100" i="1"/>
  <c r="CN100" i="1" s="1"/>
  <c r="CP100" i="1" s="1"/>
  <c r="AT103" i="1"/>
  <c r="AV103" i="1" s="1"/>
  <c r="AS103" i="1"/>
  <c r="AU103" i="1" s="1"/>
  <c r="AW103" i="1" s="1"/>
  <c r="AE104" i="1"/>
  <c r="AG104" i="1" s="1"/>
  <c r="AD104" i="1"/>
  <c r="AF104" i="1" s="1"/>
  <c r="AH104" i="1" s="1"/>
  <c r="K105" i="1" l="1"/>
  <c r="M105" i="1" s="1"/>
  <c r="J105" i="1"/>
  <c r="L105" i="1" s="1"/>
  <c r="N105" i="1" s="1"/>
  <c r="D106" i="1"/>
  <c r="AJ104" i="1"/>
  <c r="AL104" i="1" s="1"/>
  <c r="AI104" i="1"/>
  <c r="AK104" i="1" s="1"/>
  <c r="AM104" i="1" s="1"/>
  <c r="U105" i="1"/>
  <c r="W105" i="1" s="1"/>
  <c r="T105" i="1"/>
  <c r="V105" i="1" s="1"/>
  <c r="X105" i="1" s="1"/>
  <c r="AY103" i="1"/>
  <c r="BA103" i="1" s="1"/>
  <c r="AX103" i="1"/>
  <c r="AZ103" i="1" s="1"/>
  <c r="BB103" i="1" s="1"/>
  <c r="BN102" i="1"/>
  <c r="BP102" i="1" s="1"/>
  <c r="BM102" i="1"/>
  <c r="BO102" i="1" s="1"/>
  <c r="BQ102" i="1" s="1"/>
  <c r="CC101" i="1"/>
  <c r="CE101" i="1" s="1"/>
  <c r="CB101" i="1"/>
  <c r="CD101" i="1" s="1"/>
  <c r="CF101" i="1" s="1"/>
  <c r="CR100" i="1"/>
  <c r="CT100" i="1" s="1"/>
  <c r="CQ100" i="1"/>
  <c r="CS100" i="1" s="1"/>
  <c r="CU100" i="1" s="1"/>
  <c r="BD103" i="1" l="1"/>
  <c r="BF103" i="1" s="1"/>
  <c r="BC103" i="1"/>
  <c r="BE103" i="1" s="1"/>
  <c r="BG103" i="1" s="1"/>
  <c r="Z105" i="1"/>
  <c r="AB105" i="1" s="1"/>
  <c r="Y105" i="1"/>
  <c r="AA105" i="1" s="1"/>
  <c r="AC105" i="1" s="1"/>
  <c r="AO104" i="1"/>
  <c r="AQ104" i="1" s="1"/>
  <c r="AN104" i="1"/>
  <c r="AP104" i="1" s="1"/>
  <c r="AR104" i="1" s="1"/>
  <c r="F106" i="1"/>
  <c r="H106" i="1" s="1"/>
  <c r="E106" i="1"/>
  <c r="P105" i="1"/>
  <c r="R105" i="1" s="1"/>
  <c r="O105" i="1"/>
  <c r="CW100" i="1"/>
  <c r="CY100" i="1" s="1"/>
  <c r="CV100" i="1"/>
  <c r="CX100" i="1" s="1"/>
  <c r="CZ100" i="1" s="1"/>
  <c r="CH101" i="1"/>
  <c r="CJ101" i="1" s="1"/>
  <c r="CG101" i="1"/>
  <c r="CI101" i="1" s="1"/>
  <c r="CK101" i="1" s="1"/>
  <c r="BS102" i="1"/>
  <c r="BU102" i="1" s="1"/>
  <c r="BR102" i="1"/>
  <c r="BT102" i="1" s="1"/>
  <c r="BV102" i="1" s="1"/>
  <c r="CM101" i="1" l="1"/>
  <c r="CO101" i="1" s="1"/>
  <c r="CL101" i="1"/>
  <c r="CN101" i="1" s="1"/>
  <c r="CP101" i="1" s="1"/>
  <c r="BX102" i="1"/>
  <c r="BZ102" i="1" s="1"/>
  <c r="BW102" i="1"/>
  <c r="BY102" i="1" s="1"/>
  <c r="CA102" i="1" s="1"/>
  <c r="DA100" i="1"/>
  <c r="DC100" i="1" s="1"/>
  <c r="DB100" i="1"/>
  <c r="DD100" i="1" s="1"/>
  <c r="BI103" i="1"/>
  <c r="BK103" i="1" s="1"/>
  <c r="BH103" i="1"/>
  <c r="BJ103" i="1" s="1"/>
  <c r="BL103" i="1" s="1"/>
  <c r="G106" i="1"/>
  <c r="I106" i="1" s="1"/>
  <c r="Q106" i="1"/>
  <c r="S106" i="1" s="1"/>
  <c r="AT104" i="1"/>
  <c r="AV104" i="1" s="1"/>
  <c r="AS104" i="1"/>
  <c r="AU104" i="1" s="1"/>
  <c r="AW104" i="1" s="1"/>
  <c r="AE105" i="1"/>
  <c r="AG105" i="1" s="1"/>
  <c r="AD105" i="1"/>
  <c r="AF105" i="1" s="1"/>
  <c r="AH105" i="1" s="1"/>
  <c r="AJ105" i="1" l="1"/>
  <c r="AL105" i="1" s="1"/>
  <c r="AI105" i="1"/>
  <c r="AK105" i="1" s="1"/>
  <c r="AM105" i="1" s="1"/>
  <c r="BN103" i="1"/>
  <c r="BP103" i="1" s="1"/>
  <c r="BM103" i="1"/>
  <c r="BO103" i="1" s="1"/>
  <c r="BQ103" i="1" s="1"/>
  <c r="CC102" i="1"/>
  <c r="CE102" i="1" s="1"/>
  <c r="CB102" i="1"/>
  <c r="CD102" i="1" s="1"/>
  <c r="CF102" i="1" s="1"/>
  <c r="AY104" i="1"/>
  <c r="BA104" i="1" s="1"/>
  <c r="AX104" i="1"/>
  <c r="AZ104" i="1" s="1"/>
  <c r="BB104" i="1" s="1"/>
  <c r="U106" i="1"/>
  <c r="W106" i="1" s="1"/>
  <c r="T106" i="1"/>
  <c r="V106" i="1" s="1"/>
  <c r="X106" i="1" s="1"/>
  <c r="CQ101" i="1"/>
  <c r="CS101" i="1" s="1"/>
  <c r="CU101" i="1" s="1"/>
  <c r="CR101" i="1"/>
  <c r="CT101" i="1" s="1"/>
  <c r="K106" i="1"/>
  <c r="M106" i="1" s="1"/>
  <c r="J106" i="1"/>
  <c r="L106" i="1" s="1"/>
  <c r="N106" i="1" s="1"/>
  <c r="D107" i="1"/>
  <c r="CG102" i="1" l="1"/>
  <c r="CI102" i="1" s="1"/>
  <c r="CK102" i="1" s="1"/>
  <c r="CH102" i="1"/>
  <c r="CJ102" i="1" s="1"/>
  <c r="BD104" i="1"/>
  <c r="BF104" i="1" s="1"/>
  <c r="BC104" i="1"/>
  <c r="BE104" i="1" s="1"/>
  <c r="BG104" i="1" s="1"/>
  <c r="F107" i="1"/>
  <c r="H107" i="1" s="1"/>
  <c r="E107" i="1"/>
  <c r="P106" i="1"/>
  <c r="R106" i="1" s="1"/>
  <c r="O106" i="1"/>
  <c r="CW101" i="1"/>
  <c r="CY101" i="1" s="1"/>
  <c r="CV101" i="1"/>
  <c r="CX101" i="1" s="1"/>
  <c r="CZ101" i="1" s="1"/>
  <c r="AO105" i="1"/>
  <c r="AQ105" i="1" s="1"/>
  <c r="AN105" i="1"/>
  <c r="AP105" i="1" s="1"/>
  <c r="AR105" i="1" s="1"/>
  <c r="BS103" i="1"/>
  <c r="BU103" i="1" s="1"/>
  <c r="BR103" i="1"/>
  <c r="BT103" i="1" s="1"/>
  <c r="BV103" i="1" s="1"/>
  <c r="Z106" i="1"/>
  <c r="AB106" i="1" s="1"/>
  <c r="Y106" i="1"/>
  <c r="AA106" i="1" s="1"/>
  <c r="AC106" i="1" s="1"/>
  <c r="AE106" i="1" l="1"/>
  <c r="AG106" i="1" s="1"/>
  <c r="AD106" i="1"/>
  <c r="AF106" i="1" s="1"/>
  <c r="AH106" i="1" s="1"/>
  <c r="G107" i="1"/>
  <c r="I107" i="1" s="1"/>
  <c r="Q107" i="1"/>
  <c r="S107" i="1" s="1"/>
  <c r="BW103" i="1"/>
  <c r="BY103" i="1" s="1"/>
  <c r="CA103" i="1" s="1"/>
  <c r="BX103" i="1"/>
  <c r="BZ103" i="1" s="1"/>
  <c r="BI104" i="1"/>
  <c r="BK104" i="1" s="1"/>
  <c r="BH104" i="1"/>
  <c r="BJ104" i="1" s="1"/>
  <c r="BL104" i="1" s="1"/>
  <c r="DB101" i="1"/>
  <c r="DD101" i="1" s="1"/>
  <c r="DA101" i="1"/>
  <c r="DC101" i="1" s="1"/>
  <c r="AT105" i="1"/>
  <c r="AV105" i="1" s="1"/>
  <c r="AS105" i="1"/>
  <c r="AU105" i="1" s="1"/>
  <c r="AW105" i="1" s="1"/>
  <c r="CM102" i="1"/>
  <c r="CO102" i="1" s="1"/>
  <c r="CL102" i="1"/>
  <c r="CN102" i="1" s="1"/>
  <c r="CP102" i="1" s="1"/>
  <c r="CR102" i="1" l="1"/>
  <c r="CT102" i="1" s="1"/>
  <c r="CQ102" i="1"/>
  <c r="CS102" i="1" s="1"/>
  <c r="CU102" i="1" s="1"/>
  <c r="AY105" i="1"/>
  <c r="BA105" i="1" s="1"/>
  <c r="AX105" i="1"/>
  <c r="AZ105" i="1" s="1"/>
  <c r="BB105" i="1" s="1"/>
  <c r="CC103" i="1"/>
  <c r="CE103" i="1" s="1"/>
  <c r="CB103" i="1"/>
  <c r="CD103" i="1" s="1"/>
  <c r="CF103" i="1" s="1"/>
  <c r="AJ106" i="1"/>
  <c r="AL106" i="1" s="1"/>
  <c r="AI106" i="1"/>
  <c r="AK106" i="1" s="1"/>
  <c r="AM106" i="1" s="1"/>
  <c r="BM104" i="1"/>
  <c r="BO104" i="1" s="1"/>
  <c r="BQ104" i="1" s="1"/>
  <c r="BN104" i="1"/>
  <c r="BP104" i="1" s="1"/>
  <c r="U107" i="1"/>
  <c r="W107" i="1" s="1"/>
  <c r="T107" i="1"/>
  <c r="V107" i="1" s="1"/>
  <c r="X107" i="1" s="1"/>
  <c r="K107" i="1"/>
  <c r="M107" i="1" s="1"/>
  <c r="J107" i="1"/>
  <c r="L107" i="1" s="1"/>
  <c r="N107" i="1" s="1"/>
  <c r="D108" i="1"/>
  <c r="AO106" i="1" l="1"/>
  <c r="AQ106" i="1" s="1"/>
  <c r="AN106" i="1"/>
  <c r="AP106" i="1" s="1"/>
  <c r="AR106" i="1" s="1"/>
  <c r="F108" i="1"/>
  <c r="H108" i="1" s="1"/>
  <c r="E108" i="1"/>
  <c r="CH103" i="1"/>
  <c r="CJ103" i="1" s="1"/>
  <c r="CG103" i="1"/>
  <c r="CI103" i="1" s="1"/>
  <c r="CK103" i="1" s="1"/>
  <c r="BC105" i="1"/>
  <c r="BE105" i="1" s="1"/>
  <c r="BG105" i="1" s="1"/>
  <c r="BD105" i="1"/>
  <c r="BF105" i="1" s="1"/>
  <c r="P107" i="1"/>
  <c r="R107" i="1" s="1"/>
  <c r="O107" i="1"/>
  <c r="Z107" i="1"/>
  <c r="AB107" i="1" s="1"/>
  <c r="Y107" i="1"/>
  <c r="AA107" i="1" s="1"/>
  <c r="AC107" i="1" s="1"/>
  <c r="CW102" i="1"/>
  <c r="CY102" i="1" s="1"/>
  <c r="CV102" i="1"/>
  <c r="CX102" i="1" s="1"/>
  <c r="CZ102" i="1" s="1"/>
  <c r="BS104" i="1"/>
  <c r="BU104" i="1" s="1"/>
  <c r="BR104" i="1"/>
  <c r="BT104" i="1" s="1"/>
  <c r="BV104" i="1" s="1"/>
  <c r="BI105" i="1" l="1"/>
  <c r="BK105" i="1" s="1"/>
  <c r="BH105" i="1"/>
  <c r="BJ105" i="1" s="1"/>
  <c r="BL105" i="1" s="1"/>
  <c r="DB102" i="1"/>
  <c r="DD102" i="1" s="1"/>
  <c r="DA102" i="1"/>
  <c r="DC102" i="1" s="1"/>
  <c r="G108" i="1"/>
  <c r="I108" i="1" s="1"/>
  <c r="Q108" i="1"/>
  <c r="S108" i="1" s="1"/>
  <c r="BX104" i="1"/>
  <c r="BZ104" i="1" s="1"/>
  <c r="BW104" i="1"/>
  <c r="BY104" i="1" s="1"/>
  <c r="CA104" i="1" s="1"/>
  <c r="CM103" i="1"/>
  <c r="CO103" i="1" s="1"/>
  <c r="CL103" i="1"/>
  <c r="CN103" i="1" s="1"/>
  <c r="CP103" i="1" s="1"/>
  <c r="AE107" i="1"/>
  <c r="AG107" i="1" s="1"/>
  <c r="AD107" i="1"/>
  <c r="AF107" i="1" s="1"/>
  <c r="AH107" i="1" s="1"/>
  <c r="AS106" i="1"/>
  <c r="AU106" i="1" s="1"/>
  <c r="AW106" i="1" s="1"/>
  <c r="AT106" i="1"/>
  <c r="AV106" i="1" s="1"/>
  <c r="CC104" i="1" l="1"/>
  <c r="CE104" i="1" s="1"/>
  <c r="CB104" i="1"/>
  <c r="CD104" i="1" s="1"/>
  <c r="CF104" i="1" s="1"/>
  <c r="K108" i="1"/>
  <c r="M108" i="1" s="1"/>
  <c r="J108" i="1"/>
  <c r="L108" i="1" s="1"/>
  <c r="N108" i="1" s="1"/>
  <c r="D109" i="1"/>
  <c r="U108" i="1"/>
  <c r="W108" i="1" s="1"/>
  <c r="T108" i="1"/>
  <c r="V108" i="1" s="1"/>
  <c r="X108" i="1" s="1"/>
  <c r="AI107" i="1"/>
  <c r="AK107" i="1" s="1"/>
  <c r="AM107" i="1" s="1"/>
  <c r="AJ107" i="1"/>
  <c r="AL107" i="1" s="1"/>
  <c r="BN105" i="1"/>
  <c r="BP105" i="1" s="1"/>
  <c r="BM105" i="1"/>
  <c r="BO105" i="1" s="1"/>
  <c r="BQ105" i="1" s="1"/>
  <c r="AY106" i="1"/>
  <c r="BA106" i="1" s="1"/>
  <c r="AX106" i="1"/>
  <c r="AZ106" i="1" s="1"/>
  <c r="BB106" i="1" s="1"/>
  <c r="CR103" i="1"/>
  <c r="CT103" i="1" s="1"/>
  <c r="CQ103" i="1"/>
  <c r="CS103" i="1" s="1"/>
  <c r="CU103" i="1" s="1"/>
  <c r="CW103" i="1" l="1"/>
  <c r="CY103" i="1" s="1"/>
  <c r="CV103" i="1"/>
  <c r="CX103" i="1" s="1"/>
  <c r="CZ103" i="1" s="1"/>
  <c r="Y108" i="1"/>
  <c r="AA108" i="1" s="1"/>
  <c r="AC108" i="1" s="1"/>
  <c r="Z108" i="1"/>
  <c r="AB108" i="1" s="1"/>
  <c r="F109" i="1"/>
  <c r="H109" i="1" s="1"/>
  <c r="E109" i="1"/>
  <c r="BD106" i="1"/>
  <c r="BF106" i="1" s="1"/>
  <c r="BC106" i="1"/>
  <c r="BE106" i="1" s="1"/>
  <c r="BG106" i="1" s="1"/>
  <c r="BS105" i="1"/>
  <c r="BU105" i="1" s="1"/>
  <c r="BR105" i="1"/>
  <c r="BT105" i="1" s="1"/>
  <c r="BV105" i="1" s="1"/>
  <c r="AO107" i="1"/>
  <c r="AQ107" i="1" s="1"/>
  <c r="AN107" i="1"/>
  <c r="AP107" i="1" s="1"/>
  <c r="AR107" i="1" s="1"/>
  <c r="P108" i="1"/>
  <c r="R108" i="1" s="1"/>
  <c r="O108" i="1"/>
  <c r="CH104" i="1"/>
  <c r="CJ104" i="1" s="1"/>
  <c r="CG104" i="1"/>
  <c r="CI104" i="1" s="1"/>
  <c r="CK104" i="1" s="1"/>
  <c r="BI106" i="1" l="1"/>
  <c r="BK106" i="1" s="1"/>
  <c r="BH106" i="1"/>
  <c r="BJ106" i="1" s="1"/>
  <c r="BL106" i="1" s="1"/>
  <c r="AT107" i="1"/>
  <c r="AV107" i="1" s="1"/>
  <c r="AS107" i="1"/>
  <c r="AU107" i="1" s="1"/>
  <c r="AW107" i="1" s="1"/>
  <c r="G109" i="1"/>
  <c r="I109" i="1" s="1"/>
  <c r="Q109" i="1"/>
  <c r="S109" i="1" s="1"/>
  <c r="AE108" i="1"/>
  <c r="AG108" i="1" s="1"/>
  <c r="AD108" i="1"/>
  <c r="AF108" i="1" s="1"/>
  <c r="AH108" i="1" s="1"/>
  <c r="BX105" i="1"/>
  <c r="BZ105" i="1" s="1"/>
  <c r="BW105" i="1"/>
  <c r="BY105" i="1" s="1"/>
  <c r="CA105" i="1" s="1"/>
  <c r="CM104" i="1"/>
  <c r="CO104" i="1" s="1"/>
  <c r="CL104" i="1"/>
  <c r="CN104" i="1" s="1"/>
  <c r="CP104" i="1" s="1"/>
  <c r="DB103" i="1"/>
  <c r="DD103" i="1" s="1"/>
  <c r="DA103" i="1"/>
  <c r="DC103" i="1" s="1"/>
  <c r="U109" i="1" l="1"/>
  <c r="W109" i="1" s="1"/>
  <c r="T109" i="1"/>
  <c r="V109" i="1" s="1"/>
  <c r="X109" i="1" s="1"/>
  <c r="AJ108" i="1"/>
  <c r="AL108" i="1" s="1"/>
  <c r="AI108" i="1"/>
  <c r="AK108" i="1" s="1"/>
  <c r="AM108" i="1" s="1"/>
  <c r="CR104" i="1"/>
  <c r="CT104" i="1" s="1"/>
  <c r="CQ104" i="1"/>
  <c r="CS104" i="1" s="1"/>
  <c r="CU104" i="1" s="1"/>
  <c r="K109" i="1"/>
  <c r="M109" i="1" s="1"/>
  <c r="J109" i="1"/>
  <c r="L109" i="1" s="1"/>
  <c r="N109" i="1" s="1"/>
  <c r="D110" i="1"/>
  <c r="AY107" i="1"/>
  <c r="BA107" i="1" s="1"/>
  <c r="AX107" i="1"/>
  <c r="AZ107" i="1" s="1"/>
  <c r="BB107" i="1" s="1"/>
  <c r="BN106" i="1"/>
  <c r="BP106" i="1" s="1"/>
  <c r="BM106" i="1"/>
  <c r="BO106" i="1" s="1"/>
  <c r="BQ106" i="1" s="1"/>
  <c r="CC105" i="1"/>
  <c r="CE105" i="1" s="1"/>
  <c r="CB105" i="1"/>
  <c r="CD105" i="1" s="1"/>
  <c r="CF105" i="1" s="1"/>
  <c r="CW104" i="1" l="1"/>
  <c r="CY104" i="1" s="1"/>
  <c r="CV104" i="1"/>
  <c r="CX104" i="1" s="1"/>
  <c r="CZ104" i="1" s="1"/>
  <c r="O109" i="1"/>
  <c r="P109" i="1"/>
  <c r="R109" i="1" s="1"/>
  <c r="BS106" i="1"/>
  <c r="BU106" i="1" s="1"/>
  <c r="BR106" i="1"/>
  <c r="BT106" i="1" s="1"/>
  <c r="BV106" i="1" s="1"/>
  <c r="BD107" i="1"/>
  <c r="BF107" i="1" s="1"/>
  <c r="BC107" i="1"/>
  <c r="BE107" i="1" s="1"/>
  <c r="BG107" i="1" s="1"/>
  <c r="Z109" i="1"/>
  <c r="AB109" i="1" s="1"/>
  <c r="Y109" i="1"/>
  <c r="AA109" i="1" s="1"/>
  <c r="AC109" i="1" s="1"/>
  <c r="CH105" i="1"/>
  <c r="CJ105" i="1" s="1"/>
  <c r="CG105" i="1"/>
  <c r="CI105" i="1" s="1"/>
  <c r="CK105" i="1" s="1"/>
  <c r="AO108" i="1"/>
  <c r="AQ108" i="1" s="1"/>
  <c r="AN108" i="1"/>
  <c r="AP108" i="1" s="1"/>
  <c r="AR108" i="1" s="1"/>
  <c r="E110" i="1"/>
  <c r="F110" i="1"/>
  <c r="H110" i="1" s="1"/>
  <c r="BX106" i="1" l="1"/>
  <c r="BZ106" i="1" s="1"/>
  <c r="BW106" i="1"/>
  <c r="BY106" i="1" s="1"/>
  <c r="CA106" i="1" s="1"/>
  <c r="BI107" i="1"/>
  <c r="BK107" i="1" s="1"/>
  <c r="BH107" i="1"/>
  <c r="BJ107" i="1" s="1"/>
  <c r="BL107" i="1" s="1"/>
  <c r="AT108" i="1"/>
  <c r="AV108" i="1" s="1"/>
  <c r="AS108" i="1"/>
  <c r="AU108" i="1" s="1"/>
  <c r="AW108" i="1" s="1"/>
  <c r="DB104" i="1"/>
  <c r="DD104" i="1" s="1"/>
  <c r="DA104" i="1"/>
  <c r="DC104" i="1" s="1"/>
  <c r="Q110" i="1"/>
  <c r="S110" i="1" s="1"/>
  <c r="G110" i="1"/>
  <c r="I110" i="1" s="1"/>
  <c r="CM105" i="1"/>
  <c r="CO105" i="1" s="1"/>
  <c r="CL105" i="1"/>
  <c r="CN105" i="1" s="1"/>
  <c r="CP105" i="1" s="1"/>
  <c r="AE109" i="1"/>
  <c r="AG109" i="1" s="1"/>
  <c r="AD109" i="1"/>
  <c r="AF109" i="1" s="1"/>
  <c r="AH109" i="1" s="1"/>
  <c r="AY108" i="1" l="1"/>
  <c r="BA108" i="1" s="1"/>
  <c r="AX108" i="1"/>
  <c r="AZ108" i="1" s="1"/>
  <c r="BB108" i="1" s="1"/>
  <c r="AJ109" i="1"/>
  <c r="AL109" i="1" s="1"/>
  <c r="AI109" i="1"/>
  <c r="AK109" i="1" s="1"/>
  <c r="AM109" i="1" s="1"/>
  <c r="BN107" i="1"/>
  <c r="BP107" i="1" s="1"/>
  <c r="BM107" i="1"/>
  <c r="BO107" i="1" s="1"/>
  <c r="BQ107" i="1" s="1"/>
  <c r="K110" i="1"/>
  <c r="M110" i="1" s="1"/>
  <c r="J110" i="1"/>
  <c r="L110" i="1" s="1"/>
  <c r="N110" i="1" s="1"/>
  <c r="D111" i="1"/>
  <c r="CC106" i="1"/>
  <c r="CE106" i="1" s="1"/>
  <c r="CB106" i="1"/>
  <c r="CD106" i="1" s="1"/>
  <c r="CF106" i="1" s="1"/>
  <c r="CR105" i="1"/>
  <c r="CT105" i="1" s="1"/>
  <c r="CQ105" i="1"/>
  <c r="CS105" i="1" s="1"/>
  <c r="CU105" i="1" s="1"/>
  <c r="U110" i="1"/>
  <c r="W110" i="1" s="1"/>
  <c r="T110" i="1"/>
  <c r="V110" i="1" s="1"/>
  <c r="X110" i="1" s="1"/>
  <c r="Z110" i="1" l="1"/>
  <c r="AB110" i="1" s="1"/>
  <c r="Y110" i="1"/>
  <c r="AA110" i="1" s="1"/>
  <c r="AC110" i="1" s="1"/>
  <c r="BS107" i="1"/>
  <c r="BU107" i="1" s="1"/>
  <c r="BR107" i="1"/>
  <c r="BT107" i="1" s="1"/>
  <c r="BV107" i="1" s="1"/>
  <c r="P110" i="1"/>
  <c r="R110" i="1" s="1"/>
  <c r="O110" i="1"/>
  <c r="CW105" i="1"/>
  <c r="CY105" i="1" s="1"/>
  <c r="CV105" i="1"/>
  <c r="CX105" i="1" s="1"/>
  <c r="CZ105" i="1" s="1"/>
  <c r="AO109" i="1"/>
  <c r="AQ109" i="1" s="1"/>
  <c r="AN109" i="1"/>
  <c r="AP109" i="1" s="1"/>
  <c r="AR109" i="1" s="1"/>
  <c r="CH106" i="1"/>
  <c r="CJ106" i="1" s="1"/>
  <c r="CG106" i="1"/>
  <c r="CI106" i="1" s="1"/>
  <c r="CK106" i="1" s="1"/>
  <c r="BD108" i="1"/>
  <c r="BF108" i="1" s="1"/>
  <c r="BC108" i="1"/>
  <c r="BE108" i="1" s="1"/>
  <c r="BG108" i="1" s="1"/>
  <c r="F111" i="1"/>
  <c r="H111" i="1" s="1"/>
  <c r="E111" i="1"/>
  <c r="G111" i="1" l="1"/>
  <c r="I111" i="1" s="1"/>
  <c r="Q111" i="1"/>
  <c r="S111" i="1" s="1"/>
  <c r="BI108" i="1"/>
  <c r="BK108" i="1" s="1"/>
  <c r="BH108" i="1"/>
  <c r="BJ108" i="1" s="1"/>
  <c r="BL108" i="1" s="1"/>
  <c r="CM106" i="1"/>
  <c r="CO106" i="1" s="1"/>
  <c r="CL106" i="1"/>
  <c r="CN106" i="1" s="1"/>
  <c r="CP106" i="1" s="1"/>
  <c r="AE110" i="1"/>
  <c r="AG110" i="1" s="1"/>
  <c r="AD110" i="1"/>
  <c r="AF110" i="1" s="1"/>
  <c r="AH110" i="1" s="1"/>
  <c r="DB105" i="1"/>
  <c r="DD105" i="1" s="1"/>
  <c r="DA105" i="1"/>
  <c r="DC105" i="1" s="1"/>
  <c r="BX107" i="1"/>
  <c r="BZ107" i="1" s="1"/>
  <c r="BW107" i="1"/>
  <c r="BY107" i="1" s="1"/>
  <c r="CA107" i="1" s="1"/>
  <c r="AT109" i="1"/>
  <c r="AV109" i="1" s="1"/>
  <c r="AS109" i="1"/>
  <c r="AU109" i="1" s="1"/>
  <c r="AW109" i="1" s="1"/>
  <c r="AJ110" i="1" l="1"/>
  <c r="AL110" i="1" s="1"/>
  <c r="AI110" i="1"/>
  <c r="AK110" i="1" s="1"/>
  <c r="AM110" i="1" s="1"/>
  <c r="CC107" i="1"/>
  <c r="CE107" i="1" s="1"/>
  <c r="CB107" i="1"/>
  <c r="CD107" i="1" s="1"/>
  <c r="CF107" i="1" s="1"/>
  <c r="CR106" i="1"/>
  <c r="CT106" i="1" s="1"/>
  <c r="CQ106" i="1"/>
  <c r="CS106" i="1" s="1"/>
  <c r="CU106" i="1" s="1"/>
  <c r="U111" i="1"/>
  <c r="W111" i="1" s="1"/>
  <c r="T111" i="1"/>
  <c r="V111" i="1" s="1"/>
  <c r="X111" i="1" s="1"/>
  <c r="AY109" i="1"/>
  <c r="BA109" i="1" s="1"/>
  <c r="AX109" i="1"/>
  <c r="AZ109" i="1" s="1"/>
  <c r="BB109" i="1" s="1"/>
  <c r="BN108" i="1"/>
  <c r="BP108" i="1" s="1"/>
  <c r="BM108" i="1"/>
  <c r="BO108" i="1" s="1"/>
  <c r="BQ108" i="1" s="1"/>
  <c r="K111" i="1"/>
  <c r="M111" i="1" s="1"/>
  <c r="J111" i="1"/>
  <c r="L111" i="1" s="1"/>
  <c r="N111" i="1" s="1"/>
  <c r="D112" i="1"/>
  <c r="Z111" i="1" l="1"/>
  <c r="AB111" i="1" s="1"/>
  <c r="Y111" i="1"/>
  <c r="AA111" i="1" s="1"/>
  <c r="AC111" i="1" s="1"/>
  <c r="F112" i="1"/>
  <c r="H112" i="1" s="1"/>
  <c r="E112" i="1"/>
  <c r="CW106" i="1"/>
  <c r="CY106" i="1" s="1"/>
  <c r="CV106" i="1"/>
  <c r="CX106" i="1" s="1"/>
  <c r="CZ106" i="1" s="1"/>
  <c r="BS108" i="1"/>
  <c r="BU108" i="1" s="1"/>
  <c r="BR108" i="1"/>
  <c r="BT108" i="1" s="1"/>
  <c r="BV108" i="1" s="1"/>
  <c r="P111" i="1"/>
  <c r="R111" i="1" s="1"/>
  <c r="O111" i="1"/>
  <c r="CH107" i="1"/>
  <c r="CJ107" i="1" s="1"/>
  <c r="CG107" i="1"/>
  <c r="CI107" i="1" s="1"/>
  <c r="CK107" i="1" s="1"/>
  <c r="BD109" i="1"/>
  <c r="BF109" i="1" s="1"/>
  <c r="BC109" i="1"/>
  <c r="BE109" i="1" s="1"/>
  <c r="BG109" i="1" s="1"/>
  <c r="AO110" i="1"/>
  <c r="AQ110" i="1" s="1"/>
  <c r="AN110" i="1"/>
  <c r="AP110" i="1" s="1"/>
  <c r="AR110" i="1" s="1"/>
  <c r="DA106" i="1" l="1"/>
  <c r="DC106" i="1" s="1"/>
  <c r="DB106" i="1"/>
  <c r="DD106" i="1" s="1"/>
  <c r="AT110" i="1"/>
  <c r="AV110" i="1" s="1"/>
  <c r="AS110" i="1"/>
  <c r="AU110" i="1" s="1"/>
  <c r="AW110" i="1" s="1"/>
  <c r="BI109" i="1"/>
  <c r="BK109" i="1" s="1"/>
  <c r="BH109" i="1"/>
  <c r="BJ109" i="1" s="1"/>
  <c r="BL109" i="1" s="1"/>
  <c r="AE111" i="1"/>
  <c r="AG111" i="1" s="1"/>
  <c r="AD111" i="1"/>
  <c r="AF111" i="1" s="1"/>
  <c r="AH111" i="1" s="1"/>
  <c r="BX108" i="1"/>
  <c r="BZ108" i="1" s="1"/>
  <c r="BW108" i="1"/>
  <c r="BY108" i="1" s="1"/>
  <c r="CA108" i="1" s="1"/>
  <c r="CM107" i="1"/>
  <c r="CO107" i="1" s="1"/>
  <c r="CL107" i="1"/>
  <c r="CN107" i="1" s="1"/>
  <c r="CP107" i="1" s="1"/>
  <c r="G112" i="1"/>
  <c r="I112" i="1" s="1"/>
  <c r="Q112" i="1"/>
  <c r="S112" i="1" s="1"/>
  <c r="BN109" i="1" l="1"/>
  <c r="BP109" i="1" s="1"/>
  <c r="BM109" i="1"/>
  <c r="BO109" i="1" s="1"/>
  <c r="BQ109" i="1" s="1"/>
  <c r="U112" i="1"/>
  <c r="W112" i="1" s="1"/>
  <c r="T112" i="1"/>
  <c r="V112" i="1" s="1"/>
  <c r="X112" i="1" s="1"/>
  <c r="AY110" i="1"/>
  <c r="BA110" i="1" s="1"/>
  <c r="AX110" i="1"/>
  <c r="AZ110" i="1" s="1"/>
  <c r="BB110" i="1" s="1"/>
  <c r="AJ111" i="1"/>
  <c r="AL111" i="1" s="1"/>
  <c r="AI111" i="1"/>
  <c r="AK111" i="1" s="1"/>
  <c r="AM111" i="1" s="1"/>
  <c r="K112" i="1"/>
  <c r="M112" i="1" s="1"/>
  <c r="J112" i="1"/>
  <c r="L112" i="1" s="1"/>
  <c r="N112" i="1" s="1"/>
  <c r="D113" i="1"/>
  <c r="CQ107" i="1"/>
  <c r="CS107" i="1" s="1"/>
  <c r="CU107" i="1" s="1"/>
  <c r="CR107" i="1"/>
  <c r="CT107" i="1" s="1"/>
  <c r="CC108" i="1"/>
  <c r="CE108" i="1" s="1"/>
  <c r="CB108" i="1"/>
  <c r="CD108" i="1" s="1"/>
  <c r="CF108" i="1" s="1"/>
  <c r="BD110" i="1" l="1"/>
  <c r="BF110" i="1" s="1"/>
  <c r="BC110" i="1"/>
  <c r="BE110" i="1" s="1"/>
  <c r="BG110" i="1" s="1"/>
  <c r="CG108" i="1"/>
  <c r="CI108" i="1" s="1"/>
  <c r="CK108" i="1" s="1"/>
  <c r="CH108" i="1"/>
  <c r="CJ108" i="1" s="1"/>
  <c r="P112" i="1"/>
  <c r="R112" i="1" s="1"/>
  <c r="O112" i="1"/>
  <c r="AO111" i="1"/>
  <c r="AQ111" i="1" s="1"/>
  <c r="AN111" i="1"/>
  <c r="AP111" i="1" s="1"/>
  <c r="AR111" i="1" s="1"/>
  <c r="CW107" i="1"/>
  <c r="CY107" i="1" s="1"/>
  <c r="CV107" i="1"/>
  <c r="CX107" i="1" s="1"/>
  <c r="CZ107" i="1" s="1"/>
  <c r="Z112" i="1"/>
  <c r="AB112" i="1" s="1"/>
  <c r="Y112" i="1"/>
  <c r="AA112" i="1" s="1"/>
  <c r="AC112" i="1" s="1"/>
  <c r="F113" i="1"/>
  <c r="H113" i="1" s="1"/>
  <c r="E113" i="1"/>
  <c r="BS109" i="1"/>
  <c r="BU109" i="1" s="1"/>
  <c r="BR109" i="1"/>
  <c r="BT109" i="1" s="1"/>
  <c r="BV109" i="1" s="1"/>
  <c r="BW109" i="1" l="1"/>
  <c r="BY109" i="1" s="1"/>
  <c r="CA109" i="1" s="1"/>
  <c r="BX109" i="1"/>
  <c r="BZ109" i="1" s="1"/>
  <c r="CM108" i="1"/>
  <c r="CO108" i="1" s="1"/>
  <c r="CL108" i="1"/>
  <c r="CN108" i="1" s="1"/>
  <c r="CP108" i="1" s="1"/>
  <c r="G113" i="1"/>
  <c r="I113" i="1" s="1"/>
  <c r="Q113" i="1"/>
  <c r="S113" i="1" s="1"/>
  <c r="AE112" i="1"/>
  <c r="AG112" i="1" s="1"/>
  <c r="AD112" i="1"/>
  <c r="AF112" i="1" s="1"/>
  <c r="AH112" i="1" s="1"/>
  <c r="BI110" i="1"/>
  <c r="BK110" i="1" s="1"/>
  <c r="BH110" i="1"/>
  <c r="BJ110" i="1" s="1"/>
  <c r="BL110" i="1" s="1"/>
  <c r="AT111" i="1"/>
  <c r="AV111" i="1" s="1"/>
  <c r="AS111" i="1"/>
  <c r="AU111" i="1" s="1"/>
  <c r="AW111" i="1" s="1"/>
  <c r="DB107" i="1"/>
  <c r="DD107" i="1" s="1"/>
  <c r="DA107" i="1"/>
  <c r="DC107" i="1" s="1"/>
  <c r="U113" i="1" l="1"/>
  <c r="W113" i="1" s="1"/>
  <c r="T113" i="1"/>
  <c r="V113" i="1" s="1"/>
  <c r="X113" i="1" s="1"/>
  <c r="AJ112" i="1"/>
  <c r="AL112" i="1" s="1"/>
  <c r="AI112" i="1"/>
  <c r="AK112" i="1" s="1"/>
  <c r="AM112" i="1" s="1"/>
  <c r="CR108" i="1"/>
  <c r="CT108" i="1" s="1"/>
  <c r="CQ108" i="1"/>
  <c r="CS108" i="1" s="1"/>
  <c r="CU108" i="1" s="1"/>
  <c r="K113" i="1"/>
  <c r="M113" i="1" s="1"/>
  <c r="J113" i="1"/>
  <c r="L113" i="1" s="1"/>
  <c r="N113" i="1" s="1"/>
  <c r="D114" i="1"/>
  <c r="AY111" i="1"/>
  <c r="BA111" i="1" s="1"/>
  <c r="AX111" i="1"/>
  <c r="AZ111" i="1" s="1"/>
  <c r="BB111" i="1" s="1"/>
  <c r="BM110" i="1"/>
  <c r="BO110" i="1" s="1"/>
  <c r="BQ110" i="1" s="1"/>
  <c r="BN110" i="1"/>
  <c r="BP110" i="1" s="1"/>
  <c r="CC109" i="1"/>
  <c r="CE109" i="1" s="1"/>
  <c r="CB109" i="1"/>
  <c r="CD109" i="1" s="1"/>
  <c r="CF109" i="1" s="1"/>
  <c r="P113" i="1" l="1"/>
  <c r="R113" i="1" s="1"/>
  <c r="O113" i="1"/>
  <c r="CW108" i="1"/>
  <c r="CY108" i="1" s="1"/>
  <c r="CV108" i="1"/>
  <c r="CX108" i="1" s="1"/>
  <c r="CZ108" i="1" s="1"/>
  <c r="BS110" i="1"/>
  <c r="BU110" i="1" s="1"/>
  <c r="BR110" i="1"/>
  <c r="BT110" i="1" s="1"/>
  <c r="BV110" i="1" s="1"/>
  <c r="Z113" i="1"/>
  <c r="AB113" i="1" s="1"/>
  <c r="Y113" i="1"/>
  <c r="AA113" i="1" s="1"/>
  <c r="AC113" i="1" s="1"/>
  <c r="CH109" i="1"/>
  <c r="CJ109" i="1" s="1"/>
  <c r="CG109" i="1"/>
  <c r="CI109" i="1" s="1"/>
  <c r="CK109" i="1" s="1"/>
  <c r="AO112" i="1"/>
  <c r="AQ112" i="1" s="1"/>
  <c r="AN112" i="1"/>
  <c r="AP112" i="1" s="1"/>
  <c r="AR112" i="1" s="1"/>
  <c r="BC111" i="1"/>
  <c r="BE111" i="1" s="1"/>
  <c r="BG111" i="1" s="1"/>
  <c r="BD111" i="1"/>
  <c r="BF111" i="1" s="1"/>
  <c r="F114" i="1"/>
  <c r="H114" i="1" s="1"/>
  <c r="E114" i="1"/>
  <c r="AE113" i="1" l="1"/>
  <c r="AG113" i="1" s="1"/>
  <c r="AD113" i="1"/>
  <c r="AF113" i="1" s="1"/>
  <c r="AH113" i="1" s="1"/>
  <c r="BX110" i="1"/>
  <c r="BZ110" i="1" s="1"/>
  <c r="BW110" i="1"/>
  <c r="BY110" i="1" s="1"/>
  <c r="CA110" i="1" s="1"/>
  <c r="AS112" i="1"/>
  <c r="AU112" i="1" s="1"/>
  <c r="AW112" i="1" s="1"/>
  <c r="AT112" i="1"/>
  <c r="AV112" i="1" s="1"/>
  <c r="G114" i="1"/>
  <c r="I114" i="1" s="1"/>
  <c r="Q114" i="1"/>
  <c r="S114" i="1" s="1"/>
  <c r="BI111" i="1"/>
  <c r="BK111" i="1" s="1"/>
  <c r="BH111" i="1"/>
  <c r="BJ111" i="1" s="1"/>
  <c r="BL111" i="1" s="1"/>
  <c r="DB108" i="1"/>
  <c r="DD108" i="1" s="1"/>
  <c r="DA108" i="1"/>
  <c r="DC108" i="1" s="1"/>
  <c r="CM109" i="1"/>
  <c r="CO109" i="1" s="1"/>
  <c r="CL109" i="1"/>
  <c r="CN109" i="1" s="1"/>
  <c r="CP109" i="1" s="1"/>
  <c r="K114" i="1" l="1"/>
  <c r="M114" i="1" s="1"/>
  <c r="J114" i="1"/>
  <c r="L114" i="1" s="1"/>
  <c r="N114" i="1" s="1"/>
  <c r="D115" i="1"/>
  <c r="AY112" i="1"/>
  <c r="BA112" i="1" s="1"/>
  <c r="AX112" i="1"/>
  <c r="AZ112" i="1" s="1"/>
  <c r="BB112" i="1" s="1"/>
  <c r="U114" i="1"/>
  <c r="W114" i="1" s="1"/>
  <c r="T114" i="1"/>
  <c r="V114" i="1" s="1"/>
  <c r="X114" i="1" s="1"/>
  <c r="CR109" i="1"/>
  <c r="CT109" i="1" s="1"/>
  <c r="CQ109" i="1"/>
  <c r="CS109" i="1" s="1"/>
  <c r="CU109" i="1" s="1"/>
  <c r="CC110" i="1"/>
  <c r="CE110" i="1" s="1"/>
  <c r="CB110" i="1"/>
  <c r="CD110" i="1" s="1"/>
  <c r="CF110" i="1" s="1"/>
  <c r="AI113" i="1"/>
  <c r="AK113" i="1" s="1"/>
  <c r="AM113" i="1" s="1"/>
  <c r="AJ113" i="1"/>
  <c r="AL113" i="1" s="1"/>
  <c r="BN111" i="1"/>
  <c r="BP111" i="1" s="1"/>
  <c r="BM111" i="1"/>
  <c r="BO111" i="1" s="1"/>
  <c r="BQ111" i="1" s="1"/>
  <c r="BS111" i="1" l="1"/>
  <c r="BU111" i="1" s="1"/>
  <c r="BR111" i="1"/>
  <c r="BT111" i="1" s="1"/>
  <c r="BV111" i="1" s="1"/>
  <c r="CW109" i="1"/>
  <c r="CY109" i="1" s="1"/>
  <c r="CV109" i="1"/>
  <c r="CX109" i="1" s="1"/>
  <c r="CZ109" i="1" s="1"/>
  <c r="CH110" i="1"/>
  <c r="CJ110" i="1" s="1"/>
  <c r="CG110" i="1"/>
  <c r="CI110" i="1" s="1"/>
  <c r="CK110" i="1" s="1"/>
  <c r="BD112" i="1"/>
  <c r="BF112" i="1" s="1"/>
  <c r="BC112" i="1"/>
  <c r="BE112" i="1" s="1"/>
  <c r="BG112" i="1" s="1"/>
  <c r="P114" i="1"/>
  <c r="R114" i="1" s="1"/>
  <c r="O114" i="1"/>
  <c r="Y114" i="1"/>
  <c r="AA114" i="1" s="1"/>
  <c r="AC114" i="1" s="1"/>
  <c r="Z114" i="1"/>
  <c r="AB114" i="1" s="1"/>
  <c r="AO113" i="1"/>
  <c r="AQ113" i="1" s="1"/>
  <c r="AN113" i="1"/>
  <c r="AP113" i="1" s="1"/>
  <c r="AR113" i="1" s="1"/>
  <c r="F115" i="1"/>
  <c r="H115" i="1" s="1"/>
  <c r="E115" i="1"/>
  <c r="BI112" i="1" l="1"/>
  <c r="BK112" i="1" s="1"/>
  <c r="BH112" i="1"/>
  <c r="BJ112" i="1" s="1"/>
  <c r="BL112" i="1" s="1"/>
  <c r="G115" i="1"/>
  <c r="I115" i="1" s="1"/>
  <c r="Q115" i="1"/>
  <c r="S115" i="1" s="1"/>
  <c r="DB109" i="1"/>
  <c r="DD109" i="1" s="1"/>
  <c r="DA109" i="1"/>
  <c r="DC109" i="1" s="1"/>
  <c r="CM110" i="1"/>
  <c r="CO110" i="1" s="1"/>
  <c r="CL110" i="1"/>
  <c r="CN110" i="1" s="1"/>
  <c r="CP110" i="1" s="1"/>
  <c r="BX111" i="1"/>
  <c r="BZ111" i="1" s="1"/>
  <c r="BW111" i="1"/>
  <c r="BY111" i="1" s="1"/>
  <c r="CA111" i="1" s="1"/>
  <c r="AT113" i="1"/>
  <c r="AV113" i="1" s="1"/>
  <c r="AS113" i="1"/>
  <c r="AU113" i="1" s="1"/>
  <c r="AW113" i="1" s="1"/>
  <c r="AE114" i="1"/>
  <c r="AG114" i="1" s="1"/>
  <c r="AD114" i="1"/>
  <c r="AF114" i="1" s="1"/>
  <c r="AH114" i="1" s="1"/>
  <c r="AJ114" i="1" l="1"/>
  <c r="AL114" i="1" s="1"/>
  <c r="AI114" i="1"/>
  <c r="AK114" i="1" s="1"/>
  <c r="AM114" i="1" s="1"/>
  <c r="K115" i="1"/>
  <c r="M115" i="1" s="1"/>
  <c r="J115" i="1"/>
  <c r="L115" i="1" s="1"/>
  <c r="N115" i="1" s="1"/>
  <c r="D116" i="1"/>
  <c r="CR110" i="1"/>
  <c r="CT110" i="1" s="1"/>
  <c r="CQ110" i="1"/>
  <c r="CS110" i="1" s="1"/>
  <c r="CU110" i="1" s="1"/>
  <c r="U115" i="1"/>
  <c r="W115" i="1" s="1"/>
  <c r="T115" i="1"/>
  <c r="V115" i="1" s="1"/>
  <c r="X115" i="1" s="1"/>
  <c r="AY113" i="1"/>
  <c r="BA113" i="1" s="1"/>
  <c r="AX113" i="1"/>
  <c r="AZ113" i="1" s="1"/>
  <c r="BB113" i="1" s="1"/>
  <c r="BN112" i="1"/>
  <c r="BP112" i="1" s="1"/>
  <c r="BM112" i="1"/>
  <c r="BO112" i="1" s="1"/>
  <c r="BQ112" i="1" s="1"/>
  <c r="CC111" i="1"/>
  <c r="CE111" i="1" s="1"/>
  <c r="CB111" i="1"/>
  <c r="CD111" i="1" s="1"/>
  <c r="CF111" i="1" s="1"/>
  <c r="Z115" i="1" l="1"/>
  <c r="AB115" i="1" s="1"/>
  <c r="Y115" i="1"/>
  <c r="AA115" i="1" s="1"/>
  <c r="AC115" i="1" s="1"/>
  <c r="CH111" i="1"/>
  <c r="CJ111" i="1" s="1"/>
  <c r="CG111" i="1"/>
  <c r="CI111" i="1" s="1"/>
  <c r="CK111" i="1" s="1"/>
  <c r="CW110" i="1"/>
  <c r="CY110" i="1" s="1"/>
  <c r="CV110" i="1"/>
  <c r="CX110" i="1" s="1"/>
  <c r="CZ110" i="1" s="1"/>
  <c r="E116" i="1"/>
  <c r="F116" i="1"/>
  <c r="H116" i="1" s="1"/>
  <c r="O115" i="1"/>
  <c r="P115" i="1"/>
  <c r="R115" i="1" s="1"/>
  <c r="AO114" i="1"/>
  <c r="AQ114" i="1" s="1"/>
  <c r="AN114" i="1"/>
  <c r="AP114" i="1" s="1"/>
  <c r="AR114" i="1" s="1"/>
  <c r="BS112" i="1"/>
  <c r="BU112" i="1" s="1"/>
  <c r="BR112" i="1"/>
  <c r="BT112" i="1" s="1"/>
  <c r="BV112" i="1" s="1"/>
  <c r="BD113" i="1"/>
  <c r="BF113" i="1" s="1"/>
  <c r="BC113" i="1"/>
  <c r="BE113" i="1" s="1"/>
  <c r="BG113" i="1" s="1"/>
  <c r="Q116" i="1" l="1"/>
  <c r="S116" i="1" s="1"/>
  <c r="G116" i="1"/>
  <c r="I116" i="1" s="1"/>
  <c r="BI113" i="1"/>
  <c r="BK113" i="1" s="1"/>
  <c r="BH113" i="1"/>
  <c r="BJ113" i="1" s="1"/>
  <c r="BL113" i="1" s="1"/>
  <c r="AT114" i="1"/>
  <c r="AV114" i="1" s="1"/>
  <c r="AS114" i="1"/>
  <c r="AU114" i="1" s="1"/>
  <c r="AW114" i="1" s="1"/>
  <c r="BX112" i="1"/>
  <c r="BZ112" i="1" s="1"/>
  <c r="BW112" i="1"/>
  <c r="BY112" i="1" s="1"/>
  <c r="CA112" i="1" s="1"/>
  <c r="AE115" i="1"/>
  <c r="AG115" i="1" s="1"/>
  <c r="AD115" i="1"/>
  <c r="AF115" i="1" s="1"/>
  <c r="AH115" i="1" s="1"/>
  <c r="DB110" i="1"/>
  <c r="DD110" i="1" s="1"/>
  <c r="DA110" i="1"/>
  <c r="DC110" i="1" s="1"/>
  <c r="CM111" i="1"/>
  <c r="CO111" i="1" s="1"/>
  <c r="CL111" i="1"/>
  <c r="CN111" i="1" s="1"/>
  <c r="CP111" i="1" s="1"/>
  <c r="AY114" i="1" l="1"/>
  <c r="BA114" i="1" s="1"/>
  <c r="AX114" i="1"/>
  <c r="AZ114" i="1" s="1"/>
  <c r="BB114" i="1" s="1"/>
  <c r="CR111" i="1"/>
  <c r="CT111" i="1" s="1"/>
  <c r="CQ111" i="1"/>
  <c r="CS111" i="1" s="1"/>
  <c r="CU111" i="1" s="1"/>
  <c r="CC112" i="1"/>
  <c r="CE112" i="1" s="1"/>
  <c r="CB112" i="1"/>
  <c r="CD112" i="1" s="1"/>
  <c r="CF112" i="1" s="1"/>
  <c r="AJ115" i="1"/>
  <c r="AL115" i="1" s="1"/>
  <c r="AI115" i="1"/>
  <c r="AK115" i="1" s="1"/>
  <c r="AM115" i="1" s="1"/>
  <c r="K116" i="1"/>
  <c r="M116" i="1" s="1"/>
  <c r="J116" i="1"/>
  <c r="L116" i="1" s="1"/>
  <c r="N116" i="1" s="1"/>
  <c r="D117" i="1"/>
  <c r="BN113" i="1"/>
  <c r="BP113" i="1" s="1"/>
  <c r="BM113" i="1"/>
  <c r="BO113" i="1" s="1"/>
  <c r="BQ113" i="1" s="1"/>
  <c r="U116" i="1"/>
  <c r="W116" i="1" s="1"/>
  <c r="T116" i="1"/>
  <c r="V116" i="1" s="1"/>
  <c r="X116" i="1" s="1"/>
  <c r="AO115" i="1" l="1"/>
  <c r="AQ115" i="1" s="1"/>
  <c r="AN115" i="1"/>
  <c r="AP115" i="1" s="1"/>
  <c r="AR115" i="1" s="1"/>
  <c r="Z116" i="1"/>
  <c r="AB116" i="1" s="1"/>
  <c r="Y116" i="1"/>
  <c r="AA116" i="1" s="1"/>
  <c r="AC116" i="1" s="1"/>
  <c r="CH112" i="1"/>
  <c r="CJ112" i="1" s="1"/>
  <c r="CG112" i="1"/>
  <c r="CI112" i="1" s="1"/>
  <c r="CK112" i="1" s="1"/>
  <c r="BS113" i="1"/>
  <c r="BU113" i="1" s="1"/>
  <c r="BR113" i="1"/>
  <c r="BT113" i="1" s="1"/>
  <c r="BV113" i="1" s="1"/>
  <c r="F117" i="1"/>
  <c r="H117" i="1" s="1"/>
  <c r="E117" i="1"/>
  <c r="CW111" i="1"/>
  <c r="CY111" i="1" s="1"/>
  <c r="CV111" i="1"/>
  <c r="CX111" i="1" s="1"/>
  <c r="CZ111" i="1" s="1"/>
  <c r="BD114" i="1"/>
  <c r="BF114" i="1" s="1"/>
  <c r="BC114" i="1"/>
  <c r="BE114" i="1" s="1"/>
  <c r="BG114" i="1" s="1"/>
  <c r="P116" i="1"/>
  <c r="R116" i="1" s="1"/>
  <c r="O116" i="1"/>
  <c r="BX113" i="1" l="1"/>
  <c r="BZ113" i="1" s="1"/>
  <c r="BW113" i="1"/>
  <c r="BY113" i="1" s="1"/>
  <c r="CA113" i="1" s="1"/>
  <c r="BI114" i="1"/>
  <c r="BK114" i="1" s="1"/>
  <c r="BH114" i="1"/>
  <c r="BJ114" i="1" s="1"/>
  <c r="BL114" i="1" s="1"/>
  <c r="DB111" i="1"/>
  <c r="DD111" i="1" s="1"/>
  <c r="DA111" i="1"/>
  <c r="DC111" i="1" s="1"/>
  <c r="CM112" i="1"/>
  <c r="CO112" i="1" s="1"/>
  <c r="CL112" i="1"/>
  <c r="CN112" i="1" s="1"/>
  <c r="CP112" i="1" s="1"/>
  <c r="AE116" i="1"/>
  <c r="AG116" i="1" s="1"/>
  <c r="AD116" i="1"/>
  <c r="AF116" i="1" s="1"/>
  <c r="AH116" i="1" s="1"/>
  <c r="AT115" i="1"/>
  <c r="AV115" i="1" s="1"/>
  <c r="AS115" i="1"/>
  <c r="AU115" i="1" s="1"/>
  <c r="AW115" i="1" s="1"/>
  <c r="G117" i="1"/>
  <c r="I117" i="1" s="1"/>
  <c r="Q117" i="1"/>
  <c r="S117" i="1" s="1"/>
  <c r="K117" i="1" l="1"/>
  <c r="M117" i="1" s="1"/>
  <c r="J117" i="1"/>
  <c r="L117" i="1" s="1"/>
  <c r="N117" i="1" s="1"/>
  <c r="D118" i="1"/>
  <c r="U117" i="1"/>
  <c r="W117" i="1" s="1"/>
  <c r="T117" i="1"/>
  <c r="V117" i="1" s="1"/>
  <c r="X117" i="1" s="1"/>
  <c r="CR112" i="1"/>
  <c r="CT112" i="1" s="1"/>
  <c r="CQ112" i="1"/>
  <c r="CS112" i="1" s="1"/>
  <c r="CU112" i="1" s="1"/>
  <c r="BN114" i="1"/>
  <c r="BP114" i="1" s="1"/>
  <c r="BM114" i="1"/>
  <c r="BO114" i="1" s="1"/>
  <c r="BQ114" i="1" s="1"/>
  <c r="CC113" i="1"/>
  <c r="CE113" i="1" s="1"/>
  <c r="CB113" i="1"/>
  <c r="CD113" i="1" s="1"/>
  <c r="CF113" i="1" s="1"/>
  <c r="AY115" i="1"/>
  <c r="BA115" i="1" s="1"/>
  <c r="AX115" i="1"/>
  <c r="AZ115" i="1" s="1"/>
  <c r="BB115" i="1" s="1"/>
  <c r="AJ116" i="1"/>
  <c r="AL116" i="1" s="1"/>
  <c r="AI116" i="1"/>
  <c r="AK116" i="1" s="1"/>
  <c r="AM116" i="1" s="1"/>
  <c r="CW112" i="1" l="1"/>
  <c r="CY112" i="1" s="1"/>
  <c r="CV112" i="1"/>
  <c r="CX112" i="1" s="1"/>
  <c r="CZ112" i="1" s="1"/>
  <c r="Z117" i="1"/>
  <c r="AB117" i="1" s="1"/>
  <c r="Y117" i="1"/>
  <c r="AA117" i="1" s="1"/>
  <c r="AC117" i="1" s="1"/>
  <c r="BS114" i="1"/>
  <c r="BU114" i="1" s="1"/>
  <c r="BR114" i="1"/>
  <c r="BT114" i="1" s="1"/>
  <c r="BV114" i="1" s="1"/>
  <c r="F118" i="1"/>
  <c r="H118" i="1" s="1"/>
  <c r="E118" i="1"/>
  <c r="AO116" i="1"/>
  <c r="AQ116" i="1" s="1"/>
  <c r="AN116" i="1"/>
  <c r="AP116" i="1" s="1"/>
  <c r="AR116" i="1" s="1"/>
  <c r="BD115" i="1"/>
  <c r="BF115" i="1" s="1"/>
  <c r="BC115" i="1"/>
  <c r="BE115" i="1" s="1"/>
  <c r="BG115" i="1" s="1"/>
  <c r="CH113" i="1"/>
  <c r="CJ113" i="1" s="1"/>
  <c r="CG113" i="1"/>
  <c r="CI113" i="1" s="1"/>
  <c r="CK113" i="1" s="1"/>
  <c r="P117" i="1"/>
  <c r="R117" i="1" s="1"/>
  <c r="O117" i="1"/>
  <c r="CM113" i="1" l="1"/>
  <c r="CO113" i="1" s="1"/>
  <c r="CL113" i="1"/>
  <c r="CN113" i="1" s="1"/>
  <c r="CP113" i="1" s="1"/>
  <c r="BI115" i="1"/>
  <c r="BK115" i="1" s="1"/>
  <c r="BH115" i="1"/>
  <c r="BJ115" i="1" s="1"/>
  <c r="BL115" i="1" s="1"/>
  <c r="G118" i="1"/>
  <c r="I118" i="1" s="1"/>
  <c r="Q118" i="1"/>
  <c r="S118" i="1" s="1"/>
  <c r="AE117" i="1"/>
  <c r="AG117" i="1" s="1"/>
  <c r="AD117" i="1"/>
  <c r="AF117" i="1" s="1"/>
  <c r="AH117" i="1" s="1"/>
  <c r="DA112" i="1"/>
  <c r="DC112" i="1" s="1"/>
  <c r="DB112" i="1"/>
  <c r="DD112" i="1" s="1"/>
  <c r="BX114" i="1"/>
  <c r="BZ114" i="1" s="1"/>
  <c r="BW114" i="1"/>
  <c r="BY114" i="1" s="1"/>
  <c r="CA114" i="1" s="1"/>
  <c r="AT116" i="1"/>
  <c r="AV116" i="1" s="1"/>
  <c r="AS116" i="1"/>
  <c r="AU116" i="1" s="1"/>
  <c r="AW116" i="1" s="1"/>
  <c r="AJ117" i="1" l="1"/>
  <c r="AL117" i="1" s="1"/>
  <c r="AI117" i="1"/>
  <c r="AK117" i="1" s="1"/>
  <c r="AM117" i="1" s="1"/>
  <c r="K118" i="1"/>
  <c r="M118" i="1" s="1"/>
  <c r="J118" i="1"/>
  <c r="L118" i="1" s="1"/>
  <c r="N118" i="1" s="1"/>
  <c r="D119" i="1"/>
  <c r="AY116" i="1"/>
  <c r="BA116" i="1" s="1"/>
  <c r="AX116" i="1"/>
  <c r="AZ116" i="1" s="1"/>
  <c r="BB116" i="1" s="1"/>
  <c r="CC114" i="1"/>
  <c r="CE114" i="1" s="1"/>
  <c r="CB114" i="1"/>
  <c r="CD114" i="1" s="1"/>
  <c r="CF114" i="1" s="1"/>
  <c r="CQ113" i="1"/>
  <c r="CS113" i="1" s="1"/>
  <c r="CU113" i="1" s="1"/>
  <c r="CR113" i="1"/>
  <c r="CT113" i="1" s="1"/>
  <c r="U118" i="1"/>
  <c r="W118" i="1" s="1"/>
  <c r="T118" i="1"/>
  <c r="V118" i="1" s="1"/>
  <c r="X118" i="1" s="1"/>
  <c r="BN115" i="1"/>
  <c r="BP115" i="1" s="1"/>
  <c r="BM115" i="1"/>
  <c r="BO115" i="1" s="1"/>
  <c r="BQ115" i="1" s="1"/>
  <c r="BD116" i="1" l="1"/>
  <c r="BF116" i="1" s="1"/>
  <c r="BC116" i="1"/>
  <c r="BE116" i="1" s="1"/>
  <c r="BG116" i="1" s="1"/>
  <c r="CG114" i="1"/>
  <c r="CI114" i="1" s="1"/>
  <c r="CK114" i="1" s="1"/>
  <c r="CH114" i="1"/>
  <c r="CJ114" i="1" s="1"/>
  <c r="Z118" i="1"/>
  <c r="AB118" i="1" s="1"/>
  <c r="Y118" i="1"/>
  <c r="AA118" i="1" s="1"/>
  <c r="AC118" i="1" s="1"/>
  <c r="F119" i="1"/>
  <c r="H119" i="1" s="1"/>
  <c r="E119" i="1"/>
  <c r="BS115" i="1"/>
  <c r="BU115" i="1" s="1"/>
  <c r="BR115" i="1"/>
  <c r="BT115" i="1" s="1"/>
  <c r="BV115" i="1" s="1"/>
  <c r="P118" i="1"/>
  <c r="R118" i="1" s="1"/>
  <c r="O118" i="1"/>
  <c r="CW113" i="1"/>
  <c r="CY113" i="1" s="1"/>
  <c r="CV113" i="1"/>
  <c r="CX113" i="1" s="1"/>
  <c r="CZ113" i="1" s="1"/>
  <c r="AO117" i="1"/>
  <c r="AQ117" i="1" s="1"/>
  <c r="AN117" i="1"/>
  <c r="AP117" i="1" s="1"/>
  <c r="AR117" i="1" s="1"/>
  <c r="DB113" i="1" l="1"/>
  <c r="DD113" i="1" s="1"/>
  <c r="DA113" i="1"/>
  <c r="DC113" i="1" s="1"/>
  <c r="G119" i="1"/>
  <c r="I119" i="1" s="1"/>
  <c r="Q119" i="1"/>
  <c r="S119" i="1" s="1"/>
  <c r="BI116" i="1"/>
  <c r="BK116" i="1" s="1"/>
  <c r="BH116" i="1"/>
  <c r="BJ116" i="1" s="1"/>
  <c r="BL116" i="1" s="1"/>
  <c r="AT117" i="1"/>
  <c r="AV117" i="1" s="1"/>
  <c r="AS117" i="1"/>
  <c r="AU117" i="1" s="1"/>
  <c r="AW117" i="1" s="1"/>
  <c r="AE118" i="1"/>
  <c r="AG118" i="1" s="1"/>
  <c r="AD118" i="1"/>
  <c r="AF118" i="1" s="1"/>
  <c r="AH118" i="1" s="1"/>
  <c r="CM114" i="1"/>
  <c r="CO114" i="1" s="1"/>
  <c r="CL114" i="1"/>
  <c r="CN114" i="1" s="1"/>
  <c r="CP114" i="1" s="1"/>
  <c r="BW115" i="1"/>
  <c r="BY115" i="1" s="1"/>
  <c r="CA115" i="1" s="1"/>
  <c r="BX115" i="1"/>
  <c r="BZ115" i="1" s="1"/>
  <c r="CR114" i="1" l="1"/>
  <c r="CT114" i="1" s="1"/>
  <c r="CQ114" i="1"/>
  <c r="CS114" i="1" s="1"/>
  <c r="CU114" i="1" s="1"/>
  <c r="AY117" i="1"/>
  <c r="BA117" i="1" s="1"/>
  <c r="AX117" i="1"/>
  <c r="AZ117" i="1" s="1"/>
  <c r="BB117" i="1" s="1"/>
  <c r="BM116" i="1"/>
  <c r="BO116" i="1" s="1"/>
  <c r="BQ116" i="1" s="1"/>
  <c r="BN116" i="1"/>
  <c r="BP116" i="1" s="1"/>
  <c r="U119" i="1"/>
  <c r="W119" i="1" s="1"/>
  <c r="T119" i="1"/>
  <c r="V119" i="1" s="1"/>
  <c r="X119" i="1" s="1"/>
  <c r="CC115" i="1"/>
  <c r="CE115" i="1" s="1"/>
  <c r="CB115" i="1"/>
  <c r="CD115" i="1" s="1"/>
  <c r="CF115" i="1" s="1"/>
  <c r="K119" i="1"/>
  <c r="M119" i="1" s="1"/>
  <c r="J119" i="1"/>
  <c r="L119" i="1" s="1"/>
  <c r="N119" i="1" s="1"/>
  <c r="D120" i="1"/>
  <c r="AJ118" i="1"/>
  <c r="AL118" i="1" s="1"/>
  <c r="AI118" i="1"/>
  <c r="AK118" i="1" s="1"/>
  <c r="AM118" i="1" s="1"/>
  <c r="Z119" i="1" l="1"/>
  <c r="AB119" i="1" s="1"/>
  <c r="Y119" i="1"/>
  <c r="AA119" i="1" s="1"/>
  <c r="AC119" i="1" s="1"/>
  <c r="P119" i="1"/>
  <c r="R119" i="1" s="1"/>
  <c r="O119" i="1"/>
  <c r="F120" i="1"/>
  <c r="H120" i="1" s="1"/>
  <c r="E120" i="1"/>
  <c r="AO118" i="1"/>
  <c r="AQ118" i="1" s="1"/>
  <c r="AN118" i="1"/>
  <c r="AP118" i="1" s="1"/>
  <c r="AR118" i="1" s="1"/>
  <c r="BS116" i="1"/>
  <c r="BU116" i="1" s="1"/>
  <c r="BR116" i="1"/>
  <c r="BT116" i="1" s="1"/>
  <c r="BV116" i="1" s="1"/>
  <c r="BC117" i="1"/>
  <c r="BE117" i="1" s="1"/>
  <c r="BG117" i="1" s="1"/>
  <c r="BD117" i="1"/>
  <c r="BF117" i="1" s="1"/>
  <c r="CH115" i="1"/>
  <c r="CJ115" i="1" s="1"/>
  <c r="CG115" i="1"/>
  <c r="CI115" i="1" s="1"/>
  <c r="CK115" i="1" s="1"/>
  <c r="CW114" i="1"/>
  <c r="CY114" i="1" s="1"/>
  <c r="CV114" i="1"/>
  <c r="CX114" i="1" s="1"/>
  <c r="AS118" i="1" l="1"/>
  <c r="AU118" i="1" s="1"/>
  <c r="AW118" i="1" s="1"/>
  <c r="AT118" i="1"/>
  <c r="AV118" i="1" s="1"/>
  <c r="CZ114" i="1"/>
  <c r="CM115" i="1"/>
  <c r="CO115" i="1" s="1"/>
  <c r="CL115" i="1"/>
  <c r="CN115" i="1" s="1"/>
  <c r="CP115" i="1" s="1"/>
  <c r="BI117" i="1"/>
  <c r="BK117" i="1" s="1"/>
  <c r="BH117" i="1"/>
  <c r="BJ117" i="1" s="1"/>
  <c r="BL117" i="1" s="1"/>
  <c r="G120" i="1"/>
  <c r="I120" i="1" s="1"/>
  <c r="Q120" i="1"/>
  <c r="S120" i="1" s="1"/>
  <c r="AE119" i="1"/>
  <c r="AG119" i="1" s="1"/>
  <c r="AD119" i="1"/>
  <c r="AF119" i="1" s="1"/>
  <c r="AH119" i="1" s="1"/>
  <c r="BX116" i="1"/>
  <c r="BZ116" i="1" s="1"/>
  <c r="BW116" i="1"/>
  <c r="BY116" i="1" s="1"/>
  <c r="CA116" i="1" s="1"/>
  <c r="K120" i="1" l="1"/>
  <c r="M120" i="1" s="1"/>
  <c r="J120" i="1"/>
  <c r="L120" i="1" s="1"/>
  <c r="N120" i="1" s="1"/>
  <c r="D121" i="1"/>
  <c r="CR115" i="1"/>
  <c r="CT115" i="1" s="1"/>
  <c r="CQ115" i="1"/>
  <c r="CS115" i="1" s="1"/>
  <c r="CU115" i="1" s="1"/>
  <c r="BN117" i="1"/>
  <c r="BP117" i="1" s="1"/>
  <c r="BM117" i="1"/>
  <c r="BO117" i="1" s="1"/>
  <c r="BQ117" i="1" s="1"/>
  <c r="DB114" i="1"/>
  <c r="DD114" i="1" s="1"/>
  <c r="DA114" i="1"/>
  <c r="DC114" i="1" s="1"/>
  <c r="AI119" i="1"/>
  <c r="AK119" i="1" s="1"/>
  <c r="AM119" i="1" s="1"/>
  <c r="AJ119" i="1"/>
  <c r="AL119" i="1" s="1"/>
  <c r="U120" i="1"/>
  <c r="W120" i="1" s="1"/>
  <c r="T120" i="1"/>
  <c r="V120" i="1" s="1"/>
  <c r="X120" i="1" s="1"/>
  <c r="CC116" i="1"/>
  <c r="CE116" i="1" s="1"/>
  <c r="CB116" i="1"/>
  <c r="CD116" i="1" s="1"/>
  <c r="CF116" i="1" s="1"/>
  <c r="AY118" i="1"/>
  <c r="BA118" i="1" s="1"/>
  <c r="AX118" i="1"/>
  <c r="AZ118" i="1" s="1"/>
  <c r="BB118" i="1" s="1"/>
  <c r="BD118" i="1" l="1"/>
  <c r="BF118" i="1" s="1"/>
  <c r="BC118" i="1"/>
  <c r="BE118" i="1" s="1"/>
  <c r="BG118" i="1" s="1"/>
  <c r="Y120" i="1"/>
  <c r="AA120" i="1" s="1"/>
  <c r="AC120" i="1" s="1"/>
  <c r="Z120" i="1"/>
  <c r="AB120" i="1" s="1"/>
  <c r="CH116" i="1"/>
  <c r="CJ116" i="1" s="1"/>
  <c r="CG116" i="1"/>
  <c r="CI116" i="1" s="1"/>
  <c r="CK116" i="1" s="1"/>
  <c r="CW115" i="1"/>
  <c r="CY115" i="1" s="1"/>
  <c r="CV115" i="1"/>
  <c r="CX115" i="1" s="1"/>
  <c r="CZ115" i="1" s="1"/>
  <c r="F121" i="1"/>
  <c r="H121" i="1" s="1"/>
  <c r="E121" i="1"/>
  <c r="AO119" i="1"/>
  <c r="AQ119" i="1" s="1"/>
  <c r="AN119" i="1"/>
  <c r="AP119" i="1" s="1"/>
  <c r="AR119" i="1" s="1"/>
  <c r="BS117" i="1"/>
  <c r="BU117" i="1" s="1"/>
  <c r="BR117" i="1"/>
  <c r="BT117" i="1" s="1"/>
  <c r="BV117" i="1" s="1"/>
  <c r="P120" i="1"/>
  <c r="R120" i="1" s="1"/>
  <c r="O120" i="1"/>
  <c r="DB115" i="1" l="1"/>
  <c r="DD115" i="1" s="1"/>
  <c r="DA115" i="1"/>
  <c r="DC115" i="1" s="1"/>
  <c r="AT119" i="1"/>
  <c r="AV119" i="1" s="1"/>
  <c r="AS119" i="1"/>
  <c r="AU119" i="1" s="1"/>
  <c r="AW119" i="1" s="1"/>
  <c r="CM116" i="1"/>
  <c r="CO116" i="1" s="1"/>
  <c r="CL116" i="1"/>
  <c r="CN116" i="1" s="1"/>
  <c r="CP116" i="1" s="1"/>
  <c r="BI118" i="1"/>
  <c r="BK118" i="1" s="1"/>
  <c r="BH118" i="1"/>
  <c r="BJ118" i="1" s="1"/>
  <c r="BL118" i="1" s="1"/>
  <c r="BX117" i="1"/>
  <c r="BZ117" i="1" s="1"/>
  <c r="BW117" i="1"/>
  <c r="BY117" i="1" s="1"/>
  <c r="CA117" i="1" s="1"/>
  <c r="AE120" i="1"/>
  <c r="AG120" i="1" s="1"/>
  <c r="AD120" i="1"/>
  <c r="AF120" i="1" s="1"/>
  <c r="AH120" i="1" s="1"/>
  <c r="G121" i="1"/>
  <c r="I121" i="1" s="1"/>
  <c r="Q121" i="1"/>
  <c r="S121" i="1" s="1"/>
  <c r="J121" i="1" l="1"/>
  <c r="L121" i="1" s="1"/>
  <c r="N121" i="1" s="1"/>
  <c r="K121" i="1"/>
  <c r="M121" i="1" s="1"/>
  <c r="D122" i="1"/>
  <c r="CR116" i="1"/>
  <c r="CT116" i="1" s="1"/>
  <c r="CQ116" i="1"/>
  <c r="CS116" i="1" s="1"/>
  <c r="CU116" i="1" s="1"/>
  <c r="AY119" i="1"/>
  <c r="BA119" i="1" s="1"/>
  <c r="AX119" i="1"/>
  <c r="AZ119" i="1" s="1"/>
  <c r="BB119" i="1" s="1"/>
  <c r="BN118" i="1"/>
  <c r="BP118" i="1" s="1"/>
  <c r="BM118" i="1"/>
  <c r="BO118" i="1" s="1"/>
  <c r="BQ118" i="1" s="1"/>
  <c r="U121" i="1"/>
  <c r="W121" i="1" s="1"/>
  <c r="T121" i="1"/>
  <c r="V121" i="1" s="1"/>
  <c r="X121" i="1" s="1"/>
  <c r="AJ120" i="1"/>
  <c r="AL120" i="1" s="1"/>
  <c r="AI120" i="1"/>
  <c r="AK120" i="1" s="1"/>
  <c r="AM120" i="1" s="1"/>
  <c r="CC117" i="1"/>
  <c r="CE117" i="1" s="1"/>
  <c r="CB117" i="1"/>
  <c r="CD117" i="1" s="1"/>
  <c r="CF117" i="1" s="1"/>
  <c r="AO120" i="1" l="1"/>
  <c r="AQ120" i="1" s="1"/>
  <c r="AN120" i="1"/>
  <c r="AP120" i="1" s="1"/>
  <c r="AR120" i="1" s="1"/>
  <c r="BS118" i="1"/>
  <c r="BU118" i="1" s="1"/>
  <c r="BR118" i="1"/>
  <c r="BT118" i="1" s="1"/>
  <c r="BV118" i="1" s="1"/>
  <c r="Z121" i="1"/>
  <c r="AB121" i="1" s="1"/>
  <c r="Y121" i="1"/>
  <c r="AA121" i="1" s="1"/>
  <c r="AC121" i="1" s="1"/>
  <c r="CH117" i="1"/>
  <c r="CJ117" i="1" s="1"/>
  <c r="CG117" i="1"/>
  <c r="CI117" i="1" s="1"/>
  <c r="CK117" i="1" s="1"/>
  <c r="BD119" i="1"/>
  <c r="BF119" i="1" s="1"/>
  <c r="BC119" i="1"/>
  <c r="BE119" i="1" s="1"/>
  <c r="BG119" i="1" s="1"/>
  <c r="CW116" i="1"/>
  <c r="CY116" i="1" s="1"/>
  <c r="CV116" i="1"/>
  <c r="CX116" i="1" s="1"/>
  <c r="CZ116" i="1" s="1"/>
  <c r="F122" i="1"/>
  <c r="H122" i="1" s="1"/>
  <c r="E122" i="1"/>
  <c r="P121" i="1"/>
  <c r="R121" i="1" s="1"/>
  <c r="O121" i="1"/>
  <c r="AE121" i="1" l="1"/>
  <c r="AG121" i="1" s="1"/>
  <c r="AD121" i="1"/>
  <c r="AF121" i="1" s="1"/>
  <c r="AH121" i="1" s="1"/>
  <c r="DB116" i="1"/>
  <c r="DD116" i="1" s="1"/>
  <c r="DA116" i="1"/>
  <c r="DC116" i="1" s="1"/>
  <c r="CM117" i="1"/>
  <c r="CO117" i="1" s="1"/>
  <c r="CL117" i="1"/>
  <c r="CN117" i="1" s="1"/>
  <c r="CP117" i="1" s="1"/>
  <c r="BX118" i="1"/>
  <c r="BZ118" i="1" s="1"/>
  <c r="BW118" i="1"/>
  <c r="BY118" i="1" s="1"/>
  <c r="CA118" i="1" s="1"/>
  <c r="BI119" i="1"/>
  <c r="BK119" i="1" s="1"/>
  <c r="BH119" i="1"/>
  <c r="BJ119" i="1" s="1"/>
  <c r="BL119" i="1" s="1"/>
  <c r="G122" i="1"/>
  <c r="I122" i="1" s="1"/>
  <c r="Q122" i="1"/>
  <c r="S122" i="1" s="1"/>
  <c r="AT120" i="1"/>
  <c r="AV120" i="1" s="1"/>
  <c r="AS120" i="1"/>
  <c r="AU120" i="1" s="1"/>
  <c r="AW120" i="1" s="1"/>
  <c r="AY120" i="1" l="1"/>
  <c r="BA120" i="1" s="1"/>
  <c r="AX120" i="1"/>
  <c r="AZ120" i="1" s="1"/>
  <c r="BB120" i="1" s="1"/>
  <c r="CC118" i="1"/>
  <c r="CE118" i="1" s="1"/>
  <c r="CB118" i="1"/>
  <c r="CD118" i="1" s="1"/>
  <c r="CF118" i="1" s="1"/>
  <c r="CR117" i="1"/>
  <c r="CT117" i="1" s="1"/>
  <c r="CQ117" i="1"/>
  <c r="CS117" i="1" s="1"/>
  <c r="CU117" i="1" s="1"/>
  <c r="U122" i="1"/>
  <c r="W122" i="1" s="1"/>
  <c r="T122" i="1"/>
  <c r="V122" i="1" s="1"/>
  <c r="X122" i="1" s="1"/>
  <c r="K122" i="1"/>
  <c r="M122" i="1" s="1"/>
  <c r="J122" i="1"/>
  <c r="L122" i="1" s="1"/>
  <c r="N122" i="1" s="1"/>
  <c r="D123" i="1"/>
  <c r="BN119" i="1"/>
  <c r="BP119" i="1" s="1"/>
  <c r="BM119" i="1"/>
  <c r="BO119" i="1" s="1"/>
  <c r="BQ119" i="1" s="1"/>
  <c r="AJ121" i="1"/>
  <c r="AL121" i="1" s="1"/>
  <c r="AI121" i="1"/>
  <c r="AK121" i="1" s="1"/>
  <c r="AM121" i="1" s="1"/>
  <c r="Z122" i="1" l="1"/>
  <c r="AB122" i="1" s="1"/>
  <c r="Y122" i="1"/>
  <c r="AA122" i="1" s="1"/>
  <c r="AC122" i="1" s="1"/>
  <c r="AO121" i="1"/>
  <c r="AQ121" i="1" s="1"/>
  <c r="AN121" i="1"/>
  <c r="AP121" i="1" s="1"/>
  <c r="AR121" i="1" s="1"/>
  <c r="CW117" i="1"/>
  <c r="CY117" i="1" s="1"/>
  <c r="CV117" i="1"/>
  <c r="CX117" i="1" s="1"/>
  <c r="CZ117" i="1" s="1"/>
  <c r="CH118" i="1"/>
  <c r="CJ118" i="1" s="1"/>
  <c r="CG118" i="1"/>
  <c r="CI118" i="1" s="1"/>
  <c r="CK118" i="1" s="1"/>
  <c r="P122" i="1"/>
  <c r="R122" i="1" s="1"/>
  <c r="O122" i="1"/>
  <c r="BS119" i="1"/>
  <c r="BU119" i="1" s="1"/>
  <c r="BR119" i="1"/>
  <c r="BT119" i="1" s="1"/>
  <c r="BV119" i="1" s="1"/>
  <c r="F123" i="1"/>
  <c r="H123" i="1" s="1"/>
  <c r="E123" i="1"/>
  <c r="BD120" i="1"/>
  <c r="BF120" i="1" s="1"/>
  <c r="BC120" i="1"/>
  <c r="BE120" i="1" s="1"/>
  <c r="BG120" i="1" s="1"/>
  <c r="BI120" i="1" l="1"/>
  <c r="BK120" i="1" s="1"/>
  <c r="BH120" i="1"/>
  <c r="BJ120" i="1" s="1"/>
  <c r="BL120" i="1" s="1"/>
  <c r="CM118" i="1"/>
  <c r="CO118" i="1" s="1"/>
  <c r="CL118" i="1"/>
  <c r="CN118" i="1" s="1"/>
  <c r="CP118" i="1" s="1"/>
  <c r="G123" i="1"/>
  <c r="I123" i="1" s="1"/>
  <c r="Q123" i="1"/>
  <c r="S123" i="1" s="1"/>
  <c r="DB117" i="1"/>
  <c r="DD117" i="1" s="1"/>
  <c r="DA117" i="1"/>
  <c r="DC117" i="1" s="1"/>
  <c r="AT121" i="1"/>
  <c r="AV121" i="1" s="1"/>
  <c r="AS121" i="1"/>
  <c r="AU121" i="1" s="1"/>
  <c r="AW121" i="1" s="1"/>
  <c r="BX119" i="1"/>
  <c r="BZ119" i="1" s="1"/>
  <c r="BW119" i="1"/>
  <c r="BY119" i="1" s="1"/>
  <c r="CA119" i="1" s="1"/>
  <c r="AD122" i="1"/>
  <c r="AF122" i="1" s="1"/>
  <c r="AH122" i="1" s="1"/>
  <c r="AE122" i="1"/>
  <c r="AG122" i="1" s="1"/>
  <c r="U123" i="1" l="1"/>
  <c r="W123" i="1" s="1"/>
  <c r="T123" i="1"/>
  <c r="V123" i="1" s="1"/>
  <c r="X123" i="1" s="1"/>
  <c r="K123" i="1"/>
  <c r="M123" i="1" s="1"/>
  <c r="J123" i="1"/>
  <c r="L123" i="1" s="1"/>
  <c r="N123" i="1" s="1"/>
  <c r="D124" i="1"/>
  <c r="AJ122" i="1"/>
  <c r="AL122" i="1" s="1"/>
  <c r="AI122" i="1"/>
  <c r="AK122" i="1" s="1"/>
  <c r="AM122" i="1" s="1"/>
  <c r="CR118" i="1"/>
  <c r="CT118" i="1" s="1"/>
  <c r="CQ118" i="1"/>
  <c r="CS118" i="1" s="1"/>
  <c r="CU118" i="1" s="1"/>
  <c r="CC119" i="1"/>
  <c r="CE119" i="1" s="1"/>
  <c r="CB119" i="1"/>
  <c r="CD119" i="1" s="1"/>
  <c r="CF119" i="1" s="1"/>
  <c r="BN120" i="1"/>
  <c r="BP120" i="1" s="1"/>
  <c r="BM120" i="1"/>
  <c r="BO120" i="1" s="1"/>
  <c r="BQ120" i="1" s="1"/>
  <c r="AX121" i="1"/>
  <c r="AZ121" i="1" s="1"/>
  <c r="BB121" i="1" s="1"/>
  <c r="AY121" i="1"/>
  <c r="BA121" i="1" s="1"/>
  <c r="AN122" i="1" l="1"/>
  <c r="AP122" i="1" s="1"/>
  <c r="AR122" i="1" s="1"/>
  <c r="AO122" i="1"/>
  <c r="AQ122" i="1" s="1"/>
  <c r="BS120" i="1"/>
  <c r="BU120" i="1" s="1"/>
  <c r="BR120" i="1"/>
  <c r="BT120" i="1" s="1"/>
  <c r="BV120" i="1" s="1"/>
  <c r="BD121" i="1"/>
  <c r="BF121" i="1" s="1"/>
  <c r="BC121" i="1"/>
  <c r="BE121" i="1" s="1"/>
  <c r="BG121" i="1" s="1"/>
  <c r="O123" i="1"/>
  <c r="P123" i="1"/>
  <c r="R123" i="1" s="1"/>
  <c r="Z123" i="1"/>
  <c r="AB123" i="1" s="1"/>
  <c r="Y123" i="1"/>
  <c r="AA123" i="1" s="1"/>
  <c r="AC123" i="1" s="1"/>
  <c r="F124" i="1"/>
  <c r="H124" i="1" s="1"/>
  <c r="E124" i="1"/>
  <c r="CH119" i="1"/>
  <c r="CJ119" i="1" s="1"/>
  <c r="CG119" i="1"/>
  <c r="CI119" i="1" s="1"/>
  <c r="CK119" i="1" s="1"/>
  <c r="CW118" i="1"/>
  <c r="CY118" i="1" s="1"/>
  <c r="CV118" i="1"/>
  <c r="CX118" i="1" s="1"/>
  <c r="CZ118" i="1" s="1"/>
  <c r="CM119" i="1" l="1"/>
  <c r="CO119" i="1" s="1"/>
  <c r="CL119" i="1"/>
  <c r="CN119" i="1" s="1"/>
  <c r="CP119" i="1" s="1"/>
  <c r="Q124" i="1"/>
  <c r="S124" i="1" s="1"/>
  <c r="G124" i="1"/>
  <c r="I124" i="1" s="1"/>
  <c r="AD123" i="1"/>
  <c r="AF123" i="1" s="1"/>
  <c r="AH123" i="1" s="1"/>
  <c r="AE123" i="1"/>
  <c r="AG123" i="1" s="1"/>
  <c r="DA118" i="1"/>
  <c r="DC118" i="1" s="1"/>
  <c r="DB118" i="1"/>
  <c r="DD118" i="1" s="1"/>
  <c r="BI121" i="1"/>
  <c r="BK121" i="1" s="1"/>
  <c r="BH121" i="1"/>
  <c r="BJ121" i="1" s="1"/>
  <c r="BL121" i="1" s="1"/>
  <c r="BX120" i="1"/>
  <c r="BZ120" i="1" s="1"/>
  <c r="BW120" i="1"/>
  <c r="BY120" i="1" s="1"/>
  <c r="CA120" i="1" s="1"/>
  <c r="AT122" i="1"/>
  <c r="AV122" i="1" s="1"/>
  <c r="AS122" i="1"/>
  <c r="AU122" i="1" s="1"/>
  <c r="AW122" i="1" s="1"/>
  <c r="CC120" i="1" l="1"/>
  <c r="CE120" i="1" s="1"/>
  <c r="CB120" i="1"/>
  <c r="CD120" i="1" s="1"/>
  <c r="CF120" i="1" s="1"/>
  <c r="AY122" i="1"/>
  <c r="BA122" i="1" s="1"/>
  <c r="AX122" i="1"/>
  <c r="AZ122" i="1" s="1"/>
  <c r="BB122" i="1" s="1"/>
  <c r="K124" i="1"/>
  <c r="M124" i="1" s="1"/>
  <c r="J124" i="1"/>
  <c r="L124" i="1" s="1"/>
  <c r="N124" i="1" s="1"/>
  <c r="D125" i="1"/>
  <c r="CQ119" i="1"/>
  <c r="CS119" i="1" s="1"/>
  <c r="CU119" i="1" s="1"/>
  <c r="CR119" i="1"/>
  <c r="CT119" i="1" s="1"/>
  <c r="AJ123" i="1"/>
  <c r="AL123" i="1" s="1"/>
  <c r="AI123" i="1"/>
  <c r="AK123" i="1" s="1"/>
  <c r="AM123" i="1" s="1"/>
  <c r="T124" i="1"/>
  <c r="V124" i="1" s="1"/>
  <c r="X124" i="1" s="1"/>
  <c r="U124" i="1"/>
  <c r="W124" i="1" s="1"/>
  <c r="BN121" i="1"/>
  <c r="BP121" i="1" s="1"/>
  <c r="BM121" i="1"/>
  <c r="BO121" i="1" s="1"/>
  <c r="BQ121" i="1" s="1"/>
  <c r="P124" i="1" l="1"/>
  <c r="R124" i="1" s="1"/>
  <c r="O124" i="1"/>
  <c r="CW119" i="1"/>
  <c r="CY119" i="1" s="1"/>
  <c r="CV119" i="1"/>
  <c r="CX119" i="1" s="1"/>
  <c r="CZ119" i="1" s="1"/>
  <c r="F125" i="1"/>
  <c r="H125" i="1" s="1"/>
  <c r="E125" i="1"/>
  <c r="Z124" i="1"/>
  <c r="AB124" i="1" s="1"/>
  <c r="Y124" i="1"/>
  <c r="AA124" i="1" s="1"/>
  <c r="AC124" i="1" s="1"/>
  <c r="BD122" i="1"/>
  <c r="BF122" i="1" s="1"/>
  <c r="BC122" i="1"/>
  <c r="BE122" i="1" s="1"/>
  <c r="BG122" i="1" s="1"/>
  <c r="BR121" i="1"/>
  <c r="BT121" i="1" s="1"/>
  <c r="BV121" i="1" s="1"/>
  <c r="BS121" i="1"/>
  <c r="BU121" i="1" s="1"/>
  <c r="AO123" i="1"/>
  <c r="AQ123" i="1" s="1"/>
  <c r="AN123" i="1"/>
  <c r="AP123" i="1" s="1"/>
  <c r="AR123" i="1" s="1"/>
  <c r="CH120" i="1"/>
  <c r="CJ120" i="1" s="1"/>
  <c r="CG120" i="1"/>
  <c r="CI120" i="1" s="1"/>
  <c r="CK120" i="1" s="1"/>
  <c r="AT123" i="1" l="1"/>
  <c r="AV123" i="1" s="1"/>
  <c r="AS123" i="1"/>
  <c r="AU123" i="1" s="1"/>
  <c r="AW123" i="1" s="1"/>
  <c r="Q125" i="1"/>
  <c r="S125" i="1" s="1"/>
  <c r="G125" i="1"/>
  <c r="I125" i="1" s="1"/>
  <c r="DB119" i="1"/>
  <c r="DD119" i="1" s="1"/>
  <c r="DA119" i="1"/>
  <c r="DC119" i="1" s="1"/>
  <c r="BH122" i="1"/>
  <c r="BJ122" i="1" s="1"/>
  <c r="BL122" i="1" s="1"/>
  <c r="BI122" i="1"/>
  <c r="BK122" i="1" s="1"/>
  <c r="AE124" i="1"/>
  <c r="AG124" i="1" s="1"/>
  <c r="AD124" i="1"/>
  <c r="AF124" i="1" s="1"/>
  <c r="AH124" i="1" s="1"/>
  <c r="CL120" i="1"/>
  <c r="CN120" i="1" s="1"/>
  <c r="CP120" i="1" s="1"/>
  <c r="CM120" i="1"/>
  <c r="CO120" i="1" s="1"/>
  <c r="BX121" i="1"/>
  <c r="BZ121" i="1" s="1"/>
  <c r="BW121" i="1"/>
  <c r="BY121" i="1" s="1"/>
  <c r="CA121" i="1" s="1"/>
  <c r="BN122" i="1" l="1"/>
  <c r="BP122" i="1" s="1"/>
  <c r="BM122" i="1"/>
  <c r="BO122" i="1" s="1"/>
  <c r="BQ122" i="1" s="1"/>
  <c r="AX123" i="1"/>
  <c r="AZ123" i="1" s="1"/>
  <c r="BB123" i="1" s="1"/>
  <c r="AY123" i="1"/>
  <c r="BA123" i="1" s="1"/>
  <c r="CC121" i="1"/>
  <c r="CE121" i="1" s="1"/>
  <c r="CB121" i="1"/>
  <c r="CD121" i="1" s="1"/>
  <c r="CF121" i="1" s="1"/>
  <c r="U125" i="1"/>
  <c r="W125" i="1" s="1"/>
  <c r="T125" i="1"/>
  <c r="V125" i="1" s="1"/>
  <c r="X125" i="1" s="1"/>
  <c r="J125" i="1"/>
  <c r="L125" i="1" s="1"/>
  <c r="N125" i="1" s="1"/>
  <c r="K125" i="1"/>
  <c r="M125" i="1" s="1"/>
  <c r="D126" i="1"/>
  <c r="CR120" i="1"/>
  <c r="CT120" i="1" s="1"/>
  <c r="CQ120" i="1"/>
  <c r="CS120" i="1" s="1"/>
  <c r="CU120" i="1" s="1"/>
  <c r="AJ124" i="1"/>
  <c r="AL124" i="1" s="1"/>
  <c r="AI124" i="1"/>
  <c r="AK124" i="1" s="1"/>
  <c r="AM124" i="1" s="1"/>
  <c r="Z125" i="1" l="1"/>
  <c r="AB125" i="1" s="1"/>
  <c r="Y125" i="1"/>
  <c r="AA125" i="1" s="1"/>
  <c r="AC125" i="1" s="1"/>
  <c r="CV120" i="1"/>
  <c r="CX120" i="1" s="1"/>
  <c r="CW120" i="1"/>
  <c r="CY120" i="1" s="1"/>
  <c r="F126" i="1"/>
  <c r="H126" i="1" s="1"/>
  <c r="E126" i="1"/>
  <c r="CH121" i="1"/>
  <c r="CJ121" i="1" s="1"/>
  <c r="CG121" i="1"/>
  <c r="CI121" i="1" s="1"/>
  <c r="CK121" i="1" s="1"/>
  <c r="AN124" i="1"/>
  <c r="AP124" i="1" s="1"/>
  <c r="AR124" i="1" s="1"/>
  <c r="AO124" i="1"/>
  <c r="AQ124" i="1" s="1"/>
  <c r="BS122" i="1"/>
  <c r="BU122" i="1" s="1"/>
  <c r="BR122" i="1"/>
  <c r="BT122" i="1" s="1"/>
  <c r="BV122" i="1" s="1"/>
  <c r="BD123" i="1"/>
  <c r="BF123" i="1" s="1"/>
  <c r="BC123" i="1"/>
  <c r="BE123" i="1" s="1"/>
  <c r="BG123" i="1" s="1"/>
  <c r="P125" i="1"/>
  <c r="R125" i="1" s="1"/>
  <c r="O125" i="1"/>
  <c r="CM121" i="1" l="1"/>
  <c r="CO121" i="1" s="1"/>
  <c r="CL121" i="1"/>
  <c r="CN121" i="1" s="1"/>
  <c r="CP121" i="1" s="1"/>
  <c r="BI123" i="1"/>
  <c r="BK123" i="1" s="1"/>
  <c r="BH123" i="1"/>
  <c r="BJ123" i="1" s="1"/>
  <c r="BL123" i="1" s="1"/>
  <c r="BX122" i="1"/>
  <c r="BZ122" i="1" s="1"/>
  <c r="BW122" i="1"/>
  <c r="BY122" i="1" s="1"/>
  <c r="CA122" i="1" s="1"/>
  <c r="G126" i="1"/>
  <c r="I126" i="1" s="1"/>
  <c r="Q126" i="1"/>
  <c r="S126" i="1" s="1"/>
  <c r="CZ120" i="1"/>
  <c r="AD125" i="1"/>
  <c r="AF125" i="1" s="1"/>
  <c r="AH125" i="1" s="1"/>
  <c r="AE125" i="1"/>
  <c r="AG125" i="1" s="1"/>
  <c r="AT124" i="1"/>
  <c r="AV124" i="1" s="1"/>
  <c r="AS124" i="1"/>
  <c r="AU124" i="1" s="1"/>
  <c r="AW124" i="1" s="1"/>
  <c r="CC122" i="1" l="1"/>
  <c r="CE122" i="1" s="1"/>
  <c r="CB122" i="1"/>
  <c r="CD122" i="1" s="1"/>
  <c r="CF122" i="1" s="1"/>
  <c r="T126" i="1"/>
  <c r="V126" i="1" s="1"/>
  <c r="X126" i="1" s="1"/>
  <c r="U126" i="1"/>
  <c r="W126" i="1" s="1"/>
  <c r="DB120" i="1"/>
  <c r="DD120" i="1" s="1"/>
  <c r="DA120" i="1"/>
  <c r="DC120" i="1" s="1"/>
  <c r="AY124" i="1"/>
  <c r="BA124" i="1" s="1"/>
  <c r="AX124" i="1"/>
  <c r="AZ124" i="1" s="1"/>
  <c r="BB124" i="1" s="1"/>
  <c r="CR121" i="1"/>
  <c r="CT121" i="1" s="1"/>
  <c r="CQ121" i="1"/>
  <c r="CS121" i="1" s="1"/>
  <c r="CU121" i="1" s="1"/>
  <c r="K126" i="1"/>
  <c r="M126" i="1" s="1"/>
  <c r="J126" i="1"/>
  <c r="L126" i="1" s="1"/>
  <c r="N126" i="1" s="1"/>
  <c r="D127" i="1"/>
  <c r="BN123" i="1"/>
  <c r="BP123" i="1" s="1"/>
  <c r="BM123" i="1"/>
  <c r="BO123" i="1" s="1"/>
  <c r="BQ123" i="1" s="1"/>
  <c r="AJ125" i="1"/>
  <c r="AL125" i="1" s="1"/>
  <c r="AI125" i="1"/>
  <c r="AK125" i="1" s="1"/>
  <c r="AM125" i="1" s="1"/>
  <c r="BD124" i="1" l="1"/>
  <c r="BF124" i="1" s="1"/>
  <c r="BC124" i="1"/>
  <c r="BE124" i="1" s="1"/>
  <c r="BG124" i="1" s="1"/>
  <c r="F127" i="1"/>
  <c r="H127" i="1" s="1"/>
  <c r="E127" i="1"/>
  <c r="BS123" i="1"/>
  <c r="BU123" i="1" s="1"/>
  <c r="BR123" i="1"/>
  <c r="BT123" i="1" s="1"/>
  <c r="BV123" i="1" s="1"/>
  <c r="Z126" i="1"/>
  <c r="AB126" i="1" s="1"/>
  <c r="Y126" i="1"/>
  <c r="AA126" i="1" s="1"/>
  <c r="AC126" i="1" s="1"/>
  <c r="P126" i="1"/>
  <c r="R126" i="1" s="1"/>
  <c r="O126" i="1"/>
  <c r="CG122" i="1"/>
  <c r="CI122" i="1" s="1"/>
  <c r="CK122" i="1" s="1"/>
  <c r="CH122" i="1"/>
  <c r="CJ122" i="1" s="1"/>
  <c r="AO125" i="1"/>
  <c r="AQ125" i="1" s="1"/>
  <c r="AN125" i="1"/>
  <c r="AP125" i="1" s="1"/>
  <c r="AR125" i="1" s="1"/>
  <c r="CV121" i="1"/>
  <c r="CX121" i="1" s="1"/>
  <c r="CW121" i="1"/>
  <c r="CY121" i="1" s="1"/>
  <c r="AE126" i="1" l="1"/>
  <c r="AG126" i="1" s="1"/>
  <c r="AD126" i="1"/>
  <c r="AF126" i="1" s="1"/>
  <c r="AH126" i="1" s="1"/>
  <c r="CZ121" i="1"/>
  <c r="Q127" i="1"/>
  <c r="S127" i="1" s="1"/>
  <c r="G127" i="1"/>
  <c r="I127" i="1" s="1"/>
  <c r="BX123" i="1"/>
  <c r="BZ123" i="1" s="1"/>
  <c r="BW123" i="1"/>
  <c r="BY123" i="1" s="1"/>
  <c r="CA123" i="1" s="1"/>
  <c r="CM122" i="1"/>
  <c r="CO122" i="1" s="1"/>
  <c r="CL122" i="1"/>
  <c r="CN122" i="1" s="1"/>
  <c r="CP122" i="1" s="1"/>
  <c r="AT125" i="1"/>
  <c r="AV125" i="1" s="1"/>
  <c r="AS125" i="1"/>
  <c r="AU125" i="1" s="1"/>
  <c r="AW125" i="1" s="1"/>
  <c r="BI124" i="1"/>
  <c r="BK124" i="1" s="1"/>
  <c r="BH124" i="1"/>
  <c r="BJ124" i="1" s="1"/>
  <c r="BL124" i="1" s="1"/>
  <c r="J127" i="1" l="1"/>
  <c r="L127" i="1" s="1"/>
  <c r="N127" i="1" s="1"/>
  <c r="K127" i="1"/>
  <c r="M127" i="1" s="1"/>
  <c r="D128" i="1"/>
  <c r="U127" i="1"/>
  <c r="W127" i="1" s="1"/>
  <c r="T127" i="1"/>
  <c r="V127" i="1" s="1"/>
  <c r="X127" i="1" s="1"/>
  <c r="CC123" i="1"/>
  <c r="CE123" i="1" s="1"/>
  <c r="CB123" i="1"/>
  <c r="CD123" i="1" s="1"/>
  <c r="CF123" i="1" s="1"/>
  <c r="BN124" i="1"/>
  <c r="BP124" i="1" s="1"/>
  <c r="BM124" i="1"/>
  <c r="BO124" i="1" s="1"/>
  <c r="BQ124" i="1" s="1"/>
  <c r="AJ126" i="1"/>
  <c r="AL126" i="1" s="1"/>
  <c r="AI126" i="1"/>
  <c r="AK126" i="1" s="1"/>
  <c r="AM126" i="1" s="1"/>
  <c r="CR122" i="1"/>
  <c r="CT122" i="1" s="1"/>
  <c r="CQ122" i="1"/>
  <c r="CS122" i="1" s="1"/>
  <c r="CU122" i="1" s="1"/>
  <c r="DB121" i="1"/>
  <c r="DD121" i="1" s="1"/>
  <c r="DA121" i="1"/>
  <c r="DC121" i="1" s="1"/>
  <c r="AY125" i="1"/>
  <c r="BA125" i="1" s="1"/>
  <c r="AX125" i="1"/>
  <c r="AZ125" i="1" s="1"/>
  <c r="BB125" i="1" s="1"/>
  <c r="CV122" i="1" l="1"/>
  <c r="CX122" i="1" s="1"/>
  <c r="CW122" i="1"/>
  <c r="CY122" i="1" s="1"/>
  <c r="BC125" i="1"/>
  <c r="BE125" i="1" s="1"/>
  <c r="BG125" i="1" s="1"/>
  <c r="BD125" i="1"/>
  <c r="BF125" i="1" s="1"/>
  <c r="CH123" i="1"/>
  <c r="CJ123" i="1" s="1"/>
  <c r="CG123" i="1"/>
  <c r="CI123" i="1" s="1"/>
  <c r="CK123" i="1" s="1"/>
  <c r="Z127" i="1"/>
  <c r="AB127" i="1" s="1"/>
  <c r="Y127" i="1"/>
  <c r="AA127" i="1" s="1"/>
  <c r="AC127" i="1" s="1"/>
  <c r="AO126" i="1"/>
  <c r="AQ126" i="1" s="1"/>
  <c r="AN126" i="1"/>
  <c r="AP126" i="1" s="1"/>
  <c r="AR126" i="1" s="1"/>
  <c r="F128" i="1"/>
  <c r="H128" i="1" s="1"/>
  <c r="E128" i="1"/>
  <c r="BR124" i="1"/>
  <c r="BT124" i="1" s="1"/>
  <c r="BV124" i="1" s="1"/>
  <c r="BS124" i="1"/>
  <c r="BU124" i="1" s="1"/>
  <c r="P127" i="1"/>
  <c r="R127" i="1" s="1"/>
  <c r="O127" i="1"/>
  <c r="AE127" i="1" l="1"/>
  <c r="AG127" i="1" s="1"/>
  <c r="AD127" i="1"/>
  <c r="AF127" i="1" s="1"/>
  <c r="AH127" i="1" s="1"/>
  <c r="CL123" i="1"/>
  <c r="CN123" i="1" s="1"/>
  <c r="CP123" i="1" s="1"/>
  <c r="CM123" i="1"/>
  <c r="CO123" i="1" s="1"/>
  <c r="AT126" i="1"/>
  <c r="AV126" i="1" s="1"/>
  <c r="AS126" i="1"/>
  <c r="AU126" i="1" s="1"/>
  <c r="AW126" i="1" s="1"/>
  <c r="BI125" i="1"/>
  <c r="BK125" i="1" s="1"/>
  <c r="BH125" i="1"/>
  <c r="BJ125" i="1" s="1"/>
  <c r="BL125" i="1" s="1"/>
  <c r="BX124" i="1"/>
  <c r="BZ124" i="1" s="1"/>
  <c r="BW124" i="1"/>
  <c r="BY124" i="1" s="1"/>
  <c r="CA124" i="1" s="1"/>
  <c r="Q128" i="1"/>
  <c r="S128" i="1" s="1"/>
  <c r="G128" i="1"/>
  <c r="I128" i="1" s="1"/>
  <c r="CZ122" i="1"/>
  <c r="DB122" i="1" l="1"/>
  <c r="DD122" i="1" s="1"/>
  <c r="DA122" i="1"/>
  <c r="DC122" i="1" s="1"/>
  <c r="BN125" i="1"/>
  <c r="BP125" i="1" s="1"/>
  <c r="BM125" i="1"/>
  <c r="BO125" i="1" s="1"/>
  <c r="BQ125" i="1" s="1"/>
  <c r="U128" i="1"/>
  <c r="W128" i="1" s="1"/>
  <c r="T128" i="1"/>
  <c r="V128" i="1" s="1"/>
  <c r="X128" i="1" s="1"/>
  <c r="AY126" i="1"/>
  <c r="BA126" i="1" s="1"/>
  <c r="AX126" i="1"/>
  <c r="AZ126" i="1" s="1"/>
  <c r="BB126" i="1" s="1"/>
  <c r="K128" i="1"/>
  <c r="M128" i="1" s="1"/>
  <c r="J128" i="1"/>
  <c r="L128" i="1" s="1"/>
  <c r="N128" i="1" s="1"/>
  <c r="D129" i="1"/>
  <c r="AJ127" i="1"/>
  <c r="AL127" i="1" s="1"/>
  <c r="AI127" i="1"/>
  <c r="AK127" i="1" s="1"/>
  <c r="AM127" i="1" s="1"/>
  <c r="CR123" i="1"/>
  <c r="CT123" i="1" s="1"/>
  <c r="CQ123" i="1"/>
  <c r="CS123" i="1" s="1"/>
  <c r="CU123" i="1" s="1"/>
  <c r="CB124" i="1"/>
  <c r="CD124" i="1" s="1"/>
  <c r="CF124" i="1" s="1"/>
  <c r="CC124" i="1"/>
  <c r="CE124" i="1" s="1"/>
  <c r="CH124" i="1" l="1"/>
  <c r="CJ124" i="1" s="1"/>
  <c r="CG124" i="1"/>
  <c r="CI124" i="1" s="1"/>
  <c r="CK124" i="1" s="1"/>
  <c r="AN127" i="1"/>
  <c r="AP127" i="1" s="1"/>
  <c r="AR127" i="1" s="1"/>
  <c r="AO127" i="1"/>
  <c r="AQ127" i="1" s="1"/>
  <c r="CW123" i="1"/>
  <c r="CY123" i="1" s="1"/>
  <c r="CV123" i="1"/>
  <c r="CX123" i="1" s="1"/>
  <c r="CZ123" i="1" s="1"/>
  <c r="F129" i="1"/>
  <c r="H129" i="1" s="1"/>
  <c r="E129" i="1"/>
  <c r="Y128" i="1"/>
  <c r="AA128" i="1" s="1"/>
  <c r="AC128" i="1" s="1"/>
  <c r="Z128" i="1"/>
  <c r="AB128" i="1" s="1"/>
  <c r="BR125" i="1"/>
  <c r="BT125" i="1" s="1"/>
  <c r="BV125" i="1" s="1"/>
  <c r="BS125" i="1"/>
  <c r="BU125" i="1" s="1"/>
  <c r="P128" i="1"/>
  <c r="R128" i="1" s="1"/>
  <c r="O128" i="1"/>
  <c r="BD126" i="1"/>
  <c r="BF126" i="1" s="1"/>
  <c r="BC126" i="1"/>
  <c r="BE126" i="1" s="1"/>
  <c r="BG126" i="1" s="1"/>
  <c r="BH126" i="1" l="1"/>
  <c r="BJ126" i="1" s="1"/>
  <c r="BL126" i="1" s="1"/>
  <c r="BI126" i="1"/>
  <c r="BK126" i="1" s="1"/>
  <c r="AT127" i="1"/>
  <c r="AV127" i="1" s="1"/>
  <c r="AS127" i="1"/>
  <c r="AU127" i="1" s="1"/>
  <c r="AW127" i="1" s="1"/>
  <c r="G129" i="1"/>
  <c r="I129" i="1" s="1"/>
  <c r="Q129" i="1"/>
  <c r="S129" i="1" s="1"/>
  <c r="CM124" i="1"/>
  <c r="CO124" i="1" s="1"/>
  <c r="CL124" i="1"/>
  <c r="CN124" i="1" s="1"/>
  <c r="CP124" i="1" s="1"/>
  <c r="DB123" i="1"/>
  <c r="DD123" i="1" s="1"/>
  <c r="DA123" i="1"/>
  <c r="DC123" i="1" s="1"/>
  <c r="BX125" i="1"/>
  <c r="BZ125" i="1" s="1"/>
  <c r="BW125" i="1"/>
  <c r="BY125" i="1" s="1"/>
  <c r="CA125" i="1" s="1"/>
  <c r="AE128" i="1"/>
  <c r="AG128" i="1" s="1"/>
  <c r="AD128" i="1"/>
  <c r="AF128" i="1" s="1"/>
  <c r="AH128" i="1" s="1"/>
  <c r="AJ128" i="1" l="1"/>
  <c r="AL128" i="1" s="1"/>
  <c r="AI128" i="1"/>
  <c r="AK128" i="1" s="1"/>
  <c r="AM128" i="1" s="1"/>
  <c r="CR124" i="1"/>
  <c r="CT124" i="1" s="1"/>
  <c r="CQ124" i="1"/>
  <c r="CS124" i="1" s="1"/>
  <c r="CU124" i="1" s="1"/>
  <c r="K129" i="1"/>
  <c r="M129" i="1" s="1"/>
  <c r="J129" i="1"/>
  <c r="L129" i="1" s="1"/>
  <c r="N129" i="1" s="1"/>
  <c r="D130" i="1"/>
  <c r="CC125" i="1"/>
  <c r="CE125" i="1" s="1"/>
  <c r="CB125" i="1"/>
  <c r="CD125" i="1" s="1"/>
  <c r="CF125" i="1" s="1"/>
  <c r="U129" i="1"/>
  <c r="W129" i="1" s="1"/>
  <c r="T129" i="1"/>
  <c r="V129" i="1" s="1"/>
  <c r="X129" i="1" s="1"/>
  <c r="AX127" i="1"/>
  <c r="AZ127" i="1" s="1"/>
  <c r="BB127" i="1" s="1"/>
  <c r="AY127" i="1"/>
  <c r="BA127" i="1" s="1"/>
  <c r="BN126" i="1"/>
  <c r="BP126" i="1" s="1"/>
  <c r="BM126" i="1"/>
  <c r="BO126" i="1" s="1"/>
  <c r="BQ126" i="1" s="1"/>
  <c r="P129" i="1" l="1"/>
  <c r="R129" i="1" s="1"/>
  <c r="O129" i="1"/>
  <c r="F130" i="1"/>
  <c r="H130" i="1" s="1"/>
  <c r="E130" i="1"/>
  <c r="BS126" i="1"/>
  <c r="BU126" i="1" s="1"/>
  <c r="BR126" i="1"/>
  <c r="BT126" i="1" s="1"/>
  <c r="BV126" i="1" s="1"/>
  <c r="CV124" i="1"/>
  <c r="CX124" i="1" s="1"/>
  <c r="CW124" i="1"/>
  <c r="CY124" i="1" s="1"/>
  <c r="AN128" i="1"/>
  <c r="AP128" i="1" s="1"/>
  <c r="AR128" i="1" s="1"/>
  <c r="AO128" i="1"/>
  <c r="AQ128" i="1" s="1"/>
  <c r="BD127" i="1"/>
  <c r="BF127" i="1" s="1"/>
  <c r="BC127" i="1"/>
  <c r="BE127" i="1" s="1"/>
  <c r="BG127" i="1" s="1"/>
  <c r="Z129" i="1"/>
  <c r="AB129" i="1" s="1"/>
  <c r="Y129" i="1"/>
  <c r="AA129" i="1" s="1"/>
  <c r="AC129" i="1" s="1"/>
  <c r="CH125" i="1"/>
  <c r="CJ125" i="1" s="1"/>
  <c r="CG125" i="1"/>
  <c r="CI125" i="1" s="1"/>
  <c r="CK125" i="1" s="1"/>
  <c r="CL125" i="1" l="1"/>
  <c r="CN125" i="1" s="1"/>
  <c r="CP125" i="1" s="1"/>
  <c r="CM125" i="1"/>
  <c r="CO125" i="1" s="1"/>
  <c r="CZ124" i="1"/>
  <c r="BX126" i="1"/>
  <c r="BZ126" i="1" s="1"/>
  <c r="BW126" i="1"/>
  <c r="BY126" i="1" s="1"/>
  <c r="CA126" i="1" s="1"/>
  <c r="BI127" i="1"/>
  <c r="BK127" i="1" s="1"/>
  <c r="BH127" i="1"/>
  <c r="BJ127" i="1" s="1"/>
  <c r="BL127" i="1" s="1"/>
  <c r="G130" i="1"/>
  <c r="I130" i="1" s="1"/>
  <c r="Q130" i="1"/>
  <c r="S130" i="1" s="1"/>
  <c r="AD129" i="1"/>
  <c r="AF129" i="1" s="1"/>
  <c r="AH129" i="1" s="1"/>
  <c r="AE129" i="1"/>
  <c r="AG129" i="1" s="1"/>
  <c r="AT128" i="1"/>
  <c r="AV128" i="1" s="1"/>
  <c r="AS128" i="1"/>
  <c r="AU128" i="1" s="1"/>
  <c r="AW128" i="1" s="1"/>
  <c r="CB126" i="1" l="1"/>
  <c r="CD126" i="1" s="1"/>
  <c r="CF126" i="1" s="1"/>
  <c r="CC126" i="1"/>
  <c r="CE126" i="1" s="1"/>
  <c r="J130" i="1"/>
  <c r="L130" i="1" s="1"/>
  <c r="N130" i="1" s="1"/>
  <c r="K130" i="1"/>
  <c r="M130" i="1" s="1"/>
  <c r="D131" i="1"/>
  <c r="AY128" i="1"/>
  <c r="BA128" i="1" s="1"/>
  <c r="AX128" i="1"/>
  <c r="AZ128" i="1" s="1"/>
  <c r="BB128" i="1" s="1"/>
  <c r="T130" i="1"/>
  <c r="V130" i="1" s="1"/>
  <c r="X130" i="1" s="1"/>
  <c r="U130" i="1"/>
  <c r="W130" i="1" s="1"/>
  <c r="DB124" i="1"/>
  <c r="DD124" i="1" s="1"/>
  <c r="DA124" i="1"/>
  <c r="DC124" i="1" s="1"/>
  <c r="BN127" i="1"/>
  <c r="BP127" i="1" s="1"/>
  <c r="BM127" i="1"/>
  <c r="BO127" i="1" s="1"/>
  <c r="BQ127" i="1" s="1"/>
  <c r="AJ129" i="1"/>
  <c r="AL129" i="1" s="1"/>
  <c r="AI129" i="1"/>
  <c r="AK129" i="1" s="1"/>
  <c r="AM129" i="1" s="1"/>
  <c r="CR125" i="1"/>
  <c r="CT125" i="1" s="1"/>
  <c r="CQ125" i="1"/>
  <c r="CS125" i="1" s="1"/>
  <c r="CU125" i="1" s="1"/>
  <c r="AO129" i="1" l="1"/>
  <c r="AQ129" i="1" s="1"/>
  <c r="AN129" i="1"/>
  <c r="AP129" i="1" s="1"/>
  <c r="AR129" i="1" s="1"/>
  <c r="CW125" i="1"/>
  <c r="CY125" i="1" s="1"/>
  <c r="CV125" i="1"/>
  <c r="CX125" i="1" s="1"/>
  <c r="CZ125" i="1" s="1"/>
  <c r="BD128" i="1"/>
  <c r="BF128" i="1" s="1"/>
  <c r="BC128" i="1"/>
  <c r="BE128" i="1" s="1"/>
  <c r="BG128" i="1" s="1"/>
  <c r="BR127" i="1"/>
  <c r="BT127" i="1" s="1"/>
  <c r="BV127" i="1" s="1"/>
  <c r="BS127" i="1"/>
  <c r="BU127" i="1" s="1"/>
  <c r="P130" i="1"/>
  <c r="R130" i="1" s="1"/>
  <c r="O130" i="1"/>
  <c r="Z130" i="1"/>
  <c r="AB130" i="1" s="1"/>
  <c r="Y130" i="1"/>
  <c r="AA130" i="1" s="1"/>
  <c r="AC130" i="1" s="1"/>
  <c r="F131" i="1"/>
  <c r="H131" i="1" s="1"/>
  <c r="E131" i="1"/>
  <c r="CH126" i="1"/>
  <c r="CJ126" i="1" s="1"/>
  <c r="CG126" i="1"/>
  <c r="CI126" i="1" s="1"/>
  <c r="CK126" i="1" s="1"/>
  <c r="CM126" i="1" l="1"/>
  <c r="CO126" i="1" s="1"/>
  <c r="CL126" i="1"/>
  <c r="CN126" i="1" s="1"/>
  <c r="CP126" i="1" s="1"/>
  <c r="BH128" i="1"/>
  <c r="BJ128" i="1" s="1"/>
  <c r="BL128" i="1" s="1"/>
  <c r="BI128" i="1"/>
  <c r="BK128" i="1" s="1"/>
  <c r="AE130" i="1"/>
  <c r="AG130" i="1" s="1"/>
  <c r="AD130" i="1"/>
  <c r="AF130" i="1" s="1"/>
  <c r="AH130" i="1" s="1"/>
  <c r="BX127" i="1"/>
  <c r="BZ127" i="1" s="1"/>
  <c r="BW127" i="1"/>
  <c r="BY127" i="1" s="1"/>
  <c r="CA127" i="1" s="1"/>
  <c r="Q131" i="1"/>
  <c r="S131" i="1" s="1"/>
  <c r="G131" i="1"/>
  <c r="I131" i="1" s="1"/>
  <c r="DB125" i="1"/>
  <c r="DD125" i="1" s="1"/>
  <c r="DA125" i="1"/>
  <c r="DC125" i="1" s="1"/>
  <c r="AT129" i="1"/>
  <c r="AV129" i="1" s="1"/>
  <c r="AS129" i="1"/>
  <c r="AU129" i="1" s="1"/>
  <c r="AW129" i="1" s="1"/>
  <c r="AJ130" i="1" l="1"/>
  <c r="AL130" i="1" s="1"/>
  <c r="AI130" i="1"/>
  <c r="AK130" i="1" s="1"/>
  <c r="AM130" i="1" s="1"/>
  <c r="CC127" i="1"/>
  <c r="CE127" i="1" s="1"/>
  <c r="CB127" i="1"/>
  <c r="CD127" i="1" s="1"/>
  <c r="CF127" i="1" s="1"/>
  <c r="BN128" i="1"/>
  <c r="BP128" i="1" s="1"/>
  <c r="BM128" i="1"/>
  <c r="BO128" i="1" s="1"/>
  <c r="BQ128" i="1" s="1"/>
  <c r="CR126" i="1"/>
  <c r="CT126" i="1" s="1"/>
  <c r="CQ126" i="1"/>
  <c r="CS126" i="1" s="1"/>
  <c r="CU126" i="1" s="1"/>
  <c r="AX129" i="1"/>
  <c r="AZ129" i="1" s="1"/>
  <c r="BB129" i="1" s="1"/>
  <c r="AY129" i="1"/>
  <c r="BA129" i="1" s="1"/>
  <c r="J131" i="1"/>
  <c r="L131" i="1" s="1"/>
  <c r="N131" i="1" s="1"/>
  <c r="K131" i="1"/>
  <c r="M131" i="1" s="1"/>
  <c r="D132" i="1"/>
  <c r="U131" i="1"/>
  <c r="W131" i="1" s="1"/>
  <c r="T131" i="1"/>
  <c r="V131" i="1" s="1"/>
  <c r="X131" i="1" s="1"/>
  <c r="CW126" i="1" l="1"/>
  <c r="CY126" i="1" s="1"/>
  <c r="CV126" i="1"/>
  <c r="CX126" i="1" s="1"/>
  <c r="CZ126" i="1" s="1"/>
  <c r="P131" i="1"/>
  <c r="R131" i="1" s="1"/>
  <c r="O131" i="1"/>
  <c r="Z131" i="1"/>
  <c r="AB131" i="1" s="1"/>
  <c r="Y131" i="1"/>
  <c r="AA131" i="1" s="1"/>
  <c r="AC131" i="1" s="1"/>
  <c r="AN130" i="1"/>
  <c r="AP130" i="1" s="1"/>
  <c r="AR130" i="1" s="1"/>
  <c r="AO130" i="1"/>
  <c r="AQ130" i="1" s="1"/>
  <c r="F132" i="1"/>
  <c r="H132" i="1" s="1"/>
  <c r="E132" i="1"/>
  <c r="CH127" i="1"/>
  <c r="CJ127" i="1" s="1"/>
  <c r="CG127" i="1"/>
  <c r="CI127" i="1" s="1"/>
  <c r="CK127" i="1" s="1"/>
  <c r="BS128" i="1"/>
  <c r="BU128" i="1" s="1"/>
  <c r="BR128" i="1"/>
  <c r="BT128" i="1" s="1"/>
  <c r="BV128" i="1" s="1"/>
  <c r="BD129" i="1"/>
  <c r="BF129" i="1" s="1"/>
  <c r="BC129" i="1"/>
  <c r="BE129" i="1" s="1"/>
  <c r="BG129" i="1" s="1"/>
  <c r="BI129" i="1" l="1"/>
  <c r="BK129" i="1" s="1"/>
  <c r="BH129" i="1"/>
  <c r="BJ129" i="1" s="1"/>
  <c r="BL129" i="1" s="1"/>
  <c r="AD131" i="1"/>
  <c r="AF131" i="1" s="1"/>
  <c r="AH131" i="1" s="1"/>
  <c r="AE131" i="1"/>
  <c r="AG131" i="1" s="1"/>
  <c r="CM127" i="1"/>
  <c r="CO127" i="1" s="1"/>
  <c r="CL127" i="1"/>
  <c r="CN127" i="1" s="1"/>
  <c r="CP127" i="1" s="1"/>
  <c r="BX128" i="1"/>
  <c r="BZ128" i="1" s="1"/>
  <c r="BW128" i="1"/>
  <c r="BY128" i="1" s="1"/>
  <c r="CA128" i="1" s="1"/>
  <c r="AT130" i="1"/>
  <c r="AV130" i="1" s="1"/>
  <c r="AS130" i="1"/>
  <c r="AU130" i="1" s="1"/>
  <c r="AW130" i="1" s="1"/>
  <c r="G132" i="1"/>
  <c r="I132" i="1" s="1"/>
  <c r="Q132" i="1"/>
  <c r="S132" i="1" s="1"/>
  <c r="DB126" i="1"/>
  <c r="DD126" i="1" s="1"/>
  <c r="DA126" i="1"/>
  <c r="DC126" i="1" s="1"/>
  <c r="CC128" i="1" l="1"/>
  <c r="CE128" i="1" s="1"/>
  <c r="CB128" i="1"/>
  <c r="CD128" i="1" s="1"/>
  <c r="CF128" i="1" s="1"/>
  <c r="AI131" i="1"/>
  <c r="AK131" i="1" s="1"/>
  <c r="AM131" i="1" s="1"/>
  <c r="AJ131" i="1"/>
  <c r="AL131" i="1" s="1"/>
  <c r="BN129" i="1"/>
  <c r="BP129" i="1" s="1"/>
  <c r="BM129" i="1"/>
  <c r="BO129" i="1" s="1"/>
  <c r="BQ129" i="1" s="1"/>
  <c r="CQ127" i="1"/>
  <c r="CS127" i="1" s="1"/>
  <c r="CU127" i="1" s="1"/>
  <c r="CR127" i="1"/>
  <c r="CT127" i="1" s="1"/>
  <c r="U132" i="1"/>
  <c r="W132" i="1" s="1"/>
  <c r="T132" i="1"/>
  <c r="V132" i="1" s="1"/>
  <c r="X132" i="1" s="1"/>
  <c r="K132" i="1"/>
  <c r="M132" i="1" s="1"/>
  <c r="J132" i="1"/>
  <c r="L132" i="1" s="1"/>
  <c r="N132" i="1" s="1"/>
  <c r="D133" i="1"/>
  <c r="AY130" i="1"/>
  <c r="BA130" i="1" s="1"/>
  <c r="AX130" i="1"/>
  <c r="AZ130" i="1" s="1"/>
  <c r="BB130" i="1" s="1"/>
  <c r="BD130" i="1" l="1"/>
  <c r="BF130" i="1" s="1"/>
  <c r="BC130" i="1"/>
  <c r="BE130" i="1" s="1"/>
  <c r="BG130" i="1" s="1"/>
  <c r="F133" i="1"/>
  <c r="H133" i="1" s="1"/>
  <c r="E133" i="1"/>
  <c r="P132" i="1"/>
  <c r="R132" i="1" s="1"/>
  <c r="O132" i="1"/>
  <c r="CH128" i="1"/>
  <c r="CJ128" i="1" s="1"/>
  <c r="CG128" i="1"/>
  <c r="CI128" i="1" s="1"/>
  <c r="CK128" i="1" s="1"/>
  <c r="CW127" i="1"/>
  <c r="CY127" i="1" s="1"/>
  <c r="CV127" i="1"/>
  <c r="CX127" i="1" s="1"/>
  <c r="CZ127" i="1" s="1"/>
  <c r="AO131" i="1"/>
  <c r="AQ131" i="1" s="1"/>
  <c r="AN131" i="1"/>
  <c r="AP131" i="1" s="1"/>
  <c r="AR131" i="1" s="1"/>
  <c r="BS129" i="1"/>
  <c r="BU129" i="1" s="1"/>
  <c r="BR129" i="1"/>
  <c r="BT129" i="1" s="1"/>
  <c r="BV129" i="1" s="1"/>
  <c r="Y132" i="1"/>
  <c r="AA132" i="1" s="1"/>
  <c r="AC132" i="1" s="1"/>
  <c r="Z132" i="1"/>
  <c r="AB132" i="1" s="1"/>
  <c r="G133" i="1" l="1"/>
  <c r="I133" i="1" s="1"/>
  <c r="Q133" i="1"/>
  <c r="S133" i="1" s="1"/>
  <c r="AE132" i="1"/>
  <c r="AG132" i="1" s="1"/>
  <c r="AD132" i="1"/>
  <c r="AF132" i="1" s="1"/>
  <c r="AH132" i="1" s="1"/>
  <c r="BX129" i="1"/>
  <c r="BZ129" i="1" s="1"/>
  <c r="BW129" i="1"/>
  <c r="BY129" i="1" s="1"/>
  <c r="CA129" i="1" s="1"/>
  <c r="AT131" i="1"/>
  <c r="AV131" i="1" s="1"/>
  <c r="AS131" i="1"/>
  <c r="AU131" i="1" s="1"/>
  <c r="AW131" i="1" s="1"/>
  <c r="BI130" i="1"/>
  <c r="BK130" i="1" s="1"/>
  <c r="BH130" i="1"/>
  <c r="BJ130" i="1" s="1"/>
  <c r="BL130" i="1" s="1"/>
  <c r="CM128" i="1"/>
  <c r="CO128" i="1" s="1"/>
  <c r="CL128" i="1"/>
  <c r="CN128" i="1" s="1"/>
  <c r="CP128" i="1" s="1"/>
  <c r="DB127" i="1"/>
  <c r="DD127" i="1" s="1"/>
  <c r="DA127" i="1"/>
  <c r="DC127" i="1" s="1"/>
  <c r="CB129" i="1" l="1"/>
  <c r="CD129" i="1" s="1"/>
  <c r="CF129" i="1" s="1"/>
  <c r="CC129" i="1"/>
  <c r="CE129" i="1" s="1"/>
  <c r="AY131" i="1"/>
  <c r="BA131" i="1" s="1"/>
  <c r="AX131" i="1"/>
  <c r="AZ131" i="1" s="1"/>
  <c r="BB131" i="1" s="1"/>
  <c r="AJ132" i="1"/>
  <c r="AL132" i="1" s="1"/>
  <c r="AI132" i="1"/>
  <c r="AK132" i="1" s="1"/>
  <c r="AM132" i="1" s="1"/>
  <c r="CR128" i="1"/>
  <c r="CT128" i="1" s="1"/>
  <c r="CQ128" i="1"/>
  <c r="CS128" i="1" s="1"/>
  <c r="CU128" i="1" s="1"/>
  <c r="BM130" i="1"/>
  <c r="BO130" i="1" s="1"/>
  <c r="BQ130" i="1" s="1"/>
  <c r="BN130" i="1"/>
  <c r="BP130" i="1" s="1"/>
  <c r="U133" i="1"/>
  <c r="W133" i="1" s="1"/>
  <c r="T133" i="1"/>
  <c r="V133" i="1" s="1"/>
  <c r="X133" i="1" s="1"/>
  <c r="K133" i="1"/>
  <c r="M133" i="1" s="1"/>
  <c r="J133" i="1"/>
  <c r="L133" i="1" s="1"/>
  <c r="N133" i="1" s="1"/>
  <c r="D134" i="1"/>
  <c r="CV128" i="1" l="1"/>
  <c r="CX128" i="1" s="1"/>
  <c r="CW128" i="1"/>
  <c r="CY128" i="1" s="1"/>
  <c r="E134" i="1"/>
  <c r="F134" i="1"/>
  <c r="H134" i="1" s="1"/>
  <c r="AO132" i="1"/>
  <c r="AQ132" i="1" s="1"/>
  <c r="AN132" i="1"/>
  <c r="AP132" i="1" s="1"/>
  <c r="AR132" i="1" s="1"/>
  <c r="Z133" i="1"/>
  <c r="AB133" i="1" s="1"/>
  <c r="Y133" i="1"/>
  <c r="AA133" i="1" s="1"/>
  <c r="AC133" i="1" s="1"/>
  <c r="O133" i="1"/>
  <c r="P133" i="1"/>
  <c r="R133" i="1" s="1"/>
  <c r="BD131" i="1"/>
  <c r="BF131" i="1" s="1"/>
  <c r="BC131" i="1"/>
  <c r="BE131" i="1" s="1"/>
  <c r="BG131" i="1" s="1"/>
  <c r="BS130" i="1"/>
  <c r="BU130" i="1" s="1"/>
  <c r="BR130" i="1"/>
  <c r="BT130" i="1" s="1"/>
  <c r="BV130" i="1" s="1"/>
  <c r="CH129" i="1"/>
  <c r="CJ129" i="1" s="1"/>
  <c r="CG129" i="1"/>
  <c r="CI129" i="1" s="1"/>
  <c r="CK129" i="1" s="1"/>
  <c r="AE133" i="1" l="1"/>
  <c r="AG133" i="1" s="1"/>
  <c r="AD133" i="1"/>
  <c r="AF133" i="1" s="1"/>
  <c r="AH133" i="1" s="1"/>
  <c r="CL129" i="1"/>
  <c r="CN129" i="1" s="1"/>
  <c r="CP129" i="1" s="1"/>
  <c r="CM129" i="1"/>
  <c r="CO129" i="1" s="1"/>
  <c r="AT132" i="1"/>
  <c r="AV132" i="1" s="1"/>
  <c r="AS132" i="1"/>
  <c r="AU132" i="1" s="1"/>
  <c r="AW132" i="1" s="1"/>
  <c r="G134" i="1"/>
  <c r="I134" i="1" s="1"/>
  <c r="Q134" i="1"/>
  <c r="S134" i="1" s="1"/>
  <c r="BX130" i="1"/>
  <c r="BZ130" i="1" s="1"/>
  <c r="BW130" i="1"/>
  <c r="BY130" i="1" s="1"/>
  <c r="CA130" i="1" s="1"/>
  <c r="BI131" i="1"/>
  <c r="BK131" i="1" s="1"/>
  <c r="BH131" i="1"/>
  <c r="BJ131" i="1" s="1"/>
  <c r="BL131" i="1" s="1"/>
  <c r="CZ128" i="1"/>
  <c r="DB128" i="1" l="1"/>
  <c r="DD128" i="1" s="1"/>
  <c r="DA128" i="1"/>
  <c r="DC128" i="1" s="1"/>
  <c r="U134" i="1"/>
  <c r="W134" i="1" s="1"/>
  <c r="T134" i="1"/>
  <c r="V134" i="1" s="1"/>
  <c r="X134" i="1" s="1"/>
  <c r="CR129" i="1"/>
  <c r="CT129" i="1" s="1"/>
  <c r="CQ129" i="1"/>
  <c r="CS129" i="1" s="1"/>
  <c r="CU129" i="1" s="1"/>
  <c r="AY132" i="1"/>
  <c r="BA132" i="1" s="1"/>
  <c r="AX132" i="1"/>
  <c r="AZ132" i="1" s="1"/>
  <c r="BB132" i="1" s="1"/>
  <c r="AJ133" i="1"/>
  <c r="AL133" i="1" s="1"/>
  <c r="AI133" i="1"/>
  <c r="AK133" i="1" s="1"/>
  <c r="AM133" i="1" s="1"/>
  <c r="K134" i="1"/>
  <c r="M134" i="1" s="1"/>
  <c r="J134" i="1"/>
  <c r="L134" i="1" s="1"/>
  <c r="N134" i="1" s="1"/>
  <c r="D135" i="1"/>
  <c r="BN131" i="1"/>
  <c r="BP131" i="1" s="1"/>
  <c r="BM131" i="1"/>
  <c r="BO131" i="1" s="1"/>
  <c r="BQ131" i="1" s="1"/>
  <c r="CB130" i="1"/>
  <c r="CD130" i="1" s="1"/>
  <c r="CF130" i="1" s="1"/>
  <c r="CC130" i="1"/>
  <c r="CE130" i="1" s="1"/>
  <c r="BR131" i="1" l="1"/>
  <c r="BT131" i="1" s="1"/>
  <c r="BV131" i="1" s="1"/>
  <c r="BS131" i="1"/>
  <c r="BU131" i="1" s="1"/>
  <c r="BD132" i="1"/>
  <c r="BF132" i="1" s="1"/>
  <c r="BC132" i="1"/>
  <c r="BE132" i="1" s="1"/>
  <c r="BG132" i="1" s="1"/>
  <c r="CW129" i="1"/>
  <c r="CY129" i="1" s="1"/>
  <c r="CV129" i="1"/>
  <c r="CX129" i="1" s="1"/>
  <c r="CZ129" i="1" s="1"/>
  <c r="P134" i="1"/>
  <c r="R134" i="1" s="1"/>
  <c r="O134" i="1"/>
  <c r="AO133" i="1"/>
  <c r="AQ133" i="1" s="1"/>
  <c r="AN133" i="1"/>
  <c r="AP133" i="1" s="1"/>
  <c r="AR133" i="1" s="1"/>
  <c r="CH130" i="1"/>
  <c r="CJ130" i="1" s="1"/>
  <c r="CG130" i="1"/>
  <c r="CI130" i="1" s="1"/>
  <c r="CK130" i="1" s="1"/>
  <c r="F135" i="1"/>
  <c r="H135" i="1" s="1"/>
  <c r="E135" i="1"/>
  <c r="Z134" i="1"/>
  <c r="AB134" i="1" s="1"/>
  <c r="Y134" i="1"/>
  <c r="AA134" i="1" s="1"/>
  <c r="AC134" i="1" s="1"/>
  <c r="DB129" i="1" l="1"/>
  <c r="DD129" i="1" s="1"/>
  <c r="DA129" i="1"/>
  <c r="DC129" i="1" s="1"/>
  <c r="BH132" i="1"/>
  <c r="BJ132" i="1" s="1"/>
  <c r="BL132" i="1" s="1"/>
  <c r="BI132" i="1"/>
  <c r="BK132" i="1" s="1"/>
  <c r="CM130" i="1"/>
  <c r="CO130" i="1" s="1"/>
  <c r="CL130" i="1"/>
  <c r="CN130" i="1" s="1"/>
  <c r="CP130" i="1" s="1"/>
  <c r="AE134" i="1"/>
  <c r="AG134" i="1" s="1"/>
  <c r="AD134" i="1"/>
  <c r="AF134" i="1" s="1"/>
  <c r="AH134" i="1" s="1"/>
  <c r="Q135" i="1"/>
  <c r="S135" i="1" s="1"/>
  <c r="G135" i="1"/>
  <c r="I135" i="1" s="1"/>
  <c r="AT133" i="1"/>
  <c r="AV133" i="1" s="1"/>
  <c r="AS133" i="1"/>
  <c r="AU133" i="1" s="1"/>
  <c r="AW133" i="1" s="1"/>
  <c r="BX131" i="1"/>
  <c r="BZ131" i="1" s="1"/>
  <c r="BW131" i="1"/>
  <c r="BY131" i="1" s="1"/>
  <c r="CA131" i="1" s="1"/>
  <c r="CR130" i="1" l="1"/>
  <c r="CT130" i="1" s="1"/>
  <c r="CQ130" i="1"/>
  <c r="CS130" i="1" s="1"/>
  <c r="CU130" i="1" s="1"/>
  <c r="AX133" i="1"/>
  <c r="AZ133" i="1" s="1"/>
  <c r="BB133" i="1" s="1"/>
  <c r="AY133" i="1"/>
  <c r="BA133" i="1" s="1"/>
  <c r="AJ134" i="1"/>
  <c r="AL134" i="1" s="1"/>
  <c r="AI134" i="1"/>
  <c r="AK134" i="1" s="1"/>
  <c r="AM134" i="1" s="1"/>
  <c r="CC131" i="1"/>
  <c r="CE131" i="1" s="1"/>
  <c r="CB131" i="1"/>
  <c r="CD131" i="1" s="1"/>
  <c r="CF131" i="1" s="1"/>
  <c r="BN132" i="1"/>
  <c r="BP132" i="1" s="1"/>
  <c r="BM132" i="1"/>
  <c r="BO132" i="1" s="1"/>
  <c r="BQ132" i="1" s="1"/>
  <c r="K135" i="1"/>
  <c r="M135" i="1" s="1"/>
  <c r="J135" i="1"/>
  <c r="L135" i="1" s="1"/>
  <c r="N135" i="1" s="1"/>
  <c r="D136" i="1"/>
  <c r="U135" i="1"/>
  <c r="W135" i="1" s="1"/>
  <c r="T135" i="1"/>
  <c r="V135" i="1" s="1"/>
  <c r="X135" i="1" s="1"/>
  <c r="F136" i="1" l="1"/>
  <c r="H136" i="1" s="1"/>
  <c r="E136" i="1"/>
  <c r="Z135" i="1"/>
  <c r="AB135" i="1" s="1"/>
  <c r="Y135" i="1"/>
  <c r="AA135" i="1" s="1"/>
  <c r="AC135" i="1" s="1"/>
  <c r="P135" i="1"/>
  <c r="R135" i="1" s="1"/>
  <c r="O135" i="1"/>
  <c r="BD133" i="1"/>
  <c r="BF133" i="1" s="1"/>
  <c r="BC133" i="1"/>
  <c r="BE133" i="1" s="1"/>
  <c r="BG133" i="1" s="1"/>
  <c r="CH131" i="1"/>
  <c r="CJ131" i="1" s="1"/>
  <c r="CG131" i="1"/>
  <c r="CI131" i="1" s="1"/>
  <c r="CK131" i="1" s="1"/>
  <c r="AN134" i="1"/>
  <c r="AP134" i="1" s="1"/>
  <c r="AR134" i="1" s="1"/>
  <c r="AO134" i="1"/>
  <c r="AQ134" i="1" s="1"/>
  <c r="CV130" i="1"/>
  <c r="CX130" i="1" s="1"/>
  <c r="CZ130" i="1" s="1"/>
  <c r="CW130" i="1"/>
  <c r="CY130" i="1" s="1"/>
  <c r="BS132" i="1"/>
  <c r="BU132" i="1" s="1"/>
  <c r="BR132" i="1"/>
  <c r="BT132" i="1" s="1"/>
  <c r="BV132" i="1" s="1"/>
  <c r="DB130" i="1" l="1"/>
  <c r="DD130" i="1" s="1"/>
  <c r="DA130" i="1"/>
  <c r="DC130" i="1" s="1"/>
  <c r="BI133" i="1"/>
  <c r="BK133" i="1" s="1"/>
  <c r="BH133" i="1"/>
  <c r="BJ133" i="1" s="1"/>
  <c r="BL133" i="1" s="1"/>
  <c r="AT134" i="1"/>
  <c r="AV134" i="1" s="1"/>
  <c r="AS134" i="1"/>
  <c r="AU134" i="1" s="1"/>
  <c r="AW134" i="1" s="1"/>
  <c r="BX132" i="1"/>
  <c r="BZ132" i="1" s="1"/>
  <c r="BW132" i="1"/>
  <c r="BY132" i="1" s="1"/>
  <c r="CA132" i="1" s="1"/>
  <c r="AD135" i="1"/>
  <c r="AF135" i="1" s="1"/>
  <c r="AH135" i="1" s="1"/>
  <c r="AE135" i="1"/>
  <c r="AG135" i="1" s="1"/>
  <c r="CM131" i="1"/>
  <c r="CO131" i="1" s="1"/>
  <c r="CL131" i="1"/>
  <c r="CN131" i="1" s="1"/>
  <c r="CP131" i="1" s="1"/>
  <c r="G136" i="1"/>
  <c r="I136" i="1" s="1"/>
  <c r="Q136" i="1"/>
  <c r="S136" i="1" s="1"/>
  <c r="AY134" i="1" l="1"/>
  <c r="BA134" i="1" s="1"/>
  <c r="AX134" i="1"/>
  <c r="AZ134" i="1" s="1"/>
  <c r="BB134" i="1" s="1"/>
  <c r="T136" i="1"/>
  <c r="V136" i="1" s="1"/>
  <c r="X136" i="1" s="1"/>
  <c r="U136" i="1"/>
  <c r="W136" i="1" s="1"/>
  <c r="CC132" i="1"/>
  <c r="CE132" i="1" s="1"/>
  <c r="CB132" i="1"/>
  <c r="CD132" i="1" s="1"/>
  <c r="CF132" i="1" s="1"/>
  <c r="K136" i="1"/>
  <c r="M136" i="1" s="1"/>
  <c r="J136" i="1"/>
  <c r="L136" i="1" s="1"/>
  <c r="N136" i="1" s="1"/>
  <c r="D137" i="1"/>
  <c r="CQ131" i="1"/>
  <c r="CS131" i="1" s="1"/>
  <c r="CU131" i="1" s="1"/>
  <c r="CR131" i="1"/>
  <c r="CT131" i="1" s="1"/>
  <c r="BN133" i="1"/>
  <c r="BP133" i="1" s="1"/>
  <c r="BM133" i="1"/>
  <c r="BO133" i="1" s="1"/>
  <c r="BQ133" i="1" s="1"/>
  <c r="AJ135" i="1"/>
  <c r="AL135" i="1" s="1"/>
  <c r="AI135" i="1"/>
  <c r="AK135" i="1" s="1"/>
  <c r="AM135" i="1" s="1"/>
  <c r="CG132" i="1" l="1"/>
  <c r="CI132" i="1" s="1"/>
  <c r="CK132" i="1" s="1"/>
  <c r="CH132" i="1"/>
  <c r="CJ132" i="1" s="1"/>
  <c r="P136" i="1"/>
  <c r="R136" i="1" s="1"/>
  <c r="O136" i="1"/>
  <c r="BS133" i="1"/>
  <c r="BU133" i="1" s="1"/>
  <c r="BR133" i="1"/>
  <c r="BT133" i="1" s="1"/>
  <c r="BV133" i="1" s="1"/>
  <c r="BD134" i="1"/>
  <c r="BF134" i="1" s="1"/>
  <c r="BC134" i="1"/>
  <c r="BE134" i="1" s="1"/>
  <c r="BG134" i="1" s="1"/>
  <c r="AO135" i="1"/>
  <c r="AQ135" i="1" s="1"/>
  <c r="AN135" i="1"/>
  <c r="AP135" i="1" s="1"/>
  <c r="AR135" i="1" s="1"/>
  <c r="Z136" i="1"/>
  <c r="AB136" i="1" s="1"/>
  <c r="Y136" i="1"/>
  <c r="AA136" i="1" s="1"/>
  <c r="AC136" i="1" s="1"/>
  <c r="CW131" i="1"/>
  <c r="CY131" i="1" s="1"/>
  <c r="CV131" i="1"/>
  <c r="CX131" i="1" s="1"/>
  <c r="CZ131" i="1" s="1"/>
  <c r="F137" i="1"/>
  <c r="H137" i="1" s="1"/>
  <c r="E137" i="1"/>
  <c r="BI134" i="1" l="1"/>
  <c r="BK134" i="1" s="1"/>
  <c r="BH134" i="1"/>
  <c r="BJ134" i="1" s="1"/>
  <c r="BL134" i="1" s="1"/>
  <c r="G137" i="1"/>
  <c r="I137" i="1" s="1"/>
  <c r="Q137" i="1"/>
  <c r="S137" i="1" s="1"/>
  <c r="DB131" i="1"/>
  <c r="DD131" i="1" s="1"/>
  <c r="DA131" i="1"/>
  <c r="DC131" i="1" s="1"/>
  <c r="BW133" i="1"/>
  <c r="BY133" i="1" s="1"/>
  <c r="CA133" i="1" s="1"/>
  <c r="BX133" i="1"/>
  <c r="BZ133" i="1" s="1"/>
  <c r="AE136" i="1"/>
  <c r="AG136" i="1" s="1"/>
  <c r="AD136" i="1"/>
  <c r="AF136" i="1" s="1"/>
  <c r="AH136" i="1" s="1"/>
  <c r="AT135" i="1"/>
  <c r="AV135" i="1" s="1"/>
  <c r="AS135" i="1"/>
  <c r="AU135" i="1" s="1"/>
  <c r="AW135" i="1" s="1"/>
  <c r="CM132" i="1"/>
  <c r="CO132" i="1" s="1"/>
  <c r="CL132" i="1"/>
  <c r="CN132" i="1" s="1"/>
  <c r="CP132" i="1" s="1"/>
  <c r="CC133" i="1" l="1"/>
  <c r="CE133" i="1" s="1"/>
  <c r="CB133" i="1"/>
  <c r="CD133" i="1" s="1"/>
  <c r="CF133" i="1" s="1"/>
  <c r="AY135" i="1"/>
  <c r="BA135" i="1" s="1"/>
  <c r="AX135" i="1"/>
  <c r="AZ135" i="1" s="1"/>
  <c r="BB135" i="1" s="1"/>
  <c r="CR132" i="1"/>
  <c r="CT132" i="1" s="1"/>
  <c r="CQ132" i="1"/>
  <c r="CS132" i="1" s="1"/>
  <c r="CU132" i="1" s="1"/>
  <c r="U137" i="1"/>
  <c r="W137" i="1" s="1"/>
  <c r="T137" i="1"/>
  <c r="V137" i="1" s="1"/>
  <c r="X137" i="1" s="1"/>
  <c r="J137" i="1"/>
  <c r="L137" i="1" s="1"/>
  <c r="N137" i="1" s="1"/>
  <c r="K137" i="1"/>
  <c r="M137" i="1" s="1"/>
  <c r="D138" i="1"/>
  <c r="BM134" i="1"/>
  <c r="BO134" i="1" s="1"/>
  <c r="BQ134" i="1" s="1"/>
  <c r="BN134" i="1"/>
  <c r="BP134" i="1" s="1"/>
  <c r="AJ136" i="1"/>
  <c r="AL136" i="1" s="1"/>
  <c r="AI136" i="1"/>
  <c r="AK136" i="1" s="1"/>
  <c r="AM136" i="1" s="1"/>
  <c r="Z137" i="1" l="1"/>
  <c r="AB137" i="1" s="1"/>
  <c r="Y137" i="1"/>
  <c r="AA137" i="1" s="1"/>
  <c r="AC137" i="1" s="1"/>
  <c r="AO136" i="1"/>
  <c r="AQ136" i="1" s="1"/>
  <c r="AN136" i="1"/>
  <c r="AP136" i="1" s="1"/>
  <c r="AR136" i="1" s="1"/>
  <c r="BC135" i="1"/>
  <c r="BE135" i="1" s="1"/>
  <c r="BG135" i="1" s="1"/>
  <c r="BD135" i="1"/>
  <c r="BF135" i="1" s="1"/>
  <c r="CW132" i="1"/>
  <c r="CY132" i="1" s="1"/>
  <c r="CV132" i="1"/>
  <c r="CX132" i="1" s="1"/>
  <c r="CZ132" i="1" s="1"/>
  <c r="CH133" i="1"/>
  <c r="CJ133" i="1" s="1"/>
  <c r="CG133" i="1"/>
  <c r="CI133" i="1" s="1"/>
  <c r="CK133" i="1" s="1"/>
  <c r="BS134" i="1"/>
  <c r="BU134" i="1" s="1"/>
  <c r="BR134" i="1"/>
  <c r="BT134" i="1" s="1"/>
  <c r="BV134" i="1" s="1"/>
  <c r="F138" i="1"/>
  <c r="H138" i="1" s="1"/>
  <c r="E138" i="1"/>
  <c r="P137" i="1"/>
  <c r="R137" i="1" s="1"/>
  <c r="O137" i="1"/>
  <c r="BX134" i="1" l="1"/>
  <c r="BZ134" i="1" s="1"/>
  <c r="BW134" i="1"/>
  <c r="BY134" i="1" s="1"/>
  <c r="CA134" i="1" s="1"/>
  <c r="G138" i="1"/>
  <c r="I138" i="1" s="1"/>
  <c r="Q138" i="1"/>
  <c r="S138" i="1" s="1"/>
  <c r="CM133" i="1"/>
  <c r="CO133" i="1" s="1"/>
  <c r="CL133" i="1"/>
  <c r="CN133" i="1" s="1"/>
  <c r="CP133" i="1" s="1"/>
  <c r="DB132" i="1"/>
  <c r="DD132" i="1" s="1"/>
  <c r="DA132" i="1"/>
  <c r="DC132" i="1" s="1"/>
  <c r="BI135" i="1"/>
  <c r="BK135" i="1" s="1"/>
  <c r="BH135" i="1"/>
  <c r="BJ135" i="1" s="1"/>
  <c r="BL135" i="1" s="1"/>
  <c r="AS136" i="1"/>
  <c r="AU136" i="1" s="1"/>
  <c r="AW136" i="1" s="1"/>
  <c r="AT136" i="1"/>
  <c r="AV136" i="1" s="1"/>
  <c r="AE137" i="1"/>
  <c r="AG137" i="1" s="1"/>
  <c r="AD137" i="1"/>
  <c r="AF137" i="1" s="1"/>
  <c r="AH137" i="1" s="1"/>
  <c r="AI137" i="1" l="1"/>
  <c r="AK137" i="1" s="1"/>
  <c r="AM137" i="1" s="1"/>
  <c r="AJ137" i="1"/>
  <c r="AL137" i="1" s="1"/>
  <c r="U138" i="1"/>
  <c r="W138" i="1" s="1"/>
  <c r="T138" i="1"/>
  <c r="V138" i="1" s="1"/>
  <c r="X138" i="1" s="1"/>
  <c r="CC134" i="1"/>
  <c r="CE134" i="1" s="1"/>
  <c r="CB134" i="1"/>
  <c r="CD134" i="1" s="1"/>
  <c r="CF134" i="1" s="1"/>
  <c r="CR133" i="1"/>
  <c r="CT133" i="1" s="1"/>
  <c r="CQ133" i="1"/>
  <c r="CS133" i="1" s="1"/>
  <c r="CU133" i="1" s="1"/>
  <c r="AY136" i="1"/>
  <c r="BA136" i="1" s="1"/>
  <c r="AX136" i="1"/>
  <c r="AZ136" i="1" s="1"/>
  <c r="BB136" i="1" s="1"/>
  <c r="K138" i="1"/>
  <c r="M138" i="1" s="1"/>
  <c r="J138" i="1"/>
  <c r="L138" i="1" s="1"/>
  <c r="N138" i="1" s="1"/>
  <c r="D139" i="1"/>
  <c r="BN135" i="1"/>
  <c r="BP135" i="1" s="1"/>
  <c r="BM135" i="1"/>
  <c r="BO135" i="1" s="1"/>
  <c r="BQ135" i="1" s="1"/>
  <c r="CH134" i="1" l="1"/>
  <c r="CJ134" i="1" s="1"/>
  <c r="CG134" i="1"/>
  <c r="CI134" i="1" s="1"/>
  <c r="CK134" i="1" s="1"/>
  <c r="BS135" i="1"/>
  <c r="BU135" i="1" s="1"/>
  <c r="BR135" i="1"/>
  <c r="BT135" i="1" s="1"/>
  <c r="BV135" i="1" s="1"/>
  <c r="P138" i="1"/>
  <c r="R138" i="1" s="1"/>
  <c r="O138" i="1"/>
  <c r="F139" i="1"/>
  <c r="H139" i="1" s="1"/>
  <c r="E139" i="1"/>
  <c r="Y138" i="1"/>
  <c r="AA138" i="1" s="1"/>
  <c r="AC138" i="1" s="1"/>
  <c r="Z138" i="1"/>
  <c r="AB138" i="1" s="1"/>
  <c r="AO137" i="1"/>
  <c r="AQ137" i="1" s="1"/>
  <c r="AN137" i="1"/>
  <c r="AP137" i="1" s="1"/>
  <c r="AR137" i="1" s="1"/>
  <c r="CW133" i="1"/>
  <c r="CY133" i="1" s="1"/>
  <c r="CV133" i="1"/>
  <c r="CX133" i="1" s="1"/>
  <c r="BD136" i="1"/>
  <c r="BF136" i="1" s="1"/>
  <c r="BC136" i="1"/>
  <c r="BE136" i="1" s="1"/>
  <c r="BG136" i="1" s="1"/>
  <c r="G139" i="1" l="1"/>
  <c r="I139" i="1" s="1"/>
  <c r="Q139" i="1"/>
  <c r="S139" i="1" s="1"/>
  <c r="BI136" i="1"/>
  <c r="BK136" i="1" s="1"/>
  <c r="BH136" i="1"/>
  <c r="BJ136" i="1" s="1"/>
  <c r="BL136" i="1" s="1"/>
  <c r="CZ133" i="1"/>
  <c r="BX135" i="1"/>
  <c r="BZ135" i="1" s="1"/>
  <c r="BW135" i="1"/>
  <c r="BY135" i="1" s="1"/>
  <c r="CA135" i="1" s="1"/>
  <c r="CM134" i="1"/>
  <c r="CO134" i="1" s="1"/>
  <c r="CL134" i="1"/>
  <c r="CN134" i="1" s="1"/>
  <c r="CP134" i="1" s="1"/>
  <c r="AT137" i="1"/>
  <c r="AV137" i="1" s="1"/>
  <c r="AS137" i="1"/>
  <c r="AU137" i="1" s="1"/>
  <c r="AW137" i="1" s="1"/>
  <c r="AE138" i="1"/>
  <c r="AG138" i="1" s="1"/>
  <c r="AD138" i="1"/>
  <c r="AF138" i="1" s="1"/>
  <c r="AH138" i="1" s="1"/>
  <c r="CC135" i="1" l="1"/>
  <c r="CE135" i="1" s="1"/>
  <c r="CB135" i="1"/>
  <c r="CD135" i="1" s="1"/>
  <c r="CF135" i="1" s="1"/>
  <c r="CR134" i="1"/>
  <c r="CT134" i="1" s="1"/>
  <c r="CQ134" i="1"/>
  <c r="CS134" i="1" s="1"/>
  <c r="CU134" i="1" s="1"/>
  <c r="AJ138" i="1"/>
  <c r="AL138" i="1" s="1"/>
  <c r="AI138" i="1"/>
  <c r="AK138" i="1" s="1"/>
  <c r="AM138" i="1" s="1"/>
  <c r="BN136" i="1"/>
  <c r="BP136" i="1" s="1"/>
  <c r="BM136" i="1"/>
  <c r="BO136" i="1" s="1"/>
  <c r="BQ136" i="1" s="1"/>
  <c r="U139" i="1"/>
  <c r="W139" i="1" s="1"/>
  <c r="T139" i="1"/>
  <c r="V139" i="1" s="1"/>
  <c r="X139" i="1" s="1"/>
  <c r="DB133" i="1"/>
  <c r="DD133" i="1" s="1"/>
  <c r="DA133" i="1"/>
  <c r="DC133" i="1" s="1"/>
  <c r="AY137" i="1"/>
  <c r="BA137" i="1" s="1"/>
  <c r="AX137" i="1"/>
  <c r="AZ137" i="1" s="1"/>
  <c r="BB137" i="1" s="1"/>
  <c r="K139" i="1"/>
  <c r="M139" i="1" s="1"/>
  <c r="J139" i="1"/>
  <c r="L139" i="1" s="1"/>
  <c r="N139" i="1" s="1"/>
  <c r="D140" i="1"/>
  <c r="BS136" i="1" l="1"/>
  <c r="BU136" i="1" s="1"/>
  <c r="BR136" i="1"/>
  <c r="BT136" i="1" s="1"/>
  <c r="BV136" i="1" s="1"/>
  <c r="CV134" i="1"/>
  <c r="CX134" i="1" s="1"/>
  <c r="CW134" i="1"/>
  <c r="CY134" i="1" s="1"/>
  <c r="O139" i="1"/>
  <c r="P139" i="1"/>
  <c r="R139" i="1" s="1"/>
  <c r="AO138" i="1"/>
  <c r="AQ138" i="1" s="1"/>
  <c r="AN138" i="1"/>
  <c r="AP138" i="1" s="1"/>
  <c r="AR138" i="1" s="1"/>
  <c r="Z139" i="1"/>
  <c r="AB139" i="1" s="1"/>
  <c r="Y139" i="1"/>
  <c r="AA139" i="1" s="1"/>
  <c r="AC139" i="1" s="1"/>
  <c r="BD137" i="1"/>
  <c r="BF137" i="1" s="1"/>
  <c r="BC137" i="1"/>
  <c r="BE137" i="1" s="1"/>
  <c r="BG137" i="1" s="1"/>
  <c r="CH135" i="1"/>
  <c r="CJ135" i="1" s="1"/>
  <c r="CG135" i="1"/>
  <c r="CI135" i="1" s="1"/>
  <c r="CK135" i="1" s="1"/>
  <c r="E140" i="1"/>
  <c r="F140" i="1"/>
  <c r="H140" i="1" s="1"/>
  <c r="AT138" i="1" l="1"/>
  <c r="AV138" i="1" s="1"/>
  <c r="AS138" i="1"/>
  <c r="AU138" i="1" s="1"/>
  <c r="AW138" i="1" s="1"/>
  <c r="G140" i="1"/>
  <c r="I140" i="1" s="1"/>
  <c r="Q140" i="1"/>
  <c r="S140" i="1" s="1"/>
  <c r="BI137" i="1"/>
  <c r="BK137" i="1" s="1"/>
  <c r="BH137" i="1"/>
  <c r="BJ137" i="1" s="1"/>
  <c r="BL137" i="1" s="1"/>
  <c r="CZ134" i="1"/>
  <c r="CL135" i="1"/>
  <c r="CN135" i="1" s="1"/>
  <c r="CP135" i="1" s="1"/>
  <c r="CM135" i="1"/>
  <c r="CO135" i="1" s="1"/>
  <c r="BX136" i="1"/>
  <c r="BZ136" i="1" s="1"/>
  <c r="BW136" i="1"/>
  <c r="BY136" i="1" s="1"/>
  <c r="CA136" i="1" s="1"/>
  <c r="AE139" i="1"/>
  <c r="AG139" i="1" s="1"/>
  <c r="AD139" i="1"/>
  <c r="AF139" i="1" s="1"/>
  <c r="AH139" i="1" s="1"/>
  <c r="CR135" i="1" l="1"/>
  <c r="CT135" i="1" s="1"/>
  <c r="CQ135" i="1"/>
  <c r="CS135" i="1" s="1"/>
  <c r="CU135" i="1" s="1"/>
  <c r="BN137" i="1"/>
  <c r="BP137" i="1" s="1"/>
  <c r="BM137" i="1"/>
  <c r="BO137" i="1" s="1"/>
  <c r="BQ137" i="1" s="1"/>
  <c r="DB134" i="1"/>
  <c r="DD134" i="1" s="1"/>
  <c r="DA134" i="1"/>
  <c r="DC134" i="1" s="1"/>
  <c r="AJ139" i="1"/>
  <c r="AL139" i="1" s="1"/>
  <c r="AI139" i="1"/>
  <c r="AK139" i="1" s="1"/>
  <c r="AM139" i="1" s="1"/>
  <c r="CB136" i="1"/>
  <c r="CD136" i="1" s="1"/>
  <c r="CF136" i="1" s="1"/>
  <c r="CC136" i="1"/>
  <c r="CE136" i="1" s="1"/>
  <c r="U140" i="1"/>
  <c r="W140" i="1" s="1"/>
  <c r="T140" i="1"/>
  <c r="V140" i="1" s="1"/>
  <c r="X140" i="1" s="1"/>
  <c r="K140" i="1"/>
  <c r="M140" i="1" s="1"/>
  <c r="J140" i="1"/>
  <c r="L140" i="1" s="1"/>
  <c r="N140" i="1" s="1"/>
  <c r="D141" i="1"/>
  <c r="AY138" i="1"/>
  <c r="BA138" i="1" s="1"/>
  <c r="AX138" i="1"/>
  <c r="AZ138" i="1" s="1"/>
  <c r="BB138" i="1" s="1"/>
  <c r="P140" i="1" l="1"/>
  <c r="R140" i="1" s="1"/>
  <c r="O140" i="1"/>
  <c r="Z140" i="1"/>
  <c r="AB140" i="1" s="1"/>
  <c r="Y140" i="1"/>
  <c r="AA140" i="1" s="1"/>
  <c r="AC140" i="1" s="1"/>
  <c r="AO139" i="1"/>
  <c r="AQ139" i="1" s="1"/>
  <c r="AN139" i="1"/>
  <c r="AP139" i="1" s="1"/>
  <c r="AR139" i="1" s="1"/>
  <c r="CW135" i="1"/>
  <c r="CY135" i="1" s="1"/>
  <c r="CV135" i="1"/>
  <c r="CX135" i="1" s="1"/>
  <c r="CZ135" i="1" s="1"/>
  <c r="F141" i="1"/>
  <c r="H141" i="1" s="1"/>
  <c r="E141" i="1"/>
  <c r="BR137" i="1"/>
  <c r="BT137" i="1" s="1"/>
  <c r="BV137" i="1" s="1"/>
  <c r="BS137" i="1"/>
  <c r="BU137" i="1" s="1"/>
  <c r="BD138" i="1"/>
  <c r="BF138" i="1" s="1"/>
  <c r="BC138" i="1"/>
  <c r="BE138" i="1" s="1"/>
  <c r="BG138" i="1" s="1"/>
  <c r="CH136" i="1"/>
  <c r="CJ136" i="1" s="1"/>
  <c r="CG136" i="1"/>
  <c r="CI136" i="1" s="1"/>
  <c r="CK136" i="1" s="1"/>
  <c r="BH138" i="1" l="1"/>
  <c r="BJ138" i="1" s="1"/>
  <c r="BL138" i="1" s="1"/>
  <c r="BI138" i="1"/>
  <c r="BK138" i="1" s="1"/>
  <c r="DB135" i="1"/>
  <c r="DD135" i="1" s="1"/>
  <c r="DA135" i="1"/>
  <c r="DC135" i="1" s="1"/>
  <c r="AE140" i="1"/>
  <c r="AG140" i="1" s="1"/>
  <c r="AD140" i="1"/>
  <c r="AF140" i="1" s="1"/>
  <c r="AH140" i="1" s="1"/>
  <c r="CM136" i="1"/>
  <c r="CO136" i="1" s="1"/>
  <c r="CL136" i="1"/>
  <c r="CN136" i="1" s="1"/>
  <c r="CP136" i="1" s="1"/>
  <c r="AT139" i="1"/>
  <c r="AV139" i="1" s="1"/>
  <c r="AS139" i="1"/>
  <c r="AU139" i="1" s="1"/>
  <c r="AW139" i="1" s="1"/>
  <c r="BX137" i="1"/>
  <c r="BZ137" i="1" s="1"/>
  <c r="BW137" i="1"/>
  <c r="BY137" i="1" s="1"/>
  <c r="CA137" i="1" s="1"/>
  <c r="Q141" i="1"/>
  <c r="S141" i="1" s="1"/>
  <c r="G141" i="1"/>
  <c r="I141" i="1" s="1"/>
  <c r="CR136" i="1" l="1"/>
  <c r="CT136" i="1" s="1"/>
  <c r="CQ136" i="1"/>
  <c r="CS136" i="1" s="1"/>
  <c r="CU136" i="1" s="1"/>
  <c r="U141" i="1"/>
  <c r="W141" i="1" s="1"/>
  <c r="T141" i="1"/>
  <c r="V141" i="1" s="1"/>
  <c r="X141" i="1" s="1"/>
  <c r="CC137" i="1"/>
  <c r="CE137" i="1" s="1"/>
  <c r="CB137" i="1"/>
  <c r="CD137" i="1" s="1"/>
  <c r="CF137" i="1" s="1"/>
  <c r="AJ140" i="1"/>
  <c r="AL140" i="1" s="1"/>
  <c r="AI140" i="1"/>
  <c r="AK140" i="1" s="1"/>
  <c r="AM140" i="1" s="1"/>
  <c r="AX139" i="1"/>
  <c r="AZ139" i="1" s="1"/>
  <c r="BB139" i="1" s="1"/>
  <c r="AY139" i="1"/>
  <c r="BA139" i="1" s="1"/>
  <c r="K141" i="1"/>
  <c r="M141" i="1" s="1"/>
  <c r="J141" i="1"/>
  <c r="L141" i="1" s="1"/>
  <c r="N141" i="1" s="1"/>
  <c r="D142" i="1"/>
  <c r="BN138" i="1"/>
  <c r="BP138" i="1" s="1"/>
  <c r="BM138" i="1"/>
  <c r="BO138" i="1" s="1"/>
  <c r="BQ138" i="1" s="1"/>
  <c r="BS138" i="1" l="1"/>
  <c r="BU138" i="1" s="1"/>
  <c r="BR138" i="1"/>
  <c r="BT138" i="1" s="1"/>
  <c r="BV138" i="1" s="1"/>
  <c r="AN140" i="1"/>
  <c r="AP140" i="1" s="1"/>
  <c r="AR140" i="1" s="1"/>
  <c r="AO140" i="1"/>
  <c r="AQ140" i="1" s="1"/>
  <c r="E142" i="1"/>
  <c r="F142" i="1"/>
  <c r="H142" i="1" s="1"/>
  <c r="P141" i="1"/>
  <c r="R141" i="1" s="1"/>
  <c r="O141" i="1"/>
  <c r="CW136" i="1"/>
  <c r="CY136" i="1" s="1"/>
  <c r="CV136" i="1"/>
  <c r="CX136" i="1" s="1"/>
  <c r="CZ136" i="1" s="1"/>
  <c r="CH137" i="1"/>
  <c r="CJ137" i="1" s="1"/>
  <c r="CG137" i="1"/>
  <c r="CI137" i="1" s="1"/>
  <c r="CK137" i="1" s="1"/>
  <c r="Z141" i="1"/>
  <c r="AB141" i="1" s="1"/>
  <c r="Y141" i="1"/>
  <c r="AA141" i="1" s="1"/>
  <c r="AC141" i="1" s="1"/>
  <c r="BD139" i="1"/>
  <c r="BF139" i="1" s="1"/>
  <c r="BC139" i="1"/>
  <c r="BE139" i="1" s="1"/>
  <c r="BG139" i="1" s="1"/>
  <c r="BI139" i="1" l="1"/>
  <c r="BK139" i="1" s="1"/>
  <c r="BH139" i="1"/>
  <c r="BJ139" i="1" s="1"/>
  <c r="BL139" i="1" s="1"/>
  <c r="AD141" i="1"/>
  <c r="AF141" i="1" s="1"/>
  <c r="AH141" i="1" s="1"/>
  <c r="AE141" i="1"/>
  <c r="AG141" i="1" s="1"/>
  <c r="Q142" i="1"/>
  <c r="S142" i="1" s="1"/>
  <c r="G142" i="1"/>
  <c r="I142" i="1" s="1"/>
  <c r="CM137" i="1"/>
  <c r="CO137" i="1" s="1"/>
  <c r="CL137" i="1"/>
  <c r="CN137" i="1" s="1"/>
  <c r="CP137" i="1" s="1"/>
  <c r="BX138" i="1"/>
  <c r="BZ138" i="1" s="1"/>
  <c r="BW138" i="1"/>
  <c r="BY138" i="1" s="1"/>
  <c r="CA138" i="1" s="1"/>
  <c r="AT140" i="1"/>
  <c r="AV140" i="1" s="1"/>
  <c r="AS140" i="1"/>
  <c r="AU140" i="1" s="1"/>
  <c r="AW140" i="1" s="1"/>
  <c r="DA136" i="1"/>
  <c r="DC136" i="1" s="1"/>
  <c r="DB136" i="1"/>
  <c r="DD136" i="1" s="1"/>
  <c r="J142" i="1" l="1"/>
  <c r="L142" i="1" s="1"/>
  <c r="N142" i="1" s="1"/>
  <c r="K142" i="1"/>
  <c r="M142" i="1" s="1"/>
  <c r="D143" i="1"/>
  <c r="AJ141" i="1"/>
  <c r="AL141" i="1" s="1"/>
  <c r="AI141" i="1"/>
  <c r="AK141" i="1" s="1"/>
  <c r="AM141" i="1" s="1"/>
  <c r="CQ137" i="1"/>
  <c r="CS137" i="1" s="1"/>
  <c r="CU137" i="1" s="1"/>
  <c r="CR137" i="1"/>
  <c r="CT137" i="1" s="1"/>
  <c r="BN139" i="1"/>
  <c r="BP139" i="1" s="1"/>
  <c r="BM139" i="1"/>
  <c r="BO139" i="1" s="1"/>
  <c r="BQ139" i="1" s="1"/>
  <c r="U142" i="1"/>
  <c r="W142" i="1" s="1"/>
  <c r="T142" i="1"/>
  <c r="V142" i="1" s="1"/>
  <c r="X142" i="1" s="1"/>
  <c r="AY140" i="1"/>
  <c r="BA140" i="1" s="1"/>
  <c r="AX140" i="1"/>
  <c r="AZ140" i="1" s="1"/>
  <c r="BB140" i="1" s="1"/>
  <c r="CC138" i="1"/>
  <c r="CE138" i="1" s="1"/>
  <c r="CB138" i="1"/>
  <c r="CD138" i="1" s="1"/>
  <c r="CF138" i="1" s="1"/>
  <c r="CW137" i="1" l="1"/>
  <c r="CY137" i="1" s="1"/>
  <c r="CV137" i="1"/>
  <c r="CX137" i="1" s="1"/>
  <c r="CZ137" i="1" s="1"/>
  <c r="AO141" i="1"/>
  <c r="AQ141" i="1" s="1"/>
  <c r="AN141" i="1"/>
  <c r="AP141" i="1" s="1"/>
  <c r="AR141" i="1" s="1"/>
  <c r="F143" i="1"/>
  <c r="H143" i="1" s="1"/>
  <c r="E143" i="1"/>
  <c r="CG138" i="1"/>
  <c r="CI138" i="1" s="1"/>
  <c r="CK138" i="1" s="1"/>
  <c r="CH138" i="1"/>
  <c r="CJ138" i="1" s="1"/>
  <c r="BD140" i="1"/>
  <c r="BF140" i="1" s="1"/>
  <c r="BC140" i="1"/>
  <c r="BE140" i="1" s="1"/>
  <c r="BG140" i="1" s="1"/>
  <c r="Z142" i="1"/>
  <c r="AB142" i="1" s="1"/>
  <c r="Y142" i="1"/>
  <c r="AA142" i="1" s="1"/>
  <c r="AC142" i="1" s="1"/>
  <c r="P142" i="1"/>
  <c r="R142" i="1" s="1"/>
  <c r="O142" i="1"/>
  <c r="BS139" i="1"/>
  <c r="BU139" i="1" s="1"/>
  <c r="BR139" i="1"/>
  <c r="BT139" i="1" s="1"/>
  <c r="BV139" i="1" s="1"/>
  <c r="CM138" i="1" l="1"/>
  <c r="CO138" i="1" s="1"/>
  <c r="CL138" i="1"/>
  <c r="CN138" i="1" s="1"/>
  <c r="CP138" i="1" s="1"/>
  <c r="BW139" i="1"/>
  <c r="BY139" i="1" s="1"/>
  <c r="CA139" i="1" s="1"/>
  <c r="BX139" i="1"/>
  <c r="BZ139" i="1" s="1"/>
  <c r="G143" i="1"/>
  <c r="I143" i="1" s="1"/>
  <c r="Q143" i="1"/>
  <c r="S143" i="1" s="1"/>
  <c r="AE142" i="1"/>
  <c r="AG142" i="1" s="1"/>
  <c r="AD142" i="1"/>
  <c r="AF142" i="1" s="1"/>
  <c r="AH142" i="1" s="1"/>
  <c r="DB137" i="1"/>
  <c r="DD137" i="1" s="1"/>
  <c r="DA137" i="1"/>
  <c r="DC137" i="1" s="1"/>
  <c r="AT141" i="1"/>
  <c r="AV141" i="1" s="1"/>
  <c r="AS141" i="1"/>
  <c r="AU141" i="1" s="1"/>
  <c r="AW141" i="1" s="1"/>
  <c r="BI140" i="1"/>
  <c r="BK140" i="1" s="1"/>
  <c r="BH140" i="1"/>
  <c r="BJ140" i="1" s="1"/>
  <c r="BL140" i="1" s="1"/>
  <c r="U143" i="1" l="1"/>
  <c r="W143" i="1" s="1"/>
  <c r="T143" i="1"/>
  <c r="V143" i="1" s="1"/>
  <c r="X143" i="1" s="1"/>
  <c r="K143" i="1"/>
  <c r="M143" i="1" s="1"/>
  <c r="J143" i="1"/>
  <c r="L143" i="1" s="1"/>
  <c r="N143" i="1" s="1"/>
  <c r="D144" i="1"/>
  <c r="AY141" i="1"/>
  <c r="BA141" i="1" s="1"/>
  <c r="AX141" i="1"/>
  <c r="AZ141" i="1" s="1"/>
  <c r="BB141" i="1" s="1"/>
  <c r="AI142" i="1"/>
  <c r="AK142" i="1" s="1"/>
  <c r="AM142" i="1" s="1"/>
  <c r="AJ142" i="1"/>
  <c r="AL142" i="1" s="1"/>
  <c r="BM140" i="1"/>
  <c r="BO140" i="1" s="1"/>
  <c r="BQ140" i="1" s="1"/>
  <c r="BN140" i="1"/>
  <c r="BP140" i="1" s="1"/>
  <c r="CC139" i="1"/>
  <c r="CE139" i="1" s="1"/>
  <c r="CB139" i="1"/>
  <c r="CD139" i="1" s="1"/>
  <c r="CF139" i="1" s="1"/>
  <c r="CR138" i="1"/>
  <c r="CT138" i="1" s="1"/>
  <c r="CQ138" i="1"/>
  <c r="CS138" i="1" s="1"/>
  <c r="CU138" i="1" s="1"/>
  <c r="AO142" i="1" l="1"/>
  <c r="AQ142" i="1" s="1"/>
  <c r="AN142" i="1"/>
  <c r="AP142" i="1" s="1"/>
  <c r="AR142" i="1" s="1"/>
  <c r="CW138" i="1"/>
  <c r="CY138" i="1" s="1"/>
  <c r="CV138" i="1"/>
  <c r="CX138" i="1" s="1"/>
  <c r="CZ138" i="1" s="1"/>
  <c r="F144" i="1"/>
  <c r="H144" i="1" s="1"/>
  <c r="E144" i="1"/>
  <c r="P143" i="1"/>
  <c r="R143" i="1" s="1"/>
  <c r="O143" i="1"/>
  <c r="BC141" i="1"/>
  <c r="BE141" i="1" s="1"/>
  <c r="BG141" i="1" s="1"/>
  <c r="BD141" i="1"/>
  <c r="BF141" i="1" s="1"/>
  <c r="CH139" i="1"/>
  <c r="CJ139" i="1" s="1"/>
  <c r="CG139" i="1"/>
  <c r="CI139" i="1" s="1"/>
  <c r="CK139" i="1" s="1"/>
  <c r="BS140" i="1"/>
  <c r="BU140" i="1" s="1"/>
  <c r="BR140" i="1"/>
  <c r="BT140" i="1" s="1"/>
  <c r="BV140" i="1" s="1"/>
  <c r="Z143" i="1"/>
  <c r="AB143" i="1" s="1"/>
  <c r="Y143" i="1"/>
  <c r="AA143" i="1" s="1"/>
  <c r="AC143" i="1" s="1"/>
  <c r="AE143" i="1" l="1"/>
  <c r="AG143" i="1" s="1"/>
  <c r="AD143" i="1"/>
  <c r="AF143" i="1" s="1"/>
  <c r="AH143" i="1" s="1"/>
  <c r="DB138" i="1"/>
  <c r="DD138" i="1" s="1"/>
  <c r="DA138" i="1"/>
  <c r="DC138" i="1" s="1"/>
  <c r="BX140" i="1"/>
  <c r="BZ140" i="1" s="1"/>
  <c r="BW140" i="1"/>
  <c r="BY140" i="1" s="1"/>
  <c r="CA140" i="1" s="1"/>
  <c r="CM139" i="1"/>
  <c r="CO139" i="1" s="1"/>
  <c r="CL139" i="1"/>
  <c r="CN139" i="1" s="1"/>
  <c r="CP139" i="1" s="1"/>
  <c r="G144" i="1"/>
  <c r="I144" i="1" s="1"/>
  <c r="Q144" i="1"/>
  <c r="S144" i="1" s="1"/>
  <c r="AT142" i="1"/>
  <c r="AV142" i="1" s="1"/>
  <c r="AS142" i="1"/>
  <c r="AU142" i="1" s="1"/>
  <c r="AW142" i="1" s="1"/>
  <c r="BI141" i="1"/>
  <c r="BK141" i="1" s="1"/>
  <c r="BH141" i="1"/>
  <c r="BJ141" i="1" s="1"/>
  <c r="BL141" i="1" s="1"/>
  <c r="CC140" i="1" l="1"/>
  <c r="CE140" i="1" s="1"/>
  <c r="CB140" i="1"/>
  <c r="CD140" i="1" s="1"/>
  <c r="CF140" i="1" s="1"/>
  <c r="BN141" i="1"/>
  <c r="BP141" i="1" s="1"/>
  <c r="BM141" i="1"/>
  <c r="BO141" i="1" s="1"/>
  <c r="BQ141" i="1" s="1"/>
  <c r="U144" i="1"/>
  <c r="W144" i="1" s="1"/>
  <c r="T144" i="1"/>
  <c r="V144" i="1" s="1"/>
  <c r="X144" i="1" s="1"/>
  <c r="CR139" i="1"/>
  <c r="CT139" i="1" s="1"/>
  <c r="CQ139" i="1"/>
  <c r="CS139" i="1" s="1"/>
  <c r="CU139" i="1" s="1"/>
  <c r="AY142" i="1"/>
  <c r="BA142" i="1" s="1"/>
  <c r="AX142" i="1"/>
  <c r="AZ142" i="1" s="1"/>
  <c r="BB142" i="1" s="1"/>
  <c r="AI143" i="1"/>
  <c r="AK143" i="1" s="1"/>
  <c r="AM143" i="1" s="1"/>
  <c r="AJ143" i="1"/>
  <c r="AL143" i="1" s="1"/>
  <c r="J144" i="1"/>
  <c r="L144" i="1" s="1"/>
  <c r="N144" i="1" s="1"/>
  <c r="K144" i="1"/>
  <c r="M144" i="1" s="1"/>
  <c r="D145" i="1"/>
  <c r="CW139" i="1" l="1"/>
  <c r="CY139" i="1" s="1"/>
  <c r="CV139" i="1"/>
  <c r="CX139" i="1" s="1"/>
  <c r="CZ139" i="1" s="1"/>
  <c r="F145" i="1"/>
  <c r="H145" i="1" s="1"/>
  <c r="E145" i="1"/>
  <c r="AO143" i="1"/>
  <c r="AQ143" i="1" s="1"/>
  <c r="AN143" i="1"/>
  <c r="AP143" i="1" s="1"/>
  <c r="AR143" i="1" s="1"/>
  <c r="Z144" i="1"/>
  <c r="AB144" i="1" s="1"/>
  <c r="Y144" i="1"/>
  <c r="AA144" i="1" s="1"/>
  <c r="AC144" i="1" s="1"/>
  <c r="BD142" i="1"/>
  <c r="BF142" i="1" s="1"/>
  <c r="BC142" i="1"/>
  <c r="BE142" i="1" s="1"/>
  <c r="BG142" i="1" s="1"/>
  <c r="P144" i="1"/>
  <c r="R144" i="1" s="1"/>
  <c r="O144" i="1"/>
  <c r="BS141" i="1"/>
  <c r="BU141" i="1" s="1"/>
  <c r="BR141" i="1"/>
  <c r="BT141" i="1" s="1"/>
  <c r="BV141" i="1" s="1"/>
  <c r="CH140" i="1"/>
  <c r="CJ140" i="1" s="1"/>
  <c r="CG140" i="1"/>
  <c r="CI140" i="1" s="1"/>
  <c r="CK140" i="1" s="1"/>
  <c r="CM140" i="1" l="1"/>
  <c r="CO140" i="1" s="1"/>
  <c r="CL140" i="1"/>
  <c r="CN140" i="1" s="1"/>
  <c r="CP140" i="1" s="1"/>
  <c r="AE144" i="1"/>
  <c r="AG144" i="1" s="1"/>
  <c r="AD144" i="1"/>
  <c r="AF144" i="1" s="1"/>
  <c r="AH144" i="1" s="1"/>
  <c r="G145" i="1"/>
  <c r="I145" i="1" s="1"/>
  <c r="Q145" i="1"/>
  <c r="S145" i="1" s="1"/>
  <c r="BX141" i="1"/>
  <c r="BZ141" i="1" s="1"/>
  <c r="BW141" i="1"/>
  <c r="BY141" i="1" s="1"/>
  <c r="CA141" i="1" s="1"/>
  <c r="BI142" i="1"/>
  <c r="BK142" i="1" s="1"/>
  <c r="BH142" i="1"/>
  <c r="BJ142" i="1" s="1"/>
  <c r="BL142" i="1" s="1"/>
  <c r="AT143" i="1"/>
  <c r="AV143" i="1" s="1"/>
  <c r="AS143" i="1"/>
  <c r="AU143" i="1" s="1"/>
  <c r="AW143" i="1" s="1"/>
  <c r="DB139" i="1"/>
  <c r="DD139" i="1" s="1"/>
  <c r="DA139" i="1"/>
  <c r="DC139" i="1" s="1"/>
  <c r="U145" i="1" l="1"/>
  <c r="W145" i="1" s="1"/>
  <c r="T145" i="1"/>
  <c r="V145" i="1" s="1"/>
  <c r="X145" i="1" s="1"/>
  <c r="CC141" i="1"/>
  <c r="CE141" i="1" s="1"/>
  <c r="CB141" i="1"/>
  <c r="CD141" i="1" s="1"/>
  <c r="CF141" i="1" s="1"/>
  <c r="AY143" i="1"/>
  <c r="BA143" i="1" s="1"/>
  <c r="AX143" i="1"/>
  <c r="AZ143" i="1" s="1"/>
  <c r="BB143" i="1" s="1"/>
  <c r="K145" i="1"/>
  <c r="M145" i="1" s="1"/>
  <c r="J145" i="1"/>
  <c r="L145" i="1" s="1"/>
  <c r="N145" i="1" s="1"/>
  <c r="D146" i="1"/>
  <c r="AJ144" i="1"/>
  <c r="AL144" i="1" s="1"/>
  <c r="AI144" i="1"/>
  <c r="AK144" i="1" s="1"/>
  <c r="AM144" i="1" s="1"/>
  <c r="CR140" i="1"/>
  <c r="CT140" i="1" s="1"/>
  <c r="CQ140" i="1"/>
  <c r="CS140" i="1" s="1"/>
  <c r="CU140" i="1" s="1"/>
  <c r="BM142" i="1"/>
  <c r="BO142" i="1" s="1"/>
  <c r="BQ142" i="1" s="1"/>
  <c r="BN142" i="1"/>
  <c r="BP142" i="1" s="1"/>
  <c r="BS142" i="1" l="1"/>
  <c r="BU142" i="1" s="1"/>
  <c r="BR142" i="1"/>
  <c r="BT142" i="1" s="1"/>
  <c r="BV142" i="1" s="1"/>
  <c r="P145" i="1"/>
  <c r="R145" i="1" s="1"/>
  <c r="O145" i="1"/>
  <c r="CV140" i="1"/>
  <c r="CX140" i="1" s="1"/>
  <c r="CW140" i="1"/>
  <c r="CY140" i="1" s="1"/>
  <c r="AN144" i="1"/>
  <c r="AP144" i="1" s="1"/>
  <c r="AR144" i="1" s="1"/>
  <c r="AO144" i="1"/>
  <c r="AQ144" i="1" s="1"/>
  <c r="Z145" i="1"/>
  <c r="AB145" i="1" s="1"/>
  <c r="Y145" i="1"/>
  <c r="AA145" i="1" s="1"/>
  <c r="AC145" i="1" s="1"/>
  <c r="BC143" i="1"/>
  <c r="BE143" i="1" s="1"/>
  <c r="BG143" i="1" s="1"/>
  <c r="BD143" i="1"/>
  <c r="BF143" i="1" s="1"/>
  <c r="CH141" i="1"/>
  <c r="CJ141" i="1" s="1"/>
  <c r="CG141" i="1"/>
  <c r="CI141" i="1" s="1"/>
  <c r="CK141" i="1" s="1"/>
  <c r="F146" i="1"/>
  <c r="H146" i="1" s="1"/>
  <c r="E146" i="1"/>
  <c r="BH143" i="1" l="1"/>
  <c r="BJ143" i="1" s="1"/>
  <c r="BL143" i="1" s="1"/>
  <c r="BI143" i="1"/>
  <c r="BK143" i="1" s="1"/>
  <c r="AS144" i="1"/>
  <c r="AU144" i="1" s="1"/>
  <c r="AW144" i="1" s="1"/>
  <c r="AT144" i="1"/>
  <c r="AV144" i="1" s="1"/>
  <c r="CZ140" i="1"/>
  <c r="CL141" i="1"/>
  <c r="CN141" i="1" s="1"/>
  <c r="CP141" i="1" s="1"/>
  <c r="CM141" i="1"/>
  <c r="CO141" i="1" s="1"/>
  <c r="AD145" i="1"/>
  <c r="AF145" i="1" s="1"/>
  <c r="AH145" i="1" s="1"/>
  <c r="AE145" i="1"/>
  <c r="AG145" i="1" s="1"/>
  <c r="G146" i="1"/>
  <c r="I146" i="1" s="1"/>
  <c r="Q146" i="1"/>
  <c r="S146" i="1" s="1"/>
  <c r="BW142" i="1"/>
  <c r="BY142" i="1" s="1"/>
  <c r="CA142" i="1" s="1"/>
  <c r="BX142" i="1"/>
  <c r="BZ142" i="1" s="1"/>
  <c r="CR141" i="1" l="1"/>
  <c r="CT141" i="1" s="1"/>
  <c r="CQ141" i="1"/>
  <c r="CS141" i="1" s="1"/>
  <c r="CU141" i="1" s="1"/>
  <c r="DB140" i="1"/>
  <c r="DD140" i="1" s="1"/>
  <c r="DA140" i="1"/>
  <c r="DC140" i="1" s="1"/>
  <c r="AX144" i="1"/>
  <c r="AZ144" i="1" s="1"/>
  <c r="BB144" i="1" s="1"/>
  <c r="AY144" i="1"/>
  <c r="BA144" i="1" s="1"/>
  <c r="AI145" i="1"/>
  <c r="AK145" i="1" s="1"/>
  <c r="AM145" i="1" s="1"/>
  <c r="AJ145" i="1"/>
  <c r="AL145" i="1" s="1"/>
  <c r="CC142" i="1"/>
  <c r="CE142" i="1" s="1"/>
  <c r="CB142" i="1"/>
  <c r="CD142" i="1" s="1"/>
  <c r="CF142" i="1" s="1"/>
  <c r="T146" i="1"/>
  <c r="V146" i="1" s="1"/>
  <c r="X146" i="1" s="1"/>
  <c r="U146" i="1"/>
  <c r="W146" i="1" s="1"/>
  <c r="J146" i="1"/>
  <c r="L146" i="1" s="1"/>
  <c r="N146" i="1" s="1"/>
  <c r="K146" i="1"/>
  <c r="M146" i="1" s="1"/>
  <c r="D147" i="1"/>
  <c r="BN143" i="1"/>
  <c r="BP143" i="1" s="1"/>
  <c r="BM143" i="1"/>
  <c r="BO143" i="1" s="1"/>
  <c r="BQ143" i="1" s="1"/>
  <c r="AN145" i="1" l="1"/>
  <c r="AP145" i="1" s="1"/>
  <c r="AR145" i="1" s="1"/>
  <c r="AO145" i="1"/>
  <c r="AQ145" i="1" s="1"/>
  <c r="F147" i="1"/>
  <c r="H147" i="1" s="1"/>
  <c r="E147" i="1"/>
  <c r="BD144" i="1"/>
  <c r="BF144" i="1" s="1"/>
  <c r="BC144" i="1"/>
  <c r="BE144" i="1" s="1"/>
  <c r="BG144" i="1" s="1"/>
  <c r="CH142" i="1"/>
  <c r="CJ142" i="1" s="1"/>
  <c r="CG142" i="1"/>
  <c r="CI142" i="1" s="1"/>
  <c r="CK142" i="1" s="1"/>
  <c r="Y146" i="1"/>
  <c r="AA146" i="1" s="1"/>
  <c r="AC146" i="1" s="1"/>
  <c r="Z146" i="1"/>
  <c r="AB146" i="1" s="1"/>
  <c r="P146" i="1"/>
  <c r="R146" i="1" s="1"/>
  <c r="O146" i="1"/>
  <c r="CW141" i="1"/>
  <c r="CY141" i="1" s="1"/>
  <c r="CV141" i="1"/>
  <c r="CX141" i="1" s="1"/>
  <c r="CZ141" i="1" s="1"/>
  <c r="BS143" i="1"/>
  <c r="BU143" i="1" s="1"/>
  <c r="BR143" i="1"/>
  <c r="BT143" i="1" s="1"/>
  <c r="BV143" i="1" s="1"/>
  <c r="BH144" i="1" l="1"/>
  <c r="BJ144" i="1" s="1"/>
  <c r="BL144" i="1" s="1"/>
  <c r="BI144" i="1"/>
  <c r="BK144" i="1" s="1"/>
  <c r="BX143" i="1"/>
  <c r="BZ143" i="1" s="1"/>
  <c r="BW143" i="1"/>
  <c r="BY143" i="1" s="1"/>
  <c r="CA143" i="1" s="1"/>
  <c r="G147" i="1"/>
  <c r="I147" i="1" s="1"/>
  <c r="Q147" i="1"/>
  <c r="S147" i="1" s="1"/>
  <c r="DB141" i="1"/>
  <c r="DD141" i="1" s="1"/>
  <c r="DA141" i="1"/>
  <c r="DC141" i="1" s="1"/>
  <c r="CM142" i="1"/>
  <c r="CO142" i="1" s="1"/>
  <c r="CL142" i="1"/>
  <c r="CN142" i="1" s="1"/>
  <c r="CP142" i="1" s="1"/>
  <c r="AD146" i="1"/>
  <c r="AF146" i="1" s="1"/>
  <c r="AH146" i="1" s="1"/>
  <c r="AE146" i="1"/>
  <c r="AG146" i="1" s="1"/>
  <c r="AT145" i="1"/>
  <c r="AV145" i="1" s="1"/>
  <c r="AS145" i="1"/>
  <c r="AU145" i="1" s="1"/>
  <c r="AW145" i="1" s="1"/>
  <c r="AY145" i="1" l="1"/>
  <c r="BA145" i="1" s="1"/>
  <c r="AX145" i="1"/>
  <c r="AZ145" i="1" s="1"/>
  <c r="BB145" i="1" s="1"/>
  <c r="CC143" i="1"/>
  <c r="CE143" i="1" s="1"/>
  <c r="CB143" i="1"/>
  <c r="CD143" i="1" s="1"/>
  <c r="CF143" i="1" s="1"/>
  <c r="J147" i="1"/>
  <c r="L147" i="1" s="1"/>
  <c r="N147" i="1" s="1"/>
  <c r="K147" i="1"/>
  <c r="M147" i="1" s="1"/>
  <c r="D148" i="1"/>
  <c r="BN144" i="1"/>
  <c r="BP144" i="1" s="1"/>
  <c r="BM144" i="1"/>
  <c r="BO144" i="1" s="1"/>
  <c r="BQ144" i="1" s="1"/>
  <c r="T147" i="1"/>
  <c r="V147" i="1" s="1"/>
  <c r="X147" i="1" s="1"/>
  <c r="U147" i="1"/>
  <c r="W147" i="1" s="1"/>
  <c r="AJ146" i="1"/>
  <c r="AL146" i="1" s="1"/>
  <c r="AI146" i="1"/>
  <c r="AK146" i="1" s="1"/>
  <c r="AM146" i="1" s="1"/>
  <c r="CR142" i="1"/>
  <c r="CT142" i="1" s="1"/>
  <c r="CQ142" i="1"/>
  <c r="CS142" i="1" s="1"/>
  <c r="CU142" i="1" s="1"/>
  <c r="CW142" i="1" l="1"/>
  <c r="CY142" i="1" s="1"/>
  <c r="CV142" i="1"/>
  <c r="CX142" i="1" s="1"/>
  <c r="CZ142" i="1" s="1"/>
  <c r="O147" i="1"/>
  <c r="P147" i="1"/>
  <c r="R147" i="1" s="1"/>
  <c r="E148" i="1"/>
  <c r="F148" i="1"/>
  <c r="H148" i="1" s="1"/>
  <c r="AO146" i="1"/>
  <c r="AQ146" i="1" s="1"/>
  <c r="AN146" i="1"/>
  <c r="AP146" i="1" s="1"/>
  <c r="AR146" i="1" s="1"/>
  <c r="BD145" i="1"/>
  <c r="BF145" i="1" s="1"/>
  <c r="BC145" i="1"/>
  <c r="BE145" i="1" s="1"/>
  <c r="BG145" i="1" s="1"/>
  <c r="CH143" i="1"/>
  <c r="CJ143" i="1" s="1"/>
  <c r="CG143" i="1"/>
  <c r="CI143" i="1" s="1"/>
  <c r="CK143" i="1" s="1"/>
  <c r="Z147" i="1"/>
  <c r="AB147" i="1" s="1"/>
  <c r="Y147" i="1"/>
  <c r="AA147" i="1" s="1"/>
  <c r="AC147" i="1" s="1"/>
  <c r="BS144" i="1"/>
  <c r="BU144" i="1" s="1"/>
  <c r="BR144" i="1"/>
  <c r="BT144" i="1" s="1"/>
  <c r="BV144" i="1" s="1"/>
  <c r="AT146" i="1" l="1"/>
  <c r="AV146" i="1" s="1"/>
  <c r="AS146" i="1"/>
  <c r="AU146" i="1" s="1"/>
  <c r="AW146" i="1" s="1"/>
  <c r="AD147" i="1"/>
  <c r="AF147" i="1" s="1"/>
  <c r="AH147" i="1" s="1"/>
  <c r="AE147" i="1"/>
  <c r="AG147" i="1" s="1"/>
  <c r="Q148" i="1"/>
  <c r="S148" i="1" s="1"/>
  <c r="G148" i="1"/>
  <c r="I148" i="1" s="1"/>
  <c r="BX144" i="1"/>
  <c r="BZ144" i="1" s="1"/>
  <c r="BW144" i="1"/>
  <c r="BY144" i="1" s="1"/>
  <c r="CA144" i="1" s="1"/>
  <c r="CM143" i="1"/>
  <c r="CO143" i="1" s="1"/>
  <c r="CL143" i="1"/>
  <c r="CN143" i="1" s="1"/>
  <c r="CP143" i="1" s="1"/>
  <c r="BI145" i="1"/>
  <c r="BK145" i="1" s="1"/>
  <c r="BH145" i="1"/>
  <c r="BJ145" i="1" s="1"/>
  <c r="BL145" i="1" s="1"/>
  <c r="DB142" i="1"/>
  <c r="DD142" i="1" s="1"/>
  <c r="DA142" i="1"/>
  <c r="DC142" i="1" s="1"/>
  <c r="J148" i="1" l="1"/>
  <c r="L148" i="1" s="1"/>
  <c r="N148" i="1" s="1"/>
  <c r="K148" i="1"/>
  <c r="M148" i="1" s="1"/>
  <c r="D149" i="1"/>
  <c r="CC144" i="1"/>
  <c r="CE144" i="1" s="1"/>
  <c r="CB144" i="1"/>
  <c r="CD144" i="1" s="1"/>
  <c r="CF144" i="1" s="1"/>
  <c r="BN145" i="1"/>
  <c r="BP145" i="1" s="1"/>
  <c r="BM145" i="1"/>
  <c r="BO145" i="1" s="1"/>
  <c r="BQ145" i="1" s="1"/>
  <c r="U148" i="1"/>
  <c r="W148" i="1" s="1"/>
  <c r="T148" i="1"/>
  <c r="V148" i="1" s="1"/>
  <c r="X148" i="1" s="1"/>
  <c r="AJ147" i="1"/>
  <c r="AL147" i="1" s="1"/>
  <c r="AI147" i="1"/>
  <c r="AK147" i="1" s="1"/>
  <c r="AM147" i="1" s="1"/>
  <c r="CR143" i="1"/>
  <c r="CT143" i="1" s="1"/>
  <c r="CQ143" i="1"/>
  <c r="CS143" i="1" s="1"/>
  <c r="CU143" i="1" s="1"/>
  <c r="AY146" i="1"/>
  <c r="BA146" i="1" s="1"/>
  <c r="AX146" i="1"/>
  <c r="AZ146" i="1" s="1"/>
  <c r="BB146" i="1" s="1"/>
  <c r="BS145" i="1" l="1"/>
  <c r="BU145" i="1" s="1"/>
  <c r="BR145" i="1"/>
  <c r="BT145" i="1" s="1"/>
  <c r="BV145" i="1" s="1"/>
  <c r="CW143" i="1"/>
  <c r="CY143" i="1" s="1"/>
  <c r="CV143" i="1"/>
  <c r="CX143" i="1" s="1"/>
  <c r="CZ143" i="1" s="1"/>
  <c r="BD146" i="1"/>
  <c r="BF146" i="1" s="1"/>
  <c r="BC146" i="1"/>
  <c r="BE146" i="1" s="1"/>
  <c r="BG146" i="1" s="1"/>
  <c r="CH144" i="1"/>
  <c r="CJ144" i="1" s="1"/>
  <c r="CG144" i="1"/>
  <c r="CI144" i="1" s="1"/>
  <c r="CK144" i="1" s="1"/>
  <c r="AO147" i="1"/>
  <c r="AQ147" i="1" s="1"/>
  <c r="AN147" i="1"/>
  <c r="AP147" i="1" s="1"/>
  <c r="AR147" i="1" s="1"/>
  <c r="F149" i="1"/>
  <c r="H149" i="1" s="1"/>
  <c r="E149" i="1"/>
  <c r="Z148" i="1"/>
  <c r="AB148" i="1" s="1"/>
  <c r="Y148" i="1"/>
  <c r="AA148" i="1" s="1"/>
  <c r="AC148" i="1" s="1"/>
  <c r="P148" i="1"/>
  <c r="R148" i="1" s="1"/>
  <c r="O148" i="1"/>
  <c r="AE148" i="1" l="1"/>
  <c r="AG148" i="1" s="1"/>
  <c r="AD148" i="1"/>
  <c r="AF148" i="1" s="1"/>
  <c r="AH148" i="1" s="1"/>
  <c r="CM144" i="1"/>
  <c r="CO144" i="1" s="1"/>
  <c r="CL144" i="1"/>
  <c r="CN144" i="1" s="1"/>
  <c r="CP144" i="1" s="1"/>
  <c r="DB143" i="1"/>
  <c r="DD143" i="1" s="1"/>
  <c r="DA143" i="1"/>
  <c r="DC143" i="1" s="1"/>
  <c r="BX145" i="1"/>
  <c r="BZ145" i="1" s="1"/>
  <c r="BW145" i="1"/>
  <c r="BY145" i="1" s="1"/>
  <c r="CA145" i="1" s="1"/>
  <c r="BI146" i="1"/>
  <c r="BK146" i="1" s="1"/>
  <c r="BH146" i="1"/>
  <c r="BJ146" i="1" s="1"/>
  <c r="BL146" i="1" s="1"/>
  <c r="G149" i="1"/>
  <c r="I149" i="1" s="1"/>
  <c r="Q149" i="1"/>
  <c r="S149" i="1" s="1"/>
  <c r="AT147" i="1"/>
  <c r="AV147" i="1" s="1"/>
  <c r="AS147" i="1"/>
  <c r="AU147" i="1" s="1"/>
  <c r="AW147" i="1" s="1"/>
  <c r="CB145" i="1" l="1"/>
  <c r="CD145" i="1" s="1"/>
  <c r="CF145" i="1" s="1"/>
  <c r="CC145" i="1"/>
  <c r="CE145" i="1" s="1"/>
  <c r="K149" i="1"/>
  <c r="M149" i="1" s="1"/>
  <c r="J149" i="1"/>
  <c r="L149" i="1" s="1"/>
  <c r="N149" i="1" s="1"/>
  <c r="D150" i="1"/>
  <c r="U149" i="1"/>
  <c r="W149" i="1" s="1"/>
  <c r="T149" i="1"/>
  <c r="V149" i="1" s="1"/>
  <c r="X149" i="1" s="1"/>
  <c r="AJ148" i="1"/>
  <c r="AL148" i="1" s="1"/>
  <c r="AI148" i="1"/>
  <c r="AK148" i="1" s="1"/>
  <c r="AM148" i="1" s="1"/>
  <c r="AY147" i="1"/>
  <c r="BA147" i="1" s="1"/>
  <c r="AX147" i="1"/>
  <c r="AZ147" i="1" s="1"/>
  <c r="BB147" i="1" s="1"/>
  <c r="CR144" i="1"/>
  <c r="CT144" i="1" s="1"/>
  <c r="CQ144" i="1"/>
  <c r="CS144" i="1" s="1"/>
  <c r="CU144" i="1" s="1"/>
  <c r="BN146" i="1"/>
  <c r="BP146" i="1" s="1"/>
  <c r="BM146" i="1"/>
  <c r="BO146" i="1" s="1"/>
  <c r="BQ146" i="1" s="1"/>
  <c r="CV144" i="1" l="1"/>
  <c r="CX144" i="1" s="1"/>
  <c r="CZ144" i="1" s="1"/>
  <c r="CW144" i="1"/>
  <c r="CY144" i="1" s="1"/>
  <c r="BS146" i="1"/>
  <c r="BU146" i="1" s="1"/>
  <c r="BR146" i="1"/>
  <c r="BT146" i="1" s="1"/>
  <c r="BV146" i="1" s="1"/>
  <c r="F150" i="1"/>
  <c r="H150" i="1" s="1"/>
  <c r="E150" i="1"/>
  <c r="BD147" i="1"/>
  <c r="BF147" i="1" s="1"/>
  <c r="BC147" i="1"/>
  <c r="BE147" i="1" s="1"/>
  <c r="BG147" i="1" s="1"/>
  <c r="Z149" i="1"/>
  <c r="AB149" i="1" s="1"/>
  <c r="Y149" i="1"/>
  <c r="AA149" i="1" s="1"/>
  <c r="AC149" i="1" s="1"/>
  <c r="O149" i="1"/>
  <c r="P149" i="1"/>
  <c r="R149" i="1" s="1"/>
  <c r="AO148" i="1"/>
  <c r="AQ148" i="1" s="1"/>
  <c r="AN148" i="1"/>
  <c r="AP148" i="1" s="1"/>
  <c r="AR148" i="1" s="1"/>
  <c r="CH145" i="1"/>
  <c r="CJ145" i="1" s="1"/>
  <c r="CG145" i="1"/>
  <c r="CI145" i="1" s="1"/>
  <c r="CK145" i="1" s="1"/>
  <c r="CL145" i="1" l="1"/>
  <c r="CN145" i="1" s="1"/>
  <c r="CP145" i="1" s="1"/>
  <c r="CM145" i="1"/>
  <c r="CO145" i="1" s="1"/>
  <c r="AT148" i="1"/>
  <c r="AV148" i="1" s="1"/>
  <c r="AS148" i="1"/>
  <c r="AU148" i="1" s="1"/>
  <c r="AW148" i="1" s="1"/>
  <c r="BI147" i="1"/>
  <c r="BK147" i="1" s="1"/>
  <c r="BH147" i="1"/>
  <c r="BJ147" i="1" s="1"/>
  <c r="BL147" i="1" s="1"/>
  <c r="G150" i="1"/>
  <c r="I150" i="1" s="1"/>
  <c r="Q150" i="1"/>
  <c r="S150" i="1" s="1"/>
  <c r="AE149" i="1"/>
  <c r="AG149" i="1" s="1"/>
  <c r="AD149" i="1"/>
  <c r="AF149" i="1" s="1"/>
  <c r="AH149" i="1" s="1"/>
  <c r="BX146" i="1"/>
  <c r="BZ146" i="1" s="1"/>
  <c r="BW146" i="1"/>
  <c r="BY146" i="1" s="1"/>
  <c r="CA146" i="1" s="1"/>
  <c r="DA144" i="1"/>
  <c r="DC144" i="1" s="1"/>
  <c r="DB144" i="1"/>
  <c r="DD144" i="1" s="1"/>
  <c r="U150" i="1" l="1"/>
  <c r="W150" i="1" s="1"/>
  <c r="T150" i="1"/>
  <c r="V150" i="1" s="1"/>
  <c r="X150" i="1" s="1"/>
  <c r="K150" i="1"/>
  <c r="M150" i="1" s="1"/>
  <c r="J150" i="1"/>
  <c r="L150" i="1" s="1"/>
  <c r="N150" i="1" s="1"/>
  <c r="D151" i="1"/>
  <c r="BN147" i="1"/>
  <c r="BP147" i="1" s="1"/>
  <c r="BM147" i="1"/>
  <c r="BO147" i="1" s="1"/>
  <c r="BQ147" i="1" s="1"/>
  <c r="CB146" i="1"/>
  <c r="CD146" i="1" s="1"/>
  <c r="CF146" i="1" s="1"/>
  <c r="CC146" i="1"/>
  <c r="CE146" i="1" s="1"/>
  <c r="AY148" i="1"/>
  <c r="BA148" i="1" s="1"/>
  <c r="AX148" i="1"/>
  <c r="AZ148" i="1" s="1"/>
  <c r="BB148" i="1" s="1"/>
  <c r="AJ149" i="1"/>
  <c r="AL149" i="1" s="1"/>
  <c r="AI149" i="1"/>
  <c r="AK149" i="1" s="1"/>
  <c r="AM149" i="1" s="1"/>
  <c r="CQ145" i="1"/>
  <c r="CS145" i="1" s="1"/>
  <c r="CU145" i="1" s="1"/>
  <c r="CR145" i="1"/>
  <c r="CT145" i="1" s="1"/>
  <c r="CG146" i="1" l="1"/>
  <c r="CI146" i="1" s="1"/>
  <c r="CK146" i="1" s="1"/>
  <c r="CH146" i="1"/>
  <c r="CJ146" i="1" s="1"/>
  <c r="P150" i="1"/>
  <c r="R150" i="1" s="1"/>
  <c r="O150" i="1"/>
  <c r="CV145" i="1"/>
  <c r="CX145" i="1" s="1"/>
  <c r="CW145" i="1"/>
  <c r="CY145" i="1" s="1"/>
  <c r="F151" i="1"/>
  <c r="H151" i="1" s="1"/>
  <c r="E151" i="1"/>
  <c r="BR147" i="1"/>
  <c r="BT147" i="1" s="1"/>
  <c r="BV147" i="1" s="1"/>
  <c r="BS147" i="1"/>
  <c r="BU147" i="1" s="1"/>
  <c r="AN149" i="1"/>
  <c r="AP149" i="1" s="1"/>
  <c r="AR149" i="1" s="1"/>
  <c r="AO149" i="1"/>
  <c r="AQ149" i="1" s="1"/>
  <c r="BC148" i="1"/>
  <c r="BE148" i="1" s="1"/>
  <c r="BG148" i="1" s="1"/>
  <c r="BD148" i="1"/>
  <c r="BF148" i="1" s="1"/>
  <c r="Z150" i="1"/>
  <c r="AB150" i="1" s="1"/>
  <c r="Y150" i="1"/>
  <c r="AA150" i="1" s="1"/>
  <c r="AC150" i="1" s="1"/>
  <c r="AE150" i="1" l="1"/>
  <c r="AG150" i="1" s="1"/>
  <c r="AD150" i="1"/>
  <c r="AF150" i="1" s="1"/>
  <c r="AH150" i="1" s="1"/>
  <c r="G151" i="1"/>
  <c r="I151" i="1" s="1"/>
  <c r="Q151" i="1"/>
  <c r="S151" i="1" s="1"/>
  <c r="CZ145" i="1"/>
  <c r="BI148" i="1"/>
  <c r="BK148" i="1" s="1"/>
  <c r="BH148" i="1"/>
  <c r="BJ148" i="1" s="1"/>
  <c r="BL148" i="1" s="1"/>
  <c r="AS149" i="1"/>
  <c r="AU149" i="1" s="1"/>
  <c r="AW149" i="1" s="1"/>
  <c r="AT149" i="1"/>
  <c r="AV149" i="1" s="1"/>
  <c r="BW147" i="1"/>
  <c r="BY147" i="1" s="1"/>
  <c r="CA147" i="1" s="1"/>
  <c r="BX147" i="1"/>
  <c r="BZ147" i="1" s="1"/>
  <c r="CL146" i="1"/>
  <c r="CN146" i="1" s="1"/>
  <c r="CP146" i="1" s="1"/>
  <c r="CM146" i="1"/>
  <c r="CO146" i="1" s="1"/>
  <c r="BM148" i="1" l="1"/>
  <c r="BO148" i="1" s="1"/>
  <c r="BQ148" i="1" s="1"/>
  <c r="BN148" i="1"/>
  <c r="BP148" i="1" s="1"/>
  <c r="U151" i="1"/>
  <c r="W151" i="1" s="1"/>
  <c r="T151" i="1"/>
  <c r="V151" i="1" s="1"/>
  <c r="X151" i="1" s="1"/>
  <c r="AY149" i="1"/>
  <c r="BA149" i="1" s="1"/>
  <c r="AX149" i="1"/>
  <c r="AZ149" i="1" s="1"/>
  <c r="BB149" i="1" s="1"/>
  <c r="K151" i="1"/>
  <c r="M151" i="1" s="1"/>
  <c r="J151" i="1"/>
  <c r="L151" i="1" s="1"/>
  <c r="N151" i="1" s="1"/>
  <c r="D152" i="1"/>
  <c r="AI150" i="1"/>
  <c r="AK150" i="1" s="1"/>
  <c r="AM150" i="1" s="1"/>
  <c r="AJ150" i="1"/>
  <c r="AL150" i="1" s="1"/>
  <c r="DB145" i="1"/>
  <c r="DD145" i="1" s="1"/>
  <c r="DA145" i="1"/>
  <c r="DC145" i="1" s="1"/>
  <c r="CR146" i="1"/>
  <c r="CT146" i="1" s="1"/>
  <c r="CQ146" i="1"/>
  <c r="CS146" i="1" s="1"/>
  <c r="CU146" i="1" s="1"/>
  <c r="CB147" i="1"/>
  <c r="CD147" i="1" s="1"/>
  <c r="CF147" i="1" s="1"/>
  <c r="CC147" i="1"/>
  <c r="CE147" i="1" s="1"/>
  <c r="CH147" i="1" l="1"/>
  <c r="CJ147" i="1" s="1"/>
  <c r="CG147" i="1"/>
  <c r="CI147" i="1" s="1"/>
  <c r="CK147" i="1" s="1"/>
  <c r="P151" i="1"/>
  <c r="R151" i="1" s="1"/>
  <c r="O151" i="1"/>
  <c r="CV146" i="1"/>
  <c r="CX146" i="1" s="1"/>
  <c r="CW146" i="1"/>
  <c r="CY146" i="1" s="1"/>
  <c r="Y151" i="1"/>
  <c r="AA151" i="1" s="1"/>
  <c r="AC151" i="1" s="1"/>
  <c r="Z151" i="1"/>
  <c r="AB151" i="1" s="1"/>
  <c r="AO150" i="1"/>
  <c r="AQ150" i="1" s="1"/>
  <c r="AN150" i="1"/>
  <c r="AP150" i="1" s="1"/>
  <c r="AR150" i="1" s="1"/>
  <c r="BC149" i="1"/>
  <c r="BE149" i="1" s="1"/>
  <c r="BG149" i="1" s="1"/>
  <c r="BD149" i="1"/>
  <c r="BF149" i="1" s="1"/>
  <c r="F152" i="1"/>
  <c r="H152" i="1" s="1"/>
  <c r="E152" i="1"/>
  <c r="BR148" i="1"/>
  <c r="BT148" i="1" s="1"/>
  <c r="BV148" i="1" s="1"/>
  <c r="BS148" i="1"/>
  <c r="BU148" i="1" s="1"/>
  <c r="AE151" i="1" l="1"/>
  <c r="AG151" i="1" s="1"/>
  <c r="AD151" i="1"/>
  <c r="AF151" i="1" s="1"/>
  <c r="AH151" i="1" s="1"/>
  <c r="CZ146" i="1"/>
  <c r="BX148" i="1"/>
  <c r="BZ148" i="1" s="1"/>
  <c r="BW148" i="1"/>
  <c r="BY148" i="1" s="1"/>
  <c r="CA148" i="1" s="1"/>
  <c r="G152" i="1"/>
  <c r="I152" i="1" s="1"/>
  <c r="Q152" i="1"/>
  <c r="S152" i="1" s="1"/>
  <c r="BH149" i="1"/>
  <c r="BJ149" i="1" s="1"/>
  <c r="BL149" i="1" s="1"/>
  <c r="BI149" i="1"/>
  <c r="BK149" i="1" s="1"/>
  <c r="CM147" i="1"/>
  <c r="CO147" i="1" s="1"/>
  <c r="CL147" i="1"/>
  <c r="CN147" i="1" s="1"/>
  <c r="CP147" i="1" s="1"/>
  <c r="AS150" i="1"/>
  <c r="AU150" i="1" s="1"/>
  <c r="AW150" i="1" s="1"/>
  <c r="AT150" i="1"/>
  <c r="AV150" i="1" s="1"/>
  <c r="U152" i="1" l="1"/>
  <c r="W152" i="1" s="1"/>
  <c r="T152" i="1"/>
  <c r="V152" i="1" s="1"/>
  <c r="X152" i="1" s="1"/>
  <c r="BN149" i="1"/>
  <c r="BP149" i="1" s="1"/>
  <c r="BM149" i="1"/>
  <c r="BO149" i="1" s="1"/>
  <c r="BQ149" i="1" s="1"/>
  <c r="AY150" i="1"/>
  <c r="BA150" i="1" s="1"/>
  <c r="AX150" i="1"/>
  <c r="AZ150" i="1" s="1"/>
  <c r="BB150" i="1" s="1"/>
  <c r="CC148" i="1"/>
  <c r="CE148" i="1" s="1"/>
  <c r="CB148" i="1"/>
  <c r="CD148" i="1" s="1"/>
  <c r="CF148" i="1" s="1"/>
  <c r="AI151" i="1"/>
  <c r="AK151" i="1" s="1"/>
  <c r="AM151" i="1" s="1"/>
  <c r="AJ151" i="1"/>
  <c r="AL151" i="1" s="1"/>
  <c r="K152" i="1"/>
  <c r="M152" i="1" s="1"/>
  <c r="J152" i="1"/>
  <c r="L152" i="1" s="1"/>
  <c r="N152" i="1" s="1"/>
  <c r="D153" i="1"/>
  <c r="DB146" i="1"/>
  <c r="DD146" i="1" s="1"/>
  <c r="DA146" i="1"/>
  <c r="DC146" i="1" s="1"/>
  <c r="CR147" i="1"/>
  <c r="CT147" i="1" s="1"/>
  <c r="CQ147" i="1"/>
  <c r="CS147" i="1" s="1"/>
  <c r="CU147" i="1" s="1"/>
  <c r="F153" i="1" l="1"/>
  <c r="H153" i="1" s="1"/>
  <c r="E153" i="1"/>
  <c r="CG148" i="1"/>
  <c r="CI148" i="1" s="1"/>
  <c r="CK148" i="1" s="1"/>
  <c r="CH148" i="1"/>
  <c r="CJ148" i="1" s="1"/>
  <c r="O152" i="1"/>
  <c r="P152" i="1"/>
  <c r="R152" i="1" s="1"/>
  <c r="BD150" i="1"/>
  <c r="BF150" i="1" s="1"/>
  <c r="BC150" i="1"/>
  <c r="BE150" i="1" s="1"/>
  <c r="BG150" i="1" s="1"/>
  <c r="BS149" i="1"/>
  <c r="BU149" i="1" s="1"/>
  <c r="BR149" i="1"/>
  <c r="BT149" i="1" s="1"/>
  <c r="BV149" i="1" s="1"/>
  <c r="Y152" i="1"/>
  <c r="AA152" i="1" s="1"/>
  <c r="AC152" i="1" s="1"/>
  <c r="Z152" i="1"/>
  <c r="AB152" i="1" s="1"/>
  <c r="CW147" i="1"/>
  <c r="CY147" i="1" s="1"/>
  <c r="CV147" i="1"/>
  <c r="CX147" i="1" s="1"/>
  <c r="CZ147" i="1" s="1"/>
  <c r="AO151" i="1"/>
  <c r="AQ151" i="1" s="1"/>
  <c r="AN151" i="1"/>
  <c r="AP151" i="1" s="1"/>
  <c r="AR151" i="1" s="1"/>
  <c r="BI150" i="1" l="1"/>
  <c r="BK150" i="1" s="1"/>
  <c r="BH150" i="1"/>
  <c r="BJ150" i="1" s="1"/>
  <c r="BL150" i="1" s="1"/>
  <c r="AT151" i="1"/>
  <c r="AV151" i="1" s="1"/>
  <c r="AS151" i="1"/>
  <c r="AU151" i="1" s="1"/>
  <c r="AW151" i="1" s="1"/>
  <c r="DB147" i="1"/>
  <c r="DD147" i="1" s="1"/>
  <c r="DA147" i="1"/>
  <c r="DC147" i="1" s="1"/>
  <c r="CM148" i="1"/>
  <c r="CO148" i="1" s="1"/>
  <c r="CL148" i="1"/>
  <c r="CN148" i="1" s="1"/>
  <c r="CP148" i="1" s="1"/>
  <c r="AE152" i="1"/>
  <c r="AG152" i="1" s="1"/>
  <c r="AD152" i="1"/>
  <c r="AF152" i="1" s="1"/>
  <c r="AH152" i="1" s="1"/>
  <c r="BX149" i="1"/>
  <c r="BZ149" i="1" s="1"/>
  <c r="BW149" i="1"/>
  <c r="BY149" i="1" s="1"/>
  <c r="CA149" i="1" s="1"/>
  <c r="G153" i="1"/>
  <c r="I153" i="1" s="1"/>
  <c r="Q153" i="1"/>
  <c r="S153" i="1" s="1"/>
  <c r="CC149" i="1" l="1"/>
  <c r="CE149" i="1" s="1"/>
  <c r="CB149" i="1"/>
  <c r="CD149" i="1" s="1"/>
  <c r="CF149" i="1" s="1"/>
  <c r="U153" i="1"/>
  <c r="W153" i="1" s="1"/>
  <c r="T153" i="1"/>
  <c r="V153" i="1" s="1"/>
  <c r="X153" i="1" s="1"/>
  <c r="CR148" i="1"/>
  <c r="CT148" i="1" s="1"/>
  <c r="CQ148" i="1"/>
  <c r="CS148" i="1" s="1"/>
  <c r="CU148" i="1" s="1"/>
  <c r="K153" i="1"/>
  <c r="M153" i="1" s="1"/>
  <c r="J153" i="1"/>
  <c r="L153" i="1" s="1"/>
  <c r="N153" i="1" s="1"/>
  <c r="D154" i="1"/>
  <c r="AY151" i="1"/>
  <c r="BA151" i="1" s="1"/>
  <c r="AX151" i="1"/>
  <c r="AZ151" i="1" s="1"/>
  <c r="BB151" i="1" s="1"/>
  <c r="BN150" i="1"/>
  <c r="BP150" i="1" s="1"/>
  <c r="BM150" i="1"/>
  <c r="BO150" i="1" s="1"/>
  <c r="BQ150" i="1" s="1"/>
  <c r="AJ152" i="1"/>
  <c r="AL152" i="1" s="1"/>
  <c r="AI152" i="1"/>
  <c r="AK152" i="1" s="1"/>
  <c r="AM152" i="1" s="1"/>
  <c r="O153" i="1" l="1"/>
  <c r="P153" i="1"/>
  <c r="R153" i="1" s="1"/>
  <c r="CW148" i="1"/>
  <c r="CY148" i="1" s="1"/>
  <c r="CV148" i="1"/>
  <c r="CX148" i="1" s="1"/>
  <c r="CZ148" i="1" s="1"/>
  <c r="Z153" i="1"/>
  <c r="AB153" i="1" s="1"/>
  <c r="Y153" i="1"/>
  <c r="AA153" i="1" s="1"/>
  <c r="AC153" i="1" s="1"/>
  <c r="AO152" i="1"/>
  <c r="AQ152" i="1" s="1"/>
  <c r="AN152" i="1"/>
  <c r="AP152" i="1" s="1"/>
  <c r="AR152" i="1" s="1"/>
  <c r="BS150" i="1"/>
  <c r="BU150" i="1" s="1"/>
  <c r="BR150" i="1"/>
  <c r="BT150" i="1" s="1"/>
  <c r="BV150" i="1" s="1"/>
  <c r="BD151" i="1"/>
  <c r="BF151" i="1" s="1"/>
  <c r="BC151" i="1"/>
  <c r="BE151" i="1" s="1"/>
  <c r="BG151" i="1" s="1"/>
  <c r="CH149" i="1"/>
  <c r="CJ149" i="1" s="1"/>
  <c r="CG149" i="1"/>
  <c r="CI149" i="1" s="1"/>
  <c r="CK149" i="1" s="1"/>
  <c r="E154" i="1"/>
  <c r="F154" i="1"/>
  <c r="H154" i="1" s="1"/>
  <c r="Q154" i="1" l="1"/>
  <c r="S154" i="1" s="1"/>
  <c r="G154" i="1"/>
  <c r="I154" i="1" s="1"/>
  <c r="AT152" i="1"/>
  <c r="AV152" i="1" s="1"/>
  <c r="AS152" i="1"/>
  <c r="AU152" i="1" s="1"/>
  <c r="AW152" i="1" s="1"/>
  <c r="AE153" i="1"/>
  <c r="AG153" i="1" s="1"/>
  <c r="AD153" i="1"/>
  <c r="AF153" i="1" s="1"/>
  <c r="AH153" i="1" s="1"/>
  <c r="BI151" i="1"/>
  <c r="BK151" i="1" s="1"/>
  <c r="BH151" i="1"/>
  <c r="BJ151" i="1" s="1"/>
  <c r="BL151" i="1" s="1"/>
  <c r="BX150" i="1"/>
  <c r="BZ150" i="1" s="1"/>
  <c r="BW150" i="1"/>
  <c r="BY150" i="1" s="1"/>
  <c r="CA150" i="1" s="1"/>
  <c r="CM149" i="1"/>
  <c r="CO149" i="1" s="1"/>
  <c r="CL149" i="1"/>
  <c r="CN149" i="1" s="1"/>
  <c r="CP149" i="1" s="1"/>
  <c r="DB148" i="1"/>
  <c r="DD148" i="1" s="1"/>
  <c r="DA148" i="1"/>
  <c r="DC148" i="1" s="1"/>
  <c r="AJ153" i="1" l="1"/>
  <c r="AL153" i="1" s="1"/>
  <c r="AI153" i="1"/>
  <c r="AK153" i="1" s="1"/>
  <c r="AM153" i="1" s="1"/>
  <c r="CR149" i="1"/>
  <c r="CT149" i="1" s="1"/>
  <c r="CQ149" i="1"/>
  <c r="CS149" i="1" s="1"/>
  <c r="CU149" i="1" s="1"/>
  <c r="K154" i="1"/>
  <c r="M154" i="1" s="1"/>
  <c r="J154" i="1"/>
  <c r="L154" i="1" s="1"/>
  <c r="N154" i="1" s="1"/>
  <c r="D155" i="1"/>
  <c r="BN151" i="1"/>
  <c r="BP151" i="1" s="1"/>
  <c r="BM151" i="1"/>
  <c r="BO151" i="1" s="1"/>
  <c r="BQ151" i="1" s="1"/>
  <c r="AY152" i="1"/>
  <c r="BA152" i="1" s="1"/>
  <c r="AX152" i="1"/>
  <c r="AZ152" i="1" s="1"/>
  <c r="BB152" i="1" s="1"/>
  <c r="CC150" i="1"/>
  <c r="CE150" i="1" s="1"/>
  <c r="CB150" i="1"/>
  <c r="CD150" i="1" s="1"/>
  <c r="CF150" i="1" s="1"/>
  <c r="U154" i="1"/>
  <c r="W154" i="1" s="1"/>
  <c r="T154" i="1"/>
  <c r="V154" i="1" s="1"/>
  <c r="X154" i="1" s="1"/>
  <c r="F155" i="1" l="1"/>
  <c r="H155" i="1" s="1"/>
  <c r="E155" i="1"/>
  <c r="CH150" i="1"/>
  <c r="CJ150" i="1" s="1"/>
  <c r="CG150" i="1"/>
  <c r="CI150" i="1" s="1"/>
  <c r="CK150" i="1" s="1"/>
  <c r="BS151" i="1"/>
  <c r="BU151" i="1" s="1"/>
  <c r="BR151" i="1"/>
  <c r="BT151" i="1" s="1"/>
  <c r="BV151" i="1" s="1"/>
  <c r="CW149" i="1"/>
  <c r="CY149" i="1" s="1"/>
  <c r="CV149" i="1"/>
  <c r="CX149" i="1" s="1"/>
  <c r="CZ149" i="1" s="1"/>
  <c r="P154" i="1"/>
  <c r="R154" i="1" s="1"/>
  <c r="O154" i="1"/>
  <c r="Z154" i="1"/>
  <c r="AB154" i="1" s="1"/>
  <c r="Y154" i="1"/>
  <c r="AA154" i="1" s="1"/>
  <c r="AC154" i="1" s="1"/>
  <c r="BD152" i="1"/>
  <c r="BF152" i="1" s="1"/>
  <c r="BC152" i="1"/>
  <c r="BE152" i="1" s="1"/>
  <c r="BG152" i="1" s="1"/>
  <c r="AO153" i="1"/>
  <c r="AQ153" i="1" s="1"/>
  <c r="AN153" i="1"/>
  <c r="AP153" i="1" s="1"/>
  <c r="AR153" i="1" s="1"/>
  <c r="DA149" i="1" l="1"/>
  <c r="DC149" i="1" s="1"/>
  <c r="DB149" i="1"/>
  <c r="DD149" i="1" s="1"/>
  <c r="AT153" i="1"/>
  <c r="AV153" i="1" s="1"/>
  <c r="AS153" i="1"/>
  <c r="AU153" i="1" s="1"/>
  <c r="AW153" i="1" s="1"/>
  <c r="BI152" i="1"/>
  <c r="BK152" i="1" s="1"/>
  <c r="BH152" i="1"/>
  <c r="BJ152" i="1" s="1"/>
  <c r="BL152" i="1" s="1"/>
  <c r="BX151" i="1"/>
  <c r="BZ151" i="1" s="1"/>
  <c r="BW151" i="1"/>
  <c r="BY151" i="1" s="1"/>
  <c r="CA151" i="1" s="1"/>
  <c r="AE154" i="1"/>
  <c r="AG154" i="1" s="1"/>
  <c r="AD154" i="1"/>
  <c r="AF154" i="1" s="1"/>
  <c r="AH154" i="1" s="1"/>
  <c r="G155" i="1"/>
  <c r="I155" i="1" s="1"/>
  <c r="Q155" i="1"/>
  <c r="S155" i="1" s="1"/>
  <c r="CM150" i="1"/>
  <c r="CO150" i="1" s="1"/>
  <c r="CL150" i="1"/>
  <c r="CN150" i="1" s="1"/>
  <c r="CP150" i="1" s="1"/>
  <c r="BN152" i="1" l="1"/>
  <c r="BP152" i="1" s="1"/>
  <c r="BM152" i="1"/>
  <c r="BO152" i="1" s="1"/>
  <c r="BQ152" i="1" s="1"/>
  <c r="CC151" i="1"/>
  <c r="CE151" i="1" s="1"/>
  <c r="CB151" i="1"/>
  <c r="CD151" i="1" s="1"/>
  <c r="CF151" i="1" s="1"/>
  <c r="CQ150" i="1"/>
  <c r="CS150" i="1" s="1"/>
  <c r="CU150" i="1" s="1"/>
  <c r="CR150" i="1"/>
  <c r="CT150" i="1" s="1"/>
  <c r="K155" i="1"/>
  <c r="M155" i="1" s="1"/>
  <c r="J155" i="1"/>
  <c r="L155" i="1" s="1"/>
  <c r="N155" i="1" s="1"/>
  <c r="D156" i="1"/>
  <c r="U155" i="1"/>
  <c r="W155" i="1" s="1"/>
  <c r="T155" i="1"/>
  <c r="V155" i="1" s="1"/>
  <c r="X155" i="1" s="1"/>
  <c r="AY153" i="1"/>
  <c r="BA153" i="1" s="1"/>
  <c r="AX153" i="1"/>
  <c r="AZ153" i="1" s="1"/>
  <c r="BB153" i="1" s="1"/>
  <c r="AJ154" i="1"/>
  <c r="AL154" i="1" s="1"/>
  <c r="AI154" i="1"/>
  <c r="AK154" i="1" s="1"/>
  <c r="AM154" i="1" s="1"/>
  <c r="BD153" i="1" l="1"/>
  <c r="BF153" i="1" s="1"/>
  <c r="BC153" i="1"/>
  <c r="BE153" i="1" s="1"/>
  <c r="BG153" i="1" s="1"/>
  <c r="CG151" i="1"/>
  <c r="CI151" i="1" s="1"/>
  <c r="CK151" i="1" s="1"/>
  <c r="CH151" i="1"/>
  <c r="CJ151" i="1" s="1"/>
  <c r="AO154" i="1"/>
  <c r="AQ154" i="1" s="1"/>
  <c r="AN154" i="1"/>
  <c r="AP154" i="1" s="1"/>
  <c r="AR154" i="1" s="1"/>
  <c r="P155" i="1"/>
  <c r="R155" i="1" s="1"/>
  <c r="O155" i="1"/>
  <c r="CW150" i="1"/>
  <c r="CY150" i="1" s="1"/>
  <c r="CV150" i="1"/>
  <c r="CX150" i="1" s="1"/>
  <c r="CZ150" i="1" s="1"/>
  <c r="Z155" i="1"/>
  <c r="AB155" i="1" s="1"/>
  <c r="Y155" i="1"/>
  <c r="AA155" i="1" s="1"/>
  <c r="AC155" i="1" s="1"/>
  <c r="BS152" i="1"/>
  <c r="BU152" i="1" s="1"/>
  <c r="BR152" i="1"/>
  <c r="BT152" i="1" s="1"/>
  <c r="BV152" i="1" s="1"/>
  <c r="F156" i="1"/>
  <c r="H156" i="1" s="1"/>
  <c r="E156" i="1"/>
  <c r="AT154" i="1" l="1"/>
  <c r="AV154" i="1" s="1"/>
  <c r="AS154" i="1"/>
  <c r="AU154" i="1" s="1"/>
  <c r="AW154" i="1" s="1"/>
  <c r="AE155" i="1"/>
  <c r="AG155" i="1" s="1"/>
  <c r="AD155" i="1"/>
  <c r="AF155" i="1" s="1"/>
  <c r="AH155" i="1" s="1"/>
  <c r="G156" i="1"/>
  <c r="I156" i="1" s="1"/>
  <c r="Q156" i="1"/>
  <c r="S156" i="1" s="1"/>
  <c r="BX152" i="1"/>
  <c r="BZ152" i="1" s="1"/>
  <c r="BW152" i="1"/>
  <c r="BY152" i="1" s="1"/>
  <c r="CA152" i="1" s="1"/>
  <c r="CM151" i="1"/>
  <c r="CO151" i="1" s="1"/>
  <c r="CL151" i="1"/>
  <c r="CN151" i="1" s="1"/>
  <c r="CP151" i="1" s="1"/>
  <c r="BI153" i="1"/>
  <c r="BK153" i="1" s="1"/>
  <c r="BH153" i="1"/>
  <c r="BJ153" i="1" s="1"/>
  <c r="BL153" i="1" s="1"/>
  <c r="DA150" i="1"/>
  <c r="DC150" i="1" s="1"/>
  <c r="DB150" i="1"/>
  <c r="DD150" i="1" s="1"/>
  <c r="K156" i="1" l="1"/>
  <c r="M156" i="1" s="1"/>
  <c r="J156" i="1"/>
  <c r="L156" i="1" s="1"/>
  <c r="N156" i="1" s="1"/>
  <c r="D157" i="1"/>
  <c r="U156" i="1"/>
  <c r="W156" i="1" s="1"/>
  <c r="T156" i="1"/>
  <c r="V156" i="1" s="1"/>
  <c r="X156" i="1" s="1"/>
  <c r="BN153" i="1"/>
  <c r="BP153" i="1" s="1"/>
  <c r="BM153" i="1"/>
  <c r="BO153" i="1" s="1"/>
  <c r="BQ153" i="1" s="1"/>
  <c r="AJ155" i="1"/>
  <c r="AL155" i="1" s="1"/>
  <c r="AI155" i="1"/>
  <c r="AK155" i="1" s="1"/>
  <c r="AM155" i="1" s="1"/>
  <c r="AY154" i="1"/>
  <c r="BA154" i="1" s="1"/>
  <c r="AX154" i="1"/>
  <c r="AZ154" i="1" s="1"/>
  <c r="BB154" i="1" s="1"/>
  <c r="CC152" i="1"/>
  <c r="CE152" i="1" s="1"/>
  <c r="CB152" i="1"/>
  <c r="CD152" i="1" s="1"/>
  <c r="CF152" i="1" s="1"/>
  <c r="CQ151" i="1"/>
  <c r="CS151" i="1" s="1"/>
  <c r="CU151" i="1" s="1"/>
  <c r="CR151" i="1"/>
  <c r="CT151" i="1" s="1"/>
  <c r="BS153" i="1" l="1"/>
  <c r="BU153" i="1" s="1"/>
  <c r="BR153" i="1"/>
  <c r="BT153" i="1" s="1"/>
  <c r="BV153" i="1" s="1"/>
  <c r="AO155" i="1"/>
  <c r="AQ155" i="1" s="1"/>
  <c r="AN155" i="1"/>
  <c r="AP155" i="1" s="1"/>
  <c r="AR155" i="1" s="1"/>
  <c r="CG152" i="1"/>
  <c r="CI152" i="1" s="1"/>
  <c r="CK152" i="1" s="1"/>
  <c r="CH152" i="1"/>
  <c r="CJ152" i="1" s="1"/>
  <c r="CW151" i="1"/>
  <c r="CY151" i="1" s="1"/>
  <c r="CV151" i="1"/>
  <c r="CX151" i="1" s="1"/>
  <c r="CZ151" i="1" s="1"/>
  <c r="BD154" i="1"/>
  <c r="BF154" i="1" s="1"/>
  <c r="BC154" i="1"/>
  <c r="BE154" i="1" s="1"/>
  <c r="BG154" i="1" s="1"/>
  <c r="Z156" i="1"/>
  <c r="AB156" i="1" s="1"/>
  <c r="Y156" i="1"/>
  <c r="AA156" i="1" s="1"/>
  <c r="AC156" i="1" s="1"/>
  <c r="F157" i="1"/>
  <c r="H157" i="1" s="1"/>
  <c r="E157" i="1"/>
  <c r="P156" i="1"/>
  <c r="R156" i="1" s="1"/>
  <c r="O156" i="1"/>
  <c r="AT155" i="1" l="1"/>
  <c r="AV155" i="1" s="1"/>
  <c r="AS155" i="1"/>
  <c r="AU155" i="1" s="1"/>
  <c r="AW155" i="1" s="1"/>
  <c r="CM152" i="1"/>
  <c r="CO152" i="1" s="1"/>
  <c r="CL152" i="1"/>
  <c r="CN152" i="1" s="1"/>
  <c r="CP152" i="1" s="1"/>
  <c r="BW153" i="1"/>
  <c r="BY153" i="1" s="1"/>
  <c r="CA153" i="1" s="1"/>
  <c r="BX153" i="1"/>
  <c r="BZ153" i="1" s="1"/>
  <c r="DB151" i="1"/>
  <c r="DD151" i="1" s="1"/>
  <c r="DA151" i="1"/>
  <c r="DC151" i="1" s="1"/>
  <c r="G157" i="1"/>
  <c r="I157" i="1" s="1"/>
  <c r="Q157" i="1"/>
  <c r="S157" i="1" s="1"/>
  <c r="AE156" i="1"/>
  <c r="AG156" i="1" s="1"/>
  <c r="AD156" i="1"/>
  <c r="AF156" i="1" s="1"/>
  <c r="AH156" i="1" s="1"/>
  <c r="BI154" i="1"/>
  <c r="BK154" i="1" s="1"/>
  <c r="BH154" i="1"/>
  <c r="BJ154" i="1" s="1"/>
  <c r="BL154" i="1" s="1"/>
  <c r="BM154" i="1" l="1"/>
  <c r="BO154" i="1" s="1"/>
  <c r="BQ154" i="1" s="1"/>
  <c r="BN154" i="1"/>
  <c r="BP154" i="1" s="1"/>
  <c r="CC153" i="1"/>
  <c r="CE153" i="1" s="1"/>
  <c r="CB153" i="1"/>
  <c r="CD153" i="1" s="1"/>
  <c r="CF153" i="1" s="1"/>
  <c r="AJ156" i="1"/>
  <c r="AL156" i="1" s="1"/>
  <c r="AI156" i="1"/>
  <c r="AK156" i="1" s="1"/>
  <c r="AM156" i="1" s="1"/>
  <c r="U157" i="1"/>
  <c r="W157" i="1" s="1"/>
  <c r="T157" i="1"/>
  <c r="V157" i="1" s="1"/>
  <c r="X157" i="1" s="1"/>
  <c r="CR152" i="1"/>
  <c r="CT152" i="1" s="1"/>
  <c r="CQ152" i="1"/>
  <c r="CS152" i="1" s="1"/>
  <c r="CU152" i="1" s="1"/>
  <c r="AY155" i="1"/>
  <c r="BA155" i="1" s="1"/>
  <c r="AX155" i="1"/>
  <c r="AZ155" i="1" s="1"/>
  <c r="BB155" i="1" s="1"/>
  <c r="K157" i="1"/>
  <c r="M157" i="1" s="1"/>
  <c r="J157" i="1"/>
  <c r="L157" i="1" s="1"/>
  <c r="N157" i="1" s="1"/>
  <c r="D158" i="1"/>
  <c r="AO156" i="1" l="1"/>
  <c r="AQ156" i="1" s="1"/>
  <c r="AN156" i="1"/>
  <c r="AP156" i="1" s="1"/>
  <c r="AR156" i="1" s="1"/>
  <c r="Z157" i="1"/>
  <c r="AB157" i="1" s="1"/>
  <c r="Y157" i="1"/>
  <c r="AA157" i="1" s="1"/>
  <c r="AC157" i="1" s="1"/>
  <c r="BC155" i="1"/>
  <c r="BE155" i="1" s="1"/>
  <c r="BG155" i="1" s="1"/>
  <c r="BD155" i="1"/>
  <c r="BF155" i="1" s="1"/>
  <c r="F158" i="1"/>
  <c r="H158" i="1" s="1"/>
  <c r="E158" i="1"/>
  <c r="CW152" i="1"/>
  <c r="CY152" i="1" s="1"/>
  <c r="CV152" i="1"/>
  <c r="CX152" i="1" s="1"/>
  <c r="P157" i="1"/>
  <c r="R157" i="1" s="1"/>
  <c r="O157" i="1"/>
  <c r="CH153" i="1"/>
  <c r="CJ153" i="1" s="1"/>
  <c r="CG153" i="1"/>
  <c r="CI153" i="1" s="1"/>
  <c r="CK153" i="1" s="1"/>
  <c r="BS154" i="1"/>
  <c r="BU154" i="1" s="1"/>
  <c r="BR154" i="1"/>
  <c r="BT154" i="1" s="1"/>
  <c r="BV154" i="1" s="1"/>
  <c r="CM153" i="1" l="1"/>
  <c r="CO153" i="1" s="1"/>
  <c r="CL153" i="1"/>
  <c r="CN153" i="1" s="1"/>
  <c r="CP153" i="1" s="1"/>
  <c r="G158" i="1"/>
  <c r="I158" i="1" s="1"/>
  <c r="Q158" i="1"/>
  <c r="S158" i="1" s="1"/>
  <c r="BI155" i="1"/>
  <c r="BK155" i="1" s="1"/>
  <c r="BH155" i="1"/>
  <c r="BJ155" i="1" s="1"/>
  <c r="BL155" i="1" s="1"/>
  <c r="BX154" i="1"/>
  <c r="BZ154" i="1" s="1"/>
  <c r="BW154" i="1"/>
  <c r="BY154" i="1" s="1"/>
  <c r="CA154" i="1" s="1"/>
  <c r="AE157" i="1"/>
  <c r="AG157" i="1" s="1"/>
  <c r="AD157" i="1"/>
  <c r="AF157" i="1" s="1"/>
  <c r="AH157" i="1" s="1"/>
  <c r="CZ152" i="1"/>
  <c r="AS156" i="1"/>
  <c r="AU156" i="1" s="1"/>
  <c r="AW156" i="1" s="1"/>
  <c r="AT156" i="1"/>
  <c r="AV156" i="1" s="1"/>
  <c r="CC154" i="1" l="1"/>
  <c r="CE154" i="1" s="1"/>
  <c r="CB154" i="1"/>
  <c r="CD154" i="1" s="1"/>
  <c r="CF154" i="1" s="1"/>
  <c r="AY156" i="1"/>
  <c r="BA156" i="1" s="1"/>
  <c r="AX156" i="1"/>
  <c r="AZ156" i="1" s="1"/>
  <c r="BB156" i="1" s="1"/>
  <c r="DB152" i="1"/>
  <c r="DD152" i="1" s="1"/>
  <c r="DA152" i="1"/>
  <c r="DC152" i="1" s="1"/>
  <c r="BN155" i="1"/>
  <c r="BP155" i="1" s="1"/>
  <c r="BM155" i="1"/>
  <c r="BO155" i="1" s="1"/>
  <c r="BQ155" i="1" s="1"/>
  <c r="U158" i="1"/>
  <c r="W158" i="1" s="1"/>
  <c r="T158" i="1"/>
  <c r="V158" i="1" s="1"/>
  <c r="X158" i="1" s="1"/>
  <c r="K158" i="1"/>
  <c r="M158" i="1" s="1"/>
  <c r="J158" i="1"/>
  <c r="L158" i="1" s="1"/>
  <c r="N158" i="1" s="1"/>
  <c r="D159" i="1"/>
  <c r="CR153" i="1"/>
  <c r="CT153" i="1" s="1"/>
  <c r="CQ153" i="1"/>
  <c r="CS153" i="1" s="1"/>
  <c r="CU153" i="1" s="1"/>
  <c r="AI157" i="1"/>
  <c r="AK157" i="1" s="1"/>
  <c r="AM157" i="1" s="1"/>
  <c r="AJ157" i="1"/>
  <c r="AL157" i="1" s="1"/>
  <c r="BS155" i="1" l="1"/>
  <c r="BU155" i="1" s="1"/>
  <c r="BR155" i="1"/>
  <c r="BT155" i="1" s="1"/>
  <c r="BV155" i="1" s="1"/>
  <c r="F159" i="1"/>
  <c r="H159" i="1" s="1"/>
  <c r="E159" i="1"/>
  <c r="CW153" i="1"/>
  <c r="CY153" i="1" s="1"/>
  <c r="CV153" i="1"/>
  <c r="CX153" i="1" s="1"/>
  <c r="CZ153" i="1" s="1"/>
  <c r="P158" i="1"/>
  <c r="R158" i="1" s="1"/>
  <c r="O158" i="1"/>
  <c r="AO157" i="1"/>
  <c r="AQ157" i="1" s="1"/>
  <c r="AN157" i="1"/>
  <c r="AP157" i="1" s="1"/>
  <c r="AR157" i="1" s="1"/>
  <c r="BD156" i="1"/>
  <c r="BF156" i="1" s="1"/>
  <c r="BC156" i="1"/>
  <c r="BE156" i="1" s="1"/>
  <c r="BG156" i="1" s="1"/>
  <c r="Y158" i="1"/>
  <c r="AA158" i="1" s="1"/>
  <c r="AC158" i="1" s="1"/>
  <c r="Z158" i="1"/>
  <c r="AB158" i="1" s="1"/>
  <c r="CH154" i="1"/>
  <c r="CJ154" i="1" s="1"/>
  <c r="CG154" i="1"/>
  <c r="CI154" i="1" s="1"/>
  <c r="CK154" i="1" s="1"/>
  <c r="CM154" i="1" l="1"/>
  <c r="CO154" i="1" s="1"/>
  <c r="CL154" i="1"/>
  <c r="CN154" i="1" s="1"/>
  <c r="CP154" i="1" s="1"/>
  <c r="AE158" i="1"/>
  <c r="AG158" i="1" s="1"/>
  <c r="AD158" i="1"/>
  <c r="AF158" i="1" s="1"/>
  <c r="AH158" i="1" s="1"/>
  <c r="DB153" i="1"/>
  <c r="DD153" i="1" s="1"/>
  <c r="DA153" i="1"/>
  <c r="DC153" i="1" s="1"/>
  <c r="G159" i="1"/>
  <c r="I159" i="1" s="1"/>
  <c r="Q159" i="1"/>
  <c r="S159" i="1" s="1"/>
  <c r="BI156" i="1"/>
  <c r="BK156" i="1" s="1"/>
  <c r="BH156" i="1"/>
  <c r="BJ156" i="1" s="1"/>
  <c r="BL156" i="1" s="1"/>
  <c r="BX155" i="1"/>
  <c r="BZ155" i="1" s="1"/>
  <c r="BW155" i="1"/>
  <c r="BY155" i="1" s="1"/>
  <c r="CA155" i="1" s="1"/>
  <c r="AT157" i="1"/>
  <c r="AV157" i="1" s="1"/>
  <c r="AS157" i="1"/>
  <c r="AU157" i="1" s="1"/>
  <c r="AW157" i="1" s="1"/>
  <c r="K159" i="1" l="1"/>
  <c r="M159" i="1" s="1"/>
  <c r="J159" i="1"/>
  <c r="L159" i="1" s="1"/>
  <c r="N159" i="1" s="1"/>
  <c r="D160" i="1"/>
  <c r="AY157" i="1"/>
  <c r="BA157" i="1" s="1"/>
  <c r="AX157" i="1"/>
  <c r="AZ157" i="1" s="1"/>
  <c r="BB157" i="1" s="1"/>
  <c r="AJ158" i="1"/>
  <c r="AL158" i="1" s="1"/>
  <c r="AI158" i="1"/>
  <c r="AK158" i="1" s="1"/>
  <c r="AM158" i="1" s="1"/>
  <c r="BN156" i="1"/>
  <c r="BP156" i="1" s="1"/>
  <c r="BM156" i="1"/>
  <c r="BO156" i="1" s="1"/>
  <c r="BQ156" i="1" s="1"/>
  <c r="U159" i="1"/>
  <c r="W159" i="1" s="1"/>
  <c r="T159" i="1"/>
  <c r="V159" i="1" s="1"/>
  <c r="X159" i="1" s="1"/>
  <c r="CC155" i="1"/>
  <c r="CE155" i="1" s="1"/>
  <c r="CB155" i="1"/>
  <c r="CD155" i="1" s="1"/>
  <c r="CF155" i="1" s="1"/>
  <c r="CR154" i="1"/>
  <c r="CT154" i="1" s="1"/>
  <c r="CQ154" i="1"/>
  <c r="CS154" i="1" s="1"/>
  <c r="CU154" i="1" s="1"/>
  <c r="BS156" i="1" l="1"/>
  <c r="BU156" i="1" s="1"/>
  <c r="BR156" i="1"/>
  <c r="BT156" i="1" s="1"/>
  <c r="BV156" i="1" s="1"/>
  <c r="CW154" i="1"/>
  <c r="CY154" i="1" s="1"/>
  <c r="CV154" i="1"/>
  <c r="CX154" i="1" s="1"/>
  <c r="CZ154" i="1" s="1"/>
  <c r="BD157" i="1"/>
  <c r="BF157" i="1" s="1"/>
  <c r="BC157" i="1"/>
  <c r="BE157" i="1" s="1"/>
  <c r="BG157" i="1" s="1"/>
  <c r="E160" i="1"/>
  <c r="F160" i="1"/>
  <c r="H160" i="1" s="1"/>
  <c r="O159" i="1"/>
  <c r="P159" i="1"/>
  <c r="R159" i="1" s="1"/>
  <c r="AO158" i="1"/>
  <c r="AQ158" i="1" s="1"/>
  <c r="AN158" i="1"/>
  <c r="AP158" i="1" s="1"/>
  <c r="AR158" i="1" s="1"/>
  <c r="CH155" i="1"/>
  <c r="CJ155" i="1" s="1"/>
  <c r="CG155" i="1"/>
  <c r="CI155" i="1" s="1"/>
  <c r="CK155" i="1" s="1"/>
  <c r="Z159" i="1"/>
  <c r="AB159" i="1" s="1"/>
  <c r="Y159" i="1"/>
  <c r="AA159" i="1" s="1"/>
  <c r="AC159" i="1" s="1"/>
  <c r="BI157" i="1" l="1"/>
  <c r="BK157" i="1" s="1"/>
  <c r="BH157" i="1"/>
  <c r="BJ157" i="1" s="1"/>
  <c r="BL157" i="1" s="1"/>
  <c r="AE159" i="1"/>
  <c r="AG159" i="1" s="1"/>
  <c r="AD159" i="1"/>
  <c r="AF159" i="1" s="1"/>
  <c r="AH159" i="1" s="1"/>
  <c r="Q160" i="1"/>
  <c r="S160" i="1" s="1"/>
  <c r="G160" i="1"/>
  <c r="I160" i="1" s="1"/>
  <c r="DB154" i="1"/>
  <c r="DD154" i="1" s="1"/>
  <c r="DA154" i="1"/>
  <c r="DC154" i="1" s="1"/>
  <c r="CM155" i="1"/>
  <c r="CO155" i="1" s="1"/>
  <c r="CL155" i="1"/>
  <c r="CN155" i="1" s="1"/>
  <c r="CP155" i="1" s="1"/>
  <c r="AT158" i="1"/>
  <c r="AV158" i="1" s="1"/>
  <c r="AS158" i="1"/>
  <c r="AU158" i="1" s="1"/>
  <c r="AW158" i="1" s="1"/>
  <c r="BX156" i="1"/>
  <c r="BZ156" i="1" s="1"/>
  <c r="BW156" i="1"/>
  <c r="BY156" i="1" s="1"/>
  <c r="CA156" i="1" s="1"/>
  <c r="AY158" i="1" l="1"/>
  <c r="BA158" i="1" s="1"/>
  <c r="AX158" i="1"/>
  <c r="AZ158" i="1" s="1"/>
  <c r="BB158" i="1" s="1"/>
  <c r="CC156" i="1"/>
  <c r="CE156" i="1" s="1"/>
  <c r="CB156" i="1"/>
  <c r="CD156" i="1" s="1"/>
  <c r="CF156" i="1" s="1"/>
  <c r="AJ159" i="1"/>
  <c r="AL159" i="1" s="1"/>
  <c r="AI159" i="1"/>
  <c r="AK159" i="1" s="1"/>
  <c r="AM159" i="1" s="1"/>
  <c r="K160" i="1"/>
  <c r="M160" i="1" s="1"/>
  <c r="J160" i="1"/>
  <c r="L160" i="1" s="1"/>
  <c r="N160" i="1" s="1"/>
  <c r="D161" i="1"/>
  <c r="U160" i="1"/>
  <c r="W160" i="1" s="1"/>
  <c r="T160" i="1"/>
  <c r="V160" i="1" s="1"/>
  <c r="X160" i="1" s="1"/>
  <c r="BN157" i="1"/>
  <c r="BP157" i="1" s="1"/>
  <c r="BM157" i="1"/>
  <c r="BO157" i="1" s="1"/>
  <c r="BQ157" i="1" s="1"/>
  <c r="CR155" i="1"/>
  <c r="CT155" i="1" s="1"/>
  <c r="CQ155" i="1"/>
  <c r="CS155" i="1" s="1"/>
  <c r="CU155" i="1" s="1"/>
  <c r="P160" i="1" l="1"/>
  <c r="R160" i="1" s="1"/>
  <c r="O160" i="1"/>
  <c r="AO159" i="1"/>
  <c r="AQ159" i="1" s="1"/>
  <c r="AN159" i="1"/>
  <c r="AP159" i="1" s="1"/>
  <c r="AR159" i="1" s="1"/>
  <c r="CH156" i="1"/>
  <c r="CJ156" i="1" s="1"/>
  <c r="CG156" i="1"/>
  <c r="CI156" i="1" s="1"/>
  <c r="CK156" i="1" s="1"/>
  <c r="BS157" i="1"/>
  <c r="BU157" i="1" s="1"/>
  <c r="BR157" i="1"/>
  <c r="BT157" i="1" s="1"/>
  <c r="BV157" i="1" s="1"/>
  <c r="CW155" i="1"/>
  <c r="CY155" i="1" s="1"/>
  <c r="CV155" i="1"/>
  <c r="CX155" i="1" s="1"/>
  <c r="CZ155" i="1" s="1"/>
  <c r="Z160" i="1"/>
  <c r="AB160" i="1" s="1"/>
  <c r="Y160" i="1"/>
  <c r="AA160" i="1" s="1"/>
  <c r="AC160" i="1" s="1"/>
  <c r="BD158" i="1"/>
  <c r="BF158" i="1" s="1"/>
  <c r="BC158" i="1"/>
  <c r="BE158" i="1" s="1"/>
  <c r="BG158" i="1" s="1"/>
  <c r="F161" i="1"/>
  <c r="H161" i="1" s="1"/>
  <c r="E161" i="1"/>
  <c r="G161" i="1" l="1"/>
  <c r="I161" i="1" s="1"/>
  <c r="Q161" i="1"/>
  <c r="S161" i="1" s="1"/>
  <c r="BI158" i="1"/>
  <c r="BK158" i="1" s="1"/>
  <c r="BH158" i="1"/>
  <c r="BJ158" i="1" s="1"/>
  <c r="BL158" i="1" s="1"/>
  <c r="AE160" i="1"/>
  <c r="AG160" i="1" s="1"/>
  <c r="AD160" i="1"/>
  <c r="AF160" i="1" s="1"/>
  <c r="AH160" i="1" s="1"/>
  <c r="CM156" i="1"/>
  <c r="CO156" i="1" s="1"/>
  <c r="CL156" i="1"/>
  <c r="CN156" i="1" s="1"/>
  <c r="CP156" i="1" s="1"/>
  <c r="DB155" i="1"/>
  <c r="DD155" i="1" s="1"/>
  <c r="DA155" i="1"/>
  <c r="DC155" i="1" s="1"/>
  <c r="BX157" i="1"/>
  <c r="BZ157" i="1" s="1"/>
  <c r="BW157" i="1"/>
  <c r="BY157" i="1" s="1"/>
  <c r="CA157" i="1" s="1"/>
  <c r="AT159" i="1"/>
  <c r="AV159" i="1" s="1"/>
  <c r="AS159" i="1"/>
  <c r="AU159" i="1" s="1"/>
  <c r="AW159" i="1" s="1"/>
  <c r="CR156" i="1" l="1"/>
  <c r="CT156" i="1" s="1"/>
  <c r="CQ156" i="1"/>
  <c r="CS156" i="1" s="1"/>
  <c r="CU156" i="1" s="1"/>
  <c r="BN158" i="1"/>
  <c r="BP158" i="1" s="1"/>
  <c r="BM158" i="1"/>
  <c r="BO158" i="1" s="1"/>
  <c r="BQ158" i="1" s="1"/>
  <c r="AY159" i="1"/>
  <c r="BA159" i="1" s="1"/>
  <c r="AX159" i="1"/>
  <c r="AZ159" i="1" s="1"/>
  <c r="BB159" i="1" s="1"/>
  <c r="AJ160" i="1"/>
  <c r="AL160" i="1" s="1"/>
  <c r="AI160" i="1"/>
  <c r="AK160" i="1" s="1"/>
  <c r="AM160" i="1" s="1"/>
  <c r="CC157" i="1"/>
  <c r="CE157" i="1" s="1"/>
  <c r="CB157" i="1"/>
  <c r="CD157" i="1" s="1"/>
  <c r="CF157" i="1" s="1"/>
  <c r="U161" i="1"/>
  <c r="W161" i="1" s="1"/>
  <c r="T161" i="1"/>
  <c r="V161" i="1" s="1"/>
  <c r="X161" i="1" s="1"/>
  <c r="K161" i="1"/>
  <c r="M161" i="1" s="1"/>
  <c r="J161" i="1"/>
  <c r="L161" i="1" s="1"/>
  <c r="N161" i="1" s="1"/>
  <c r="D162" i="1"/>
  <c r="AO160" i="1" l="1"/>
  <c r="AQ160" i="1" s="1"/>
  <c r="AN160" i="1"/>
  <c r="AP160" i="1" s="1"/>
  <c r="AR160" i="1" s="1"/>
  <c r="P161" i="1"/>
  <c r="R161" i="1" s="1"/>
  <c r="O161" i="1"/>
  <c r="BS158" i="1"/>
  <c r="BU158" i="1" s="1"/>
  <c r="BR158" i="1"/>
  <c r="BT158" i="1" s="1"/>
  <c r="BV158" i="1" s="1"/>
  <c r="F162" i="1"/>
  <c r="H162" i="1" s="1"/>
  <c r="E162" i="1"/>
  <c r="Z161" i="1"/>
  <c r="AB161" i="1" s="1"/>
  <c r="Y161" i="1"/>
  <c r="AA161" i="1" s="1"/>
  <c r="AC161" i="1" s="1"/>
  <c r="CW156" i="1"/>
  <c r="CY156" i="1" s="1"/>
  <c r="CV156" i="1"/>
  <c r="CX156" i="1" s="1"/>
  <c r="CZ156" i="1" s="1"/>
  <c r="BD159" i="1"/>
  <c r="BF159" i="1" s="1"/>
  <c r="BC159" i="1"/>
  <c r="BE159" i="1" s="1"/>
  <c r="BG159" i="1" s="1"/>
  <c r="CH157" i="1"/>
  <c r="CJ157" i="1" s="1"/>
  <c r="CG157" i="1"/>
  <c r="CI157" i="1" s="1"/>
  <c r="CK157" i="1" s="1"/>
  <c r="CM157" i="1" l="1"/>
  <c r="CO157" i="1" s="1"/>
  <c r="CL157" i="1"/>
  <c r="CN157" i="1" s="1"/>
  <c r="CP157" i="1" s="1"/>
  <c r="G162" i="1"/>
  <c r="I162" i="1" s="1"/>
  <c r="Q162" i="1"/>
  <c r="S162" i="1" s="1"/>
  <c r="BX158" i="1"/>
  <c r="BZ158" i="1" s="1"/>
  <c r="BW158" i="1"/>
  <c r="BY158" i="1" s="1"/>
  <c r="CA158" i="1" s="1"/>
  <c r="DA156" i="1"/>
  <c r="DC156" i="1" s="1"/>
  <c r="DB156" i="1"/>
  <c r="DD156" i="1" s="1"/>
  <c r="BI159" i="1"/>
  <c r="BK159" i="1" s="1"/>
  <c r="BH159" i="1"/>
  <c r="BJ159" i="1" s="1"/>
  <c r="BL159" i="1" s="1"/>
  <c r="AT160" i="1"/>
  <c r="AV160" i="1" s="1"/>
  <c r="AS160" i="1"/>
  <c r="AU160" i="1" s="1"/>
  <c r="AW160" i="1" s="1"/>
  <c r="AE161" i="1"/>
  <c r="AG161" i="1" s="1"/>
  <c r="AD161" i="1"/>
  <c r="AF161" i="1" s="1"/>
  <c r="AH161" i="1" s="1"/>
  <c r="CC158" i="1" l="1"/>
  <c r="CE158" i="1" s="1"/>
  <c r="CB158" i="1"/>
  <c r="CD158" i="1" s="1"/>
  <c r="CF158" i="1" s="1"/>
  <c r="AY160" i="1"/>
  <c r="BA160" i="1" s="1"/>
  <c r="AX160" i="1"/>
  <c r="AZ160" i="1" s="1"/>
  <c r="BB160" i="1" s="1"/>
  <c r="AJ161" i="1"/>
  <c r="AL161" i="1" s="1"/>
  <c r="AI161" i="1"/>
  <c r="AK161" i="1" s="1"/>
  <c r="AM161" i="1" s="1"/>
  <c r="U162" i="1"/>
  <c r="W162" i="1" s="1"/>
  <c r="T162" i="1"/>
  <c r="V162" i="1" s="1"/>
  <c r="X162" i="1" s="1"/>
  <c r="K162" i="1"/>
  <c r="M162" i="1" s="1"/>
  <c r="J162" i="1"/>
  <c r="L162" i="1" s="1"/>
  <c r="N162" i="1" s="1"/>
  <c r="D163" i="1"/>
  <c r="CQ157" i="1"/>
  <c r="CS157" i="1" s="1"/>
  <c r="CU157" i="1" s="1"/>
  <c r="CR157" i="1"/>
  <c r="CT157" i="1" s="1"/>
  <c r="BN159" i="1"/>
  <c r="BP159" i="1" s="1"/>
  <c r="BM159" i="1"/>
  <c r="BO159" i="1" s="1"/>
  <c r="BQ159" i="1" s="1"/>
  <c r="BS159" i="1" l="1"/>
  <c r="BU159" i="1" s="1"/>
  <c r="BR159" i="1"/>
  <c r="BT159" i="1" s="1"/>
  <c r="BV159" i="1" s="1"/>
  <c r="AO161" i="1"/>
  <c r="AQ161" i="1" s="1"/>
  <c r="AN161" i="1"/>
  <c r="AP161" i="1" s="1"/>
  <c r="AR161" i="1" s="1"/>
  <c r="CW157" i="1"/>
  <c r="CY157" i="1" s="1"/>
  <c r="CV157" i="1"/>
  <c r="CX157" i="1" s="1"/>
  <c r="CZ157" i="1" s="1"/>
  <c r="F163" i="1"/>
  <c r="H163" i="1" s="1"/>
  <c r="E163" i="1"/>
  <c r="CG158" i="1"/>
  <c r="CI158" i="1" s="1"/>
  <c r="CK158" i="1" s="1"/>
  <c r="CH158" i="1"/>
  <c r="CJ158" i="1" s="1"/>
  <c r="Z162" i="1"/>
  <c r="AB162" i="1" s="1"/>
  <c r="Y162" i="1"/>
  <c r="AA162" i="1" s="1"/>
  <c r="AC162" i="1" s="1"/>
  <c r="BD160" i="1"/>
  <c r="BF160" i="1" s="1"/>
  <c r="BC160" i="1"/>
  <c r="BE160" i="1" s="1"/>
  <c r="BG160" i="1" s="1"/>
  <c r="P162" i="1"/>
  <c r="R162" i="1" s="1"/>
  <c r="O162" i="1"/>
  <c r="DB157" i="1" l="1"/>
  <c r="DD157" i="1" s="1"/>
  <c r="DA157" i="1"/>
  <c r="DC157" i="1" s="1"/>
  <c r="G163" i="1"/>
  <c r="I163" i="1" s="1"/>
  <c r="Q163" i="1"/>
  <c r="S163" i="1" s="1"/>
  <c r="AE162" i="1"/>
  <c r="AG162" i="1" s="1"/>
  <c r="AD162" i="1"/>
  <c r="AF162" i="1" s="1"/>
  <c r="AH162" i="1" s="1"/>
  <c r="BI160" i="1"/>
  <c r="BK160" i="1" s="1"/>
  <c r="BH160" i="1"/>
  <c r="BJ160" i="1" s="1"/>
  <c r="BL160" i="1" s="1"/>
  <c r="AT161" i="1"/>
  <c r="AV161" i="1" s="1"/>
  <c r="AS161" i="1"/>
  <c r="AU161" i="1" s="1"/>
  <c r="AW161" i="1" s="1"/>
  <c r="BW159" i="1"/>
  <c r="BY159" i="1" s="1"/>
  <c r="CA159" i="1" s="1"/>
  <c r="BX159" i="1"/>
  <c r="BZ159" i="1" s="1"/>
  <c r="CM158" i="1"/>
  <c r="CO158" i="1" s="1"/>
  <c r="CL158" i="1"/>
  <c r="CN158" i="1" s="1"/>
  <c r="CP158" i="1" s="1"/>
  <c r="BM160" i="1" l="1"/>
  <c r="BO160" i="1" s="1"/>
  <c r="BQ160" i="1" s="1"/>
  <c r="BN160" i="1"/>
  <c r="BP160" i="1" s="1"/>
  <c r="K163" i="1"/>
  <c r="M163" i="1" s="1"/>
  <c r="J163" i="1"/>
  <c r="L163" i="1" s="1"/>
  <c r="N163" i="1" s="1"/>
  <c r="D164" i="1"/>
  <c r="CC159" i="1"/>
  <c r="CE159" i="1" s="1"/>
  <c r="CB159" i="1"/>
  <c r="CD159" i="1" s="1"/>
  <c r="CF159" i="1" s="1"/>
  <c r="AJ162" i="1"/>
  <c r="AL162" i="1" s="1"/>
  <c r="AI162" i="1"/>
  <c r="AK162" i="1" s="1"/>
  <c r="AM162" i="1" s="1"/>
  <c r="CR158" i="1"/>
  <c r="CT158" i="1" s="1"/>
  <c r="CQ158" i="1"/>
  <c r="CS158" i="1" s="1"/>
  <c r="CU158" i="1" s="1"/>
  <c r="U163" i="1"/>
  <c r="W163" i="1" s="1"/>
  <c r="T163" i="1"/>
  <c r="V163" i="1" s="1"/>
  <c r="X163" i="1" s="1"/>
  <c r="AY161" i="1"/>
  <c r="BA161" i="1" s="1"/>
  <c r="AX161" i="1"/>
  <c r="AZ161" i="1" s="1"/>
  <c r="BB161" i="1" s="1"/>
  <c r="CH159" i="1" l="1"/>
  <c r="CJ159" i="1" s="1"/>
  <c r="CG159" i="1"/>
  <c r="CI159" i="1" s="1"/>
  <c r="CK159" i="1" s="1"/>
  <c r="Z163" i="1"/>
  <c r="AB163" i="1" s="1"/>
  <c r="Y163" i="1"/>
  <c r="AA163" i="1" s="1"/>
  <c r="AC163" i="1" s="1"/>
  <c r="BC161" i="1"/>
  <c r="BE161" i="1" s="1"/>
  <c r="BG161" i="1" s="1"/>
  <c r="BD161" i="1"/>
  <c r="BF161" i="1" s="1"/>
  <c r="CW158" i="1"/>
  <c r="CY158" i="1" s="1"/>
  <c r="CV158" i="1"/>
  <c r="CX158" i="1" s="1"/>
  <c r="CZ158" i="1" s="1"/>
  <c r="F164" i="1"/>
  <c r="H164" i="1" s="1"/>
  <c r="E164" i="1"/>
  <c r="P163" i="1"/>
  <c r="R163" i="1" s="1"/>
  <c r="O163" i="1"/>
  <c r="AO162" i="1"/>
  <c r="AQ162" i="1" s="1"/>
  <c r="AN162" i="1"/>
  <c r="AP162" i="1" s="1"/>
  <c r="AR162" i="1" s="1"/>
  <c r="BS160" i="1"/>
  <c r="BU160" i="1" s="1"/>
  <c r="BR160" i="1"/>
  <c r="BT160" i="1" s="1"/>
  <c r="BV160" i="1" s="1"/>
  <c r="AS162" i="1" l="1"/>
  <c r="AU162" i="1" s="1"/>
  <c r="AW162" i="1" s="1"/>
  <c r="AT162" i="1"/>
  <c r="AV162" i="1" s="1"/>
  <c r="BX160" i="1"/>
  <c r="BZ160" i="1" s="1"/>
  <c r="BW160" i="1"/>
  <c r="BY160" i="1" s="1"/>
  <c r="CA160" i="1" s="1"/>
  <c r="AE163" i="1"/>
  <c r="AG163" i="1" s="1"/>
  <c r="AD163" i="1"/>
  <c r="AF163" i="1" s="1"/>
  <c r="AH163" i="1" s="1"/>
  <c r="CM159" i="1"/>
  <c r="CO159" i="1" s="1"/>
  <c r="CL159" i="1"/>
  <c r="CN159" i="1" s="1"/>
  <c r="CP159" i="1" s="1"/>
  <c r="DB158" i="1"/>
  <c r="DD158" i="1" s="1"/>
  <c r="DA158" i="1"/>
  <c r="DC158" i="1" s="1"/>
  <c r="BI161" i="1"/>
  <c r="BK161" i="1" s="1"/>
  <c r="BH161" i="1"/>
  <c r="BJ161" i="1" s="1"/>
  <c r="BL161" i="1" s="1"/>
  <c r="G164" i="1"/>
  <c r="I164" i="1" s="1"/>
  <c r="Q164" i="1"/>
  <c r="S164" i="1" s="1"/>
  <c r="AI163" i="1" l="1"/>
  <c r="AK163" i="1" s="1"/>
  <c r="AM163" i="1" s="1"/>
  <c r="AJ163" i="1"/>
  <c r="AL163" i="1" s="1"/>
  <c r="CR159" i="1"/>
  <c r="CT159" i="1" s="1"/>
  <c r="CQ159" i="1"/>
  <c r="CS159" i="1" s="1"/>
  <c r="CU159" i="1" s="1"/>
  <c r="U164" i="1"/>
  <c r="W164" i="1" s="1"/>
  <c r="T164" i="1"/>
  <c r="V164" i="1" s="1"/>
  <c r="X164" i="1" s="1"/>
  <c r="BN161" i="1"/>
  <c r="BP161" i="1" s="1"/>
  <c r="BM161" i="1"/>
  <c r="BO161" i="1" s="1"/>
  <c r="BQ161" i="1" s="1"/>
  <c r="K164" i="1"/>
  <c r="M164" i="1" s="1"/>
  <c r="J164" i="1"/>
  <c r="L164" i="1" s="1"/>
  <c r="N164" i="1" s="1"/>
  <c r="D165" i="1"/>
  <c r="CC160" i="1"/>
  <c r="CE160" i="1" s="1"/>
  <c r="CB160" i="1"/>
  <c r="CD160" i="1" s="1"/>
  <c r="CF160" i="1" s="1"/>
  <c r="AY162" i="1"/>
  <c r="BA162" i="1" s="1"/>
  <c r="AX162" i="1"/>
  <c r="AZ162" i="1" s="1"/>
  <c r="BB162" i="1" s="1"/>
  <c r="BD162" i="1" l="1"/>
  <c r="BF162" i="1" s="1"/>
  <c r="BC162" i="1"/>
  <c r="BE162" i="1" s="1"/>
  <c r="BG162" i="1" s="1"/>
  <c r="BS161" i="1"/>
  <c r="BU161" i="1" s="1"/>
  <c r="BR161" i="1"/>
  <c r="BT161" i="1" s="1"/>
  <c r="BV161" i="1" s="1"/>
  <c r="Y164" i="1"/>
  <c r="AA164" i="1" s="1"/>
  <c r="AC164" i="1" s="1"/>
  <c r="Z164" i="1"/>
  <c r="AB164" i="1" s="1"/>
  <c r="F165" i="1"/>
  <c r="H165" i="1" s="1"/>
  <c r="E165" i="1"/>
  <c r="P164" i="1"/>
  <c r="R164" i="1" s="1"/>
  <c r="O164" i="1"/>
  <c r="CH160" i="1"/>
  <c r="CJ160" i="1" s="1"/>
  <c r="CG160" i="1"/>
  <c r="CI160" i="1" s="1"/>
  <c r="CK160" i="1" s="1"/>
  <c r="CW159" i="1"/>
  <c r="CY159" i="1" s="1"/>
  <c r="CV159" i="1"/>
  <c r="CX159" i="1" s="1"/>
  <c r="CZ159" i="1" s="1"/>
  <c r="AO163" i="1"/>
  <c r="AQ163" i="1" s="1"/>
  <c r="AN163" i="1"/>
  <c r="AP163" i="1" s="1"/>
  <c r="AR163" i="1" s="1"/>
  <c r="AE164" i="1" l="1"/>
  <c r="AG164" i="1" s="1"/>
  <c r="AD164" i="1"/>
  <c r="AF164" i="1" s="1"/>
  <c r="AH164" i="1" s="1"/>
  <c r="AT163" i="1"/>
  <c r="AV163" i="1" s="1"/>
  <c r="AS163" i="1"/>
  <c r="AU163" i="1" s="1"/>
  <c r="AW163" i="1" s="1"/>
  <c r="CM160" i="1"/>
  <c r="CO160" i="1" s="1"/>
  <c r="CL160" i="1"/>
  <c r="CN160" i="1" s="1"/>
  <c r="CP160" i="1" s="1"/>
  <c r="DB159" i="1"/>
  <c r="DD159" i="1" s="1"/>
  <c r="DA159" i="1"/>
  <c r="DC159" i="1" s="1"/>
  <c r="G165" i="1"/>
  <c r="I165" i="1" s="1"/>
  <c r="Q165" i="1"/>
  <c r="S165" i="1" s="1"/>
  <c r="BX161" i="1"/>
  <c r="BZ161" i="1" s="1"/>
  <c r="BW161" i="1"/>
  <c r="BY161" i="1" s="1"/>
  <c r="CA161" i="1" s="1"/>
  <c r="BI162" i="1"/>
  <c r="BK162" i="1" s="1"/>
  <c r="BH162" i="1"/>
  <c r="BJ162" i="1" s="1"/>
  <c r="BL162" i="1" s="1"/>
  <c r="CR160" i="1" l="1"/>
  <c r="CT160" i="1" s="1"/>
  <c r="CQ160" i="1"/>
  <c r="CS160" i="1" s="1"/>
  <c r="CU160" i="1" s="1"/>
  <c r="CC161" i="1"/>
  <c r="CE161" i="1" s="1"/>
  <c r="CB161" i="1"/>
  <c r="CD161" i="1" s="1"/>
  <c r="CF161" i="1" s="1"/>
  <c r="AJ164" i="1"/>
  <c r="AL164" i="1" s="1"/>
  <c r="AI164" i="1"/>
  <c r="AK164" i="1" s="1"/>
  <c r="AM164" i="1" s="1"/>
  <c r="BN162" i="1"/>
  <c r="BP162" i="1" s="1"/>
  <c r="BM162" i="1"/>
  <c r="BO162" i="1" s="1"/>
  <c r="BQ162" i="1" s="1"/>
  <c r="AY163" i="1"/>
  <c r="BA163" i="1" s="1"/>
  <c r="AX163" i="1"/>
  <c r="AZ163" i="1" s="1"/>
  <c r="BB163" i="1" s="1"/>
  <c r="U165" i="1"/>
  <c r="W165" i="1" s="1"/>
  <c r="T165" i="1"/>
  <c r="V165" i="1" s="1"/>
  <c r="X165" i="1" s="1"/>
  <c r="K165" i="1"/>
  <c r="M165" i="1" s="1"/>
  <c r="J165" i="1"/>
  <c r="L165" i="1" s="1"/>
  <c r="N165" i="1" s="1"/>
  <c r="D166" i="1"/>
  <c r="CH161" i="1" l="1"/>
  <c r="CJ161" i="1" s="1"/>
  <c r="CG161" i="1"/>
  <c r="CI161" i="1" s="1"/>
  <c r="CK161" i="1" s="1"/>
  <c r="O165" i="1"/>
  <c r="P165" i="1"/>
  <c r="R165" i="1" s="1"/>
  <c r="AO164" i="1"/>
  <c r="AQ164" i="1" s="1"/>
  <c r="AN164" i="1"/>
  <c r="AP164" i="1" s="1"/>
  <c r="AR164" i="1" s="1"/>
  <c r="BS162" i="1"/>
  <c r="BU162" i="1" s="1"/>
  <c r="BR162" i="1"/>
  <c r="BT162" i="1" s="1"/>
  <c r="BV162" i="1" s="1"/>
  <c r="E166" i="1"/>
  <c r="F166" i="1"/>
  <c r="H166" i="1" s="1"/>
  <c r="Z165" i="1"/>
  <c r="AB165" i="1" s="1"/>
  <c r="Y165" i="1"/>
  <c r="AA165" i="1" s="1"/>
  <c r="AC165" i="1" s="1"/>
  <c r="BD163" i="1"/>
  <c r="BF163" i="1" s="1"/>
  <c r="BC163" i="1"/>
  <c r="BE163" i="1" s="1"/>
  <c r="BG163" i="1" s="1"/>
  <c r="CW160" i="1"/>
  <c r="CY160" i="1" s="1"/>
  <c r="CV160" i="1"/>
  <c r="CX160" i="1" s="1"/>
  <c r="CZ160" i="1" s="1"/>
  <c r="DB160" i="1" l="1"/>
  <c r="DD160" i="1" s="1"/>
  <c r="DA160" i="1"/>
  <c r="DC160" i="1" s="1"/>
  <c r="BX162" i="1"/>
  <c r="BZ162" i="1" s="1"/>
  <c r="BW162" i="1"/>
  <c r="BY162" i="1" s="1"/>
  <c r="CA162" i="1" s="1"/>
  <c r="AT164" i="1"/>
  <c r="AV164" i="1" s="1"/>
  <c r="AS164" i="1"/>
  <c r="AU164" i="1" s="1"/>
  <c r="AW164" i="1" s="1"/>
  <c r="BI163" i="1"/>
  <c r="BK163" i="1" s="1"/>
  <c r="BH163" i="1"/>
  <c r="BJ163" i="1" s="1"/>
  <c r="BL163" i="1" s="1"/>
  <c r="AE165" i="1"/>
  <c r="AG165" i="1" s="1"/>
  <c r="AD165" i="1"/>
  <c r="AF165" i="1" s="1"/>
  <c r="AH165" i="1" s="1"/>
  <c r="CM161" i="1"/>
  <c r="CO161" i="1" s="1"/>
  <c r="CL161" i="1"/>
  <c r="CN161" i="1" s="1"/>
  <c r="CP161" i="1" s="1"/>
  <c r="Q166" i="1"/>
  <c r="S166" i="1" s="1"/>
  <c r="G166" i="1"/>
  <c r="I166" i="1" s="1"/>
  <c r="BN163" i="1" l="1"/>
  <c r="BP163" i="1" s="1"/>
  <c r="BM163" i="1"/>
  <c r="BO163" i="1" s="1"/>
  <c r="BQ163" i="1" s="1"/>
  <c r="CR161" i="1"/>
  <c r="CT161" i="1" s="1"/>
  <c r="CQ161" i="1"/>
  <c r="CS161" i="1" s="1"/>
  <c r="CU161" i="1" s="1"/>
  <c r="K166" i="1"/>
  <c r="M166" i="1" s="1"/>
  <c r="J166" i="1"/>
  <c r="L166" i="1" s="1"/>
  <c r="N166" i="1" s="1"/>
  <c r="D167" i="1"/>
  <c r="AJ165" i="1"/>
  <c r="AL165" i="1" s="1"/>
  <c r="AI165" i="1"/>
  <c r="AK165" i="1" s="1"/>
  <c r="AM165" i="1" s="1"/>
  <c r="U166" i="1"/>
  <c r="W166" i="1" s="1"/>
  <c r="T166" i="1"/>
  <c r="V166" i="1" s="1"/>
  <c r="X166" i="1" s="1"/>
  <c r="AY164" i="1"/>
  <c r="BA164" i="1" s="1"/>
  <c r="AX164" i="1"/>
  <c r="AZ164" i="1" s="1"/>
  <c r="BB164" i="1" s="1"/>
  <c r="CC162" i="1"/>
  <c r="CE162" i="1" s="1"/>
  <c r="CB162" i="1"/>
  <c r="CD162" i="1" s="1"/>
  <c r="CF162" i="1" s="1"/>
  <c r="Z166" i="1" l="1"/>
  <c r="AB166" i="1" s="1"/>
  <c r="Y166" i="1"/>
  <c r="AA166" i="1" s="1"/>
  <c r="AC166" i="1" s="1"/>
  <c r="AO165" i="1"/>
  <c r="AQ165" i="1" s="1"/>
  <c r="AN165" i="1"/>
  <c r="AP165" i="1" s="1"/>
  <c r="AR165" i="1" s="1"/>
  <c r="P166" i="1"/>
  <c r="R166" i="1" s="1"/>
  <c r="O166" i="1"/>
  <c r="CH162" i="1"/>
  <c r="CJ162" i="1" s="1"/>
  <c r="CG162" i="1"/>
  <c r="CI162" i="1" s="1"/>
  <c r="CK162" i="1" s="1"/>
  <c r="BS163" i="1"/>
  <c r="BU163" i="1" s="1"/>
  <c r="BR163" i="1"/>
  <c r="BT163" i="1" s="1"/>
  <c r="BV163" i="1" s="1"/>
  <c r="F167" i="1"/>
  <c r="H167" i="1" s="1"/>
  <c r="E167" i="1"/>
  <c r="BD164" i="1"/>
  <c r="BF164" i="1" s="1"/>
  <c r="BC164" i="1"/>
  <c r="BE164" i="1" s="1"/>
  <c r="BG164" i="1" s="1"/>
  <c r="CW161" i="1"/>
  <c r="CY161" i="1" s="1"/>
  <c r="CV161" i="1"/>
  <c r="CX161" i="1" s="1"/>
  <c r="CZ161" i="1" s="1"/>
  <c r="CM162" i="1" l="1"/>
  <c r="CO162" i="1" s="1"/>
  <c r="CL162" i="1"/>
  <c r="CN162" i="1" s="1"/>
  <c r="CP162" i="1" s="1"/>
  <c r="DB161" i="1"/>
  <c r="DD161" i="1" s="1"/>
  <c r="DA161" i="1"/>
  <c r="DC161" i="1" s="1"/>
  <c r="BI164" i="1"/>
  <c r="BK164" i="1" s="1"/>
  <c r="BH164" i="1"/>
  <c r="BJ164" i="1" s="1"/>
  <c r="BL164" i="1" s="1"/>
  <c r="AT165" i="1"/>
  <c r="AV165" i="1" s="1"/>
  <c r="AS165" i="1"/>
  <c r="AU165" i="1" s="1"/>
  <c r="AW165" i="1" s="1"/>
  <c r="AE166" i="1"/>
  <c r="AG166" i="1" s="1"/>
  <c r="AD166" i="1"/>
  <c r="AF166" i="1" s="1"/>
  <c r="AH166" i="1" s="1"/>
  <c r="G167" i="1"/>
  <c r="I167" i="1" s="1"/>
  <c r="Q167" i="1"/>
  <c r="S167" i="1" s="1"/>
  <c r="BX163" i="1"/>
  <c r="BZ163" i="1" s="1"/>
  <c r="BW163" i="1"/>
  <c r="BY163" i="1" s="1"/>
  <c r="CA163" i="1" s="1"/>
  <c r="BN164" i="1" l="1"/>
  <c r="BP164" i="1" s="1"/>
  <c r="BM164" i="1"/>
  <c r="BO164" i="1" s="1"/>
  <c r="BQ164" i="1" s="1"/>
  <c r="U167" i="1"/>
  <c r="W167" i="1" s="1"/>
  <c r="T167" i="1"/>
  <c r="V167" i="1" s="1"/>
  <c r="X167" i="1" s="1"/>
  <c r="AY165" i="1"/>
  <c r="BA165" i="1" s="1"/>
  <c r="AX165" i="1"/>
  <c r="AZ165" i="1" s="1"/>
  <c r="BB165" i="1" s="1"/>
  <c r="CC163" i="1"/>
  <c r="CE163" i="1" s="1"/>
  <c r="CB163" i="1"/>
  <c r="CD163" i="1" s="1"/>
  <c r="CF163" i="1" s="1"/>
  <c r="K167" i="1"/>
  <c r="M167" i="1" s="1"/>
  <c r="J167" i="1"/>
  <c r="L167" i="1" s="1"/>
  <c r="N167" i="1" s="1"/>
  <c r="D168" i="1"/>
  <c r="AJ166" i="1"/>
  <c r="AL166" i="1" s="1"/>
  <c r="AI166" i="1"/>
  <c r="AK166" i="1" s="1"/>
  <c r="AM166" i="1" s="1"/>
  <c r="CR162" i="1"/>
  <c r="CT162" i="1" s="1"/>
  <c r="CQ162" i="1"/>
  <c r="CS162" i="1" s="1"/>
  <c r="CU162" i="1" s="1"/>
  <c r="F168" i="1" l="1"/>
  <c r="H168" i="1" s="1"/>
  <c r="E168" i="1"/>
  <c r="CH163" i="1"/>
  <c r="CJ163" i="1" s="1"/>
  <c r="CG163" i="1"/>
  <c r="CI163" i="1" s="1"/>
  <c r="CK163" i="1" s="1"/>
  <c r="BD165" i="1"/>
  <c r="BF165" i="1" s="1"/>
  <c r="BC165" i="1"/>
  <c r="BE165" i="1" s="1"/>
  <c r="BG165" i="1" s="1"/>
  <c r="Z167" i="1"/>
  <c r="AB167" i="1" s="1"/>
  <c r="Y167" i="1"/>
  <c r="AA167" i="1" s="1"/>
  <c r="AC167" i="1" s="1"/>
  <c r="BS164" i="1"/>
  <c r="BU164" i="1" s="1"/>
  <c r="BR164" i="1"/>
  <c r="BT164" i="1" s="1"/>
  <c r="BV164" i="1" s="1"/>
  <c r="CW162" i="1"/>
  <c r="CY162" i="1" s="1"/>
  <c r="CV162" i="1"/>
  <c r="CX162" i="1" s="1"/>
  <c r="CZ162" i="1" s="1"/>
  <c r="AO166" i="1"/>
  <c r="AQ166" i="1" s="1"/>
  <c r="AN166" i="1"/>
  <c r="AP166" i="1" s="1"/>
  <c r="AR166" i="1" s="1"/>
  <c r="P167" i="1"/>
  <c r="R167" i="1" s="1"/>
  <c r="O167" i="1"/>
  <c r="BI165" i="1" l="1"/>
  <c r="BK165" i="1" s="1"/>
  <c r="BH165" i="1"/>
  <c r="BJ165" i="1" s="1"/>
  <c r="BL165" i="1" s="1"/>
  <c r="AT166" i="1"/>
  <c r="AV166" i="1" s="1"/>
  <c r="AS166" i="1"/>
  <c r="AU166" i="1" s="1"/>
  <c r="AW166" i="1" s="1"/>
  <c r="G168" i="1"/>
  <c r="I168" i="1" s="1"/>
  <c r="Q168" i="1"/>
  <c r="S168" i="1" s="1"/>
  <c r="AE167" i="1"/>
  <c r="AG167" i="1" s="1"/>
  <c r="AD167" i="1"/>
  <c r="AF167" i="1" s="1"/>
  <c r="AH167" i="1" s="1"/>
  <c r="CM163" i="1"/>
  <c r="CO163" i="1" s="1"/>
  <c r="CL163" i="1"/>
  <c r="CN163" i="1" s="1"/>
  <c r="CP163" i="1" s="1"/>
  <c r="DA162" i="1"/>
  <c r="DC162" i="1" s="1"/>
  <c r="DB162" i="1"/>
  <c r="DD162" i="1" s="1"/>
  <c r="BX164" i="1"/>
  <c r="BZ164" i="1" s="1"/>
  <c r="BW164" i="1"/>
  <c r="BY164" i="1" s="1"/>
  <c r="CA164" i="1" s="1"/>
  <c r="CC164" i="1" l="1"/>
  <c r="CE164" i="1" s="1"/>
  <c r="CB164" i="1"/>
  <c r="CD164" i="1" s="1"/>
  <c r="CF164" i="1" s="1"/>
  <c r="AJ167" i="1"/>
  <c r="AL167" i="1" s="1"/>
  <c r="AI167" i="1"/>
  <c r="AK167" i="1" s="1"/>
  <c r="AM167" i="1" s="1"/>
  <c r="J168" i="1"/>
  <c r="L168" i="1" s="1"/>
  <c r="N168" i="1" s="1"/>
  <c r="K168" i="1"/>
  <c r="M168" i="1" s="1"/>
  <c r="D169" i="1"/>
  <c r="BN165" i="1"/>
  <c r="BP165" i="1" s="1"/>
  <c r="BM165" i="1"/>
  <c r="BO165" i="1" s="1"/>
  <c r="BQ165" i="1" s="1"/>
  <c r="U168" i="1"/>
  <c r="W168" i="1" s="1"/>
  <c r="T168" i="1"/>
  <c r="V168" i="1" s="1"/>
  <c r="X168" i="1" s="1"/>
  <c r="AY166" i="1"/>
  <c r="BA166" i="1" s="1"/>
  <c r="AX166" i="1"/>
  <c r="AZ166" i="1" s="1"/>
  <c r="BB166" i="1" s="1"/>
  <c r="CQ163" i="1"/>
  <c r="CS163" i="1" s="1"/>
  <c r="CU163" i="1" s="1"/>
  <c r="CR163" i="1"/>
  <c r="CT163" i="1" s="1"/>
  <c r="F169" i="1" l="1"/>
  <c r="H169" i="1" s="1"/>
  <c r="E169" i="1"/>
  <c r="BD166" i="1"/>
  <c r="BF166" i="1" s="1"/>
  <c r="BC166" i="1"/>
  <c r="BE166" i="1" s="1"/>
  <c r="BG166" i="1" s="1"/>
  <c r="CW163" i="1"/>
  <c r="CY163" i="1" s="1"/>
  <c r="CV163" i="1"/>
  <c r="CX163" i="1" s="1"/>
  <c r="CZ163" i="1" s="1"/>
  <c r="Y168" i="1"/>
  <c r="AA168" i="1" s="1"/>
  <c r="AC168" i="1" s="1"/>
  <c r="Z168" i="1"/>
  <c r="AB168" i="1" s="1"/>
  <c r="AO167" i="1"/>
  <c r="AQ167" i="1" s="1"/>
  <c r="AN167" i="1"/>
  <c r="AP167" i="1" s="1"/>
  <c r="AR167" i="1" s="1"/>
  <c r="CG164" i="1"/>
  <c r="CI164" i="1" s="1"/>
  <c r="CK164" i="1" s="1"/>
  <c r="CH164" i="1"/>
  <c r="CJ164" i="1" s="1"/>
  <c r="P168" i="1"/>
  <c r="R168" i="1" s="1"/>
  <c r="O168" i="1"/>
  <c r="BS165" i="1"/>
  <c r="BU165" i="1" s="1"/>
  <c r="BR165" i="1"/>
  <c r="BT165" i="1" s="1"/>
  <c r="BV165" i="1" s="1"/>
  <c r="BI166" i="1" l="1"/>
  <c r="BK166" i="1" s="1"/>
  <c r="BH166" i="1"/>
  <c r="BJ166" i="1" s="1"/>
  <c r="BL166" i="1" s="1"/>
  <c r="AD168" i="1"/>
  <c r="AF168" i="1" s="1"/>
  <c r="AH168" i="1" s="1"/>
  <c r="AE168" i="1"/>
  <c r="AG168" i="1" s="1"/>
  <c r="AT167" i="1"/>
  <c r="AV167" i="1" s="1"/>
  <c r="AS167" i="1"/>
  <c r="AU167" i="1" s="1"/>
  <c r="AW167" i="1" s="1"/>
  <c r="BW165" i="1"/>
  <c r="BY165" i="1" s="1"/>
  <c r="CA165" i="1" s="1"/>
  <c r="BX165" i="1"/>
  <c r="BZ165" i="1" s="1"/>
  <c r="G169" i="1"/>
  <c r="I169" i="1" s="1"/>
  <c r="Q169" i="1"/>
  <c r="S169" i="1" s="1"/>
  <c r="DB163" i="1"/>
  <c r="DD163" i="1" s="1"/>
  <c r="DA163" i="1"/>
  <c r="DC163" i="1" s="1"/>
  <c r="CM164" i="1"/>
  <c r="CO164" i="1" s="1"/>
  <c r="CL164" i="1"/>
  <c r="CN164" i="1" s="1"/>
  <c r="CP164" i="1" s="1"/>
  <c r="AY167" i="1" l="1"/>
  <c r="BA167" i="1" s="1"/>
  <c r="AX167" i="1"/>
  <c r="AZ167" i="1" s="1"/>
  <c r="BB167" i="1" s="1"/>
  <c r="AJ168" i="1"/>
  <c r="AL168" i="1" s="1"/>
  <c r="AI168" i="1"/>
  <c r="AK168" i="1" s="1"/>
  <c r="AM168" i="1" s="1"/>
  <c r="CC165" i="1"/>
  <c r="CE165" i="1" s="1"/>
  <c r="CB165" i="1"/>
  <c r="CD165" i="1" s="1"/>
  <c r="CF165" i="1" s="1"/>
  <c r="CR164" i="1"/>
  <c r="CT164" i="1" s="1"/>
  <c r="CQ164" i="1"/>
  <c r="CS164" i="1" s="1"/>
  <c r="CU164" i="1" s="1"/>
  <c r="T169" i="1"/>
  <c r="V169" i="1" s="1"/>
  <c r="X169" i="1" s="1"/>
  <c r="U169" i="1"/>
  <c r="W169" i="1" s="1"/>
  <c r="BM166" i="1"/>
  <c r="BO166" i="1" s="1"/>
  <c r="BQ166" i="1" s="1"/>
  <c r="BN166" i="1"/>
  <c r="BP166" i="1" s="1"/>
  <c r="J169" i="1"/>
  <c r="L169" i="1" s="1"/>
  <c r="N169" i="1" s="1"/>
  <c r="K169" i="1"/>
  <c r="M169" i="1" s="1"/>
  <c r="D170" i="1"/>
  <c r="CW164" i="1" l="1"/>
  <c r="CY164" i="1" s="1"/>
  <c r="CV164" i="1"/>
  <c r="CX164" i="1" s="1"/>
  <c r="CZ164" i="1" s="1"/>
  <c r="F170" i="1"/>
  <c r="H170" i="1" s="1"/>
  <c r="E170" i="1"/>
  <c r="P169" i="1"/>
  <c r="R169" i="1" s="1"/>
  <c r="O169" i="1"/>
  <c r="CH165" i="1"/>
  <c r="CJ165" i="1" s="1"/>
  <c r="CG165" i="1"/>
  <c r="CI165" i="1" s="1"/>
  <c r="CK165" i="1" s="1"/>
  <c r="AO168" i="1"/>
  <c r="AQ168" i="1" s="1"/>
  <c r="AN168" i="1"/>
  <c r="AP168" i="1" s="1"/>
  <c r="AR168" i="1" s="1"/>
  <c r="BS166" i="1"/>
  <c r="BU166" i="1" s="1"/>
  <c r="BR166" i="1"/>
  <c r="BT166" i="1" s="1"/>
  <c r="BV166" i="1" s="1"/>
  <c r="BC167" i="1"/>
  <c r="BE167" i="1" s="1"/>
  <c r="BG167" i="1" s="1"/>
  <c r="BD167" i="1"/>
  <c r="BF167" i="1" s="1"/>
  <c r="Y169" i="1"/>
  <c r="AA169" i="1" s="1"/>
  <c r="AC169" i="1" s="1"/>
  <c r="Z169" i="1"/>
  <c r="AB169" i="1" s="1"/>
  <c r="BI167" i="1" l="1"/>
  <c r="BK167" i="1" s="1"/>
  <c r="BH167" i="1"/>
  <c r="BJ167" i="1" s="1"/>
  <c r="BL167" i="1" s="1"/>
  <c r="CM165" i="1"/>
  <c r="CO165" i="1" s="1"/>
  <c r="CL165" i="1"/>
  <c r="CN165" i="1" s="1"/>
  <c r="CP165" i="1" s="1"/>
  <c r="AT168" i="1"/>
  <c r="AV168" i="1" s="1"/>
  <c r="AS168" i="1"/>
  <c r="AU168" i="1" s="1"/>
  <c r="AW168" i="1" s="1"/>
  <c r="AE169" i="1"/>
  <c r="AG169" i="1" s="1"/>
  <c r="AD169" i="1"/>
  <c r="AF169" i="1" s="1"/>
  <c r="AH169" i="1" s="1"/>
  <c r="BX166" i="1"/>
  <c r="BZ166" i="1" s="1"/>
  <c r="BW166" i="1"/>
  <c r="BY166" i="1" s="1"/>
  <c r="CA166" i="1" s="1"/>
  <c r="Q170" i="1"/>
  <c r="S170" i="1" s="1"/>
  <c r="G170" i="1"/>
  <c r="I170" i="1" s="1"/>
  <c r="DB164" i="1"/>
  <c r="DD164" i="1" s="1"/>
  <c r="DA164" i="1"/>
  <c r="DC164" i="1" s="1"/>
  <c r="AJ169" i="1" l="1"/>
  <c r="AL169" i="1" s="1"/>
  <c r="AI169" i="1"/>
  <c r="AK169" i="1" s="1"/>
  <c r="AM169" i="1" s="1"/>
  <c r="CR165" i="1"/>
  <c r="CT165" i="1" s="1"/>
  <c r="CQ165" i="1"/>
  <c r="CS165" i="1" s="1"/>
  <c r="CU165" i="1" s="1"/>
  <c r="U170" i="1"/>
  <c r="W170" i="1" s="1"/>
  <c r="T170" i="1"/>
  <c r="V170" i="1" s="1"/>
  <c r="X170" i="1" s="1"/>
  <c r="AY168" i="1"/>
  <c r="BA168" i="1" s="1"/>
  <c r="AX168" i="1"/>
  <c r="AZ168" i="1" s="1"/>
  <c r="BB168" i="1" s="1"/>
  <c r="J170" i="1"/>
  <c r="L170" i="1" s="1"/>
  <c r="N170" i="1" s="1"/>
  <c r="K170" i="1"/>
  <c r="M170" i="1" s="1"/>
  <c r="D171" i="1"/>
  <c r="BN167" i="1"/>
  <c r="BP167" i="1" s="1"/>
  <c r="BM167" i="1"/>
  <c r="BO167" i="1" s="1"/>
  <c r="BQ167" i="1" s="1"/>
  <c r="CC166" i="1"/>
  <c r="CE166" i="1" s="1"/>
  <c r="CB166" i="1"/>
  <c r="CD166" i="1" s="1"/>
  <c r="CF166" i="1" s="1"/>
  <c r="BD168" i="1" l="1"/>
  <c r="BF168" i="1" s="1"/>
  <c r="BC168" i="1"/>
  <c r="BE168" i="1" s="1"/>
  <c r="BG168" i="1" s="1"/>
  <c r="AN169" i="1"/>
  <c r="AP169" i="1" s="1"/>
  <c r="AR169" i="1" s="1"/>
  <c r="AO169" i="1"/>
  <c r="AQ169" i="1" s="1"/>
  <c r="Z170" i="1"/>
  <c r="AB170" i="1" s="1"/>
  <c r="Y170" i="1"/>
  <c r="AA170" i="1" s="1"/>
  <c r="AC170" i="1" s="1"/>
  <c r="CW165" i="1"/>
  <c r="CY165" i="1" s="1"/>
  <c r="CV165" i="1"/>
  <c r="CX165" i="1" s="1"/>
  <c r="CZ165" i="1" s="1"/>
  <c r="E171" i="1"/>
  <c r="F171" i="1"/>
  <c r="H171" i="1" s="1"/>
  <c r="CH166" i="1"/>
  <c r="CJ166" i="1" s="1"/>
  <c r="CG166" i="1"/>
  <c r="CI166" i="1" s="1"/>
  <c r="CK166" i="1" s="1"/>
  <c r="BS167" i="1"/>
  <c r="BU167" i="1" s="1"/>
  <c r="BR167" i="1"/>
  <c r="BT167" i="1" s="1"/>
  <c r="BV167" i="1" s="1"/>
  <c r="O170" i="1"/>
  <c r="P170" i="1"/>
  <c r="R170" i="1" s="1"/>
  <c r="DB165" i="1" l="1"/>
  <c r="DD165" i="1" s="1"/>
  <c r="DA165" i="1"/>
  <c r="DC165" i="1" s="1"/>
  <c r="BX167" i="1"/>
  <c r="BZ167" i="1" s="1"/>
  <c r="BW167" i="1"/>
  <c r="BY167" i="1" s="1"/>
  <c r="CA167" i="1" s="1"/>
  <c r="BI168" i="1"/>
  <c r="BK168" i="1" s="1"/>
  <c r="BH168" i="1"/>
  <c r="BJ168" i="1" s="1"/>
  <c r="BL168" i="1" s="1"/>
  <c r="AD170" i="1"/>
  <c r="AF170" i="1" s="1"/>
  <c r="AH170" i="1" s="1"/>
  <c r="AE170" i="1"/>
  <c r="AG170" i="1" s="1"/>
  <c r="CM166" i="1"/>
  <c r="CO166" i="1" s="1"/>
  <c r="CL166" i="1"/>
  <c r="CN166" i="1" s="1"/>
  <c r="CP166" i="1" s="1"/>
  <c r="AT169" i="1"/>
  <c r="AV169" i="1" s="1"/>
  <c r="AS169" i="1"/>
  <c r="AU169" i="1" s="1"/>
  <c r="AW169" i="1" s="1"/>
  <c r="G171" i="1"/>
  <c r="I171" i="1" s="1"/>
  <c r="Q171" i="1"/>
  <c r="S171" i="1" s="1"/>
  <c r="BN168" i="1" l="1"/>
  <c r="BP168" i="1" s="1"/>
  <c r="BM168" i="1"/>
  <c r="BO168" i="1" s="1"/>
  <c r="BQ168" i="1" s="1"/>
  <c r="CR166" i="1"/>
  <c r="CT166" i="1" s="1"/>
  <c r="CQ166" i="1"/>
  <c r="CS166" i="1" s="1"/>
  <c r="CU166" i="1" s="1"/>
  <c r="T171" i="1"/>
  <c r="V171" i="1" s="1"/>
  <c r="X171" i="1" s="1"/>
  <c r="U171" i="1"/>
  <c r="W171" i="1" s="1"/>
  <c r="AY169" i="1"/>
  <c r="BA169" i="1" s="1"/>
  <c r="AX169" i="1"/>
  <c r="AZ169" i="1" s="1"/>
  <c r="BB169" i="1" s="1"/>
  <c r="AJ170" i="1"/>
  <c r="AL170" i="1" s="1"/>
  <c r="AI170" i="1"/>
  <c r="AK170" i="1" s="1"/>
  <c r="AM170" i="1" s="1"/>
  <c r="K171" i="1"/>
  <c r="M171" i="1" s="1"/>
  <c r="J171" i="1"/>
  <c r="L171" i="1" s="1"/>
  <c r="N171" i="1" s="1"/>
  <c r="D172" i="1"/>
  <c r="CC167" i="1"/>
  <c r="CE167" i="1" s="1"/>
  <c r="CB167" i="1"/>
  <c r="CD167" i="1" s="1"/>
  <c r="CF167" i="1" s="1"/>
  <c r="CH167" i="1" l="1"/>
  <c r="CJ167" i="1" s="1"/>
  <c r="CG167" i="1"/>
  <c r="CI167" i="1" s="1"/>
  <c r="CK167" i="1" s="1"/>
  <c r="Z171" i="1"/>
  <c r="AB171" i="1" s="1"/>
  <c r="Y171" i="1"/>
  <c r="AA171" i="1" s="1"/>
  <c r="AC171" i="1" s="1"/>
  <c r="P171" i="1"/>
  <c r="R171" i="1" s="1"/>
  <c r="O171" i="1"/>
  <c r="AO170" i="1"/>
  <c r="AQ170" i="1" s="1"/>
  <c r="AN170" i="1"/>
  <c r="AP170" i="1" s="1"/>
  <c r="AR170" i="1" s="1"/>
  <c r="BD169" i="1"/>
  <c r="BF169" i="1" s="1"/>
  <c r="BC169" i="1"/>
  <c r="BE169" i="1" s="1"/>
  <c r="BG169" i="1" s="1"/>
  <c r="F172" i="1"/>
  <c r="H172" i="1" s="1"/>
  <c r="E172" i="1"/>
  <c r="CW166" i="1"/>
  <c r="CY166" i="1" s="1"/>
  <c r="CV166" i="1"/>
  <c r="CX166" i="1" s="1"/>
  <c r="BS168" i="1"/>
  <c r="BU168" i="1" s="1"/>
  <c r="BR168" i="1"/>
  <c r="BT168" i="1" s="1"/>
  <c r="BV168" i="1" s="1"/>
  <c r="G172" i="1" l="1"/>
  <c r="I172" i="1" s="1"/>
  <c r="Q172" i="1"/>
  <c r="S172" i="1" s="1"/>
  <c r="BX168" i="1"/>
  <c r="BZ168" i="1" s="1"/>
  <c r="BW168" i="1"/>
  <c r="BY168" i="1" s="1"/>
  <c r="CA168" i="1" s="1"/>
  <c r="AE171" i="1"/>
  <c r="AG171" i="1" s="1"/>
  <c r="AD171" i="1"/>
  <c r="AF171" i="1" s="1"/>
  <c r="AH171" i="1" s="1"/>
  <c r="AT170" i="1"/>
  <c r="AV170" i="1" s="1"/>
  <c r="AS170" i="1"/>
  <c r="AU170" i="1" s="1"/>
  <c r="AW170" i="1" s="1"/>
  <c r="CZ166" i="1"/>
  <c r="BI169" i="1"/>
  <c r="BK169" i="1" s="1"/>
  <c r="BH169" i="1"/>
  <c r="BJ169" i="1" s="1"/>
  <c r="BL169" i="1" s="1"/>
  <c r="CM167" i="1"/>
  <c r="CO167" i="1" s="1"/>
  <c r="CL167" i="1"/>
  <c r="CN167" i="1" s="1"/>
  <c r="CP167" i="1" s="1"/>
  <c r="DB166" i="1" l="1"/>
  <c r="DD166" i="1" s="1"/>
  <c r="DA166" i="1"/>
  <c r="DC166" i="1" s="1"/>
  <c r="CR167" i="1"/>
  <c r="CT167" i="1" s="1"/>
  <c r="CQ167" i="1"/>
  <c r="CS167" i="1" s="1"/>
  <c r="CU167" i="1" s="1"/>
  <c r="CC168" i="1"/>
  <c r="CE168" i="1" s="1"/>
  <c r="CB168" i="1"/>
  <c r="CD168" i="1" s="1"/>
  <c r="CF168" i="1" s="1"/>
  <c r="AY170" i="1"/>
  <c r="BA170" i="1" s="1"/>
  <c r="AX170" i="1"/>
  <c r="AZ170" i="1" s="1"/>
  <c r="BB170" i="1" s="1"/>
  <c r="BN169" i="1"/>
  <c r="BP169" i="1" s="1"/>
  <c r="BM169" i="1"/>
  <c r="BO169" i="1" s="1"/>
  <c r="BQ169" i="1" s="1"/>
  <c r="AJ171" i="1"/>
  <c r="AL171" i="1" s="1"/>
  <c r="AI171" i="1"/>
  <c r="AK171" i="1" s="1"/>
  <c r="AM171" i="1" s="1"/>
  <c r="U172" i="1"/>
  <c r="W172" i="1" s="1"/>
  <c r="T172" i="1"/>
  <c r="V172" i="1" s="1"/>
  <c r="X172" i="1" s="1"/>
  <c r="J172" i="1"/>
  <c r="L172" i="1" s="1"/>
  <c r="N172" i="1" s="1"/>
  <c r="K172" i="1"/>
  <c r="M172" i="1" s="1"/>
  <c r="D173" i="1"/>
  <c r="Z172" i="1" l="1"/>
  <c r="AB172" i="1" s="1"/>
  <c r="Y172" i="1"/>
  <c r="AA172" i="1" s="1"/>
  <c r="AC172" i="1" s="1"/>
  <c r="BD170" i="1"/>
  <c r="BF170" i="1" s="1"/>
  <c r="BC170" i="1"/>
  <c r="BE170" i="1" s="1"/>
  <c r="BG170" i="1" s="1"/>
  <c r="CH168" i="1"/>
  <c r="CJ168" i="1" s="1"/>
  <c r="CG168" i="1"/>
  <c r="CI168" i="1" s="1"/>
  <c r="CK168" i="1" s="1"/>
  <c r="CW167" i="1"/>
  <c r="CY167" i="1" s="1"/>
  <c r="CV167" i="1"/>
  <c r="CX167" i="1" s="1"/>
  <c r="CZ167" i="1" s="1"/>
  <c r="P172" i="1"/>
  <c r="R172" i="1" s="1"/>
  <c r="O172" i="1"/>
  <c r="AO171" i="1"/>
  <c r="AQ171" i="1" s="1"/>
  <c r="AN171" i="1"/>
  <c r="AP171" i="1" s="1"/>
  <c r="AR171" i="1" s="1"/>
  <c r="BS169" i="1"/>
  <c r="BU169" i="1" s="1"/>
  <c r="BR169" i="1"/>
  <c r="BT169" i="1" s="1"/>
  <c r="BV169" i="1" s="1"/>
  <c r="F173" i="1"/>
  <c r="H173" i="1" s="1"/>
  <c r="E173" i="1"/>
  <c r="DB167" i="1" l="1"/>
  <c r="DD167" i="1" s="1"/>
  <c r="DA167" i="1"/>
  <c r="DC167" i="1" s="1"/>
  <c r="BX169" i="1"/>
  <c r="BZ169" i="1" s="1"/>
  <c r="BW169" i="1"/>
  <c r="BY169" i="1" s="1"/>
  <c r="CA169" i="1" s="1"/>
  <c r="CL168" i="1"/>
  <c r="CN168" i="1" s="1"/>
  <c r="CP168" i="1" s="1"/>
  <c r="CM168" i="1"/>
  <c r="CO168" i="1" s="1"/>
  <c r="BI170" i="1"/>
  <c r="BK170" i="1" s="1"/>
  <c r="BH170" i="1"/>
  <c r="BJ170" i="1" s="1"/>
  <c r="BL170" i="1" s="1"/>
  <c r="Q173" i="1"/>
  <c r="S173" i="1" s="1"/>
  <c r="G173" i="1"/>
  <c r="I173" i="1" s="1"/>
  <c r="AT171" i="1"/>
  <c r="AV171" i="1" s="1"/>
  <c r="AS171" i="1"/>
  <c r="AU171" i="1" s="1"/>
  <c r="AW171" i="1" s="1"/>
  <c r="AE172" i="1"/>
  <c r="AG172" i="1" s="1"/>
  <c r="AD172" i="1"/>
  <c r="AF172" i="1" s="1"/>
  <c r="AH172" i="1" s="1"/>
  <c r="BN170" i="1" l="1"/>
  <c r="BP170" i="1" s="1"/>
  <c r="BM170" i="1"/>
  <c r="BO170" i="1" s="1"/>
  <c r="BQ170" i="1" s="1"/>
  <c r="CB169" i="1"/>
  <c r="CD169" i="1" s="1"/>
  <c r="CF169" i="1" s="1"/>
  <c r="CC169" i="1"/>
  <c r="CE169" i="1" s="1"/>
  <c r="AJ172" i="1"/>
  <c r="AL172" i="1" s="1"/>
  <c r="AI172" i="1"/>
  <c r="AK172" i="1" s="1"/>
  <c r="AM172" i="1" s="1"/>
  <c r="AY171" i="1"/>
  <c r="BA171" i="1" s="1"/>
  <c r="AX171" i="1"/>
  <c r="AZ171" i="1" s="1"/>
  <c r="BB171" i="1" s="1"/>
  <c r="K173" i="1"/>
  <c r="M173" i="1" s="1"/>
  <c r="J173" i="1"/>
  <c r="L173" i="1" s="1"/>
  <c r="N173" i="1" s="1"/>
  <c r="D174" i="1"/>
  <c r="CR168" i="1"/>
  <c r="CT168" i="1" s="1"/>
  <c r="CQ168" i="1"/>
  <c r="CS168" i="1" s="1"/>
  <c r="CU168" i="1" s="1"/>
  <c r="U173" i="1"/>
  <c r="W173" i="1" s="1"/>
  <c r="T173" i="1"/>
  <c r="V173" i="1" s="1"/>
  <c r="X173" i="1" s="1"/>
  <c r="Z173" i="1" l="1"/>
  <c r="AB173" i="1" s="1"/>
  <c r="Y173" i="1"/>
  <c r="AA173" i="1" s="1"/>
  <c r="AC173" i="1" s="1"/>
  <c r="CV168" i="1"/>
  <c r="CX168" i="1" s="1"/>
  <c r="CZ168" i="1" s="1"/>
  <c r="CW168" i="1"/>
  <c r="CY168" i="1" s="1"/>
  <c r="P173" i="1"/>
  <c r="R173" i="1" s="1"/>
  <c r="O173" i="1"/>
  <c r="BD171" i="1"/>
  <c r="BF171" i="1" s="1"/>
  <c r="BC171" i="1"/>
  <c r="BE171" i="1" s="1"/>
  <c r="BG171" i="1" s="1"/>
  <c r="AO172" i="1"/>
  <c r="AQ172" i="1" s="1"/>
  <c r="AN172" i="1"/>
  <c r="AP172" i="1" s="1"/>
  <c r="AR172" i="1" s="1"/>
  <c r="F174" i="1"/>
  <c r="H174" i="1" s="1"/>
  <c r="E174" i="1"/>
  <c r="CH169" i="1"/>
  <c r="CJ169" i="1" s="1"/>
  <c r="CG169" i="1"/>
  <c r="CI169" i="1" s="1"/>
  <c r="CK169" i="1" s="1"/>
  <c r="BR170" i="1"/>
  <c r="BT170" i="1" s="1"/>
  <c r="BV170" i="1" s="1"/>
  <c r="BS170" i="1"/>
  <c r="BU170" i="1" s="1"/>
  <c r="BH171" i="1" l="1"/>
  <c r="BJ171" i="1" s="1"/>
  <c r="BL171" i="1" s="1"/>
  <c r="BI171" i="1"/>
  <c r="BK171" i="1" s="1"/>
  <c r="BX170" i="1"/>
  <c r="BZ170" i="1" s="1"/>
  <c r="BW170" i="1"/>
  <c r="BY170" i="1" s="1"/>
  <c r="CA170" i="1" s="1"/>
  <c r="DB168" i="1"/>
  <c r="DD168" i="1" s="1"/>
  <c r="DA168" i="1"/>
  <c r="DC168" i="1" s="1"/>
  <c r="CL169" i="1"/>
  <c r="CN169" i="1" s="1"/>
  <c r="CP169" i="1" s="1"/>
  <c r="CM169" i="1"/>
  <c r="CO169" i="1" s="1"/>
  <c r="G174" i="1"/>
  <c r="I174" i="1" s="1"/>
  <c r="Q174" i="1"/>
  <c r="S174" i="1" s="1"/>
  <c r="AT172" i="1"/>
  <c r="AV172" i="1" s="1"/>
  <c r="AS172" i="1"/>
  <c r="AU172" i="1" s="1"/>
  <c r="AW172" i="1" s="1"/>
  <c r="AE173" i="1"/>
  <c r="AG173" i="1" s="1"/>
  <c r="AD173" i="1"/>
  <c r="AF173" i="1" s="1"/>
  <c r="AH173" i="1" s="1"/>
  <c r="CR169" i="1" l="1"/>
  <c r="CT169" i="1" s="1"/>
  <c r="CQ169" i="1"/>
  <c r="CS169" i="1" s="1"/>
  <c r="CU169" i="1" s="1"/>
  <c r="CB170" i="1"/>
  <c r="CD170" i="1" s="1"/>
  <c r="CF170" i="1" s="1"/>
  <c r="CC170" i="1"/>
  <c r="CE170" i="1" s="1"/>
  <c r="AX172" i="1"/>
  <c r="AZ172" i="1" s="1"/>
  <c r="BB172" i="1" s="1"/>
  <c r="AY172" i="1"/>
  <c r="BA172" i="1" s="1"/>
  <c r="U174" i="1"/>
  <c r="W174" i="1" s="1"/>
  <c r="T174" i="1"/>
  <c r="V174" i="1" s="1"/>
  <c r="X174" i="1" s="1"/>
  <c r="AJ173" i="1"/>
  <c r="AL173" i="1" s="1"/>
  <c r="AI173" i="1"/>
  <c r="AK173" i="1" s="1"/>
  <c r="AM173" i="1" s="1"/>
  <c r="K174" i="1"/>
  <c r="M174" i="1" s="1"/>
  <c r="J174" i="1"/>
  <c r="L174" i="1" s="1"/>
  <c r="N174" i="1" s="1"/>
  <c r="D175" i="1"/>
  <c r="BN171" i="1"/>
  <c r="BP171" i="1" s="1"/>
  <c r="BM171" i="1"/>
  <c r="BO171" i="1" s="1"/>
  <c r="BQ171" i="1" s="1"/>
  <c r="BR171" i="1" l="1"/>
  <c r="BT171" i="1" s="1"/>
  <c r="BV171" i="1" s="1"/>
  <c r="BS171" i="1"/>
  <c r="BU171" i="1" s="1"/>
  <c r="P174" i="1"/>
  <c r="R174" i="1" s="1"/>
  <c r="O174" i="1"/>
  <c r="F175" i="1"/>
  <c r="H175" i="1" s="1"/>
  <c r="E175" i="1"/>
  <c r="CH170" i="1"/>
  <c r="CJ170" i="1" s="1"/>
  <c r="CG170" i="1"/>
  <c r="CI170" i="1" s="1"/>
  <c r="CK170" i="1" s="1"/>
  <c r="CV169" i="1"/>
  <c r="CX169" i="1" s="1"/>
  <c r="CW169" i="1"/>
  <c r="CY169" i="1" s="1"/>
  <c r="Z174" i="1"/>
  <c r="AB174" i="1" s="1"/>
  <c r="Y174" i="1"/>
  <c r="AA174" i="1" s="1"/>
  <c r="AC174" i="1" s="1"/>
  <c r="BD172" i="1"/>
  <c r="BF172" i="1" s="1"/>
  <c r="BC172" i="1"/>
  <c r="BE172" i="1" s="1"/>
  <c r="BG172" i="1" s="1"/>
  <c r="AN173" i="1"/>
  <c r="AP173" i="1" s="1"/>
  <c r="AR173" i="1" s="1"/>
  <c r="AO173" i="1"/>
  <c r="AQ173" i="1" s="1"/>
  <c r="CL170" i="1" l="1"/>
  <c r="CN170" i="1" s="1"/>
  <c r="CP170" i="1" s="1"/>
  <c r="CM170" i="1"/>
  <c r="CO170" i="1" s="1"/>
  <c r="BH172" i="1"/>
  <c r="BJ172" i="1" s="1"/>
  <c r="BL172" i="1" s="1"/>
  <c r="BI172" i="1"/>
  <c r="BK172" i="1" s="1"/>
  <c r="AT173" i="1"/>
  <c r="AV173" i="1" s="1"/>
  <c r="AS173" i="1"/>
  <c r="AU173" i="1" s="1"/>
  <c r="AW173" i="1" s="1"/>
  <c r="G175" i="1"/>
  <c r="I175" i="1" s="1"/>
  <c r="Q175" i="1"/>
  <c r="S175" i="1" s="1"/>
  <c r="AD174" i="1"/>
  <c r="AF174" i="1" s="1"/>
  <c r="AH174" i="1" s="1"/>
  <c r="AE174" i="1"/>
  <c r="AG174" i="1" s="1"/>
  <c r="BX171" i="1"/>
  <c r="BZ171" i="1" s="1"/>
  <c r="BW171" i="1"/>
  <c r="BY171" i="1" s="1"/>
  <c r="CA171" i="1" s="1"/>
  <c r="CZ169" i="1"/>
  <c r="K175" i="1" l="1"/>
  <c r="M175" i="1" s="1"/>
  <c r="J175" i="1"/>
  <c r="L175" i="1" s="1"/>
  <c r="N175" i="1" s="1"/>
  <c r="D176" i="1"/>
  <c r="AX173" i="1"/>
  <c r="AZ173" i="1" s="1"/>
  <c r="BB173" i="1" s="1"/>
  <c r="AY173" i="1"/>
  <c r="BA173" i="1" s="1"/>
  <c r="AJ174" i="1"/>
  <c r="AL174" i="1" s="1"/>
  <c r="AI174" i="1"/>
  <c r="AK174" i="1" s="1"/>
  <c r="AM174" i="1" s="1"/>
  <c r="DB169" i="1"/>
  <c r="DD169" i="1" s="1"/>
  <c r="DA169" i="1"/>
  <c r="DC169" i="1" s="1"/>
  <c r="BN172" i="1"/>
  <c r="BP172" i="1" s="1"/>
  <c r="BM172" i="1"/>
  <c r="BO172" i="1" s="1"/>
  <c r="BQ172" i="1" s="1"/>
  <c r="T175" i="1"/>
  <c r="V175" i="1" s="1"/>
  <c r="X175" i="1" s="1"/>
  <c r="U175" i="1"/>
  <c r="W175" i="1" s="1"/>
  <c r="CB171" i="1"/>
  <c r="CD171" i="1" s="1"/>
  <c r="CF171" i="1" s="1"/>
  <c r="CC171" i="1"/>
  <c r="CE171" i="1" s="1"/>
  <c r="CR170" i="1"/>
  <c r="CT170" i="1" s="1"/>
  <c r="CQ170" i="1"/>
  <c r="CS170" i="1" s="1"/>
  <c r="CU170" i="1" s="1"/>
  <c r="CW170" i="1" l="1"/>
  <c r="CY170" i="1" s="1"/>
  <c r="CV170" i="1"/>
  <c r="CX170" i="1" s="1"/>
  <c r="CZ170" i="1" s="1"/>
  <c r="AN174" i="1"/>
  <c r="AP174" i="1" s="1"/>
  <c r="AR174" i="1" s="1"/>
  <c r="AO174" i="1"/>
  <c r="AQ174" i="1" s="1"/>
  <c r="CH171" i="1"/>
  <c r="CJ171" i="1" s="1"/>
  <c r="CG171" i="1"/>
  <c r="CI171" i="1" s="1"/>
  <c r="CK171" i="1" s="1"/>
  <c r="Z175" i="1"/>
  <c r="AB175" i="1" s="1"/>
  <c r="Y175" i="1"/>
  <c r="AA175" i="1" s="1"/>
  <c r="AC175" i="1" s="1"/>
  <c r="P175" i="1"/>
  <c r="R175" i="1" s="1"/>
  <c r="O175" i="1"/>
  <c r="BD173" i="1"/>
  <c r="BF173" i="1" s="1"/>
  <c r="BC173" i="1"/>
  <c r="BE173" i="1" s="1"/>
  <c r="BG173" i="1" s="1"/>
  <c r="BR172" i="1"/>
  <c r="BT172" i="1" s="1"/>
  <c r="BV172" i="1" s="1"/>
  <c r="BS172" i="1"/>
  <c r="BU172" i="1" s="1"/>
  <c r="F176" i="1"/>
  <c r="H176" i="1" s="1"/>
  <c r="E176" i="1"/>
  <c r="AD175" i="1" l="1"/>
  <c r="AF175" i="1" s="1"/>
  <c r="AH175" i="1" s="1"/>
  <c r="AE175" i="1"/>
  <c r="AG175" i="1" s="1"/>
  <c r="CM171" i="1"/>
  <c r="CO171" i="1" s="1"/>
  <c r="CL171" i="1"/>
  <c r="CN171" i="1" s="1"/>
  <c r="CP171" i="1" s="1"/>
  <c r="Q176" i="1"/>
  <c r="S176" i="1" s="1"/>
  <c r="G176" i="1"/>
  <c r="I176" i="1" s="1"/>
  <c r="BH173" i="1"/>
  <c r="BJ173" i="1" s="1"/>
  <c r="BL173" i="1" s="1"/>
  <c r="BI173" i="1"/>
  <c r="BK173" i="1" s="1"/>
  <c r="DB170" i="1"/>
  <c r="DD170" i="1" s="1"/>
  <c r="DA170" i="1"/>
  <c r="DC170" i="1" s="1"/>
  <c r="BX172" i="1"/>
  <c r="BZ172" i="1" s="1"/>
  <c r="BW172" i="1"/>
  <c r="BY172" i="1" s="1"/>
  <c r="CA172" i="1" s="1"/>
  <c r="AT174" i="1"/>
  <c r="AV174" i="1" s="1"/>
  <c r="AS174" i="1"/>
  <c r="AU174" i="1" s="1"/>
  <c r="AW174" i="1" s="1"/>
  <c r="BN173" i="1" l="1"/>
  <c r="BP173" i="1" s="1"/>
  <c r="BM173" i="1"/>
  <c r="BO173" i="1" s="1"/>
  <c r="BQ173" i="1" s="1"/>
  <c r="J176" i="1"/>
  <c r="L176" i="1" s="1"/>
  <c r="N176" i="1" s="1"/>
  <c r="K176" i="1"/>
  <c r="M176" i="1" s="1"/>
  <c r="D177" i="1"/>
  <c r="T176" i="1"/>
  <c r="V176" i="1" s="1"/>
  <c r="X176" i="1" s="1"/>
  <c r="U176" i="1"/>
  <c r="W176" i="1" s="1"/>
  <c r="CC172" i="1"/>
  <c r="CE172" i="1" s="1"/>
  <c r="CB172" i="1"/>
  <c r="CD172" i="1" s="1"/>
  <c r="CF172" i="1" s="1"/>
  <c r="AX174" i="1"/>
  <c r="AZ174" i="1" s="1"/>
  <c r="BB174" i="1" s="1"/>
  <c r="AY174" i="1"/>
  <c r="BA174" i="1" s="1"/>
  <c r="CR171" i="1"/>
  <c r="CT171" i="1" s="1"/>
  <c r="CQ171" i="1"/>
  <c r="CS171" i="1" s="1"/>
  <c r="CU171" i="1" s="1"/>
  <c r="AJ175" i="1"/>
  <c r="AL175" i="1" s="1"/>
  <c r="AI175" i="1"/>
  <c r="AK175" i="1" s="1"/>
  <c r="AM175" i="1" s="1"/>
  <c r="AN175" i="1" l="1"/>
  <c r="AP175" i="1" s="1"/>
  <c r="AR175" i="1" s="1"/>
  <c r="AO175" i="1"/>
  <c r="AQ175" i="1" s="1"/>
  <c r="F177" i="1"/>
  <c r="H177" i="1" s="1"/>
  <c r="E177" i="1"/>
  <c r="CW171" i="1"/>
  <c r="CY171" i="1" s="1"/>
  <c r="CV171" i="1"/>
  <c r="CX171" i="1" s="1"/>
  <c r="CZ171" i="1" s="1"/>
  <c r="P176" i="1"/>
  <c r="R176" i="1" s="1"/>
  <c r="O176" i="1"/>
  <c r="BS173" i="1"/>
  <c r="BU173" i="1" s="1"/>
  <c r="BR173" i="1"/>
  <c r="BT173" i="1" s="1"/>
  <c r="BV173" i="1" s="1"/>
  <c r="Z176" i="1"/>
  <c r="AB176" i="1" s="1"/>
  <c r="Y176" i="1"/>
  <c r="AA176" i="1" s="1"/>
  <c r="AC176" i="1" s="1"/>
  <c r="BD174" i="1"/>
  <c r="BF174" i="1" s="1"/>
  <c r="BC174" i="1"/>
  <c r="BE174" i="1" s="1"/>
  <c r="BG174" i="1" s="1"/>
  <c r="CH172" i="1"/>
  <c r="CJ172" i="1" s="1"/>
  <c r="CG172" i="1"/>
  <c r="CI172" i="1" s="1"/>
  <c r="CK172" i="1" s="1"/>
  <c r="BI174" i="1" l="1"/>
  <c r="BK174" i="1" s="1"/>
  <c r="BH174" i="1"/>
  <c r="BJ174" i="1" s="1"/>
  <c r="BL174" i="1" s="1"/>
  <c r="DB171" i="1"/>
  <c r="DD171" i="1" s="1"/>
  <c r="DA171" i="1"/>
  <c r="DC171" i="1" s="1"/>
  <c r="G177" i="1"/>
  <c r="I177" i="1" s="1"/>
  <c r="Q177" i="1"/>
  <c r="S177" i="1" s="1"/>
  <c r="CM172" i="1"/>
  <c r="CO172" i="1" s="1"/>
  <c r="CL172" i="1"/>
  <c r="CN172" i="1" s="1"/>
  <c r="CP172" i="1" s="1"/>
  <c r="AD176" i="1"/>
  <c r="AF176" i="1" s="1"/>
  <c r="AH176" i="1" s="1"/>
  <c r="AE176" i="1"/>
  <c r="AG176" i="1" s="1"/>
  <c r="BX173" i="1"/>
  <c r="BZ173" i="1" s="1"/>
  <c r="BW173" i="1"/>
  <c r="BY173" i="1" s="1"/>
  <c r="CA173" i="1" s="1"/>
  <c r="AT175" i="1"/>
  <c r="AV175" i="1" s="1"/>
  <c r="AS175" i="1"/>
  <c r="AU175" i="1" s="1"/>
  <c r="AW175" i="1" s="1"/>
  <c r="CR172" i="1" l="1"/>
  <c r="CT172" i="1" s="1"/>
  <c r="CQ172" i="1"/>
  <c r="CS172" i="1" s="1"/>
  <c r="CU172" i="1" s="1"/>
  <c r="K177" i="1"/>
  <c r="M177" i="1" s="1"/>
  <c r="J177" i="1"/>
  <c r="L177" i="1" s="1"/>
  <c r="N177" i="1" s="1"/>
  <c r="D178" i="1"/>
  <c r="AY175" i="1"/>
  <c r="BA175" i="1" s="1"/>
  <c r="AX175" i="1"/>
  <c r="AZ175" i="1" s="1"/>
  <c r="BB175" i="1" s="1"/>
  <c r="CC173" i="1"/>
  <c r="CE173" i="1" s="1"/>
  <c r="CB173" i="1"/>
  <c r="CD173" i="1" s="1"/>
  <c r="CF173" i="1" s="1"/>
  <c r="AJ176" i="1"/>
  <c r="AL176" i="1" s="1"/>
  <c r="AI176" i="1"/>
  <c r="AK176" i="1" s="1"/>
  <c r="AM176" i="1" s="1"/>
  <c r="T177" i="1"/>
  <c r="V177" i="1" s="1"/>
  <c r="X177" i="1" s="1"/>
  <c r="U177" i="1"/>
  <c r="W177" i="1" s="1"/>
  <c r="BN174" i="1"/>
  <c r="BP174" i="1" s="1"/>
  <c r="BM174" i="1"/>
  <c r="BO174" i="1" s="1"/>
  <c r="BQ174" i="1" s="1"/>
  <c r="CH173" i="1" l="1"/>
  <c r="CJ173" i="1" s="1"/>
  <c r="CG173" i="1"/>
  <c r="CI173" i="1" s="1"/>
  <c r="CK173" i="1" s="1"/>
  <c r="F178" i="1"/>
  <c r="H178" i="1" s="1"/>
  <c r="E178" i="1"/>
  <c r="BS174" i="1"/>
  <c r="BU174" i="1" s="1"/>
  <c r="BR174" i="1"/>
  <c r="BT174" i="1" s="1"/>
  <c r="BV174" i="1" s="1"/>
  <c r="Z177" i="1"/>
  <c r="AB177" i="1" s="1"/>
  <c r="Y177" i="1"/>
  <c r="AA177" i="1" s="1"/>
  <c r="AC177" i="1" s="1"/>
  <c r="BD175" i="1"/>
  <c r="BF175" i="1" s="1"/>
  <c r="BC175" i="1"/>
  <c r="BE175" i="1" s="1"/>
  <c r="BG175" i="1" s="1"/>
  <c r="P177" i="1"/>
  <c r="R177" i="1" s="1"/>
  <c r="O177" i="1"/>
  <c r="CW172" i="1"/>
  <c r="CY172" i="1" s="1"/>
  <c r="CV172" i="1"/>
  <c r="CX172" i="1" s="1"/>
  <c r="CZ172" i="1" s="1"/>
  <c r="AO176" i="1"/>
  <c r="AQ176" i="1" s="1"/>
  <c r="AN176" i="1"/>
  <c r="AP176" i="1" s="1"/>
  <c r="AR176" i="1" s="1"/>
  <c r="AT176" i="1" l="1"/>
  <c r="AV176" i="1" s="1"/>
  <c r="AS176" i="1"/>
  <c r="AU176" i="1" s="1"/>
  <c r="AW176" i="1" s="1"/>
  <c r="AE177" i="1"/>
  <c r="AG177" i="1" s="1"/>
  <c r="AD177" i="1"/>
  <c r="AF177" i="1" s="1"/>
  <c r="AH177" i="1" s="1"/>
  <c r="BX174" i="1"/>
  <c r="BZ174" i="1" s="1"/>
  <c r="BW174" i="1"/>
  <c r="BY174" i="1" s="1"/>
  <c r="CA174" i="1" s="1"/>
  <c r="G178" i="1"/>
  <c r="I178" i="1" s="1"/>
  <c r="Q178" i="1"/>
  <c r="S178" i="1" s="1"/>
  <c r="DB172" i="1"/>
  <c r="DD172" i="1" s="1"/>
  <c r="DA172" i="1"/>
  <c r="DC172" i="1" s="1"/>
  <c r="BI175" i="1"/>
  <c r="BK175" i="1" s="1"/>
  <c r="BH175" i="1"/>
  <c r="BJ175" i="1" s="1"/>
  <c r="BL175" i="1" s="1"/>
  <c r="CM173" i="1"/>
  <c r="CO173" i="1" s="1"/>
  <c r="CL173" i="1"/>
  <c r="CN173" i="1" s="1"/>
  <c r="CP173" i="1" s="1"/>
  <c r="CC174" i="1" l="1"/>
  <c r="CE174" i="1" s="1"/>
  <c r="CB174" i="1"/>
  <c r="CD174" i="1" s="1"/>
  <c r="CF174" i="1" s="1"/>
  <c r="J178" i="1"/>
  <c r="L178" i="1" s="1"/>
  <c r="N178" i="1" s="1"/>
  <c r="K178" i="1"/>
  <c r="M178" i="1" s="1"/>
  <c r="D179" i="1"/>
  <c r="CR173" i="1"/>
  <c r="CT173" i="1" s="1"/>
  <c r="CQ173" i="1"/>
  <c r="CS173" i="1" s="1"/>
  <c r="CU173" i="1" s="1"/>
  <c r="U178" i="1"/>
  <c r="W178" i="1" s="1"/>
  <c r="T178" i="1"/>
  <c r="V178" i="1" s="1"/>
  <c r="X178" i="1" s="1"/>
  <c r="AJ177" i="1"/>
  <c r="AL177" i="1" s="1"/>
  <c r="AI177" i="1"/>
  <c r="AK177" i="1" s="1"/>
  <c r="AM177" i="1" s="1"/>
  <c r="AY176" i="1"/>
  <c r="BA176" i="1" s="1"/>
  <c r="AX176" i="1"/>
  <c r="AZ176" i="1" s="1"/>
  <c r="BB176" i="1" s="1"/>
  <c r="BN175" i="1"/>
  <c r="BP175" i="1" s="1"/>
  <c r="BM175" i="1"/>
  <c r="BO175" i="1" s="1"/>
  <c r="BQ175" i="1" s="1"/>
  <c r="BS175" i="1" l="1"/>
  <c r="BU175" i="1" s="1"/>
  <c r="BR175" i="1"/>
  <c r="BT175" i="1" s="1"/>
  <c r="BV175" i="1" s="1"/>
  <c r="BD176" i="1"/>
  <c r="BF176" i="1" s="1"/>
  <c r="BC176" i="1"/>
  <c r="BE176" i="1" s="1"/>
  <c r="BG176" i="1" s="1"/>
  <c r="Z178" i="1"/>
  <c r="AB178" i="1" s="1"/>
  <c r="Y178" i="1"/>
  <c r="AA178" i="1" s="1"/>
  <c r="AC178" i="1" s="1"/>
  <c r="O178" i="1"/>
  <c r="P178" i="1"/>
  <c r="R178" i="1" s="1"/>
  <c r="CH174" i="1"/>
  <c r="CJ174" i="1" s="1"/>
  <c r="CG174" i="1"/>
  <c r="CI174" i="1" s="1"/>
  <c r="CK174" i="1" s="1"/>
  <c r="CV173" i="1"/>
  <c r="CX173" i="1" s="1"/>
  <c r="CW173" i="1"/>
  <c r="CY173" i="1" s="1"/>
  <c r="F179" i="1"/>
  <c r="H179" i="1" s="1"/>
  <c r="E179" i="1"/>
  <c r="AO177" i="1"/>
  <c r="AQ177" i="1" s="1"/>
  <c r="AN177" i="1"/>
  <c r="AP177" i="1" s="1"/>
  <c r="AR177" i="1" s="1"/>
  <c r="Q179" i="1" l="1"/>
  <c r="S179" i="1" s="1"/>
  <c r="G179" i="1"/>
  <c r="I179" i="1" s="1"/>
  <c r="AE178" i="1"/>
  <c r="AG178" i="1" s="1"/>
  <c r="AD178" i="1"/>
  <c r="AF178" i="1" s="1"/>
  <c r="AH178" i="1" s="1"/>
  <c r="BX175" i="1"/>
  <c r="BZ175" i="1" s="1"/>
  <c r="BW175" i="1"/>
  <c r="BY175" i="1" s="1"/>
  <c r="CA175" i="1" s="1"/>
  <c r="AT177" i="1"/>
  <c r="AV177" i="1" s="1"/>
  <c r="AS177" i="1"/>
  <c r="AU177" i="1" s="1"/>
  <c r="AW177" i="1" s="1"/>
  <c r="BI176" i="1"/>
  <c r="BK176" i="1" s="1"/>
  <c r="BH176" i="1"/>
  <c r="BJ176" i="1" s="1"/>
  <c r="BL176" i="1" s="1"/>
  <c r="CZ173" i="1"/>
  <c r="CL174" i="1"/>
  <c r="CN174" i="1" s="1"/>
  <c r="CP174" i="1" s="1"/>
  <c r="CM174" i="1"/>
  <c r="CO174" i="1" s="1"/>
  <c r="CR174" i="1" l="1"/>
  <c r="CT174" i="1" s="1"/>
  <c r="CQ174" i="1"/>
  <c r="CS174" i="1" s="1"/>
  <c r="CU174" i="1" s="1"/>
  <c r="CB175" i="1"/>
  <c r="CD175" i="1" s="1"/>
  <c r="CF175" i="1" s="1"/>
  <c r="CC175" i="1"/>
  <c r="CE175" i="1" s="1"/>
  <c r="AJ178" i="1"/>
  <c r="AL178" i="1" s="1"/>
  <c r="AI178" i="1"/>
  <c r="AK178" i="1" s="1"/>
  <c r="AM178" i="1" s="1"/>
  <c r="AY177" i="1"/>
  <c r="BA177" i="1" s="1"/>
  <c r="AX177" i="1"/>
  <c r="AZ177" i="1" s="1"/>
  <c r="BB177" i="1" s="1"/>
  <c r="DB173" i="1"/>
  <c r="DD173" i="1" s="1"/>
  <c r="DA173" i="1"/>
  <c r="DC173" i="1" s="1"/>
  <c r="BN176" i="1"/>
  <c r="BP176" i="1" s="1"/>
  <c r="BM176" i="1"/>
  <c r="BO176" i="1" s="1"/>
  <c r="BQ176" i="1" s="1"/>
  <c r="K179" i="1"/>
  <c r="M179" i="1" s="1"/>
  <c r="J179" i="1"/>
  <c r="L179" i="1" s="1"/>
  <c r="N179" i="1" s="1"/>
  <c r="D180" i="1"/>
  <c r="U179" i="1"/>
  <c r="W179" i="1" s="1"/>
  <c r="T179" i="1"/>
  <c r="V179" i="1" s="1"/>
  <c r="X179" i="1" s="1"/>
  <c r="BD177" i="1" l="1"/>
  <c r="BF177" i="1" s="1"/>
  <c r="BC177" i="1"/>
  <c r="BE177" i="1" s="1"/>
  <c r="BG177" i="1" s="1"/>
  <c r="P179" i="1"/>
  <c r="R179" i="1" s="1"/>
  <c r="O179" i="1"/>
  <c r="F180" i="1"/>
  <c r="H180" i="1" s="1"/>
  <c r="E180" i="1"/>
  <c r="AO178" i="1"/>
  <c r="AQ178" i="1" s="1"/>
  <c r="AN178" i="1"/>
  <c r="AP178" i="1" s="1"/>
  <c r="AR178" i="1" s="1"/>
  <c r="BR176" i="1"/>
  <c r="BT176" i="1" s="1"/>
  <c r="BV176" i="1" s="1"/>
  <c r="BS176" i="1"/>
  <c r="BU176" i="1" s="1"/>
  <c r="CH175" i="1"/>
  <c r="CJ175" i="1" s="1"/>
  <c r="CG175" i="1"/>
  <c r="CI175" i="1" s="1"/>
  <c r="CK175" i="1" s="1"/>
  <c r="CW174" i="1"/>
  <c r="CY174" i="1" s="1"/>
  <c r="CV174" i="1"/>
  <c r="CX174" i="1" s="1"/>
  <c r="CZ174" i="1" s="1"/>
  <c r="Z179" i="1"/>
  <c r="AB179" i="1" s="1"/>
  <c r="Y179" i="1"/>
  <c r="AA179" i="1" s="1"/>
  <c r="AC179" i="1" s="1"/>
  <c r="AE179" i="1" l="1"/>
  <c r="AG179" i="1" s="1"/>
  <c r="AD179" i="1"/>
  <c r="AF179" i="1" s="1"/>
  <c r="AH179" i="1" s="1"/>
  <c r="AT178" i="1"/>
  <c r="AV178" i="1" s="1"/>
  <c r="AS178" i="1"/>
  <c r="AU178" i="1" s="1"/>
  <c r="AW178" i="1" s="1"/>
  <c r="CM175" i="1"/>
  <c r="CO175" i="1" s="1"/>
  <c r="CL175" i="1"/>
  <c r="CN175" i="1" s="1"/>
  <c r="CP175" i="1" s="1"/>
  <c r="DB174" i="1"/>
  <c r="DD174" i="1" s="1"/>
  <c r="DA174" i="1"/>
  <c r="DC174" i="1" s="1"/>
  <c r="Q180" i="1"/>
  <c r="S180" i="1" s="1"/>
  <c r="G180" i="1"/>
  <c r="I180" i="1" s="1"/>
  <c r="BH177" i="1"/>
  <c r="BJ177" i="1" s="1"/>
  <c r="BL177" i="1" s="1"/>
  <c r="BI177" i="1"/>
  <c r="BK177" i="1" s="1"/>
  <c r="BX176" i="1"/>
  <c r="BZ176" i="1" s="1"/>
  <c r="BW176" i="1"/>
  <c r="BY176" i="1" s="1"/>
  <c r="CA176" i="1" s="1"/>
  <c r="CR175" i="1" l="1"/>
  <c r="CT175" i="1" s="1"/>
  <c r="CQ175" i="1"/>
  <c r="CS175" i="1" s="1"/>
  <c r="CU175" i="1" s="1"/>
  <c r="CC176" i="1"/>
  <c r="CE176" i="1" s="1"/>
  <c r="CB176" i="1"/>
  <c r="CD176" i="1" s="1"/>
  <c r="CF176" i="1" s="1"/>
  <c r="BN177" i="1"/>
  <c r="BP177" i="1" s="1"/>
  <c r="BM177" i="1"/>
  <c r="BO177" i="1" s="1"/>
  <c r="BQ177" i="1" s="1"/>
  <c r="AJ179" i="1"/>
  <c r="AL179" i="1" s="1"/>
  <c r="AI179" i="1"/>
  <c r="AK179" i="1" s="1"/>
  <c r="AM179" i="1" s="1"/>
  <c r="AX178" i="1"/>
  <c r="AZ178" i="1" s="1"/>
  <c r="BB178" i="1" s="1"/>
  <c r="AY178" i="1"/>
  <c r="BA178" i="1" s="1"/>
  <c r="K180" i="1"/>
  <c r="M180" i="1" s="1"/>
  <c r="J180" i="1"/>
  <c r="L180" i="1" s="1"/>
  <c r="N180" i="1" s="1"/>
  <c r="D181" i="1"/>
  <c r="U180" i="1"/>
  <c r="W180" i="1" s="1"/>
  <c r="T180" i="1"/>
  <c r="V180" i="1" s="1"/>
  <c r="X180" i="1" s="1"/>
  <c r="AN179" i="1" l="1"/>
  <c r="AP179" i="1" s="1"/>
  <c r="AR179" i="1" s="1"/>
  <c r="AO179" i="1"/>
  <c r="AQ179" i="1" s="1"/>
  <c r="F181" i="1"/>
  <c r="H181" i="1" s="1"/>
  <c r="E181" i="1"/>
  <c r="Z180" i="1"/>
  <c r="AB180" i="1" s="1"/>
  <c r="Y180" i="1"/>
  <c r="AA180" i="1" s="1"/>
  <c r="AC180" i="1" s="1"/>
  <c r="CV175" i="1"/>
  <c r="CX175" i="1" s="1"/>
  <c r="CW175" i="1"/>
  <c r="CY175" i="1" s="1"/>
  <c r="BS177" i="1"/>
  <c r="BU177" i="1" s="1"/>
  <c r="BR177" i="1"/>
  <c r="BT177" i="1" s="1"/>
  <c r="BV177" i="1" s="1"/>
  <c r="P180" i="1"/>
  <c r="R180" i="1" s="1"/>
  <c r="O180" i="1"/>
  <c r="CH176" i="1"/>
  <c r="CJ176" i="1" s="1"/>
  <c r="CG176" i="1"/>
  <c r="CI176" i="1" s="1"/>
  <c r="CK176" i="1" s="1"/>
  <c r="BD178" i="1"/>
  <c r="BF178" i="1" s="1"/>
  <c r="BC178" i="1"/>
  <c r="BE178" i="1" s="1"/>
  <c r="BG178" i="1" s="1"/>
  <c r="CZ175" i="1" l="1"/>
  <c r="BI178" i="1"/>
  <c r="BK178" i="1" s="1"/>
  <c r="BH178" i="1"/>
  <c r="BJ178" i="1" s="1"/>
  <c r="BL178" i="1" s="1"/>
  <c r="CL176" i="1"/>
  <c r="CN176" i="1" s="1"/>
  <c r="CP176" i="1" s="1"/>
  <c r="CM176" i="1"/>
  <c r="CO176" i="1" s="1"/>
  <c r="AD180" i="1"/>
  <c r="AF180" i="1" s="1"/>
  <c r="AH180" i="1" s="1"/>
  <c r="AE180" i="1"/>
  <c r="AG180" i="1" s="1"/>
  <c r="Q181" i="1"/>
  <c r="S181" i="1" s="1"/>
  <c r="G181" i="1"/>
  <c r="I181" i="1" s="1"/>
  <c r="BX177" i="1"/>
  <c r="BZ177" i="1" s="1"/>
  <c r="BW177" i="1"/>
  <c r="BY177" i="1" s="1"/>
  <c r="CA177" i="1" s="1"/>
  <c r="AT179" i="1"/>
  <c r="AV179" i="1" s="1"/>
  <c r="AS179" i="1"/>
  <c r="AU179" i="1" s="1"/>
  <c r="AW179" i="1" s="1"/>
  <c r="K181" i="1" l="1"/>
  <c r="M181" i="1" s="1"/>
  <c r="J181" i="1"/>
  <c r="L181" i="1" s="1"/>
  <c r="N181" i="1" s="1"/>
  <c r="D182" i="1"/>
  <c r="T181" i="1"/>
  <c r="V181" i="1" s="1"/>
  <c r="X181" i="1" s="1"/>
  <c r="U181" i="1"/>
  <c r="W181" i="1" s="1"/>
  <c r="BN178" i="1"/>
  <c r="BP178" i="1" s="1"/>
  <c r="BM178" i="1"/>
  <c r="BO178" i="1" s="1"/>
  <c r="BQ178" i="1" s="1"/>
  <c r="CR176" i="1"/>
  <c r="CT176" i="1" s="1"/>
  <c r="CQ176" i="1"/>
  <c r="CS176" i="1" s="1"/>
  <c r="CU176" i="1" s="1"/>
  <c r="AY179" i="1"/>
  <c r="BA179" i="1" s="1"/>
  <c r="AX179" i="1"/>
  <c r="AZ179" i="1" s="1"/>
  <c r="BB179" i="1" s="1"/>
  <c r="AJ180" i="1"/>
  <c r="AL180" i="1" s="1"/>
  <c r="AI180" i="1"/>
  <c r="AK180" i="1" s="1"/>
  <c r="AM180" i="1" s="1"/>
  <c r="CB177" i="1"/>
  <c r="CD177" i="1" s="1"/>
  <c r="CF177" i="1" s="1"/>
  <c r="CC177" i="1"/>
  <c r="CE177" i="1" s="1"/>
  <c r="DB175" i="1"/>
  <c r="DD175" i="1" s="1"/>
  <c r="DA175" i="1"/>
  <c r="DC175" i="1" s="1"/>
  <c r="BR178" i="1" l="1"/>
  <c r="BT178" i="1" s="1"/>
  <c r="BV178" i="1" s="1"/>
  <c r="BS178" i="1"/>
  <c r="BU178" i="1" s="1"/>
  <c r="CW176" i="1"/>
  <c r="CY176" i="1" s="1"/>
  <c r="CV176" i="1"/>
  <c r="CX176" i="1" s="1"/>
  <c r="CZ176" i="1" s="1"/>
  <c r="AO180" i="1"/>
  <c r="AQ180" i="1" s="1"/>
  <c r="AN180" i="1"/>
  <c r="AP180" i="1" s="1"/>
  <c r="AR180" i="1" s="1"/>
  <c r="CG177" i="1"/>
  <c r="CI177" i="1" s="1"/>
  <c r="CK177" i="1" s="1"/>
  <c r="CH177" i="1"/>
  <c r="CJ177" i="1" s="1"/>
  <c r="BD179" i="1"/>
  <c r="BF179" i="1" s="1"/>
  <c r="BC179" i="1"/>
  <c r="BE179" i="1" s="1"/>
  <c r="BG179" i="1" s="1"/>
  <c r="Z181" i="1"/>
  <c r="AB181" i="1" s="1"/>
  <c r="Y181" i="1"/>
  <c r="AA181" i="1" s="1"/>
  <c r="AC181" i="1" s="1"/>
  <c r="F182" i="1"/>
  <c r="H182" i="1" s="1"/>
  <c r="E182" i="1"/>
  <c r="P181" i="1"/>
  <c r="R181" i="1" s="1"/>
  <c r="O181" i="1"/>
  <c r="AT180" i="1" l="1"/>
  <c r="AV180" i="1" s="1"/>
  <c r="AS180" i="1"/>
  <c r="AU180" i="1" s="1"/>
  <c r="AW180" i="1" s="1"/>
  <c r="Q182" i="1"/>
  <c r="S182" i="1" s="1"/>
  <c r="G182" i="1"/>
  <c r="I182" i="1" s="1"/>
  <c r="AE181" i="1"/>
  <c r="AG181" i="1" s="1"/>
  <c r="AD181" i="1"/>
  <c r="AF181" i="1" s="1"/>
  <c r="AH181" i="1" s="1"/>
  <c r="CM177" i="1"/>
  <c r="CO177" i="1" s="1"/>
  <c r="CL177" i="1"/>
  <c r="CN177" i="1" s="1"/>
  <c r="CP177" i="1" s="1"/>
  <c r="DB176" i="1"/>
  <c r="DD176" i="1" s="1"/>
  <c r="DA176" i="1"/>
  <c r="DC176" i="1" s="1"/>
  <c r="BH179" i="1"/>
  <c r="BJ179" i="1" s="1"/>
  <c r="BL179" i="1" s="1"/>
  <c r="BI179" i="1"/>
  <c r="BK179" i="1" s="1"/>
  <c r="BX178" i="1"/>
  <c r="BZ178" i="1" s="1"/>
  <c r="BW178" i="1"/>
  <c r="BY178" i="1" s="1"/>
  <c r="CA178" i="1" s="1"/>
  <c r="CR177" i="1" l="1"/>
  <c r="CT177" i="1" s="1"/>
  <c r="CQ177" i="1"/>
  <c r="CS177" i="1" s="1"/>
  <c r="CU177" i="1" s="1"/>
  <c r="CC178" i="1"/>
  <c r="CE178" i="1" s="1"/>
  <c r="CB178" i="1"/>
  <c r="CD178" i="1" s="1"/>
  <c r="CF178" i="1" s="1"/>
  <c r="J182" i="1"/>
  <c r="L182" i="1" s="1"/>
  <c r="N182" i="1" s="1"/>
  <c r="K182" i="1"/>
  <c r="M182" i="1" s="1"/>
  <c r="D183" i="1"/>
  <c r="BN179" i="1"/>
  <c r="BP179" i="1" s="1"/>
  <c r="BM179" i="1"/>
  <c r="BO179" i="1" s="1"/>
  <c r="BQ179" i="1" s="1"/>
  <c r="AJ181" i="1"/>
  <c r="AL181" i="1" s="1"/>
  <c r="AI181" i="1"/>
  <c r="AK181" i="1" s="1"/>
  <c r="AM181" i="1" s="1"/>
  <c r="U182" i="1"/>
  <c r="W182" i="1" s="1"/>
  <c r="T182" i="1"/>
  <c r="V182" i="1" s="1"/>
  <c r="X182" i="1" s="1"/>
  <c r="AX180" i="1"/>
  <c r="AZ180" i="1" s="1"/>
  <c r="BB180" i="1" s="1"/>
  <c r="AY180" i="1"/>
  <c r="BA180" i="1" s="1"/>
  <c r="P182" i="1" l="1"/>
  <c r="R182" i="1" s="1"/>
  <c r="O182" i="1"/>
  <c r="BS179" i="1"/>
  <c r="BU179" i="1" s="1"/>
  <c r="BR179" i="1"/>
  <c r="BT179" i="1" s="1"/>
  <c r="BV179" i="1" s="1"/>
  <c r="BC180" i="1"/>
  <c r="BE180" i="1" s="1"/>
  <c r="BG180" i="1" s="1"/>
  <c r="BD180" i="1"/>
  <c r="BF180" i="1" s="1"/>
  <c r="CH178" i="1"/>
  <c r="CJ178" i="1" s="1"/>
  <c r="CG178" i="1"/>
  <c r="CI178" i="1" s="1"/>
  <c r="CK178" i="1" s="1"/>
  <c r="F183" i="1"/>
  <c r="H183" i="1" s="1"/>
  <c r="E183" i="1"/>
  <c r="Z182" i="1"/>
  <c r="AB182" i="1" s="1"/>
  <c r="Y182" i="1"/>
  <c r="AA182" i="1" s="1"/>
  <c r="AC182" i="1" s="1"/>
  <c r="AN181" i="1"/>
  <c r="AP181" i="1" s="1"/>
  <c r="AR181" i="1" s="1"/>
  <c r="AO181" i="1"/>
  <c r="AQ181" i="1" s="1"/>
  <c r="CW177" i="1"/>
  <c r="CY177" i="1" s="1"/>
  <c r="CV177" i="1"/>
  <c r="CX177" i="1" s="1"/>
  <c r="CZ177" i="1" s="1"/>
  <c r="CM178" i="1" l="1"/>
  <c r="CO178" i="1" s="1"/>
  <c r="CL178" i="1"/>
  <c r="CN178" i="1" s="1"/>
  <c r="CP178" i="1" s="1"/>
  <c r="DB177" i="1"/>
  <c r="DD177" i="1" s="1"/>
  <c r="DA177" i="1"/>
  <c r="DC177" i="1" s="1"/>
  <c r="BI180" i="1"/>
  <c r="BK180" i="1" s="1"/>
  <c r="BH180" i="1"/>
  <c r="BJ180" i="1" s="1"/>
  <c r="BL180" i="1" s="1"/>
  <c r="AT181" i="1"/>
  <c r="AV181" i="1" s="1"/>
  <c r="AS181" i="1"/>
  <c r="AU181" i="1" s="1"/>
  <c r="AW181" i="1" s="1"/>
  <c r="BX179" i="1"/>
  <c r="BZ179" i="1" s="1"/>
  <c r="BW179" i="1"/>
  <c r="BY179" i="1" s="1"/>
  <c r="CA179" i="1" s="1"/>
  <c r="AD182" i="1"/>
  <c r="AF182" i="1" s="1"/>
  <c r="AH182" i="1" s="1"/>
  <c r="AE182" i="1"/>
  <c r="AG182" i="1" s="1"/>
  <c r="G183" i="1"/>
  <c r="I183" i="1" s="1"/>
  <c r="Q183" i="1"/>
  <c r="S183" i="1" s="1"/>
  <c r="BN180" i="1" l="1"/>
  <c r="BP180" i="1" s="1"/>
  <c r="BM180" i="1"/>
  <c r="BO180" i="1" s="1"/>
  <c r="BQ180" i="1" s="1"/>
  <c r="T183" i="1"/>
  <c r="V183" i="1" s="1"/>
  <c r="X183" i="1" s="1"/>
  <c r="U183" i="1"/>
  <c r="W183" i="1" s="1"/>
  <c r="AY181" i="1"/>
  <c r="BA181" i="1" s="1"/>
  <c r="AX181" i="1"/>
  <c r="AZ181" i="1" s="1"/>
  <c r="BB181" i="1" s="1"/>
  <c r="K183" i="1"/>
  <c r="M183" i="1" s="1"/>
  <c r="J183" i="1"/>
  <c r="L183" i="1" s="1"/>
  <c r="N183" i="1" s="1"/>
  <c r="D184" i="1"/>
  <c r="AJ182" i="1"/>
  <c r="AL182" i="1" s="1"/>
  <c r="AI182" i="1"/>
  <c r="AK182" i="1" s="1"/>
  <c r="AM182" i="1" s="1"/>
  <c r="CC179" i="1"/>
  <c r="CE179" i="1" s="1"/>
  <c r="CB179" i="1"/>
  <c r="CD179" i="1" s="1"/>
  <c r="CF179" i="1" s="1"/>
  <c r="CR178" i="1"/>
  <c r="CT178" i="1" s="1"/>
  <c r="CQ178" i="1"/>
  <c r="CS178" i="1" s="1"/>
  <c r="CU178" i="1" s="1"/>
  <c r="BD181" i="1" l="1"/>
  <c r="BF181" i="1" s="1"/>
  <c r="BC181" i="1"/>
  <c r="BE181" i="1" s="1"/>
  <c r="BG181" i="1" s="1"/>
  <c r="P183" i="1"/>
  <c r="R183" i="1" s="1"/>
  <c r="O183" i="1"/>
  <c r="Y183" i="1"/>
  <c r="AA183" i="1" s="1"/>
  <c r="AC183" i="1" s="1"/>
  <c r="Z183" i="1"/>
  <c r="AB183" i="1" s="1"/>
  <c r="CW178" i="1"/>
  <c r="CY178" i="1" s="1"/>
  <c r="CV178" i="1"/>
  <c r="CX178" i="1" s="1"/>
  <c r="CZ178" i="1" s="1"/>
  <c r="CH179" i="1"/>
  <c r="CJ179" i="1" s="1"/>
  <c r="CG179" i="1"/>
  <c r="CI179" i="1" s="1"/>
  <c r="CK179" i="1" s="1"/>
  <c r="AO182" i="1"/>
  <c r="AQ182" i="1" s="1"/>
  <c r="AN182" i="1"/>
  <c r="AP182" i="1" s="1"/>
  <c r="AR182" i="1" s="1"/>
  <c r="BS180" i="1"/>
  <c r="BU180" i="1" s="1"/>
  <c r="BR180" i="1"/>
  <c r="BT180" i="1" s="1"/>
  <c r="BV180" i="1" s="1"/>
  <c r="F184" i="1"/>
  <c r="H184" i="1" s="1"/>
  <c r="E184" i="1"/>
  <c r="DB178" i="1" l="1"/>
  <c r="DD178" i="1" s="1"/>
  <c r="DA178" i="1"/>
  <c r="DC178" i="1" s="1"/>
  <c r="AE183" i="1"/>
  <c r="AG183" i="1" s="1"/>
  <c r="AD183" i="1"/>
  <c r="AF183" i="1" s="1"/>
  <c r="AH183" i="1" s="1"/>
  <c r="G184" i="1"/>
  <c r="I184" i="1" s="1"/>
  <c r="Q184" i="1"/>
  <c r="S184" i="1" s="1"/>
  <c r="BX180" i="1"/>
  <c r="BZ180" i="1" s="1"/>
  <c r="BW180" i="1"/>
  <c r="BY180" i="1" s="1"/>
  <c r="CA180" i="1" s="1"/>
  <c r="AT182" i="1"/>
  <c r="AV182" i="1" s="1"/>
  <c r="AS182" i="1"/>
  <c r="AU182" i="1" s="1"/>
  <c r="AW182" i="1" s="1"/>
  <c r="CM179" i="1"/>
  <c r="CO179" i="1" s="1"/>
  <c r="CL179" i="1"/>
  <c r="CN179" i="1" s="1"/>
  <c r="CP179" i="1" s="1"/>
  <c r="BI181" i="1"/>
  <c r="BK181" i="1" s="1"/>
  <c r="BH181" i="1"/>
  <c r="BJ181" i="1" s="1"/>
  <c r="BL181" i="1" s="1"/>
  <c r="CC180" i="1" l="1"/>
  <c r="CE180" i="1" s="1"/>
  <c r="CB180" i="1"/>
  <c r="CD180" i="1" s="1"/>
  <c r="CF180" i="1" s="1"/>
  <c r="U184" i="1"/>
  <c r="W184" i="1" s="1"/>
  <c r="T184" i="1"/>
  <c r="V184" i="1" s="1"/>
  <c r="X184" i="1" s="1"/>
  <c r="CR179" i="1"/>
  <c r="CT179" i="1" s="1"/>
  <c r="CQ179" i="1"/>
  <c r="CS179" i="1" s="1"/>
  <c r="CU179" i="1" s="1"/>
  <c r="BN181" i="1"/>
  <c r="BP181" i="1" s="1"/>
  <c r="BM181" i="1"/>
  <c r="BO181" i="1" s="1"/>
  <c r="BQ181" i="1" s="1"/>
  <c r="J184" i="1"/>
  <c r="L184" i="1" s="1"/>
  <c r="N184" i="1" s="1"/>
  <c r="K184" i="1"/>
  <c r="M184" i="1" s="1"/>
  <c r="D185" i="1"/>
  <c r="AJ183" i="1"/>
  <c r="AL183" i="1" s="1"/>
  <c r="AI183" i="1"/>
  <c r="AK183" i="1" s="1"/>
  <c r="AM183" i="1" s="1"/>
  <c r="AY182" i="1"/>
  <c r="BA182" i="1" s="1"/>
  <c r="AX182" i="1"/>
  <c r="AZ182" i="1" s="1"/>
  <c r="BB182" i="1" s="1"/>
  <c r="BD182" i="1" l="1"/>
  <c r="BF182" i="1" s="1"/>
  <c r="BC182" i="1"/>
  <c r="BE182" i="1" s="1"/>
  <c r="BG182" i="1" s="1"/>
  <c r="CV179" i="1"/>
  <c r="CX179" i="1" s="1"/>
  <c r="CW179" i="1"/>
  <c r="CY179" i="1" s="1"/>
  <c r="E185" i="1"/>
  <c r="F185" i="1"/>
  <c r="H185" i="1" s="1"/>
  <c r="BS181" i="1"/>
  <c r="BU181" i="1" s="1"/>
  <c r="BR181" i="1"/>
  <c r="BT181" i="1" s="1"/>
  <c r="BV181" i="1" s="1"/>
  <c r="AO183" i="1"/>
  <c r="AQ183" i="1" s="1"/>
  <c r="AN183" i="1"/>
  <c r="AP183" i="1" s="1"/>
  <c r="AR183" i="1" s="1"/>
  <c r="CH180" i="1"/>
  <c r="CJ180" i="1" s="1"/>
  <c r="CG180" i="1"/>
  <c r="CI180" i="1" s="1"/>
  <c r="CK180" i="1" s="1"/>
  <c r="Z184" i="1"/>
  <c r="AB184" i="1" s="1"/>
  <c r="Y184" i="1"/>
  <c r="AA184" i="1" s="1"/>
  <c r="AC184" i="1" s="1"/>
  <c r="P184" i="1"/>
  <c r="R184" i="1" s="1"/>
  <c r="O184" i="1"/>
  <c r="BX181" i="1" l="1"/>
  <c r="BZ181" i="1" s="1"/>
  <c r="BW181" i="1"/>
  <c r="BY181" i="1" s="1"/>
  <c r="CA181" i="1" s="1"/>
  <c r="Q185" i="1"/>
  <c r="S185" i="1" s="1"/>
  <c r="G185" i="1"/>
  <c r="I185" i="1" s="1"/>
  <c r="CL180" i="1"/>
  <c r="CN180" i="1" s="1"/>
  <c r="CP180" i="1" s="1"/>
  <c r="CM180" i="1"/>
  <c r="CO180" i="1" s="1"/>
  <c r="AT183" i="1"/>
  <c r="AV183" i="1" s="1"/>
  <c r="AS183" i="1"/>
  <c r="AU183" i="1" s="1"/>
  <c r="AW183" i="1" s="1"/>
  <c r="AE184" i="1"/>
  <c r="AG184" i="1" s="1"/>
  <c r="AD184" i="1"/>
  <c r="AF184" i="1" s="1"/>
  <c r="AH184" i="1" s="1"/>
  <c r="CZ179" i="1"/>
  <c r="BI182" i="1"/>
  <c r="BK182" i="1" s="1"/>
  <c r="BH182" i="1"/>
  <c r="BJ182" i="1" s="1"/>
  <c r="BL182" i="1" s="1"/>
  <c r="AY183" i="1" l="1"/>
  <c r="BA183" i="1" s="1"/>
  <c r="AX183" i="1"/>
  <c r="AZ183" i="1" s="1"/>
  <c r="BB183" i="1" s="1"/>
  <c r="BN182" i="1"/>
  <c r="BP182" i="1" s="1"/>
  <c r="BM182" i="1"/>
  <c r="BO182" i="1" s="1"/>
  <c r="BQ182" i="1" s="1"/>
  <c r="K185" i="1"/>
  <c r="M185" i="1" s="1"/>
  <c r="J185" i="1"/>
  <c r="L185" i="1" s="1"/>
  <c r="N185" i="1" s="1"/>
  <c r="D186" i="1"/>
  <c r="CR180" i="1"/>
  <c r="CT180" i="1" s="1"/>
  <c r="CQ180" i="1"/>
  <c r="CS180" i="1" s="1"/>
  <c r="CU180" i="1" s="1"/>
  <c r="DB179" i="1"/>
  <c r="DD179" i="1" s="1"/>
  <c r="DA179" i="1"/>
  <c r="DC179" i="1" s="1"/>
  <c r="CB181" i="1"/>
  <c r="CD181" i="1" s="1"/>
  <c r="CF181" i="1" s="1"/>
  <c r="CC181" i="1"/>
  <c r="CE181" i="1" s="1"/>
  <c r="U185" i="1"/>
  <c r="W185" i="1" s="1"/>
  <c r="T185" i="1"/>
  <c r="V185" i="1" s="1"/>
  <c r="X185" i="1" s="1"/>
  <c r="AJ184" i="1"/>
  <c r="AL184" i="1" s="1"/>
  <c r="AI184" i="1"/>
  <c r="AK184" i="1" s="1"/>
  <c r="AM184" i="1" s="1"/>
  <c r="CW180" i="1" l="1"/>
  <c r="CY180" i="1" s="1"/>
  <c r="CV180" i="1"/>
  <c r="CX180" i="1" s="1"/>
  <c r="CZ180" i="1" s="1"/>
  <c r="Y185" i="1"/>
  <c r="AA185" i="1" s="1"/>
  <c r="AC185" i="1" s="1"/>
  <c r="Z185" i="1"/>
  <c r="AB185" i="1" s="1"/>
  <c r="F186" i="1"/>
  <c r="H186" i="1" s="1"/>
  <c r="E186" i="1"/>
  <c r="P185" i="1"/>
  <c r="R185" i="1" s="1"/>
  <c r="O185" i="1"/>
  <c r="BR182" i="1"/>
  <c r="BT182" i="1" s="1"/>
  <c r="BV182" i="1" s="1"/>
  <c r="BS182" i="1"/>
  <c r="BU182" i="1" s="1"/>
  <c r="BD183" i="1"/>
  <c r="BF183" i="1" s="1"/>
  <c r="BC183" i="1"/>
  <c r="BE183" i="1" s="1"/>
  <c r="BG183" i="1" s="1"/>
  <c r="CH181" i="1"/>
  <c r="CJ181" i="1" s="1"/>
  <c r="CG181" i="1"/>
  <c r="CI181" i="1" s="1"/>
  <c r="CK181" i="1" s="1"/>
  <c r="AO184" i="1"/>
  <c r="AQ184" i="1" s="1"/>
  <c r="AN184" i="1"/>
  <c r="AP184" i="1" s="1"/>
  <c r="AR184" i="1" s="1"/>
  <c r="Q186" i="1" l="1"/>
  <c r="S186" i="1" s="1"/>
  <c r="G186" i="1"/>
  <c r="I186" i="1" s="1"/>
  <c r="AT184" i="1"/>
  <c r="AV184" i="1" s="1"/>
  <c r="AS184" i="1"/>
  <c r="AU184" i="1" s="1"/>
  <c r="AW184" i="1" s="1"/>
  <c r="CM181" i="1"/>
  <c r="CO181" i="1" s="1"/>
  <c r="CL181" i="1"/>
  <c r="CN181" i="1" s="1"/>
  <c r="CP181" i="1" s="1"/>
  <c r="AE185" i="1"/>
  <c r="AG185" i="1" s="1"/>
  <c r="AD185" i="1"/>
  <c r="AF185" i="1" s="1"/>
  <c r="AH185" i="1" s="1"/>
  <c r="BH183" i="1"/>
  <c r="BJ183" i="1" s="1"/>
  <c r="BL183" i="1" s="1"/>
  <c r="BI183" i="1"/>
  <c r="BK183" i="1" s="1"/>
  <c r="DB180" i="1"/>
  <c r="DD180" i="1" s="1"/>
  <c r="DA180" i="1"/>
  <c r="DC180" i="1" s="1"/>
  <c r="BX182" i="1"/>
  <c r="BZ182" i="1" s="1"/>
  <c r="BW182" i="1"/>
  <c r="BY182" i="1" s="1"/>
  <c r="CA182" i="1" s="1"/>
  <c r="BN183" i="1" l="1"/>
  <c r="BP183" i="1" s="1"/>
  <c r="BM183" i="1"/>
  <c r="BO183" i="1" s="1"/>
  <c r="BQ183" i="1" s="1"/>
  <c r="CC182" i="1"/>
  <c r="CE182" i="1" s="1"/>
  <c r="CB182" i="1"/>
  <c r="CD182" i="1" s="1"/>
  <c r="CF182" i="1" s="1"/>
  <c r="CR181" i="1"/>
  <c r="CT181" i="1" s="1"/>
  <c r="CQ181" i="1"/>
  <c r="CS181" i="1" s="1"/>
  <c r="CU181" i="1" s="1"/>
  <c r="K186" i="1"/>
  <c r="M186" i="1" s="1"/>
  <c r="J186" i="1"/>
  <c r="L186" i="1" s="1"/>
  <c r="N186" i="1" s="1"/>
  <c r="D187" i="1"/>
  <c r="AJ185" i="1"/>
  <c r="AL185" i="1" s="1"/>
  <c r="AI185" i="1"/>
  <c r="AK185" i="1" s="1"/>
  <c r="AM185" i="1" s="1"/>
  <c r="AX184" i="1"/>
  <c r="AZ184" i="1" s="1"/>
  <c r="BB184" i="1" s="1"/>
  <c r="AY184" i="1"/>
  <c r="BA184" i="1" s="1"/>
  <c r="T186" i="1"/>
  <c r="V186" i="1" s="1"/>
  <c r="X186" i="1" s="1"/>
  <c r="U186" i="1"/>
  <c r="W186" i="1" s="1"/>
  <c r="Z186" i="1" l="1"/>
  <c r="AB186" i="1" s="1"/>
  <c r="Y186" i="1"/>
  <c r="AA186" i="1" s="1"/>
  <c r="AC186" i="1" s="1"/>
  <c r="CH182" i="1"/>
  <c r="CJ182" i="1" s="1"/>
  <c r="CG182" i="1"/>
  <c r="CI182" i="1" s="1"/>
  <c r="CK182" i="1" s="1"/>
  <c r="P186" i="1"/>
  <c r="R186" i="1" s="1"/>
  <c r="O186" i="1"/>
  <c r="BS183" i="1"/>
  <c r="BU183" i="1" s="1"/>
  <c r="BR183" i="1"/>
  <c r="BT183" i="1" s="1"/>
  <c r="BV183" i="1" s="1"/>
  <c r="CV181" i="1"/>
  <c r="CX181" i="1" s="1"/>
  <c r="CW181" i="1"/>
  <c r="CY181" i="1" s="1"/>
  <c r="BD184" i="1"/>
  <c r="BF184" i="1" s="1"/>
  <c r="BC184" i="1"/>
  <c r="BE184" i="1" s="1"/>
  <c r="BG184" i="1" s="1"/>
  <c r="AN185" i="1"/>
  <c r="AP185" i="1" s="1"/>
  <c r="AR185" i="1" s="1"/>
  <c r="AO185" i="1"/>
  <c r="AQ185" i="1" s="1"/>
  <c r="F187" i="1"/>
  <c r="H187" i="1" s="1"/>
  <c r="E187" i="1"/>
  <c r="AT185" i="1" l="1"/>
  <c r="AV185" i="1" s="1"/>
  <c r="AS185" i="1"/>
  <c r="AU185" i="1" s="1"/>
  <c r="AW185" i="1" s="1"/>
  <c r="G187" i="1"/>
  <c r="I187" i="1" s="1"/>
  <c r="Q187" i="1"/>
  <c r="S187" i="1" s="1"/>
  <c r="BX183" i="1"/>
  <c r="BZ183" i="1" s="1"/>
  <c r="BW183" i="1"/>
  <c r="BY183" i="1" s="1"/>
  <c r="CA183" i="1" s="1"/>
  <c r="CL182" i="1"/>
  <c r="CN182" i="1" s="1"/>
  <c r="CP182" i="1" s="1"/>
  <c r="CM182" i="1"/>
  <c r="CO182" i="1" s="1"/>
  <c r="AD186" i="1"/>
  <c r="AF186" i="1" s="1"/>
  <c r="AH186" i="1" s="1"/>
  <c r="AE186" i="1"/>
  <c r="AG186" i="1" s="1"/>
  <c r="BI184" i="1"/>
  <c r="BK184" i="1" s="1"/>
  <c r="BH184" i="1"/>
  <c r="BJ184" i="1" s="1"/>
  <c r="BL184" i="1" s="1"/>
  <c r="CZ181" i="1"/>
  <c r="CQ182" i="1" l="1"/>
  <c r="CS182" i="1" s="1"/>
  <c r="CU182" i="1" s="1"/>
  <c r="CR182" i="1"/>
  <c r="CT182" i="1" s="1"/>
  <c r="AJ186" i="1"/>
  <c r="AL186" i="1" s="1"/>
  <c r="AI186" i="1"/>
  <c r="AK186" i="1" s="1"/>
  <c r="AM186" i="1" s="1"/>
  <c r="CB183" i="1"/>
  <c r="CD183" i="1" s="1"/>
  <c r="CF183" i="1" s="1"/>
  <c r="CC183" i="1"/>
  <c r="CE183" i="1" s="1"/>
  <c r="BN184" i="1"/>
  <c r="BP184" i="1" s="1"/>
  <c r="BM184" i="1"/>
  <c r="BO184" i="1" s="1"/>
  <c r="BQ184" i="1" s="1"/>
  <c r="DB181" i="1"/>
  <c r="DD181" i="1" s="1"/>
  <c r="DA181" i="1"/>
  <c r="DC181" i="1" s="1"/>
  <c r="T187" i="1"/>
  <c r="V187" i="1" s="1"/>
  <c r="X187" i="1" s="1"/>
  <c r="U187" i="1"/>
  <c r="W187" i="1" s="1"/>
  <c r="J187" i="1"/>
  <c r="L187" i="1" s="1"/>
  <c r="N187" i="1" s="1"/>
  <c r="K187" i="1"/>
  <c r="M187" i="1" s="1"/>
  <c r="D188" i="1"/>
  <c r="AY185" i="1"/>
  <c r="BA185" i="1" s="1"/>
  <c r="AX185" i="1"/>
  <c r="AZ185" i="1" s="1"/>
  <c r="BB185" i="1" s="1"/>
  <c r="Z187" i="1" l="1"/>
  <c r="AB187" i="1" s="1"/>
  <c r="Y187" i="1"/>
  <c r="AA187" i="1" s="1"/>
  <c r="AC187" i="1" s="1"/>
  <c r="BS184" i="1"/>
  <c r="BU184" i="1" s="1"/>
  <c r="BR184" i="1"/>
  <c r="BT184" i="1" s="1"/>
  <c r="BV184" i="1" s="1"/>
  <c r="F188" i="1"/>
  <c r="H188" i="1" s="1"/>
  <c r="E188" i="1"/>
  <c r="CH183" i="1"/>
  <c r="CJ183" i="1" s="1"/>
  <c r="CG183" i="1"/>
  <c r="CI183" i="1" s="1"/>
  <c r="CK183" i="1" s="1"/>
  <c r="P187" i="1"/>
  <c r="R187" i="1" s="1"/>
  <c r="O187" i="1"/>
  <c r="AO186" i="1"/>
  <c r="AQ186" i="1" s="1"/>
  <c r="AN186" i="1"/>
  <c r="AP186" i="1" s="1"/>
  <c r="AR186" i="1" s="1"/>
  <c r="BD185" i="1"/>
  <c r="BF185" i="1" s="1"/>
  <c r="BC185" i="1"/>
  <c r="BE185" i="1" s="1"/>
  <c r="BG185" i="1" s="1"/>
  <c r="CW182" i="1"/>
  <c r="CY182" i="1" s="1"/>
  <c r="CV182" i="1"/>
  <c r="CX182" i="1" s="1"/>
  <c r="CZ182" i="1" s="1"/>
  <c r="DB182" i="1" l="1"/>
  <c r="DD182" i="1" s="1"/>
  <c r="DA182" i="1"/>
  <c r="DC182" i="1" s="1"/>
  <c r="CM183" i="1"/>
  <c r="CO183" i="1" s="1"/>
  <c r="CL183" i="1"/>
  <c r="CN183" i="1" s="1"/>
  <c r="CP183" i="1" s="1"/>
  <c r="G188" i="1"/>
  <c r="I188" i="1" s="1"/>
  <c r="Q188" i="1"/>
  <c r="S188" i="1" s="1"/>
  <c r="AT186" i="1"/>
  <c r="AV186" i="1" s="1"/>
  <c r="AS186" i="1"/>
  <c r="AU186" i="1" s="1"/>
  <c r="AW186" i="1" s="1"/>
  <c r="AE187" i="1"/>
  <c r="AG187" i="1" s="1"/>
  <c r="AD187" i="1"/>
  <c r="AF187" i="1" s="1"/>
  <c r="AH187" i="1" s="1"/>
  <c r="BI185" i="1"/>
  <c r="BK185" i="1" s="1"/>
  <c r="BH185" i="1"/>
  <c r="BJ185" i="1" s="1"/>
  <c r="BL185" i="1" s="1"/>
  <c r="BX184" i="1"/>
  <c r="BZ184" i="1" s="1"/>
  <c r="BW184" i="1"/>
  <c r="BY184" i="1" s="1"/>
  <c r="CA184" i="1" s="1"/>
  <c r="U188" i="1" l="1"/>
  <c r="W188" i="1" s="1"/>
  <c r="T188" i="1"/>
  <c r="V188" i="1" s="1"/>
  <c r="X188" i="1" s="1"/>
  <c r="J188" i="1"/>
  <c r="L188" i="1" s="1"/>
  <c r="N188" i="1" s="1"/>
  <c r="K188" i="1"/>
  <c r="M188" i="1" s="1"/>
  <c r="D189" i="1"/>
  <c r="AY186" i="1"/>
  <c r="BA186" i="1" s="1"/>
  <c r="AX186" i="1"/>
  <c r="AZ186" i="1" s="1"/>
  <c r="BB186" i="1" s="1"/>
  <c r="CR183" i="1"/>
  <c r="CT183" i="1" s="1"/>
  <c r="CQ183" i="1"/>
  <c r="CS183" i="1" s="1"/>
  <c r="CU183" i="1" s="1"/>
  <c r="CC184" i="1"/>
  <c r="CE184" i="1" s="1"/>
  <c r="CB184" i="1"/>
  <c r="CD184" i="1" s="1"/>
  <c r="CF184" i="1" s="1"/>
  <c r="BN185" i="1"/>
  <c r="BP185" i="1" s="1"/>
  <c r="BM185" i="1"/>
  <c r="BO185" i="1" s="1"/>
  <c r="BQ185" i="1" s="1"/>
  <c r="AJ187" i="1"/>
  <c r="AL187" i="1" s="1"/>
  <c r="AI187" i="1"/>
  <c r="AK187" i="1" s="1"/>
  <c r="AM187" i="1" s="1"/>
  <c r="AO187" i="1" l="1"/>
  <c r="AQ187" i="1" s="1"/>
  <c r="AN187" i="1"/>
  <c r="AP187" i="1" s="1"/>
  <c r="AR187" i="1" s="1"/>
  <c r="CH184" i="1"/>
  <c r="CJ184" i="1" s="1"/>
  <c r="CG184" i="1"/>
  <c r="CI184" i="1" s="1"/>
  <c r="CK184" i="1" s="1"/>
  <c r="BD186" i="1"/>
  <c r="BF186" i="1" s="1"/>
  <c r="BC186" i="1"/>
  <c r="BE186" i="1" s="1"/>
  <c r="BG186" i="1" s="1"/>
  <c r="F189" i="1"/>
  <c r="H189" i="1" s="1"/>
  <c r="E189" i="1"/>
  <c r="Z188" i="1"/>
  <c r="AB188" i="1" s="1"/>
  <c r="Y188" i="1"/>
  <c r="AA188" i="1" s="1"/>
  <c r="AC188" i="1" s="1"/>
  <c r="BS185" i="1"/>
  <c r="BU185" i="1" s="1"/>
  <c r="BR185" i="1"/>
  <c r="BT185" i="1" s="1"/>
  <c r="BV185" i="1" s="1"/>
  <c r="P188" i="1"/>
  <c r="R188" i="1" s="1"/>
  <c r="O188" i="1"/>
  <c r="CW183" i="1"/>
  <c r="CY183" i="1" s="1"/>
  <c r="CV183" i="1"/>
  <c r="CX183" i="1" s="1"/>
  <c r="CZ183" i="1" s="1"/>
  <c r="BI186" i="1" l="1"/>
  <c r="BK186" i="1" s="1"/>
  <c r="BH186" i="1"/>
  <c r="BJ186" i="1" s="1"/>
  <c r="BL186" i="1" s="1"/>
  <c r="CM184" i="1"/>
  <c r="CO184" i="1" s="1"/>
  <c r="CL184" i="1"/>
  <c r="CN184" i="1" s="1"/>
  <c r="CP184" i="1" s="1"/>
  <c r="AT187" i="1"/>
  <c r="AV187" i="1" s="1"/>
  <c r="AS187" i="1"/>
  <c r="AU187" i="1" s="1"/>
  <c r="AW187" i="1" s="1"/>
  <c r="DB183" i="1"/>
  <c r="DD183" i="1" s="1"/>
  <c r="DA183" i="1"/>
  <c r="DC183" i="1" s="1"/>
  <c r="G189" i="1"/>
  <c r="I189" i="1" s="1"/>
  <c r="Q189" i="1"/>
  <c r="S189" i="1" s="1"/>
  <c r="BX185" i="1"/>
  <c r="BZ185" i="1" s="1"/>
  <c r="BW185" i="1"/>
  <c r="BY185" i="1" s="1"/>
  <c r="CA185" i="1" s="1"/>
  <c r="AE188" i="1"/>
  <c r="AG188" i="1" s="1"/>
  <c r="AD188" i="1"/>
  <c r="AF188" i="1" s="1"/>
  <c r="AH188" i="1" s="1"/>
  <c r="AY187" i="1" l="1"/>
  <c r="BA187" i="1" s="1"/>
  <c r="AX187" i="1"/>
  <c r="AZ187" i="1" s="1"/>
  <c r="BB187" i="1" s="1"/>
  <c r="AJ188" i="1"/>
  <c r="AL188" i="1" s="1"/>
  <c r="AI188" i="1"/>
  <c r="AK188" i="1" s="1"/>
  <c r="AM188" i="1" s="1"/>
  <c r="CC185" i="1"/>
  <c r="CE185" i="1" s="1"/>
  <c r="CB185" i="1"/>
  <c r="CD185" i="1" s="1"/>
  <c r="CF185" i="1" s="1"/>
  <c r="BN186" i="1"/>
  <c r="BP186" i="1" s="1"/>
  <c r="BM186" i="1"/>
  <c r="BO186" i="1" s="1"/>
  <c r="BQ186" i="1" s="1"/>
  <c r="CQ184" i="1"/>
  <c r="CS184" i="1" s="1"/>
  <c r="CU184" i="1" s="1"/>
  <c r="CR184" i="1"/>
  <c r="CT184" i="1" s="1"/>
  <c r="U189" i="1"/>
  <c r="W189" i="1" s="1"/>
  <c r="T189" i="1"/>
  <c r="V189" i="1" s="1"/>
  <c r="X189" i="1" s="1"/>
  <c r="K189" i="1"/>
  <c r="M189" i="1" s="1"/>
  <c r="J189" i="1"/>
  <c r="L189" i="1" s="1"/>
  <c r="N189" i="1" s="1"/>
  <c r="D190" i="1"/>
  <c r="F190" i="1" l="1"/>
  <c r="H190" i="1" s="1"/>
  <c r="E190" i="1"/>
  <c r="P189" i="1"/>
  <c r="R189" i="1" s="1"/>
  <c r="O189" i="1"/>
  <c r="BS186" i="1"/>
  <c r="BU186" i="1" s="1"/>
  <c r="BR186" i="1"/>
  <c r="BT186" i="1" s="1"/>
  <c r="BV186" i="1" s="1"/>
  <c r="CH185" i="1"/>
  <c r="CJ185" i="1" s="1"/>
  <c r="CG185" i="1"/>
  <c r="CI185" i="1" s="1"/>
  <c r="CK185" i="1" s="1"/>
  <c r="Z189" i="1"/>
  <c r="AB189" i="1" s="1"/>
  <c r="Y189" i="1"/>
  <c r="AA189" i="1" s="1"/>
  <c r="AC189" i="1" s="1"/>
  <c r="BD187" i="1"/>
  <c r="BF187" i="1" s="1"/>
  <c r="BC187" i="1"/>
  <c r="BE187" i="1" s="1"/>
  <c r="BG187" i="1" s="1"/>
  <c r="AO188" i="1"/>
  <c r="AQ188" i="1" s="1"/>
  <c r="AN188" i="1"/>
  <c r="AP188" i="1" s="1"/>
  <c r="AR188" i="1" s="1"/>
  <c r="CW184" i="1"/>
  <c r="CY184" i="1" s="1"/>
  <c r="CV184" i="1"/>
  <c r="CX184" i="1" s="1"/>
  <c r="CZ184" i="1" s="1"/>
  <c r="CL185" i="1" l="1"/>
  <c r="CN185" i="1" s="1"/>
  <c r="CP185" i="1" s="1"/>
  <c r="CM185" i="1"/>
  <c r="CO185" i="1" s="1"/>
  <c r="BX186" i="1"/>
  <c r="BZ186" i="1" s="1"/>
  <c r="BW186" i="1"/>
  <c r="BY186" i="1" s="1"/>
  <c r="CA186" i="1" s="1"/>
  <c r="DB184" i="1"/>
  <c r="DD184" i="1" s="1"/>
  <c r="DA184" i="1"/>
  <c r="DC184" i="1" s="1"/>
  <c r="AT188" i="1"/>
  <c r="AV188" i="1" s="1"/>
  <c r="AS188" i="1"/>
  <c r="AU188" i="1" s="1"/>
  <c r="AW188" i="1" s="1"/>
  <c r="BI187" i="1"/>
  <c r="BK187" i="1" s="1"/>
  <c r="BH187" i="1"/>
  <c r="BJ187" i="1" s="1"/>
  <c r="BL187" i="1" s="1"/>
  <c r="AE189" i="1"/>
  <c r="AG189" i="1" s="1"/>
  <c r="AD189" i="1"/>
  <c r="AF189" i="1" s="1"/>
  <c r="AH189" i="1" s="1"/>
  <c r="G190" i="1"/>
  <c r="I190" i="1" s="1"/>
  <c r="Q190" i="1"/>
  <c r="S190" i="1" s="1"/>
  <c r="AY188" i="1" l="1"/>
  <c r="BA188" i="1" s="1"/>
  <c r="AX188" i="1"/>
  <c r="AZ188" i="1" s="1"/>
  <c r="BB188" i="1" s="1"/>
  <c r="K190" i="1"/>
  <c r="M190" i="1" s="1"/>
  <c r="J190" i="1"/>
  <c r="L190" i="1" s="1"/>
  <c r="N190" i="1" s="1"/>
  <c r="D191" i="1"/>
  <c r="U190" i="1"/>
  <c r="W190" i="1" s="1"/>
  <c r="T190" i="1"/>
  <c r="V190" i="1" s="1"/>
  <c r="X190" i="1" s="1"/>
  <c r="CB186" i="1"/>
  <c r="CD186" i="1" s="1"/>
  <c r="CF186" i="1" s="1"/>
  <c r="CC186" i="1"/>
  <c r="CE186" i="1" s="1"/>
  <c r="CR185" i="1"/>
  <c r="CT185" i="1" s="1"/>
  <c r="CQ185" i="1"/>
  <c r="CS185" i="1" s="1"/>
  <c r="CU185" i="1" s="1"/>
  <c r="AJ189" i="1"/>
  <c r="AL189" i="1" s="1"/>
  <c r="AI189" i="1"/>
  <c r="AK189" i="1" s="1"/>
  <c r="AM189" i="1" s="1"/>
  <c r="BN187" i="1"/>
  <c r="BP187" i="1" s="1"/>
  <c r="BM187" i="1"/>
  <c r="BO187" i="1" s="1"/>
  <c r="BQ187" i="1" s="1"/>
  <c r="CH186" i="1" l="1"/>
  <c r="CJ186" i="1" s="1"/>
  <c r="CG186" i="1"/>
  <c r="CI186" i="1" s="1"/>
  <c r="CK186" i="1" s="1"/>
  <c r="Z190" i="1"/>
  <c r="AB190" i="1" s="1"/>
  <c r="Y190" i="1"/>
  <c r="AA190" i="1" s="1"/>
  <c r="AC190" i="1" s="1"/>
  <c r="F191" i="1"/>
  <c r="H191" i="1" s="1"/>
  <c r="E191" i="1"/>
  <c r="P190" i="1"/>
  <c r="R190" i="1" s="1"/>
  <c r="O190" i="1"/>
  <c r="BS187" i="1"/>
  <c r="BU187" i="1" s="1"/>
  <c r="BR187" i="1"/>
  <c r="BT187" i="1" s="1"/>
  <c r="BV187" i="1" s="1"/>
  <c r="AO189" i="1"/>
  <c r="AQ189" i="1" s="1"/>
  <c r="AN189" i="1"/>
  <c r="AP189" i="1" s="1"/>
  <c r="AR189" i="1" s="1"/>
  <c r="CV185" i="1"/>
  <c r="CX185" i="1" s="1"/>
  <c r="CW185" i="1"/>
  <c r="CY185" i="1" s="1"/>
  <c r="BD188" i="1"/>
  <c r="BF188" i="1" s="1"/>
  <c r="BC188" i="1"/>
  <c r="BE188" i="1" s="1"/>
  <c r="BG188" i="1" s="1"/>
  <c r="CZ185" i="1" l="1"/>
  <c r="G191" i="1"/>
  <c r="I191" i="1" s="1"/>
  <c r="Q191" i="1"/>
  <c r="S191" i="1" s="1"/>
  <c r="AT189" i="1"/>
  <c r="AV189" i="1" s="1"/>
  <c r="AS189" i="1"/>
  <c r="AU189" i="1" s="1"/>
  <c r="AW189" i="1" s="1"/>
  <c r="CL186" i="1"/>
  <c r="CN186" i="1" s="1"/>
  <c r="CP186" i="1" s="1"/>
  <c r="CM186" i="1"/>
  <c r="CO186" i="1" s="1"/>
  <c r="BI188" i="1"/>
  <c r="BK188" i="1" s="1"/>
  <c r="BH188" i="1"/>
  <c r="BJ188" i="1" s="1"/>
  <c r="BL188" i="1" s="1"/>
  <c r="AE190" i="1"/>
  <c r="AG190" i="1" s="1"/>
  <c r="AD190" i="1"/>
  <c r="AF190" i="1" s="1"/>
  <c r="AH190" i="1" s="1"/>
  <c r="BX187" i="1"/>
  <c r="BZ187" i="1" s="1"/>
  <c r="BW187" i="1"/>
  <c r="BY187" i="1" s="1"/>
  <c r="CA187" i="1" s="1"/>
  <c r="CR186" i="1" l="1"/>
  <c r="CT186" i="1" s="1"/>
  <c r="CQ186" i="1"/>
  <c r="CS186" i="1" s="1"/>
  <c r="CU186" i="1" s="1"/>
  <c r="U191" i="1"/>
  <c r="W191" i="1" s="1"/>
  <c r="T191" i="1"/>
  <c r="V191" i="1" s="1"/>
  <c r="X191" i="1" s="1"/>
  <c r="CB187" i="1"/>
  <c r="CD187" i="1" s="1"/>
  <c r="CF187" i="1" s="1"/>
  <c r="CC187" i="1"/>
  <c r="CE187" i="1" s="1"/>
  <c r="AJ190" i="1"/>
  <c r="AL190" i="1" s="1"/>
  <c r="AI190" i="1"/>
  <c r="AK190" i="1" s="1"/>
  <c r="AM190" i="1" s="1"/>
  <c r="K191" i="1"/>
  <c r="M191" i="1" s="1"/>
  <c r="J191" i="1"/>
  <c r="L191" i="1" s="1"/>
  <c r="N191" i="1" s="1"/>
  <c r="D192" i="1"/>
  <c r="BN188" i="1"/>
  <c r="BP188" i="1" s="1"/>
  <c r="BM188" i="1"/>
  <c r="BO188" i="1" s="1"/>
  <c r="BQ188" i="1" s="1"/>
  <c r="AY189" i="1"/>
  <c r="BA189" i="1" s="1"/>
  <c r="AX189" i="1"/>
  <c r="AZ189" i="1" s="1"/>
  <c r="BB189" i="1" s="1"/>
  <c r="DB185" i="1"/>
  <c r="DD185" i="1" s="1"/>
  <c r="DA185" i="1"/>
  <c r="DC185" i="1" s="1"/>
  <c r="BR188" i="1" l="1"/>
  <c r="BT188" i="1" s="1"/>
  <c r="BV188" i="1" s="1"/>
  <c r="BS188" i="1"/>
  <c r="BU188" i="1" s="1"/>
  <c r="CH187" i="1"/>
  <c r="CJ187" i="1" s="1"/>
  <c r="CG187" i="1"/>
  <c r="CI187" i="1" s="1"/>
  <c r="CK187" i="1" s="1"/>
  <c r="BD189" i="1"/>
  <c r="BF189" i="1" s="1"/>
  <c r="BC189" i="1"/>
  <c r="BE189" i="1" s="1"/>
  <c r="BG189" i="1" s="1"/>
  <c r="Z191" i="1"/>
  <c r="AB191" i="1" s="1"/>
  <c r="Y191" i="1"/>
  <c r="AA191" i="1" s="1"/>
  <c r="AC191" i="1" s="1"/>
  <c r="F192" i="1"/>
  <c r="H192" i="1" s="1"/>
  <c r="E192" i="1"/>
  <c r="P191" i="1"/>
  <c r="R191" i="1" s="1"/>
  <c r="O191" i="1"/>
  <c r="CW186" i="1"/>
  <c r="CY186" i="1" s="1"/>
  <c r="CV186" i="1"/>
  <c r="CX186" i="1" s="1"/>
  <c r="CZ186" i="1" s="1"/>
  <c r="AO190" i="1"/>
  <c r="AQ190" i="1" s="1"/>
  <c r="AN190" i="1"/>
  <c r="AP190" i="1" s="1"/>
  <c r="AR190" i="1" s="1"/>
  <c r="AE191" i="1" l="1"/>
  <c r="AG191" i="1" s="1"/>
  <c r="AD191" i="1"/>
  <c r="AF191" i="1" s="1"/>
  <c r="AH191" i="1" s="1"/>
  <c r="AT190" i="1"/>
  <c r="AV190" i="1" s="1"/>
  <c r="AS190" i="1"/>
  <c r="AU190" i="1" s="1"/>
  <c r="AW190" i="1" s="1"/>
  <c r="DB186" i="1"/>
  <c r="DD186" i="1" s="1"/>
  <c r="DA186" i="1"/>
  <c r="DC186" i="1" s="1"/>
  <c r="BH189" i="1"/>
  <c r="BJ189" i="1" s="1"/>
  <c r="BL189" i="1" s="1"/>
  <c r="BI189" i="1"/>
  <c r="BK189" i="1" s="1"/>
  <c r="CM187" i="1"/>
  <c r="CO187" i="1" s="1"/>
  <c r="CL187" i="1"/>
  <c r="CN187" i="1" s="1"/>
  <c r="CP187" i="1" s="1"/>
  <c r="Q192" i="1"/>
  <c r="S192" i="1" s="1"/>
  <c r="G192" i="1"/>
  <c r="I192" i="1" s="1"/>
  <c r="BX188" i="1"/>
  <c r="BZ188" i="1" s="1"/>
  <c r="BW188" i="1"/>
  <c r="BY188" i="1" s="1"/>
  <c r="CA188" i="1" s="1"/>
  <c r="BN189" i="1" l="1"/>
  <c r="BP189" i="1" s="1"/>
  <c r="BM189" i="1"/>
  <c r="BO189" i="1" s="1"/>
  <c r="BQ189" i="1" s="1"/>
  <c r="AX190" i="1"/>
  <c r="AZ190" i="1" s="1"/>
  <c r="BB190" i="1" s="1"/>
  <c r="AY190" i="1"/>
  <c r="BA190" i="1" s="1"/>
  <c r="CC188" i="1"/>
  <c r="CE188" i="1" s="1"/>
  <c r="CB188" i="1"/>
  <c r="CD188" i="1" s="1"/>
  <c r="CF188" i="1" s="1"/>
  <c r="K192" i="1"/>
  <c r="M192" i="1" s="1"/>
  <c r="J192" i="1"/>
  <c r="L192" i="1" s="1"/>
  <c r="N192" i="1" s="1"/>
  <c r="D193" i="1"/>
  <c r="U192" i="1"/>
  <c r="W192" i="1" s="1"/>
  <c r="T192" i="1"/>
  <c r="V192" i="1" s="1"/>
  <c r="X192" i="1" s="1"/>
  <c r="AJ191" i="1"/>
  <c r="AL191" i="1" s="1"/>
  <c r="AI191" i="1"/>
  <c r="AK191" i="1" s="1"/>
  <c r="AM191" i="1" s="1"/>
  <c r="CR187" i="1"/>
  <c r="CT187" i="1" s="1"/>
  <c r="CQ187" i="1"/>
  <c r="CS187" i="1" s="1"/>
  <c r="CU187" i="1" s="1"/>
  <c r="CW187" i="1" l="1"/>
  <c r="CY187" i="1" s="1"/>
  <c r="CV187" i="1"/>
  <c r="CX187" i="1" s="1"/>
  <c r="CZ187" i="1" s="1"/>
  <c r="CH188" i="1"/>
  <c r="CJ188" i="1" s="1"/>
  <c r="CG188" i="1"/>
  <c r="CI188" i="1" s="1"/>
  <c r="CK188" i="1" s="1"/>
  <c r="AN191" i="1"/>
  <c r="AP191" i="1" s="1"/>
  <c r="AR191" i="1" s="1"/>
  <c r="AO191" i="1"/>
  <c r="AQ191" i="1" s="1"/>
  <c r="Z192" i="1"/>
  <c r="AB192" i="1" s="1"/>
  <c r="Y192" i="1"/>
  <c r="AA192" i="1" s="1"/>
  <c r="AC192" i="1" s="1"/>
  <c r="BS189" i="1"/>
  <c r="BU189" i="1" s="1"/>
  <c r="BR189" i="1"/>
  <c r="BT189" i="1" s="1"/>
  <c r="BV189" i="1" s="1"/>
  <c r="P192" i="1"/>
  <c r="R192" i="1" s="1"/>
  <c r="O192" i="1"/>
  <c r="BD190" i="1"/>
  <c r="BF190" i="1" s="1"/>
  <c r="BC190" i="1"/>
  <c r="BE190" i="1" s="1"/>
  <c r="BG190" i="1" s="1"/>
  <c r="F193" i="1"/>
  <c r="H193" i="1" s="1"/>
  <c r="E193" i="1"/>
  <c r="G193" i="1" l="1"/>
  <c r="I193" i="1" s="1"/>
  <c r="Q193" i="1"/>
  <c r="S193" i="1" s="1"/>
  <c r="AT191" i="1"/>
  <c r="AV191" i="1" s="1"/>
  <c r="AS191" i="1"/>
  <c r="AU191" i="1" s="1"/>
  <c r="AW191" i="1" s="1"/>
  <c r="AD192" i="1"/>
  <c r="AF192" i="1" s="1"/>
  <c r="AH192" i="1" s="1"/>
  <c r="AE192" i="1"/>
  <c r="AG192" i="1" s="1"/>
  <c r="BI190" i="1"/>
  <c r="BK190" i="1" s="1"/>
  <c r="BH190" i="1"/>
  <c r="BJ190" i="1" s="1"/>
  <c r="BL190" i="1" s="1"/>
  <c r="CM188" i="1"/>
  <c r="CO188" i="1" s="1"/>
  <c r="CL188" i="1"/>
  <c r="CN188" i="1" s="1"/>
  <c r="CP188" i="1" s="1"/>
  <c r="DB187" i="1"/>
  <c r="DD187" i="1" s="1"/>
  <c r="DA187" i="1"/>
  <c r="DC187" i="1" s="1"/>
  <c r="BX189" i="1"/>
  <c r="BZ189" i="1" s="1"/>
  <c r="BW189" i="1"/>
  <c r="BY189" i="1" s="1"/>
  <c r="CA189" i="1" s="1"/>
  <c r="CC189" i="1" l="1"/>
  <c r="CE189" i="1" s="1"/>
  <c r="CB189" i="1"/>
  <c r="CD189" i="1" s="1"/>
  <c r="CF189" i="1" s="1"/>
  <c r="AY191" i="1"/>
  <c r="BA191" i="1" s="1"/>
  <c r="AX191" i="1"/>
  <c r="AZ191" i="1" s="1"/>
  <c r="BB191" i="1" s="1"/>
  <c r="AJ192" i="1"/>
  <c r="AL192" i="1" s="1"/>
  <c r="AI192" i="1"/>
  <c r="AK192" i="1" s="1"/>
  <c r="AM192" i="1" s="1"/>
  <c r="T193" i="1"/>
  <c r="V193" i="1" s="1"/>
  <c r="X193" i="1" s="1"/>
  <c r="U193" i="1"/>
  <c r="W193" i="1" s="1"/>
  <c r="BN190" i="1"/>
  <c r="BP190" i="1" s="1"/>
  <c r="BM190" i="1"/>
  <c r="BO190" i="1" s="1"/>
  <c r="BQ190" i="1" s="1"/>
  <c r="CR188" i="1"/>
  <c r="CT188" i="1" s="1"/>
  <c r="CQ188" i="1"/>
  <c r="CS188" i="1" s="1"/>
  <c r="CU188" i="1" s="1"/>
  <c r="K193" i="1"/>
  <c r="M193" i="1" s="1"/>
  <c r="J193" i="1"/>
  <c r="L193" i="1" s="1"/>
  <c r="N193" i="1" s="1"/>
  <c r="D194" i="1"/>
  <c r="E194" i="1" l="1"/>
  <c r="F194" i="1"/>
  <c r="H194" i="1" s="1"/>
  <c r="P193" i="1"/>
  <c r="R193" i="1" s="1"/>
  <c r="O193" i="1"/>
  <c r="BD191" i="1"/>
  <c r="BF191" i="1" s="1"/>
  <c r="BC191" i="1"/>
  <c r="BE191" i="1" s="1"/>
  <c r="BG191" i="1" s="1"/>
  <c r="Z193" i="1"/>
  <c r="AB193" i="1" s="1"/>
  <c r="Y193" i="1"/>
  <c r="AA193" i="1" s="1"/>
  <c r="AC193" i="1" s="1"/>
  <c r="CW188" i="1"/>
  <c r="CY188" i="1" s="1"/>
  <c r="CV188" i="1"/>
  <c r="CX188" i="1" s="1"/>
  <c r="CZ188" i="1" s="1"/>
  <c r="AO192" i="1"/>
  <c r="AQ192" i="1" s="1"/>
  <c r="AN192" i="1"/>
  <c r="AP192" i="1" s="1"/>
  <c r="AR192" i="1" s="1"/>
  <c r="BS190" i="1"/>
  <c r="BU190" i="1" s="1"/>
  <c r="BR190" i="1"/>
  <c r="BT190" i="1" s="1"/>
  <c r="BV190" i="1" s="1"/>
  <c r="CH189" i="1"/>
  <c r="CJ189" i="1" s="1"/>
  <c r="CG189" i="1"/>
  <c r="CI189" i="1" s="1"/>
  <c r="CK189" i="1" s="1"/>
  <c r="CM189" i="1" l="1"/>
  <c r="CO189" i="1" s="1"/>
  <c r="CL189" i="1"/>
  <c r="CN189" i="1" s="1"/>
  <c r="CP189" i="1" s="1"/>
  <c r="BI191" i="1"/>
  <c r="BK191" i="1" s="1"/>
  <c r="BH191" i="1"/>
  <c r="BJ191" i="1" s="1"/>
  <c r="BL191" i="1" s="1"/>
  <c r="BX190" i="1"/>
  <c r="BZ190" i="1" s="1"/>
  <c r="BW190" i="1"/>
  <c r="BY190" i="1" s="1"/>
  <c r="CA190" i="1" s="1"/>
  <c r="AE193" i="1"/>
  <c r="AG193" i="1" s="1"/>
  <c r="AD193" i="1"/>
  <c r="AF193" i="1" s="1"/>
  <c r="AH193" i="1" s="1"/>
  <c r="AT192" i="1"/>
  <c r="AV192" i="1" s="1"/>
  <c r="AS192" i="1"/>
  <c r="AU192" i="1" s="1"/>
  <c r="AW192" i="1" s="1"/>
  <c r="DB188" i="1"/>
  <c r="DD188" i="1" s="1"/>
  <c r="DA188" i="1"/>
  <c r="DC188" i="1" s="1"/>
  <c r="G194" i="1"/>
  <c r="I194" i="1" s="1"/>
  <c r="Q194" i="1"/>
  <c r="S194" i="1" s="1"/>
  <c r="CC190" i="1" l="1"/>
  <c r="CE190" i="1" s="1"/>
  <c r="CB190" i="1"/>
  <c r="CD190" i="1" s="1"/>
  <c r="CF190" i="1" s="1"/>
  <c r="T194" i="1"/>
  <c r="V194" i="1" s="1"/>
  <c r="X194" i="1" s="1"/>
  <c r="U194" i="1"/>
  <c r="W194" i="1" s="1"/>
  <c r="BN191" i="1"/>
  <c r="BP191" i="1" s="1"/>
  <c r="BM191" i="1"/>
  <c r="BO191" i="1" s="1"/>
  <c r="BQ191" i="1" s="1"/>
  <c r="CR189" i="1"/>
  <c r="CT189" i="1" s="1"/>
  <c r="CQ189" i="1"/>
  <c r="CS189" i="1" s="1"/>
  <c r="CU189" i="1" s="1"/>
  <c r="AJ193" i="1"/>
  <c r="AL193" i="1" s="1"/>
  <c r="AI193" i="1"/>
  <c r="AK193" i="1" s="1"/>
  <c r="AM193" i="1" s="1"/>
  <c r="K194" i="1"/>
  <c r="M194" i="1" s="1"/>
  <c r="J194" i="1"/>
  <c r="L194" i="1" s="1"/>
  <c r="N194" i="1" s="1"/>
  <c r="D195" i="1"/>
  <c r="AY192" i="1"/>
  <c r="BA192" i="1" s="1"/>
  <c r="AX192" i="1"/>
  <c r="AZ192" i="1" s="1"/>
  <c r="BB192" i="1" s="1"/>
  <c r="BS191" i="1" l="1"/>
  <c r="BU191" i="1" s="1"/>
  <c r="BR191" i="1"/>
  <c r="BT191" i="1" s="1"/>
  <c r="BV191" i="1" s="1"/>
  <c r="BD192" i="1"/>
  <c r="BF192" i="1" s="1"/>
  <c r="BC192" i="1"/>
  <c r="BE192" i="1" s="1"/>
  <c r="BG192" i="1" s="1"/>
  <c r="F195" i="1"/>
  <c r="H195" i="1" s="1"/>
  <c r="E195" i="1"/>
  <c r="P194" i="1"/>
  <c r="R194" i="1" s="1"/>
  <c r="O194" i="1"/>
  <c r="AO193" i="1"/>
  <c r="AQ193" i="1" s="1"/>
  <c r="AN193" i="1"/>
  <c r="AP193" i="1" s="1"/>
  <c r="AR193" i="1" s="1"/>
  <c r="CH190" i="1"/>
  <c r="CJ190" i="1" s="1"/>
  <c r="CG190" i="1"/>
  <c r="CI190" i="1" s="1"/>
  <c r="CK190" i="1" s="1"/>
  <c r="CW189" i="1"/>
  <c r="CY189" i="1" s="1"/>
  <c r="CV189" i="1"/>
  <c r="CX189" i="1" s="1"/>
  <c r="CZ189" i="1" s="1"/>
  <c r="Z194" i="1"/>
  <c r="AB194" i="1" s="1"/>
  <c r="Y194" i="1"/>
  <c r="AA194" i="1" s="1"/>
  <c r="AC194" i="1" s="1"/>
  <c r="DB189" i="1" l="1"/>
  <c r="DD189" i="1" s="1"/>
  <c r="DA189" i="1"/>
  <c r="DC189" i="1" s="1"/>
  <c r="AE194" i="1"/>
  <c r="AG194" i="1" s="1"/>
  <c r="AD194" i="1"/>
  <c r="AF194" i="1" s="1"/>
  <c r="AH194" i="1" s="1"/>
  <c r="CM190" i="1"/>
  <c r="CO190" i="1" s="1"/>
  <c r="CL190" i="1"/>
  <c r="CN190" i="1" s="1"/>
  <c r="CP190" i="1" s="1"/>
  <c r="BX191" i="1"/>
  <c r="BZ191" i="1" s="1"/>
  <c r="BW191" i="1"/>
  <c r="BY191" i="1" s="1"/>
  <c r="CA191" i="1" s="1"/>
  <c r="G195" i="1"/>
  <c r="I195" i="1" s="1"/>
  <c r="Q195" i="1"/>
  <c r="S195" i="1" s="1"/>
  <c r="BI192" i="1"/>
  <c r="BK192" i="1" s="1"/>
  <c r="BH192" i="1"/>
  <c r="BJ192" i="1" s="1"/>
  <c r="BL192" i="1" s="1"/>
  <c r="AT193" i="1"/>
  <c r="AV193" i="1" s="1"/>
  <c r="AS193" i="1"/>
  <c r="AU193" i="1" s="1"/>
  <c r="AW193" i="1" s="1"/>
  <c r="CC191" i="1" l="1"/>
  <c r="CE191" i="1" s="1"/>
  <c r="CB191" i="1"/>
  <c r="CD191" i="1" s="1"/>
  <c r="CF191" i="1" s="1"/>
  <c r="AY193" i="1"/>
  <c r="BA193" i="1" s="1"/>
  <c r="AX193" i="1"/>
  <c r="AZ193" i="1" s="1"/>
  <c r="BB193" i="1" s="1"/>
  <c r="BN192" i="1"/>
  <c r="BP192" i="1" s="1"/>
  <c r="BM192" i="1"/>
  <c r="BO192" i="1" s="1"/>
  <c r="BQ192" i="1" s="1"/>
  <c r="U195" i="1"/>
  <c r="W195" i="1" s="1"/>
  <c r="T195" i="1"/>
  <c r="V195" i="1" s="1"/>
  <c r="X195" i="1" s="1"/>
  <c r="CR190" i="1"/>
  <c r="CT190" i="1" s="1"/>
  <c r="CQ190" i="1"/>
  <c r="CS190" i="1" s="1"/>
  <c r="CU190" i="1" s="1"/>
  <c r="AI194" i="1"/>
  <c r="AK194" i="1" s="1"/>
  <c r="AM194" i="1" s="1"/>
  <c r="AJ194" i="1"/>
  <c r="AL194" i="1" s="1"/>
  <c r="J195" i="1"/>
  <c r="L195" i="1" s="1"/>
  <c r="N195" i="1" s="1"/>
  <c r="K195" i="1"/>
  <c r="M195" i="1" s="1"/>
  <c r="D196" i="1"/>
  <c r="BS192" i="1" l="1"/>
  <c r="BU192" i="1" s="1"/>
  <c r="BR192" i="1"/>
  <c r="BT192" i="1" s="1"/>
  <c r="BV192" i="1" s="1"/>
  <c r="P195" i="1"/>
  <c r="R195" i="1" s="1"/>
  <c r="O195" i="1"/>
  <c r="Y195" i="1"/>
  <c r="AA195" i="1" s="1"/>
  <c r="AC195" i="1" s="1"/>
  <c r="Z195" i="1"/>
  <c r="AB195" i="1" s="1"/>
  <c r="BD193" i="1"/>
  <c r="BF193" i="1" s="1"/>
  <c r="BC193" i="1"/>
  <c r="BE193" i="1" s="1"/>
  <c r="BG193" i="1" s="1"/>
  <c r="AO194" i="1"/>
  <c r="AQ194" i="1" s="1"/>
  <c r="AN194" i="1"/>
  <c r="AP194" i="1" s="1"/>
  <c r="AR194" i="1" s="1"/>
  <c r="CH191" i="1"/>
  <c r="CJ191" i="1" s="1"/>
  <c r="CG191" i="1"/>
  <c r="CI191" i="1" s="1"/>
  <c r="CK191" i="1" s="1"/>
  <c r="E196" i="1"/>
  <c r="F196" i="1"/>
  <c r="H196" i="1" s="1"/>
  <c r="CW190" i="1"/>
  <c r="CY190" i="1" s="1"/>
  <c r="CV190" i="1"/>
  <c r="CX190" i="1" s="1"/>
  <c r="CZ190" i="1" s="1"/>
  <c r="AE195" i="1" l="1"/>
  <c r="AG195" i="1" s="1"/>
  <c r="AD195" i="1"/>
  <c r="AF195" i="1" s="1"/>
  <c r="AH195" i="1" s="1"/>
  <c r="BI193" i="1"/>
  <c r="BK193" i="1" s="1"/>
  <c r="BH193" i="1"/>
  <c r="BJ193" i="1" s="1"/>
  <c r="BL193" i="1" s="1"/>
  <c r="Q196" i="1"/>
  <c r="S196" i="1" s="1"/>
  <c r="G196" i="1"/>
  <c r="I196" i="1" s="1"/>
  <c r="DB190" i="1"/>
  <c r="DD190" i="1" s="1"/>
  <c r="DA190" i="1"/>
  <c r="DC190" i="1" s="1"/>
  <c r="BX192" i="1"/>
  <c r="BZ192" i="1" s="1"/>
  <c r="BW192" i="1"/>
  <c r="BY192" i="1" s="1"/>
  <c r="CA192" i="1" s="1"/>
  <c r="CM191" i="1"/>
  <c r="CO191" i="1" s="1"/>
  <c r="CL191" i="1"/>
  <c r="CN191" i="1" s="1"/>
  <c r="CP191" i="1" s="1"/>
  <c r="AT194" i="1"/>
  <c r="AV194" i="1" s="1"/>
  <c r="AS194" i="1"/>
  <c r="AU194" i="1" s="1"/>
  <c r="AW194" i="1" s="1"/>
  <c r="K196" i="1" l="1"/>
  <c r="M196" i="1" s="1"/>
  <c r="J196" i="1"/>
  <c r="L196" i="1" s="1"/>
  <c r="N196" i="1" s="1"/>
  <c r="D197" i="1"/>
  <c r="U196" i="1"/>
  <c r="W196" i="1" s="1"/>
  <c r="T196" i="1"/>
  <c r="V196" i="1" s="1"/>
  <c r="X196" i="1" s="1"/>
  <c r="CR191" i="1"/>
  <c r="CT191" i="1" s="1"/>
  <c r="CQ191" i="1"/>
  <c r="CS191" i="1" s="1"/>
  <c r="CU191" i="1" s="1"/>
  <c r="AY194" i="1"/>
  <c r="BA194" i="1" s="1"/>
  <c r="AX194" i="1"/>
  <c r="AZ194" i="1" s="1"/>
  <c r="BB194" i="1" s="1"/>
  <c r="AJ195" i="1"/>
  <c r="AL195" i="1" s="1"/>
  <c r="AI195" i="1"/>
  <c r="AK195" i="1" s="1"/>
  <c r="AM195" i="1" s="1"/>
  <c r="BN193" i="1"/>
  <c r="BP193" i="1" s="1"/>
  <c r="BM193" i="1"/>
  <c r="BO193" i="1" s="1"/>
  <c r="BQ193" i="1" s="1"/>
  <c r="CC192" i="1"/>
  <c r="CE192" i="1" s="1"/>
  <c r="CB192" i="1"/>
  <c r="CD192" i="1" s="1"/>
  <c r="CF192" i="1" s="1"/>
  <c r="CV191" i="1" l="1"/>
  <c r="CX191" i="1" s="1"/>
  <c r="CW191" i="1"/>
  <c r="CY191" i="1" s="1"/>
  <c r="AO195" i="1"/>
  <c r="AQ195" i="1" s="1"/>
  <c r="AN195" i="1"/>
  <c r="AP195" i="1" s="1"/>
  <c r="AR195" i="1" s="1"/>
  <c r="BS193" i="1"/>
  <c r="BU193" i="1" s="1"/>
  <c r="BR193" i="1"/>
  <c r="BT193" i="1" s="1"/>
  <c r="BV193" i="1" s="1"/>
  <c r="O196" i="1"/>
  <c r="P196" i="1"/>
  <c r="R196" i="1" s="1"/>
  <c r="CH192" i="1"/>
  <c r="CJ192" i="1" s="1"/>
  <c r="CG192" i="1"/>
  <c r="CI192" i="1" s="1"/>
  <c r="CK192" i="1" s="1"/>
  <c r="Z196" i="1"/>
  <c r="AB196" i="1" s="1"/>
  <c r="Y196" i="1"/>
  <c r="AA196" i="1" s="1"/>
  <c r="AC196" i="1" s="1"/>
  <c r="E197" i="1"/>
  <c r="F197" i="1"/>
  <c r="H197" i="1" s="1"/>
  <c r="BD194" i="1"/>
  <c r="BF194" i="1" s="1"/>
  <c r="BC194" i="1"/>
  <c r="BE194" i="1" s="1"/>
  <c r="BG194" i="1" s="1"/>
  <c r="BX193" i="1" l="1"/>
  <c r="BZ193" i="1" s="1"/>
  <c r="BW193" i="1"/>
  <c r="BY193" i="1" s="1"/>
  <c r="CA193" i="1" s="1"/>
  <c r="Q197" i="1"/>
  <c r="S197" i="1" s="1"/>
  <c r="G197" i="1"/>
  <c r="I197" i="1" s="1"/>
  <c r="BI194" i="1"/>
  <c r="BK194" i="1" s="1"/>
  <c r="BH194" i="1"/>
  <c r="BJ194" i="1" s="1"/>
  <c r="BL194" i="1" s="1"/>
  <c r="AE196" i="1"/>
  <c r="AG196" i="1" s="1"/>
  <c r="AD196" i="1"/>
  <c r="AF196" i="1" s="1"/>
  <c r="AH196" i="1" s="1"/>
  <c r="CL192" i="1"/>
  <c r="CN192" i="1" s="1"/>
  <c r="CP192" i="1" s="1"/>
  <c r="CM192" i="1"/>
  <c r="CO192" i="1" s="1"/>
  <c r="AT195" i="1"/>
  <c r="AV195" i="1" s="1"/>
  <c r="AS195" i="1"/>
  <c r="AU195" i="1" s="1"/>
  <c r="AW195" i="1" s="1"/>
  <c r="CZ191" i="1"/>
  <c r="AJ196" i="1" l="1"/>
  <c r="AL196" i="1" s="1"/>
  <c r="AI196" i="1"/>
  <c r="AK196" i="1" s="1"/>
  <c r="AM196" i="1" s="1"/>
  <c r="DB191" i="1"/>
  <c r="DD191" i="1" s="1"/>
  <c r="DA191" i="1"/>
  <c r="DC191" i="1" s="1"/>
  <c r="K197" i="1"/>
  <c r="M197" i="1" s="1"/>
  <c r="J197" i="1"/>
  <c r="L197" i="1" s="1"/>
  <c r="N197" i="1" s="1"/>
  <c r="D198" i="1"/>
  <c r="CC193" i="1"/>
  <c r="CE193" i="1" s="1"/>
  <c r="CB193" i="1"/>
  <c r="CD193" i="1" s="1"/>
  <c r="CF193" i="1" s="1"/>
  <c r="BM194" i="1"/>
  <c r="BO194" i="1" s="1"/>
  <c r="BQ194" i="1" s="1"/>
  <c r="BN194" i="1"/>
  <c r="BP194" i="1" s="1"/>
  <c r="AY195" i="1"/>
  <c r="BA195" i="1" s="1"/>
  <c r="AX195" i="1"/>
  <c r="AZ195" i="1" s="1"/>
  <c r="BB195" i="1" s="1"/>
  <c r="U197" i="1"/>
  <c r="W197" i="1" s="1"/>
  <c r="T197" i="1"/>
  <c r="V197" i="1" s="1"/>
  <c r="X197" i="1" s="1"/>
  <c r="CR192" i="1"/>
  <c r="CT192" i="1" s="1"/>
  <c r="CQ192" i="1"/>
  <c r="CS192" i="1" s="1"/>
  <c r="CU192" i="1" s="1"/>
  <c r="F198" i="1" l="1"/>
  <c r="H198" i="1" s="1"/>
  <c r="E198" i="1"/>
  <c r="P197" i="1"/>
  <c r="R197" i="1" s="1"/>
  <c r="O197" i="1"/>
  <c r="AO196" i="1"/>
  <c r="AQ196" i="1" s="1"/>
  <c r="AN196" i="1"/>
  <c r="AP196" i="1" s="1"/>
  <c r="AR196" i="1" s="1"/>
  <c r="Z197" i="1"/>
  <c r="AB197" i="1" s="1"/>
  <c r="Y197" i="1"/>
  <c r="AA197" i="1" s="1"/>
  <c r="AC197" i="1" s="1"/>
  <c r="BC195" i="1"/>
  <c r="BE195" i="1" s="1"/>
  <c r="BG195" i="1" s="1"/>
  <c r="BD195" i="1"/>
  <c r="BF195" i="1" s="1"/>
  <c r="BS194" i="1"/>
  <c r="BU194" i="1" s="1"/>
  <c r="BR194" i="1"/>
  <c r="BT194" i="1" s="1"/>
  <c r="BV194" i="1" s="1"/>
  <c r="CW192" i="1"/>
  <c r="CY192" i="1" s="1"/>
  <c r="CV192" i="1"/>
  <c r="CX192" i="1" s="1"/>
  <c r="CZ192" i="1" s="1"/>
  <c r="CH193" i="1"/>
  <c r="CJ193" i="1" s="1"/>
  <c r="CG193" i="1"/>
  <c r="CI193" i="1" s="1"/>
  <c r="CK193" i="1" s="1"/>
  <c r="CL193" i="1" l="1"/>
  <c r="CN193" i="1" s="1"/>
  <c r="CP193" i="1" s="1"/>
  <c r="CM193" i="1"/>
  <c r="CO193" i="1" s="1"/>
  <c r="AE197" i="1"/>
  <c r="AG197" i="1" s="1"/>
  <c r="AD197" i="1"/>
  <c r="AF197" i="1" s="1"/>
  <c r="AH197" i="1" s="1"/>
  <c r="AS196" i="1"/>
  <c r="AU196" i="1" s="1"/>
  <c r="AW196" i="1" s="1"/>
  <c r="AT196" i="1"/>
  <c r="AV196" i="1" s="1"/>
  <c r="G198" i="1"/>
  <c r="I198" i="1" s="1"/>
  <c r="Q198" i="1"/>
  <c r="S198" i="1" s="1"/>
  <c r="DB192" i="1"/>
  <c r="DD192" i="1" s="1"/>
  <c r="DA192" i="1"/>
  <c r="DC192" i="1" s="1"/>
  <c r="BX194" i="1"/>
  <c r="BZ194" i="1" s="1"/>
  <c r="BW194" i="1"/>
  <c r="BY194" i="1" s="1"/>
  <c r="CA194" i="1" s="1"/>
  <c r="BI195" i="1"/>
  <c r="BK195" i="1" s="1"/>
  <c r="BH195" i="1"/>
  <c r="BJ195" i="1" s="1"/>
  <c r="BL195" i="1" s="1"/>
  <c r="BN195" i="1" l="1"/>
  <c r="BP195" i="1" s="1"/>
  <c r="BM195" i="1"/>
  <c r="BO195" i="1" s="1"/>
  <c r="BQ195" i="1" s="1"/>
  <c r="K198" i="1"/>
  <c r="M198" i="1" s="1"/>
  <c r="J198" i="1"/>
  <c r="L198" i="1" s="1"/>
  <c r="N198" i="1" s="1"/>
  <c r="D199" i="1"/>
  <c r="AY196" i="1"/>
  <c r="BA196" i="1" s="1"/>
  <c r="AX196" i="1"/>
  <c r="AZ196" i="1" s="1"/>
  <c r="BB196" i="1" s="1"/>
  <c r="U198" i="1"/>
  <c r="W198" i="1" s="1"/>
  <c r="T198" i="1"/>
  <c r="V198" i="1" s="1"/>
  <c r="X198" i="1" s="1"/>
  <c r="CB194" i="1"/>
  <c r="CD194" i="1" s="1"/>
  <c r="CF194" i="1" s="1"/>
  <c r="CC194" i="1"/>
  <c r="CE194" i="1" s="1"/>
  <c r="AI197" i="1"/>
  <c r="AK197" i="1" s="1"/>
  <c r="AM197" i="1" s="1"/>
  <c r="AJ197" i="1"/>
  <c r="AL197" i="1" s="1"/>
  <c r="CR193" i="1"/>
  <c r="CT193" i="1" s="1"/>
  <c r="CQ193" i="1"/>
  <c r="CS193" i="1" s="1"/>
  <c r="CU193" i="1" s="1"/>
  <c r="BD196" i="1" l="1"/>
  <c r="BF196" i="1" s="1"/>
  <c r="BC196" i="1"/>
  <c r="BE196" i="1" s="1"/>
  <c r="BG196" i="1" s="1"/>
  <c r="F199" i="1"/>
  <c r="H199" i="1" s="1"/>
  <c r="E199" i="1"/>
  <c r="CW193" i="1"/>
  <c r="CY193" i="1" s="1"/>
  <c r="CV193" i="1"/>
  <c r="CX193" i="1" s="1"/>
  <c r="CZ193" i="1" s="1"/>
  <c r="AO197" i="1"/>
  <c r="AQ197" i="1" s="1"/>
  <c r="AN197" i="1"/>
  <c r="AP197" i="1" s="1"/>
  <c r="AR197" i="1" s="1"/>
  <c r="BR195" i="1"/>
  <c r="BT195" i="1" s="1"/>
  <c r="BV195" i="1" s="1"/>
  <c r="BS195" i="1"/>
  <c r="BU195" i="1" s="1"/>
  <c r="Y198" i="1"/>
  <c r="AA198" i="1" s="1"/>
  <c r="AC198" i="1" s="1"/>
  <c r="Z198" i="1"/>
  <c r="AB198" i="1" s="1"/>
  <c r="P198" i="1"/>
  <c r="R198" i="1" s="1"/>
  <c r="O198" i="1"/>
  <c r="CH194" i="1"/>
  <c r="CJ194" i="1" s="1"/>
  <c r="CG194" i="1"/>
  <c r="CI194" i="1" s="1"/>
  <c r="CK194" i="1" s="1"/>
  <c r="CM194" i="1" l="1"/>
  <c r="CO194" i="1" s="1"/>
  <c r="CL194" i="1"/>
  <c r="CN194" i="1" s="1"/>
  <c r="CP194" i="1" s="1"/>
  <c r="DA193" i="1"/>
  <c r="DC193" i="1" s="1"/>
  <c r="DB193" i="1"/>
  <c r="DD193" i="1" s="1"/>
  <c r="AT197" i="1"/>
  <c r="AV197" i="1" s="1"/>
  <c r="AS197" i="1"/>
  <c r="AU197" i="1" s="1"/>
  <c r="AW197" i="1" s="1"/>
  <c r="Q199" i="1"/>
  <c r="S199" i="1" s="1"/>
  <c r="G199" i="1"/>
  <c r="I199" i="1" s="1"/>
  <c r="BH196" i="1"/>
  <c r="BJ196" i="1" s="1"/>
  <c r="BL196" i="1" s="1"/>
  <c r="BI196" i="1"/>
  <c r="BK196" i="1" s="1"/>
  <c r="AE198" i="1"/>
  <c r="AG198" i="1" s="1"/>
  <c r="AD198" i="1"/>
  <c r="AF198" i="1" s="1"/>
  <c r="AH198" i="1" s="1"/>
  <c r="BW195" i="1"/>
  <c r="BY195" i="1" s="1"/>
  <c r="CA195" i="1" s="1"/>
  <c r="BX195" i="1"/>
  <c r="BZ195" i="1" s="1"/>
  <c r="K199" i="1" l="1"/>
  <c r="M199" i="1" s="1"/>
  <c r="J199" i="1"/>
  <c r="L199" i="1" s="1"/>
  <c r="N199" i="1" s="1"/>
  <c r="D200" i="1"/>
  <c r="AX197" i="1"/>
  <c r="AZ197" i="1" s="1"/>
  <c r="BB197" i="1" s="1"/>
  <c r="AY197" i="1"/>
  <c r="BA197" i="1" s="1"/>
  <c r="BN196" i="1"/>
  <c r="BP196" i="1" s="1"/>
  <c r="BM196" i="1"/>
  <c r="BO196" i="1" s="1"/>
  <c r="BQ196" i="1" s="1"/>
  <c r="U199" i="1"/>
  <c r="W199" i="1" s="1"/>
  <c r="T199" i="1"/>
  <c r="V199" i="1" s="1"/>
  <c r="X199" i="1" s="1"/>
  <c r="CC195" i="1"/>
  <c r="CE195" i="1" s="1"/>
  <c r="CB195" i="1"/>
  <c r="CD195" i="1" s="1"/>
  <c r="CF195" i="1" s="1"/>
  <c r="CQ194" i="1"/>
  <c r="CS194" i="1" s="1"/>
  <c r="CU194" i="1" s="1"/>
  <c r="CR194" i="1"/>
  <c r="CT194" i="1" s="1"/>
  <c r="AJ198" i="1"/>
  <c r="AL198" i="1" s="1"/>
  <c r="AI198" i="1"/>
  <c r="AK198" i="1" s="1"/>
  <c r="AM198" i="1" s="1"/>
  <c r="BS196" i="1" l="1"/>
  <c r="BU196" i="1" s="1"/>
  <c r="BR196" i="1"/>
  <c r="BT196" i="1" s="1"/>
  <c r="BV196" i="1" s="1"/>
  <c r="CW194" i="1"/>
  <c r="CY194" i="1" s="1"/>
  <c r="CV194" i="1"/>
  <c r="CX194" i="1" s="1"/>
  <c r="CZ194" i="1" s="1"/>
  <c r="CG195" i="1"/>
  <c r="CI195" i="1" s="1"/>
  <c r="CK195" i="1" s="1"/>
  <c r="CH195" i="1"/>
  <c r="CJ195" i="1" s="1"/>
  <c r="O199" i="1"/>
  <c r="P199" i="1"/>
  <c r="R199" i="1" s="1"/>
  <c r="AN198" i="1"/>
  <c r="AP198" i="1" s="1"/>
  <c r="AR198" i="1" s="1"/>
  <c r="AO198" i="1"/>
  <c r="AQ198" i="1" s="1"/>
  <c r="BD197" i="1"/>
  <c r="BF197" i="1" s="1"/>
  <c r="BC197" i="1"/>
  <c r="BE197" i="1" s="1"/>
  <c r="BG197" i="1" s="1"/>
  <c r="E200" i="1"/>
  <c r="F200" i="1"/>
  <c r="H200" i="1" s="1"/>
  <c r="Z199" i="1"/>
  <c r="AB199" i="1" s="1"/>
  <c r="Y199" i="1"/>
  <c r="AA199" i="1" s="1"/>
  <c r="AC199" i="1" s="1"/>
  <c r="CM195" i="1" l="1"/>
  <c r="CO195" i="1" s="1"/>
  <c r="CL195" i="1"/>
  <c r="CN195" i="1" s="1"/>
  <c r="CP195" i="1" s="1"/>
  <c r="G200" i="1"/>
  <c r="I200" i="1" s="1"/>
  <c r="Q200" i="1"/>
  <c r="S200" i="1" s="1"/>
  <c r="BI197" i="1"/>
  <c r="BK197" i="1" s="1"/>
  <c r="BH197" i="1"/>
  <c r="BJ197" i="1" s="1"/>
  <c r="BL197" i="1" s="1"/>
  <c r="BW196" i="1"/>
  <c r="BY196" i="1" s="1"/>
  <c r="CA196" i="1" s="1"/>
  <c r="BX196" i="1"/>
  <c r="BZ196" i="1" s="1"/>
  <c r="AD199" i="1"/>
  <c r="AF199" i="1" s="1"/>
  <c r="AH199" i="1" s="1"/>
  <c r="AE199" i="1"/>
  <c r="AG199" i="1" s="1"/>
  <c r="DB194" i="1"/>
  <c r="DD194" i="1" s="1"/>
  <c r="DA194" i="1"/>
  <c r="DC194" i="1" s="1"/>
  <c r="AS198" i="1"/>
  <c r="AU198" i="1" s="1"/>
  <c r="AW198" i="1" s="1"/>
  <c r="AT198" i="1"/>
  <c r="AV198" i="1" s="1"/>
  <c r="AJ199" i="1" l="1"/>
  <c r="AL199" i="1" s="1"/>
  <c r="AI199" i="1"/>
  <c r="AK199" i="1" s="1"/>
  <c r="AM199" i="1" s="1"/>
  <c r="CC196" i="1"/>
  <c r="CE196" i="1" s="1"/>
  <c r="CB196" i="1"/>
  <c r="CD196" i="1" s="1"/>
  <c r="CF196" i="1" s="1"/>
  <c r="BM197" i="1"/>
  <c r="BO197" i="1" s="1"/>
  <c r="BQ197" i="1" s="1"/>
  <c r="BN197" i="1"/>
  <c r="BP197" i="1" s="1"/>
  <c r="T200" i="1"/>
  <c r="V200" i="1" s="1"/>
  <c r="X200" i="1" s="1"/>
  <c r="U200" i="1"/>
  <c r="W200" i="1" s="1"/>
  <c r="CR195" i="1"/>
  <c r="CT195" i="1" s="1"/>
  <c r="CQ195" i="1"/>
  <c r="CS195" i="1" s="1"/>
  <c r="CU195" i="1" s="1"/>
  <c r="AY198" i="1"/>
  <c r="BA198" i="1" s="1"/>
  <c r="AX198" i="1"/>
  <c r="AZ198" i="1" s="1"/>
  <c r="BB198" i="1" s="1"/>
  <c r="K200" i="1"/>
  <c r="M200" i="1" s="1"/>
  <c r="J200" i="1"/>
  <c r="L200" i="1" s="1"/>
  <c r="N200" i="1" s="1"/>
  <c r="D201" i="1"/>
  <c r="F201" i="1" l="1"/>
  <c r="H201" i="1" s="1"/>
  <c r="E201" i="1"/>
  <c r="BS197" i="1"/>
  <c r="BU197" i="1" s="1"/>
  <c r="BR197" i="1"/>
  <c r="BT197" i="1" s="1"/>
  <c r="BV197" i="1" s="1"/>
  <c r="Z200" i="1"/>
  <c r="AB200" i="1" s="1"/>
  <c r="Y200" i="1"/>
  <c r="AA200" i="1" s="1"/>
  <c r="AC200" i="1" s="1"/>
  <c r="CH196" i="1"/>
  <c r="CJ196" i="1" s="1"/>
  <c r="CG196" i="1"/>
  <c r="CI196" i="1" s="1"/>
  <c r="CK196" i="1" s="1"/>
  <c r="P200" i="1"/>
  <c r="R200" i="1" s="1"/>
  <c r="O200" i="1"/>
  <c r="BC198" i="1"/>
  <c r="BE198" i="1" s="1"/>
  <c r="BG198" i="1" s="1"/>
  <c r="BD198" i="1"/>
  <c r="BF198" i="1" s="1"/>
  <c r="CW195" i="1"/>
  <c r="CY195" i="1" s="1"/>
  <c r="CV195" i="1"/>
  <c r="CX195" i="1" s="1"/>
  <c r="CZ195" i="1" s="1"/>
  <c r="AO199" i="1"/>
  <c r="AQ199" i="1" s="1"/>
  <c r="AN199" i="1"/>
  <c r="AP199" i="1" s="1"/>
  <c r="AR199" i="1" s="1"/>
  <c r="AE200" i="1" l="1"/>
  <c r="AG200" i="1" s="1"/>
  <c r="AD200" i="1"/>
  <c r="AF200" i="1" s="1"/>
  <c r="AH200" i="1" s="1"/>
  <c r="AS199" i="1"/>
  <c r="AU199" i="1" s="1"/>
  <c r="AW199" i="1" s="1"/>
  <c r="AT199" i="1"/>
  <c r="AV199" i="1" s="1"/>
  <c r="BX197" i="1"/>
  <c r="BZ197" i="1" s="1"/>
  <c r="BW197" i="1"/>
  <c r="BY197" i="1" s="1"/>
  <c r="CA197" i="1" s="1"/>
  <c r="DB195" i="1"/>
  <c r="DD195" i="1" s="1"/>
  <c r="DA195" i="1"/>
  <c r="DC195" i="1" s="1"/>
  <c r="CM196" i="1"/>
  <c r="CO196" i="1" s="1"/>
  <c r="CL196" i="1"/>
  <c r="CN196" i="1" s="1"/>
  <c r="CP196" i="1" s="1"/>
  <c r="BI198" i="1"/>
  <c r="BK198" i="1" s="1"/>
  <c r="BH198" i="1"/>
  <c r="BJ198" i="1" s="1"/>
  <c r="BL198" i="1" s="1"/>
  <c r="G201" i="1"/>
  <c r="I201" i="1" s="1"/>
  <c r="Q201" i="1"/>
  <c r="S201" i="1" s="1"/>
  <c r="CC197" i="1" l="1"/>
  <c r="CE197" i="1" s="1"/>
  <c r="CB197" i="1"/>
  <c r="CD197" i="1" s="1"/>
  <c r="CF197" i="1" s="1"/>
  <c r="CR196" i="1"/>
  <c r="CT196" i="1" s="1"/>
  <c r="CQ196" i="1"/>
  <c r="CS196" i="1" s="1"/>
  <c r="CU196" i="1" s="1"/>
  <c r="J201" i="1"/>
  <c r="L201" i="1" s="1"/>
  <c r="N201" i="1" s="1"/>
  <c r="K201" i="1"/>
  <c r="M201" i="1" s="1"/>
  <c r="D202" i="1"/>
  <c r="U201" i="1"/>
  <c r="W201" i="1" s="1"/>
  <c r="T201" i="1"/>
  <c r="V201" i="1" s="1"/>
  <c r="X201" i="1" s="1"/>
  <c r="BN198" i="1"/>
  <c r="BP198" i="1" s="1"/>
  <c r="BM198" i="1"/>
  <c r="BO198" i="1" s="1"/>
  <c r="BQ198" i="1" s="1"/>
  <c r="AY199" i="1"/>
  <c r="BA199" i="1" s="1"/>
  <c r="AX199" i="1"/>
  <c r="AZ199" i="1" s="1"/>
  <c r="BB199" i="1" s="1"/>
  <c r="AI200" i="1"/>
  <c r="AK200" i="1" s="1"/>
  <c r="AM200" i="1" s="1"/>
  <c r="AJ200" i="1"/>
  <c r="AL200" i="1" s="1"/>
  <c r="AO200" i="1" l="1"/>
  <c r="AQ200" i="1" s="1"/>
  <c r="AN200" i="1"/>
  <c r="AP200" i="1" s="1"/>
  <c r="AR200" i="1" s="1"/>
  <c r="O201" i="1"/>
  <c r="P201" i="1"/>
  <c r="R201" i="1" s="1"/>
  <c r="Y201" i="1"/>
  <c r="AA201" i="1" s="1"/>
  <c r="AC201" i="1" s="1"/>
  <c r="Z201" i="1"/>
  <c r="AB201" i="1" s="1"/>
  <c r="F202" i="1"/>
  <c r="H202" i="1" s="1"/>
  <c r="E202" i="1"/>
  <c r="CW196" i="1"/>
  <c r="CY196" i="1" s="1"/>
  <c r="CV196" i="1"/>
  <c r="CX196" i="1" s="1"/>
  <c r="CZ196" i="1" s="1"/>
  <c r="BD199" i="1"/>
  <c r="BF199" i="1" s="1"/>
  <c r="BC199" i="1"/>
  <c r="BE199" i="1" s="1"/>
  <c r="BG199" i="1" s="1"/>
  <c r="BS198" i="1"/>
  <c r="BU198" i="1" s="1"/>
  <c r="BR198" i="1"/>
  <c r="BT198" i="1" s="1"/>
  <c r="BV198" i="1" s="1"/>
  <c r="CH197" i="1"/>
  <c r="CJ197" i="1" s="1"/>
  <c r="CG197" i="1"/>
  <c r="CI197" i="1" s="1"/>
  <c r="CK197" i="1" s="1"/>
  <c r="Q202" i="1" l="1"/>
  <c r="S202" i="1" s="1"/>
  <c r="G202" i="1"/>
  <c r="I202" i="1" s="1"/>
  <c r="BI199" i="1"/>
  <c r="BK199" i="1" s="1"/>
  <c r="BH199" i="1"/>
  <c r="BJ199" i="1" s="1"/>
  <c r="BL199" i="1" s="1"/>
  <c r="AE201" i="1"/>
  <c r="AG201" i="1" s="1"/>
  <c r="AD201" i="1"/>
  <c r="AF201" i="1" s="1"/>
  <c r="AH201" i="1" s="1"/>
  <c r="CM197" i="1"/>
  <c r="CO197" i="1" s="1"/>
  <c r="CL197" i="1"/>
  <c r="CN197" i="1" s="1"/>
  <c r="CP197" i="1" s="1"/>
  <c r="DA196" i="1"/>
  <c r="DC196" i="1" s="1"/>
  <c r="DB196" i="1"/>
  <c r="DD196" i="1" s="1"/>
  <c r="BX198" i="1"/>
  <c r="BZ198" i="1" s="1"/>
  <c r="BW198" i="1"/>
  <c r="BY198" i="1" s="1"/>
  <c r="CA198" i="1" s="1"/>
  <c r="AT200" i="1"/>
  <c r="AV200" i="1" s="1"/>
  <c r="AS200" i="1"/>
  <c r="AU200" i="1" s="1"/>
  <c r="AW200" i="1" s="1"/>
  <c r="CQ197" i="1" l="1"/>
  <c r="CS197" i="1" s="1"/>
  <c r="CU197" i="1" s="1"/>
  <c r="CR197" i="1"/>
  <c r="CT197" i="1" s="1"/>
  <c r="AY200" i="1"/>
  <c r="BA200" i="1" s="1"/>
  <c r="AX200" i="1"/>
  <c r="AZ200" i="1" s="1"/>
  <c r="BB200" i="1" s="1"/>
  <c r="CC198" i="1"/>
  <c r="CE198" i="1" s="1"/>
  <c r="CB198" i="1"/>
  <c r="CD198" i="1" s="1"/>
  <c r="CF198" i="1" s="1"/>
  <c r="AJ201" i="1"/>
  <c r="AL201" i="1" s="1"/>
  <c r="AI201" i="1"/>
  <c r="AK201" i="1" s="1"/>
  <c r="AM201" i="1" s="1"/>
  <c r="BN199" i="1"/>
  <c r="BP199" i="1" s="1"/>
  <c r="BM199" i="1"/>
  <c r="BO199" i="1" s="1"/>
  <c r="BQ199" i="1" s="1"/>
  <c r="K202" i="1"/>
  <c r="M202" i="1" s="1"/>
  <c r="J202" i="1"/>
  <c r="L202" i="1" s="1"/>
  <c r="N202" i="1" s="1"/>
  <c r="D203" i="1"/>
  <c r="U202" i="1"/>
  <c r="W202" i="1" s="1"/>
  <c r="T202" i="1"/>
  <c r="V202" i="1" s="1"/>
  <c r="X202" i="1" s="1"/>
  <c r="BD200" i="1" l="1"/>
  <c r="BF200" i="1" s="1"/>
  <c r="BC200" i="1"/>
  <c r="BE200" i="1" s="1"/>
  <c r="BG200" i="1" s="1"/>
  <c r="CG198" i="1"/>
  <c r="CI198" i="1" s="1"/>
  <c r="CK198" i="1" s="1"/>
  <c r="CH198" i="1"/>
  <c r="CJ198" i="1" s="1"/>
  <c r="AO201" i="1"/>
  <c r="AQ201" i="1" s="1"/>
  <c r="AN201" i="1"/>
  <c r="AP201" i="1" s="1"/>
  <c r="AR201" i="1" s="1"/>
  <c r="O202" i="1"/>
  <c r="P202" i="1"/>
  <c r="R202" i="1" s="1"/>
  <c r="BS199" i="1"/>
  <c r="BU199" i="1" s="1"/>
  <c r="BR199" i="1"/>
  <c r="BT199" i="1" s="1"/>
  <c r="BV199" i="1" s="1"/>
  <c r="Z202" i="1"/>
  <c r="AB202" i="1" s="1"/>
  <c r="Y202" i="1"/>
  <c r="AA202" i="1" s="1"/>
  <c r="AC202" i="1" s="1"/>
  <c r="E203" i="1"/>
  <c r="F203" i="1"/>
  <c r="H203" i="1" s="1"/>
  <c r="CW197" i="1"/>
  <c r="CY197" i="1" s="1"/>
  <c r="CV197" i="1"/>
  <c r="CX197" i="1" s="1"/>
  <c r="CZ197" i="1" s="1"/>
  <c r="DB197" i="1" l="1"/>
  <c r="DD197" i="1" s="1"/>
  <c r="DA197" i="1"/>
  <c r="DC197" i="1" s="1"/>
  <c r="CM198" i="1"/>
  <c r="CO198" i="1" s="1"/>
  <c r="CL198" i="1"/>
  <c r="CN198" i="1" s="1"/>
  <c r="CP198" i="1" s="1"/>
  <c r="AE202" i="1"/>
  <c r="AG202" i="1" s="1"/>
  <c r="AD202" i="1"/>
  <c r="AF202" i="1" s="1"/>
  <c r="AH202" i="1" s="1"/>
  <c r="AT201" i="1"/>
  <c r="AV201" i="1" s="1"/>
  <c r="AS201" i="1"/>
  <c r="AU201" i="1" s="1"/>
  <c r="AW201" i="1" s="1"/>
  <c r="Q203" i="1"/>
  <c r="S203" i="1" s="1"/>
  <c r="G203" i="1"/>
  <c r="I203" i="1" s="1"/>
  <c r="BW199" i="1"/>
  <c r="BY199" i="1" s="1"/>
  <c r="CA199" i="1" s="1"/>
  <c r="BX199" i="1"/>
  <c r="BZ199" i="1" s="1"/>
  <c r="BI200" i="1"/>
  <c r="BK200" i="1" s="1"/>
  <c r="BH200" i="1"/>
  <c r="BJ200" i="1" s="1"/>
  <c r="BL200" i="1" s="1"/>
  <c r="BM200" i="1" l="1"/>
  <c r="BO200" i="1" s="1"/>
  <c r="BQ200" i="1" s="1"/>
  <c r="BN200" i="1"/>
  <c r="BP200" i="1" s="1"/>
  <c r="AJ202" i="1"/>
  <c r="AL202" i="1" s="1"/>
  <c r="AI202" i="1"/>
  <c r="AK202" i="1" s="1"/>
  <c r="AM202" i="1" s="1"/>
  <c r="AY201" i="1"/>
  <c r="BA201" i="1" s="1"/>
  <c r="AX201" i="1"/>
  <c r="AZ201" i="1" s="1"/>
  <c r="BB201" i="1" s="1"/>
  <c r="CR198" i="1"/>
  <c r="CT198" i="1" s="1"/>
  <c r="CQ198" i="1"/>
  <c r="CS198" i="1" s="1"/>
  <c r="CU198" i="1" s="1"/>
  <c r="CC199" i="1"/>
  <c r="CE199" i="1" s="1"/>
  <c r="CB199" i="1"/>
  <c r="CD199" i="1" s="1"/>
  <c r="CF199" i="1" s="1"/>
  <c r="K203" i="1"/>
  <c r="M203" i="1" s="1"/>
  <c r="J203" i="1"/>
  <c r="L203" i="1" s="1"/>
  <c r="N203" i="1" s="1"/>
  <c r="D204" i="1"/>
  <c r="U203" i="1"/>
  <c r="W203" i="1" s="1"/>
  <c r="T203" i="1"/>
  <c r="V203" i="1" s="1"/>
  <c r="X203" i="1" s="1"/>
  <c r="CV198" i="1" l="1"/>
  <c r="CX198" i="1" s="1"/>
  <c r="CW198" i="1"/>
  <c r="CY198" i="1" s="1"/>
  <c r="P203" i="1"/>
  <c r="R203" i="1" s="1"/>
  <c r="O203" i="1"/>
  <c r="Z203" i="1"/>
  <c r="AB203" i="1" s="1"/>
  <c r="Y203" i="1"/>
  <c r="AA203" i="1" s="1"/>
  <c r="AC203" i="1" s="1"/>
  <c r="AO202" i="1"/>
  <c r="AQ202" i="1" s="1"/>
  <c r="AN202" i="1"/>
  <c r="AP202" i="1" s="1"/>
  <c r="AR202" i="1" s="1"/>
  <c r="CH199" i="1"/>
  <c r="CJ199" i="1" s="1"/>
  <c r="CG199" i="1"/>
  <c r="CI199" i="1" s="1"/>
  <c r="CK199" i="1" s="1"/>
  <c r="BC201" i="1"/>
  <c r="BE201" i="1" s="1"/>
  <c r="BG201" i="1" s="1"/>
  <c r="BD201" i="1"/>
  <c r="BF201" i="1" s="1"/>
  <c r="F204" i="1"/>
  <c r="H204" i="1" s="1"/>
  <c r="E204" i="1"/>
  <c r="BS200" i="1"/>
  <c r="BU200" i="1" s="1"/>
  <c r="BR200" i="1"/>
  <c r="BT200" i="1" s="1"/>
  <c r="BV200" i="1" s="1"/>
  <c r="BX200" i="1" l="1"/>
  <c r="BZ200" i="1" s="1"/>
  <c r="BW200" i="1"/>
  <c r="BY200" i="1" s="1"/>
  <c r="CA200" i="1" s="1"/>
  <c r="AE203" i="1"/>
  <c r="AG203" i="1" s="1"/>
  <c r="AD203" i="1"/>
  <c r="AF203" i="1" s="1"/>
  <c r="AH203" i="1" s="1"/>
  <c r="G204" i="1"/>
  <c r="I204" i="1" s="1"/>
  <c r="Q204" i="1"/>
  <c r="S204" i="1" s="1"/>
  <c r="AS202" i="1"/>
  <c r="AU202" i="1" s="1"/>
  <c r="AW202" i="1" s="1"/>
  <c r="AT202" i="1"/>
  <c r="AV202" i="1" s="1"/>
  <c r="CL199" i="1"/>
  <c r="CN199" i="1" s="1"/>
  <c r="CP199" i="1" s="1"/>
  <c r="CM199" i="1"/>
  <c r="CO199" i="1" s="1"/>
  <c r="BI201" i="1"/>
  <c r="BK201" i="1" s="1"/>
  <c r="BH201" i="1"/>
  <c r="BJ201" i="1" s="1"/>
  <c r="BL201" i="1" s="1"/>
  <c r="CZ198" i="1"/>
  <c r="CR199" i="1" l="1"/>
  <c r="CT199" i="1" s="1"/>
  <c r="CQ199" i="1"/>
  <c r="CS199" i="1" s="1"/>
  <c r="CU199" i="1" s="1"/>
  <c r="U204" i="1"/>
  <c r="W204" i="1" s="1"/>
  <c r="T204" i="1"/>
  <c r="V204" i="1" s="1"/>
  <c r="X204" i="1" s="1"/>
  <c r="AI203" i="1"/>
  <c r="AK203" i="1" s="1"/>
  <c r="AM203" i="1" s="1"/>
  <c r="AJ203" i="1"/>
  <c r="AL203" i="1" s="1"/>
  <c r="DB198" i="1"/>
  <c r="DD198" i="1" s="1"/>
  <c r="DA198" i="1"/>
  <c r="DC198" i="1" s="1"/>
  <c r="AY202" i="1"/>
  <c r="BA202" i="1" s="1"/>
  <c r="AX202" i="1"/>
  <c r="AZ202" i="1" s="1"/>
  <c r="BB202" i="1" s="1"/>
  <c r="BN201" i="1"/>
  <c r="BP201" i="1" s="1"/>
  <c r="BM201" i="1"/>
  <c r="BO201" i="1" s="1"/>
  <c r="BQ201" i="1" s="1"/>
  <c r="CB200" i="1"/>
  <c r="CD200" i="1" s="1"/>
  <c r="CF200" i="1" s="1"/>
  <c r="CC200" i="1"/>
  <c r="CE200" i="1" s="1"/>
  <c r="K204" i="1"/>
  <c r="M204" i="1" s="1"/>
  <c r="J204" i="1"/>
  <c r="L204" i="1" s="1"/>
  <c r="N204" i="1" s="1"/>
  <c r="D205" i="1"/>
  <c r="P204" i="1" l="1"/>
  <c r="R204" i="1" s="1"/>
  <c r="O204" i="1"/>
  <c r="CG200" i="1"/>
  <c r="CI200" i="1" s="1"/>
  <c r="CK200" i="1" s="1"/>
  <c r="CH200" i="1"/>
  <c r="CJ200" i="1" s="1"/>
  <c r="Y204" i="1"/>
  <c r="AA204" i="1" s="1"/>
  <c r="AC204" i="1" s="1"/>
  <c r="Z204" i="1"/>
  <c r="AB204" i="1" s="1"/>
  <c r="CW199" i="1"/>
  <c r="CY199" i="1" s="1"/>
  <c r="CV199" i="1"/>
  <c r="CX199" i="1" s="1"/>
  <c r="CZ199" i="1" s="1"/>
  <c r="AO203" i="1"/>
  <c r="AQ203" i="1" s="1"/>
  <c r="AN203" i="1"/>
  <c r="AP203" i="1" s="1"/>
  <c r="AR203" i="1" s="1"/>
  <c r="BR201" i="1"/>
  <c r="BT201" i="1" s="1"/>
  <c r="BV201" i="1" s="1"/>
  <c r="BS201" i="1"/>
  <c r="BU201" i="1" s="1"/>
  <c r="BD202" i="1"/>
  <c r="BF202" i="1" s="1"/>
  <c r="BC202" i="1"/>
  <c r="BE202" i="1" s="1"/>
  <c r="BG202" i="1" s="1"/>
  <c r="F205" i="1"/>
  <c r="H205" i="1" s="1"/>
  <c r="E205" i="1"/>
  <c r="Q205" i="1" l="1"/>
  <c r="S205" i="1" s="1"/>
  <c r="G205" i="1"/>
  <c r="I205" i="1" s="1"/>
  <c r="DA199" i="1"/>
  <c r="DC199" i="1" s="1"/>
  <c r="DB199" i="1"/>
  <c r="DD199" i="1" s="1"/>
  <c r="BH202" i="1"/>
  <c r="BJ202" i="1" s="1"/>
  <c r="BL202" i="1" s="1"/>
  <c r="BI202" i="1"/>
  <c r="BK202" i="1" s="1"/>
  <c r="CM200" i="1"/>
  <c r="CO200" i="1" s="1"/>
  <c r="CL200" i="1"/>
  <c r="CN200" i="1" s="1"/>
  <c r="CP200" i="1" s="1"/>
  <c r="AE204" i="1"/>
  <c r="AG204" i="1" s="1"/>
  <c r="AD204" i="1"/>
  <c r="AF204" i="1" s="1"/>
  <c r="AH204" i="1" s="1"/>
  <c r="BX201" i="1"/>
  <c r="BZ201" i="1" s="1"/>
  <c r="BW201" i="1"/>
  <c r="BY201" i="1" s="1"/>
  <c r="CA201" i="1" s="1"/>
  <c r="AT203" i="1"/>
  <c r="AV203" i="1" s="1"/>
  <c r="AS203" i="1"/>
  <c r="AU203" i="1" s="1"/>
  <c r="AW203" i="1" s="1"/>
  <c r="AX203" i="1" l="1"/>
  <c r="AZ203" i="1" s="1"/>
  <c r="BB203" i="1" s="1"/>
  <c r="AY203" i="1"/>
  <c r="BA203" i="1" s="1"/>
  <c r="CC201" i="1"/>
  <c r="CE201" i="1" s="1"/>
  <c r="CB201" i="1"/>
  <c r="CD201" i="1" s="1"/>
  <c r="CF201" i="1" s="1"/>
  <c r="CQ200" i="1"/>
  <c r="CS200" i="1" s="1"/>
  <c r="CU200" i="1" s="1"/>
  <c r="CR200" i="1"/>
  <c r="CT200" i="1" s="1"/>
  <c r="K205" i="1"/>
  <c r="M205" i="1" s="1"/>
  <c r="J205" i="1"/>
  <c r="L205" i="1" s="1"/>
  <c r="N205" i="1" s="1"/>
  <c r="D206" i="1"/>
  <c r="BN202" i="1"/>
  <c r="BP202" i="1" s="1"/>
  <c r="BM202" i="1"/>
  <c r="BO202" i="1" s="1"/>
  <c r="BQ202" i="1" s="1"/>
  <c r="AJ204" i="1"/>
  <c r="AL204" i="1" s="1"/>
  <c r="AI204" i="1"/>
  <c r="AK204" i="1" s="1"/>
  <c r="AM204" i="1" s="1"/>
  <c r="U205" i="1"/>
  <c r="W205" i="1" s="1"/>
  <c r="T205" i="1"/>
  <c r="V205" i="1" s="1"/>
  <c r="X205" i="1" s="1"/>
  <c r="Z205" i="1" l="1"/>
  <c r="AB205" i="1" s="1"/>
  <c r="Y205" i="1"/>
  <c r="AA205" i="1" s="1"/>
  <c r="AC205" i="1" s="1"/>
  <c r="BS202" i="1"/>
  <c r="BU202" i="1" s="1"/>
  <c r="BR202" i="1"/>
  <c r="BT202" i="1" s="1"/>
  <c r="BV202" i="1" s="1"/>
  <c r="CW200" i="1"/>
  <c r="CY200" i="1" s="1"/>
  <c r="CV200" i="1"/>
  <c r="CX200" i="1" s="1"/>
  <c r="CZ200" i="1" s="1"/>
  <c r="O205" i="1"/>
  <c r="P205" i="1"/>
  <c r="R205" i="1" s="1"/>
  <c r="AN204" i="1"/>
  <c r="AP204" i="1" s="1"/>
  <c r="AR204" i="1" s="1"/>
  <c r="AO204" i="1"/>
  <c r="AQ204" i="1" s="1"/>
  <c r="CG201" i="1"/>
  <c r="CI201" i="1" s="1"/>
  <c r="CK201" i="1" s="1"/>
  <c r="CH201" i="1"/>
  <c r="CJ201" i="1" s="1"/>
  <c r="E206" i="1"/>
  <c r="F206" i="1"/>
  <c r="H206" i="1" s="1"/>
  <c r="BC203" i="1"/>
  <c r="BE203" i="1" s="1"/>
  <c r="BG203" i="1" s="1"/>
  <c r="BD203" i="1"/>
  <c r="BF203" i="1" s="1"/>
  <c r="BI203" i="1" l="1"/>
  <c r="BK203" i="1" s="1"/>
  <c r="BH203" i="1"/>
  <c r="BJ203" i="1" s="1"/>
  <c r="BL203" i="1" s="1"/>
  <c r="AD205" i="1"/>
  <c r="AF205" i="1" s="1"/>
  <c r="AH205" i="1" s="1"/>
  <c r="AE205" i="1"/>
  <c r="AG205" i="1" s="1"/>
  <c r="DB200" i="1"/>
  <c r="DD200" i="1" s="1"/>
  <c r="DA200" i="1"/>
  <c r="DC200" i="1" s="1"/>
  <c r="BW202" i="1"/>
  <c r="BY202" i="1" s="1"/>
  <c r="CA202" i="1" s="1"/>
  <c r="BX202" i="1"/>
  <c r="BZ202" i="1" s="1"/>
  <c r="G206" i="1"/>
  <c r="I206" i="1" s="1"/>
  <c r="Q206" i="1"/>
  <c r="S206" i="1" s="1"/>
  <c r="CM201" i="1"/>
  <c r="CO201" i="1" s="1"/>
  <c r="CL201" i="1"/>
  <c r="CN201" i="1" s="1"/>
  <c r="CP201" i="1" s="1"/>
  <c r="AT204" i="1"/>
  <c r="AV204" i="1" s="1"/>
  <c r="AS204" i="1"/>
  <c r="AU204" i="1" s="1"/>
  <c r="AW204" i="1" s="1"/>
  <c r="CC202" i="1" l="1"/>
  <c r="CE202" i="1" s="1"/>
  <c r="CB202" i="1"/>
  <c r="CD202" i="1" s="1"/>
  <c r="CF202" i="1" s="1"/>
  <c r="CR201" i="1"/>
  <c r="CT201" i="1" s="1"/>
  <c r="CQ201" i="1"/>
  <c r="CS201" i="1" s="1"/>
  <c r="CU201" i="1" s="1"/>
  <c r="BM203" i="1"/>
  <c r="BO203" i="1" s="1"/>
  <c r="BQ203" i="1" s="1"/>
  <c r="BN203" i="1"/>
  <c r="BP203" i="1" s="1"/>
  <c r="AY204" i="1"/>
  <c r="BA204" i="1" s="1"/>
  <c r="AX204" i="1"/>
  <c r="AZ204" i="1" s="1"/>
  <c r="BB204" i="1" s="1"/>
  <c r="AJ205" i="1"/>
  <c r="AL205" i="1" s="1"/>
  <c r="AI205" i="1"/>
  <c r="AK205" i="1" s="1"/>
  <c r="AM205" i="1" s="1"/>
  <c r="T206" i="1"/>
  <c r="V206" i="1" s="1"/>
  <c r="X206" i="1" s="1"/>
  <c r="U206" i="1"/>
  <c r="W206" i="1" s="1"/>
  <c r="K206" i="1"/>
  <c r="M206" i="1" s="1"/>
  <c r="J206" i="1"/>
  <c r="L206" i="1" s="1"/>
  <c r="N206" i="1" s="1"/>
  <c r="D207" i="1"/>
  <c r="F207" i="1" l="1"/>
  <c r="H207" i="1" s="1"/>
  <c r="E207" i="1"/>
  <c r="BS203" i="1"/>
  <c r="BU203" i="1" s="1"/>
  <c r="BR203" i="1"/>
  <c r="BT203" i="1" s="1"/>
  <c r="BV203" i="1" s="1"/>
  <c r="Y206" i="1"/>
  <c r="AA206" i="1" s="1"/>
  <c r="AC206" i="1" s="1"/>
  <c r="Z206" i="1"/>
  <c r="AB206" i="1" s="1"/>
  <c r="BC204" i="1"/>
  <c r="BE204" i="1" s="1"/>
  <c r="BG204" i="1" s="1"/>
  <c r="BD204" i="1"/>
  <c r="BF204" i="1" s="1"/>
  <c r="CW201" i="1"/>
  <c r="CY201" i="1" s="1"/>
  <c r="CV201" i="1"/>
  <c r="CX201" i="1" s="1"/>
  <c r="CZ201" i="1" s="1"/>
  <c r="CH202" i="1"/>
  <c r="CJ202" i="1" s="1"/>
  <c r="CG202" i="1"/>
  <c r="CI202" i="1" s="1"/>
  <c r="CK202" i="1" s="1"/>
  <c r="P206" i="1"/>
  <c r="R206" i="1" s="1"/>
  <c r="O206" i="1"/>
  <c r="AO205" i="1"/>
  <c r="AQ205" i="1" s="1"/>
  <c r="AN205" i="1"/>
  <c r="AP205" i="1" s="1"/>
  <c r="AR205" i="1" s="1"/>
  <c r="AE206" i="1" l="1"/>
  <c r="AG206" i="1" s="1"/>
  <c r="AD206" i="1"/>
  <c r="AF206" i="1" s="1"/>
  <c r="AH206" i="1" s="1"/>
  <c r="BI204" i="1"/>
  <c r="BK204" i="1" s="1"/>
  <c r="BH204" i="1"/>
  <c r="BJ204" i="1" s="1"/>
  <c r="BL204" i="1" s="1"/>
  <c r="CM202" i="1"/>
  <c r="CO202" i="1" s="1"/>
  <c r="CL202" i="1"/>
  <c r="CN202" i="1" s="1"/>
  <c r="CP202" i="1" s="1"/>
  <c r="AS205" i="1"/>
  <c r="AU205" i="1" s="1"/>
  <c r="AW205" i="1" s="1"/>
  <c r="AT205" i="1"/>
  <c r="AV205" i="1" s="1"/>
  <c r="BX203" i="1"/>
  <c r="BZ203" i="1" s="1"/>
  <c r="BW203" i="1"/>
  <c r="BY203" i="1" s="1"/>
  <c r="CA203" i="1" s="1"/>
  <c r="G207" i="1"/>
  <c r="I207" i="1" s="1"/>
  <c r="Q207" i="1"/>
  <c r="S207" i="1" s="1"/>
  <c r="DB201" i="1"/>
  <c r="DD201" i="1" s="1"/>
  <c r="DA201" i="1"/>
  <c r="DC201" i="1" s="1"/>
  <c r="CR202" i="1" l="1"/>
  <c r="CT202" i="1" s="1"/>
  <c r="CQ202" i="1"/>
  <c r="CS202" i="1" s="1"/>
  <c r="CU202" i="1" s="1"/>
  <c r="U207" i="1"/>
  <c r="W207" i="1" s="1"/>
  <c r="T207" i="1"/>
  <c r="V207" i="1" s="1"/>
  <c r="X207" i="1" s="1"/>
  <c r="CC203" i="1"/>
  <c r="CE203" i="1" s="1"/>
  <c r="CB203" i="1"/>
  <c r="CD203" i="1" s="1"/>
  <c r="CF203" i="1" s="1"/>
  <c r="BN204" i="1"/>
  <c r="BP204" i="1" s="1"/>
  <c r="BM204" i="1"/>
  <c r="BO204" i="1" s="1"/>
  <c r="BQ204" i="1" s="1"/>
  <c r="AY205" i="1"/>
  <c r="BA205" i="1" s="1"/>
  <c r="AX205" i="1"/>
  <c r="AZ205" i="1" s="1"/>
  <c r="BB205" i="1" s="1"/>
  <c r="J207" i="1"/>
  <c r="L207" i="1" s="1"/>
  <c r="N207" i="1" s="1"/>
  <c r="K207" i="1"/>
  <c r="M207" i="1" s="1"/>
  <c r="D208" i="1"/>
  <c r="AI206" i="1"/>
  <c r="AK206" i="1" s="1"/>
  <c r="AM206" i="1" s="1"/>
  <c r="AJ206" i="1"/>
  <c r="AL206" i="1" s="1"/>
  <c r="AO206" i="1" l="1"/>
  <c r="AQ206" i="1" s="1"/>
  <c r="AN206" i="1"/>
  <c r="AP206" i="1" s="1"/>
  <c r="AR206" i="1" s="1"/>
  <c r="BS204" i="1"/>
  <c r="BU204" i="1" s="1"/>
  <c r="BR204" i="1"/>
  <c r="BT204" i="1" s="1"/>
  <c r="BV204" i="1" s="1"/>
  <c r="Y207" i="1"/>
  <c r="AA207" i="1" s="1"/>
  <c r="AC207" i="1" s="1"/>
  <c r="Z207" i="1"/>
  <c r="AB207" i="1" s="1"/>
  <c r="CH203" i="1"/>
  <c r="CJ203" i="1" s="1"/>
  <c r="CG203" i="1"/>
  <c r="CI203" i="1" s="1"/>
  <c r="CK203" i="1" s="1"/>
  <c r="F208" i="1"/>
  <c r="H208" i="1" s="1"/>
  <c r="E208" i="1"/>
  <c r="CW202" i="1"/>
  <c r="CY202" i="1" s="1"/>
  <c r="CV202" i="1"/>
  <c r="CX202" i="1" s="1"/>
  <c r="CZ202" i="1" s="1"/>
  <c r="P207" i="1"/>
  <c r="R207" i="1" s="1"/>
  <c r="O207" i="1"/>
  <c r="BD205" i="1"/>
  <c r="BF205" i="1" s="1"/>
  <c r="BC205" i="1"/>
  <c r="BE205" i="1" s="1"/>
  <c r="BG205" i="1" s="1"/>
  <c r="DA202" i="1" l="1"/>
  <c r="DC202" i="1" s="1"/>
  <c r="DB202" i="1"/>
  <c r="DD202" i="1" s="1"/>
  <c r="AE207" i="1"/>
  <c r="AG207" i="1" s="1"/>
  <c r="AD207" i="1"/>
  <c r="AF207" i="1" s="1"/>
  <c r="AH207" i="1" s="1"/>
  <c r="CM203" i="1"/>
  <c r="CO203" i="1" s="1"/>
  <c r="CL203" i="1"/>
  <c r="CN203" i="1" s="1"/>
  <c r="CP203" i="1" s="1"/>
  <c r="AT206" i="1"/>
  <c r="AV206" i="1" s="1"/>
  <c r="AS206" i="1"/>
  <c r="AU206" i="1" s="1"/>
  <c r="AW206" i="1" s="1"/>
  <c r="BI205" i="1"/>
  <c r="BK205" i="1" s="1"/>
  <c r="BH205" i="1"/>
  <c r="BJ205" i="1" s="1"/>
  <c r="BL205" i="1" s="1"/>
  <c r="BX204" i="1"/>
  <c r="BZ204" i="1" s="1"/>
  <c r="BW204" i="1"/>
  <c r="BY204" i="1" s="1"/>
  <c r="CA204" i="1" s="1"/>
  <c r="G208" i="1"/>
  <c r="I208" i="1" s="1"/>
  <c r="Q208" i="1"/>
  <c r="S208" i="1" s="1"/>
  <c r="CQ203" i="1" l="1"/>
  <c r="CS203" i="1" s="1"/>
  <c r="CU203" i="1" s="1"/>
  <c r="CR203" i="1"/>
  <c r="CT203" i="1" s="1"/>
  <c r="AY206" i="1"/>
  <c r="BA206" i="1" s="1"/>
  <c r="AX206" i="1"/>
  <c r="AZ206" i="1" s="1"/>
  <c r="BB206" i="1" s="1"/>
  <c r="CC204" i="1"/>
  <c r="CE204" i="1" s="1"/>
  <c r="CB204" i="1"/>
  <c r="CD204" i="1" s="1"/>
  <c r="CF204" i="1" s="1"/>
  <c r="U208" i="1"/>
  <c r="W208" i="1" s="1"/>
  <c r="T208" i="1"/>
  <c r="V208" i="1" s="1"/>
  <c r="X208" i="1" s="1"/>
  <c r="AJ207" i="1"/>
  <c r="AL207" i="1" s="1"/>
  <c r="AI207" i="1"/>
  <c r="AK207" i="1" s="1"/>
  <c r="AM207" i="1" s="1"/>
  <c r="K208" i="1"/>
  <c r="M208" i="1" s="1"/>
  <c r="J208" i="1"/>
  <c r="L208" i="1" s="1"/>
  <c r="N208" i="1" s="1"/>
  <c r="D209" i="1"/>
  <c r="BN205" i="1"/>
  <c r="BP205" i="1" s="1"/>
  <c r="BM205" i="1"/>
  <c r="BO205" i="1" s="1"/>
  <c r="BQ205" i="1" s="1"/>
  <c r="Z208" i="1" l="1"/>
  <c r="AB208" i="1" s="1"/>
  <c r="Y208" i="1"/>
  <c r="AA208" i="1" s="1"/>
  <c r="AC208" i="1" s="1"/>
  <c r="O208" i="1"/>
  <c r="P208" i="1"/>
  <c r="R208" i="1" s="1"/>
  <c r="BS205" i="1"/>
  <c r="BU205" i="1" s="1"/>
  <c r="BR205" i="1"/>
  <c r="BT205" i="1" s="1"/>
  <c r="BV205" i="1" s="1"/>
  <c r="E209" i="1"/>
  <c r="F209" i="1"/>
  <c r="H209" i="1" s="1"/>
  <c r="BD206" i="1"/>
  <c r="BF206" i="1" s="1"/>
  <c r="BC206" i="1"/>
  <c r="BE206" i="1" s="1"/>
  <c r="BG206" i="1" s="1"/>
  <c r="AO207" i="1"/>
  <c r="AQ207" i="1" s="1"/>
  <c r="AN207" i="1"/>
  <c r="AP207" i="1" s="1"/>
  <c r="AR207" i="1" s="1"/>
  <c r="CG204" i="1"/>
  <c r="CI204" i="1" s="1"/>
  <c r="CK204" i="1" s="1"/>
  <c r="CH204" i="1"/>
  <c r="CJ204" i="1" s="1"/>
  <c r="CW203" i="1"/>
  <c r="CY203" i="1" s="1"/>
  <c r="CV203" i="1"/>
  <c r="CX203" i="1" s="1"/>
  <c r="CZ203" i="1" s="1"/>
  <c r="DB203" i="1" l="1"/>
  <c r="DD203" i="1" s="1"/>
  <c r="DA203" i="1"/>
  <c r="DC203" i="1" s="1"/>
  <c r="CM204" i="1"/>
  <c r="CO204" i="1" s="1"/>
  <c r="CL204" i="1"/>
  <c r="CN204" i="1" s="1"/>
  <c r="CP204" i="1" s="1"/>
  <c r="BW205" i="1"/>
  <c r="BY205" i="1" s="1"/>
  <c r="CA205" i="1" s="1"/>
  <c r="BX205" i="1"/>
  <c r="BZ205" i="1" s="1"/>
  <c r="AT207" i="1"/>
  <c r="AV207" i="1" s="1"/>
  <c r="AS207" i="1"/>
  <c r="AU207" i="1" s="1"/>
  <c r="AW207" i="1" s="1"/>
  <c r="BI206" i="1"/>
  <c r="BK206" i="1" s="1"/>
  <c r="BH206" i="1"/>
  <c r="BJ206" i="1" s="1"/>
  <c r="BL206" i="1" s="1"/>
  <c r="AE208" i="1"/>
  <c r="AG208" i="1" s="1"/>
  <c r="AD208" i="1"/>
  <c r="AF208" i="1" s="1"/>
  <c r="AH208" i="1" s="1"/>
  <c r="Q209" i="1"/>
  <c r="S209" i="1" s="1"/>
  <c r="G209" i="1"/>
  <c r="I209" i="1" s="1"/>
  <c r="K209" i="1" l="1"/>
  <c r="M209" i="1" s="1"/>
  <c r="J209" i="1"/>
  <c r="L209" i="1" s="1"/>
  <c r="N209" i="1" s="1"/>
  <c r="D210" i="1"/>
  <c r="CC205" i="1"/>
  <c r="CE205" i="1" s="1"/>
  <c r="CB205" i="1"/>
  <c r="CD205" i="1" s="1"/>
  <c r="CF205" i="1" s="1"/>
  <c r="AY207" i="1"/>
  <c r="BA207" i="1" s="1"/>
  <c r="AX207" i="1"/>
  <c r="AZ207" i="1" s="1"/>
  <c r="BB207" i="1" s="1"/>
  <c r="AJ208" i="1"/>
  <c r="AL208" i="1" s="1"/>
  <c r="AI208" i="1"/>
  <c r="AK208" i="1" s="1"/>
  <c r="AM208" i="1" s="1"/>
  <c r="T209" i="1"/>
  <c r="V209" i="1" s="1"/>
  <c r="X209" i="1" s="1"/>
  <c r="U209" i="1"/>
  <c r="W209" i="1" s="1"/>
  <c r="BM206" i="1"/>
  <c r="BO206" i="1" s="1"/>
  <c r="BQ206" i="1" s="1"/>
  <c r="BN206" i="1"/>
  <c r="BP206" i="1" s="1"/>
  <c r="CR204" i="1"/>
  <c r="CT204" i="1" s="1"/>
  <c r="CQ204" i="1"/>
  <c r="CS204" i="1" s="1"/>
  <c r="CU204" i="1" s="1"/>
  <c r="BC207" i="1" l="1"/>
  <c r="BE207" i="1" s="1"/>
  <c r="BG207" i="1" s="1"/>
  <c r="BD207" i="1"/>
  <c r="BF207" i="1" s="1"/>
  <c r="CV204" i="1"/>
  <c r="CX204" i="1" s="1"/>
  <c r="CW204" i="1"/>
  <c r="CY204" i="1" s="1"/>
  <c r="F210" i="1"/>
  <c r="H210" i="1" s="1"/>
  <c r="E210" i="1"/>
  <c r="AO208" i="1"/>
  <c r="AQ208" i="1" s="1"/>
  <c r="AN208" i="1"/>
  <c r="AP208" i="1" s="1"/>
  <c r="AR208" i="1" s="1"/>
  <c r="CH205" i="1"/>
  <c r="CJ205" i="1" s="1"/>
  <c r="CG205" i="1"/>
  <c r="CI205" i="1" s="1"/>
  <c r="CK205" i="1" s="1"/>
  <c r="Z209" i="1"/>
  <c r="AB209" i="1" s="1"/>
  <c r="Y209" i="1"/>
  <c r="AA209" i="1" s="1"/>
  <c r="AC209" i="1" s="1"/>
  <c r="BS206" i="1"/>
  <c r="BU206" i="1" s="1"/>
  <c r="BR206" i="1"/>
  <c r="BT206" i="1" s="1"/>
  <c r="BV206" i="1" s="1"/>
  <c r="O209" i="1"/>
  <c r="P209" i="1"/>
  <c r="R209" i="1" s="1"/>
  <c r="BX206" i="1" l="1"/>
  <c r="BZ206" i="1" s="1"/>
  <c r="BW206" i="1"/>
  <c r="BY206" i="1" s="1"/>
  <c r="CA206" i="1" s="1"/>
  <c r="CZ204" i="1"/>
  <c r="AS208" i="1"/>
  <c r="AU208" i="1" s="1"/>
  <c r="AW208" i="1" s="1"/>
  <c r="AT208" i="1"/>
  <c r="AV208" i="1" s="1"/>
  <c r="G210" i="1"/>
  <c r="I210" i="1" s="1"/>
  <c r="Q210" i="1"/>
  <c r="S210" i="1" s="1"/>
  <c r="AE209" i="1"/>
  <c r="AG209" i="1" s="1"/>
  <c r="AD209" i="1"/>
  <c r="AF209" i="1" s="1"/>
  <c r="AH209" i="1" s="1"/>
  <c r="CL205" i="1"/>
  <c r="CN205" i="1" s="1"/>
  <c r="CP205" i="1" s="1"/>
  <c r="CM205" i="1"/>
  <c r="CO205" i="1" s="1"/>
  <c r="BI207" i="1"/>
  <c r="BK207" i="1" s="1"/>
  <c r="BH207" i="1"/>
  <c r="BJ207" i="1" s="1"/>
  <c r="BL207" i="1" s="1"/>
  <c r="U210" i="1" l="1"/>
  <c r="W210" i="1" s="1"/>
  <c r="T210" i="1"/>
  <c r="V210" i="1" s="1"/>
  <c r="X210" i="1" s="1"/>
  <c r="J210" i="1"/>
  <c r="L210" i="1" s="1"/>
  <c r="N210" i="1" s="1"/>
  <c r="K210" i="1"/>
  <c r="M210" i="1" s="1"/>
  <c r="D211" i="1"/>
  <c r="DB204" i="1"/>
  <c r="DD204" i="1" s="1"/>
  <c r="DA204" i="1"/>
  <c r="DC204" i="1" s="1"/>
  <c r="AI209" i="1"/>
  <c r="AK209" i="1" s="1"/>
  <c r="AM209" i="1" s="1"/>
  <c r="AJ209" i="1"/>
  <c r="AL209" i="1" s="1"/>
  <c r="BN207" i="1"/>
  <c r="BP207" i="1" s="1"/>
  <c r="BM207" i="1"/>
  <c r="BO207" i="1" s="1"/>
  <c r="BQ207" i="1" s="1"/>
  <c r="CB206" i="1"/>
  <c r="CD206" i="1" s="1"/>
  <c r="CF206" i="1" s="1"/>
  <c r="CC206" i="1"/>
  <c r="CE206" i="1" s="1"/>
  <c r="AY208" i="1"/>
  <c r="BA208" i="1" s="1"/>
  <c r="AX208" i="1"/>
  <c r="AZ208" i="1" s="1"/>
  <c r="BB208" i="1" s="1"/>
  <c r="CQ205" i="1"/>
  <c r="CS205" i="1" s="1"/>
  <c r="CU205" i="1" s="1"/>
  <c r="CR205" i="1"/>
  <c r="CT205" i="1" s="1"/>
  <c r="AO209" i="1" l="1"/>
  <c r="AQ209" i="1" s="1"/>
  <c r="AN209" i="1"/>
  <c r="AP209" i="1" s="1"/>
  <c r="AR209" i="1" s="1"/>
  <c r="BD208" i="1"/>
  <c r="BF208" i="1" s="1"/>
  <c r="BC208" i="1"/>
  <c r="BE208" i="1" s="1"/>
  <c r="BG208" i="1" s="1"/>
  <c r="CH206" i="1"/>
  <c r="CJ206" i="1" s="1"/>
  <c r="CG206" i="1"/>
  <c r="CI206" i="1" s="1"/>
  <c r="CK206" i="1" s="1"/>
  <c r="Z210" i="1"/>
  <c r="AB210" i="1" s="1"/>
  <c r="Y210" i="1"/>
  <c r="AA210" i="1" s="1"/>
  <c r="AC210" i="1" s="1"/>
  <c r="CW205" i="1"/>
  <c r="CY205" i="1" s="1"/>
  <c r="CV205" i="1"/>
  <c r="CX205" i="1" s="1"/>
  <c r="CZ205" i="1" s="1"/>
  <c r="F211" i="1"/>
  <c r="H211" i="1" s="1"/>
  <c r="E211" i="1"/>
  <c r="BR207" i="1"/>
  <c r="BT207" i="1" s="1"/>
  <c r="BV207" i="1" s="1"/>
  <c r="BS207" i="1"/>
  <c r="BU207" i="1" s="1"/>
  <c r="P210" i="1"/>
  <c r="R210" i="1" s="1"/>
  <c r="O210" i="1"/>
  <c r="AE210" i="1" l="1"/>
  <c r="AG210" i="1" s="1"/>
  <c r="AD210" i="1"/>
  <c r="AF210" i="1" s="1"/>
  <c r="AH210" i="1" s="1"/>
  <c r="BH208" i="1"/>
  <c r="BJ208" i="1" s="1"/>
  <c r="BL208" i="1" s="1"/>
  <c r="BI208" i="1"/>
  <c r="BK208" i="1" s="1"/>
  <c r="BX207" i="1"/>
  <c r="BZ207" i="1" s="1"/>
  <c r="BW207" i="1"/>
  <c r="BY207" i="1" s="1"/>
  <c r="CA207" i="1" s="1"/>
  <c r="G211" i="1"/>
  <c r="I211" i="1" s="1"/>
  <c r="Q211" i="1"/>
  <c r="S211" i="1" s="1"/>
  <c r="DA205" i="1"/>
  <c r="DC205" i="1" s="1"/>
  <c r="DB205" i="1"/>
  <c r="DD205" i="1" s="1"/>
  <c r="CM206" i="1"/>
  <c r="CO206" i="1" s="1"/>
  <c r="CL206" i="1"/>
  <c r="CN206" i="1" s="1"/>
  <c r="CP206" i="1" s="1"/>
  <c r="AT209" i="1"/>
  <c r="AV209" i="1" s="1"/>
  <c r="AS209" i="1"/>
  <c r="AU209" i="1" s="1"/>
  <c r="AW209" i="1" s="1"/>
  <c r="K211" i="1" l="1"/>
  <c r="M211" i="1" s="1"/>
  <c r="J211" i="1"/>
  <c r="L211" i="1" s="1"/>
  <c r="N211" i="1" s="1"/>
  <c r="D212" i="1"/>
  <c r="AX209" i="1"/>
  <c r="AZ209" i="1" s="1"/>
  <c r="BB209" i="1" s="1"/>
  <c r="AY209" i="1"/>
  <c r="BA209" i="1" s="1"/>
  <c r="CQ206" i="1"/>
  <c r="CS206" i="1" s="1"/>
  <c r="CU206" i="1" s="1"/>
  <c r="CR206" i="1"/>
  <c r="CT206" i="1" s="1"/>
  <c r="CC207" i="1"/>
  <c r="CE207" i="1" s="1"/>
  <c r="CB207" i="1"/>
  <c r="CD207" i="1" s="1"/>
  <c r="CF207" i="1" s="1"/>
  <c r="AJ210" i="1"/>
  <c r="AL210" i="1" s="1"/>
  <c r="AI210" i="1"/>
  <c r="AK210" i="1" s="1"/>
  <c r="AM210" i="1" s="1"/>
  <c r="U211" i="1"/>
  <c r="W211" i="1" s="1"/>
  <c r="T211" i="1"/>
  <c r="V211" i="1" s="1"/>
  <c r="X211" i="1" s="1"/>
  <c r="BM208" i="1"/>
  <c r="BO208" i="1" s="1"/>
  <c r="BQ208" i="1" s="1"/>
  <c r="BN208" i="1"/>
  <c r="BP208" i="1" s="1"/>
  <c r="CW206" i="1" l="1"/>
  <c r="CY206" i="1" s="1"/>
  <c r="CV206" i="1"/>
  <c r="CX206" i="1" s="1"/>
  <c r="CZ206" i="1" s="1"/>
  <c r="AN210" i="1"/>
  <c r="AP210" i="1" s="1"/>
  <c r="AR210" i="1" s="1"/>
  <c r="AO210" i="1"/>
  <c r="AQ210" i="1" s="1"/>
  <c r="CG207" i="1"/>
  <c r="CI207" i="1" s="1"/>
  <c r="CK207" i="1" s="1"/>
  <c r="CH207" i="1"/>
  <c r="CJ207" i="1" s="1"/>
  <c r="BS208" i="1"/>
  <c r="BU208" i="1" s="1"/>
  <c r="BR208" i="1"/>
  <c r="BT208" i="1" s="1"/>
  <c r="BV208" i="1" s="1"/>
  <c r="Z211" i="1"/>
  <c r="AB211" i="1" s="1"/>
  <c r="Y211" i="1"/>
  <c r="AA211" i="1" s="1"/>
  <c r="AC211" i="1" s="1"/>
  <c r="BD209" i="1"/>
  <c r="BF209" i="1" s="1"/>
  <c r="BC209" i="1"/>
  <c r="BE209" i="1" s="1"/>
  <c r="BG209" i="1" s="1"/>
  <c r="F212" i="1"/>
  <c r="H212" i="1" s="1"/>
  <c r="E212" i="1"/>
  <c r="P211" i="1"/>
  <c r="R211" i="1" s="1"/>
  <c r="O211" i="1"/>
  <c r="BW208" i="1" l="1"/>
  <c r="BY208" i="1" s="1"/>
  <c r="CA208" i="1" s="1"/>
  <c r="BX208" i="1"/>
  <c r="BZ208" i="1" s="1"/>
  <c r="DB206" i="1"/>
  <c r="DD206" i="1" s="1"/>
  <c r="DA206" i="1"/>
  <c r="DC206" i="1" s="1"/>
  <c r="BI209" i="1"/>
  <c r="BK209" i="1" s="1"/>
  <c r="BH209" i="1"/>
  <c r="BJ209" i="1" s="1"/>
  <c r="BL209" i="1" s="1"/>
  <c r="AE211" i="1"/>
  <c r="AG211" i="1" s="1"/>
  <c r="AD211" i="1"/>
  <c r="AF211" i="1" s="1"/>
  <c r="AH211" i="1" s="1"/>
  <c r="G212" i="1"/>
  <c r="I212" i="1" s="1"/>
  <c r="Q212" i="1"/>
  <c r="S212" i="1" s="1"/>
  <c r="CM207" i="1"/>
  <c r="CO207" i="1" s="1"/>
  <c r="CL207" i="1"/>
  <c r="CN207" i="1" s="1"/>
  <c r="CP207" i="1" s="1"/>
  <c r="AT210" i="1"/>
  <c r="AV210" i="1" s="1"/>
  <c r="AS210" i="1"/>
  <c r="AU210" i="1" s="1"/>
  <c r="AW210" i="1" s="1"/>
  <c r="CR207" i="1" l="1"/>
  <c r="CT207" i="1" s="1"/>
  <c r="CQ207" i="1"/>
  <c r="CS207" i="1" s="1"/>
  <c r="CU207" i="1" s="1"/>
  <c r="AJ211" i="1"/>
  <c r="AL211" i="1" s="1"/>
  <c r="AI211" i="1"/>
  <c r="AK211" i="1" s="1"/>
  <c r="AM211" i="1" s="1"/>
  <c r="AY210" i="1"/>
  <c r="BA210" i="1" s="1"/>
  <c r="AX210" i="1"/>
  <c r="AZ210" i="1" s="1"/>
  <c r="BB210" i="1" s="1"/>
  <c r="U212" i="1"/>
  <c r="W212" i="1" s="1"/>
  <c r="T212" i="1"/>
  <c r="V212" i="1" s="1"/>
  <c r="X212" i="1" s="1"/>
  <c r="BM209" i="1"/>
  <c r="BO209" i="1" s="1"/>
  <c r="BQ209" i="1" s="1"/>
  <c r="BN209" i="1"/>
  <c r="BP209" i="1" s="1"/>
  <c r="K212" i="1"/>
  <c r="M212" i="1" s="1"/>
  <c r="J212" i="1"/>
  <c r="L212" i="1" s="1"/>
  <c r="N212" i="1" s="1"/>
  <c r="D213" i="1"/>
  <c r="CC208" i="1"/>
  <c r="CE208" i="1" s="1"/>
  <c r="CB208" i="1"/>
  <c r="CD208" i="1" s="1"/>
  <c r="CF208" i="1" s="1"/>
  <c r="Z212" i="1" l="1"/>
  <c r="AB212" i="1" s="1"/>
  <c r="Y212" i="1"/>
  <c r="AA212" i="1" s="1"/>
  <c r="AC212" i="1" s="1"/>
  <c r="P212" i="1"/>
  <c r="R212" i="1" s="1"/>
  <c r="O212" i="1"/>
  <c r="BC210" i="1"/>
  <c r="BE210" i="1" s="1"/>
  <c r="BG210" i="1" s="1"/>
  <c r="BD210" i="1"/>
  <c r="BF210" i="1" s="1"/>
  <c r="CH208" i="1"/>
  <c r="CJ208" i="1" s="1"/>
  <c r="CG208" i="1"/>
  <c r="CI208" i="1" s="1"/>
  <c r="CK208" i="1" s="1"/>
  <c r="F213" i="1"/>
  <c r="H213" i="1" s="1"/>
  <c r="E213" i="1"/>
  <c r="AO211" i="1"/>
  <c r="AQ211" i="1" s="1"/>
  <c r="AN211" i="1"/>
  <c r="AP211" i="1" s="1"/>
  <c r="AR211" i="1" s="1"/>
  <c r="CW207" i="1"/>
  <c r="CY207" i="1" s="1"/>
  <c r="CV207" i="1"/>
  <c r="CX207" i="1" s="1"/>
  <c r="CZ207" i="1" s="1"/>
  <c r="BS209" i="1"/>
  <c r="BU209" i="1" s="1"/>
  <c r="BR209" i="1"/>
  <c r="BT209" i="1" s="1"/>
  <c r="BV209" i="1" s="1"/>
  <c r="DB207" i="1" l="1"/>
  <c r="DD207" i="1" s="1"/>
  <c r="DA207" i="1"/>
  <c r="DC207" i="1" s="1"/>
  <c r="BI210" i="1"/>
  <c r="BK210" i="1" s="1"/>
  <c r="BH210" i="1"/>
  <c r="BJ210" i="1" s="1"/>
  <c r="BL210" i="1" s="1"/>
  <c r="CM208" i="1"/>
  <c r="CO208" i="1" s="1"/>
  <c r="CL208" i="1"/>
  <c r="CN208" i="1" s="1"/>
  <c r="CP208" i="1" s="1"/>
  <c r="G213" i="1"/>
  <c r="I213" i="1" s="1"/>
  <c r="Q213" i="1"/>
  <c r="S213" i="1" s="1"/>
  <c r="BX209" i="1"/>
  <c r="BZ209" i="1" s="1"/>
  <c r="BW209" i="1"/>
  <c r="BY209" i="1" s="1"/>
  <c r="CA209" i="1" s="1"/>
  <c r="AS211" i="1"/>
  <c r="AU211" i="1" s="1"/>
  <c r="AW211" i="1" s="1"/>
  <c r="AT211" i="1"/>
  <c r="AV211" i="1" s="1"/>
  <c r="AE212" i="1"/>
  <c r="AG212" i="1" s="1"/>
  <c r="AD212" i="1"/>
  <c r="AF212" i="1" s="1"/>
  <c r="AH212" i="1" s="1"/>
  <c r="U213" i="1" l="1"/>
  <c r="W213" i="1" s="1"/>
  <c r="T213" i="1"/>
  <c r="V213" i="1" s="1"/>
  <c r="X213" i="1" s="1"/>
  <c r="AI212" i="1"/>
  <c r="AK212" i="1" s="1"/>
  <c r="AM212" i="1" s="1"/>
  <c r="AJ212" i="1"/>
  <c r="AL212" i="1" s="1"/>
  <c r="CR208" i="1"/>
  <c r="CT208" i="1" s="1"/>
  <c r="CQ208" i="1"/>
  <c r="CS208" i="1" s="1"/>
  <c r="CU208" i="1" s="1"/>
  <c r="BN210" i="1"/>
  <c r="BP210" i="1" s="1"/>
  <c r="BM210" i="1"/>
  <c r="BO210" i="1" s="1"/>
  <c r="BQ210" i="1" s="1"/>
  <c r="CB209" i="1"/>
  <c r="CD209" i="1" s="1"/>
  <c r="CF209" i="1" s="1"/>
  <c r="CC209" i="1"/>
  <c r="CE209" i="1" s="1"/>
  <c r="K213" i="1"/>
  <c r="M213" i="1" s="1"/>
  <c r="J213" i="1"/>
  <c r="L213" i="1" s="1"/>
  <c r="N213" i="1" s="1"/>
  <c r="D214" i="1"/>
  <c r="AY211" i="1"/>
  <c r="BA211" i="1" s="1"/>
  <c r="AX211" i="1"/>
  <c r="AZ211" i="1" s="1"/>
  <c r="BB211" i="1" s="1"/>
  <c r="BD211" i="1" l="1"/>
  <c r="BF211" i="1" s="1"/>
  <c r="BC211" i="1"/>
  <c r="BE211" i="1" s="1"/>
  <c r="BG211" i="1" s="1"/>
  <c r="AO212" i="1"/>
  <c r="AQ212" i="1" s="1"/>
  <c r="AN212" i="1"/>
  <c r="AP212" i="1" s="1"/>
  <c r="AR212" i="1" s="1"/>
  <c r="P213" i="1"/>
  <c r="R213" i="1" s="1"/>
  <c r="O213" i="1"/>
  <c r="BR210" i="1"/>
  <c r="BT210" i="1" s="1"/>
  <c r="BV210" i="1" s="1"/>
  <c r="BS210" i="1"/>
  <c r="BU210" i="1" s="1"/>
  <c r="CH209" i="1"/>
  <c r="CJ209" i="1" s="1"/>
  <c r="CG209" i="1"/>
  <c r="CI209" i="1" s="1"/>
  <c r="CK209" i="1" s="1"/>
  <c r="CW208" i="1"/>
  <c r="CY208" i="1" s="1"/>
  <c r="CV208" i="1"/>
  <c r="CX208" i="1" s="1"/>
  <c r="CZ208" i="1" s="1"/>
  <c r="F214" i="1"/>
  <c r="H214" i="1" s="1"/>
  <c r="E214" i="1"/>
  <c r="Y213" i="1"/>
  <c r="AA213" i="1" s="1"/>
  <c r="AC213" i="1" s="1"/>
  <c r="Z213" i="1"/>
  <c r="AB213" i="1" s="1"/>
  <c r="AE213" i="1" l="1"/>
  <c r="AG213" i="1" s="1"/>
  <c r="AD213" i="1"/>
  <c r="AF213" i="1" s="1"/>
  <c r="AH213" i="1" s="1"/>
  <c r="DA208" i="1"/>
  <c r="DC208" i="1" s="1"/>
  <c r="DB208" i="1"/>
  <c r="DD208" i="1" s="1"/>
  <c r="BX210" i="1"/>
  <c r="BZ210" i="1" s="1"/>
  <c r="BW210" i="1"/>
  <c r="BY210" i="1" s="1"/>
  <c r="CA210" i="1" s="1"/>
  <c r="G214" i="1"/>
  <c r="I214" i="1" s="1"/>
  <c r="Q214" i="1"/>
  <c r="S214" i="1" s="1"/>
  <c r="CM209" i="1"/>
  <c r="CO209" i="1" s="1"/>
  <c r="CL209" i="1"/>
  <c r="CN209" i="1" s="1"/>
  <c r="CP209" i="1" s="1"/>
  <c r="AT212" i="1"/>
  <c r="AV212" i="1" s="1"/>
  <c r="AS212" i="1"/>
  <c r="AU212" i="1" s="1"/>
  <c r="AW212" i="1" s="1"/>
  <c r="BH211" i="1"/>
  <c r="BJ211" i="1" s="1"/>
  <c r="BL211" i="1" s="1"/>
  <c r="BI211" i="1"/>
  <c r="BK211" i="1" s="1"/>
  <c r="K214" i="1" l="1"/>
  <c r="M214" i="1" s="1"/>
  <c r="J214" i="1"/>
  <c r="L214" i="1" s="1"/>
  <c r="N214" i="1" s="1"/>
  <c r="D215" i="1"/>
  <c r="AY212" i="1"/>
  <c r="BA212" i="1" s="1"/>
  <c r="AX212" i="1"/>
  <c r="AZ212" i="1" s="1"/>
  <c r="BB212" i="1" s="1"/>
  <c r="U214" i="1"/>
  <c r="W214" i="1" s="1"/>
  <c r="T214" i="1"/>
  <c r="V214" i="1" s="1"/>
  <c r="X214" i="1" s="1"/>
  <c r="BN211" i="1"/>
  <c r="BP211" i="1" s="1"/>
  <c r="BM211" i="1"/>
  <c r="BO211" i="1" s="1"/>
  <c r="BQ211" i="1" s="1"/>
  <c r="AJ213" i="1"/>
  <c r="AL213" i="1" s="1"/>
  <c r="AI213" i="1"/>
  <c r="AK213" i="1" s="1"/>
  <c r="AM213" i="1" s="1"/>
  <c r="CC210" i="1"/>
  <c r="CE210" i="1" s="1"/>
  <c r="CB210" i="1"/>
  <c r="CD210" i="1" s="1"/>
  <c r="CF210" i="1" s="1"/>
  <c r="CR209" i="1"/>
  <c r="CT209" i="1" s="1"/>
  <c r="CQ209" i="1"/>
  <c r="CS209" i="1" s="1"/>
  <c r="CU209" i="1" s="1"/>
  <c r="Z214" i="1" l="1"/>
  <c r="AB214" i="1" s="1"/>
  <c r="Y214" i="1"/>
  <c r="AA214" i="1" s="1"/>
  <c r="AC214" i="1" s="1"/>
  <c r="CH210" i="1"/>
  <c r="CJ210" i="1" s="1"/>
  <c r="CG210" i="1"/>
  <c r="CI210" i="1" s="1"/>
  <c r="CK210" i="1" s="1"/>
  <c r="AO213" i="1"/>
  <c r="AQ213" i="1" s="1"/>
  <c r="AN213" i="1"/>
  <c r="AP213" i="1" s="1"/>
  <c r="AR213" i="1" s="1"/>
  <c r="BS211" i="1"/>
  <c r="BU211" i="1" s="1"/>
  <c r="BR211" i="1"/>
  <c r="BT211" i="1" s="1"/>
  <c r="BV211" i="1" s="1"/>
  <c r="BD212" i="1"/>
  <c r="BF212" i="1" s="1"/>
  <c r="BC212" i="1"/>
  <c r="BE212" i="1" s="1"/>
  <c r="BG212" i="1" s="1"/>
  <c r="F215" i="1"/>
  <c r="H215" i="1" s="1"/>
  <c r="E215" i="1"/>
  <c r="CW209" i="1"/>
  <c r="CY209" i="1" s="1"/>
  <c r="CV209" i="1"/>
  <c r="CX209" i="1" s="1"/>
  <c r="CZ209" i="1" s="1"/>
  <c r="P214" i="1"/>
  <c r="R214" i="1" s="1"/>
  <c r="O214" i="1"/>
  <c r="DB209" i="1" l="1"/>
  <c r="DD209" i="1" s="1"/>
  <c r="DA209" i="1"/>
  <c r="DC209" i="1" s="1"/>
  <c r="Q215" i="1"/>
  <c r="S215" i="1" s="1"/>
  <c r="G215" i="1"/>
  <c r="I215" i="1" s="1"/>
  <c r="BX211" i="1"/>
  <c r="BZ211" i="1" s="1"/>
  <c r="BW211" i="1"/>
  <c r="BY211" i="1" s="1"/>
  <c r="CA211" i="1" s="1"/>
  <c r="CM210" i="1"/>
  <c r="CO210" i="1" s="1"/>
  <c r="CL210" i="1"/>
  <c r="CN210" i="1" s="1"/>
  <c r="CP210" i="1" s="1"/>
  <c r="BI212" i="1"/>
  <c r="BK212" i="1" s="1"/>
  <c r="BH212" i="1"/>
  <c r="BJ212" i="1" s="1"/>
  <c r="BL212" i="1" s="1"/>
  <c r="AE214" i="1"/>
  <c r="AG214" i="1" s="1"/>
  <c r="AD214" i="1"/>
  <c r="AF214" i="1" s="1"/>
  <c r="AH214" i="1" s="1"/>
  <c r="AT213" i="1"/>
  <c r="AV213" i="1" s="1"/>
  <c r="AS213" i="1"/>
  <c r="AU213" i="1" s="1"/>
  <c r="AW213" i="1" s="1"/>
  <c r="AY213" i="1" l="1"/>
  <c r="BA213" i="1" s="1"/>
  <c r="AX213" i="1"/>
  <c r="AZ213" i="1" s="1"/>
  <c r="BB213" i="1" s="1"/>
  <c r="AJ214" i="1"/>
  <c r="AL214" i="1" s="1"/>
  <c r="AI214" i="1"/>
  <c r="AK214" i="1" s="1"/>
  <c r="AM214" i="1" s="1"/>
  <c r="CC211" i="1"/>
  <c r="CE211" i="1" s="1"/>
  <c r="CB211" i="1"/>
  <c r="CD211" i="1" s="1"/>
  <c r="CF211" i="1" s="1"/>
  <c r="K215" i="1"/>
  <c r="M215" i="1" s="1"/>
  <c r="J215" i="1"/>
  <c r="L215" i="1" s="1"/>
  <c r="N215" i="1" s="1"/>
  <c r="D216" i="1"/>
  <c r="CR210" i="1"/>
  <c r="CT210" i="1" s="1"/>
  <c r="CQ210" i="1"/>
  <c r="CS210" i="1" s="1"/>
  <c r="CU210" i="1" s="1"/>
  <c r="U215" i="1"/>
  <c r="W215" i="1" s="1"/>
  <c r="T215" i="1"/>
  <c r="V215" i="1" s="1"/>
  <c r="X215" i="1" s="1"/>
  <c r="BN212" i="1"/>
  <c r="BP212" i="1" s="1"/>
  <c r="BM212" i="1"/>
  <c r="BO212" i="1" s="1"/>
  <c r="BQ212" i="1" s="1"/>
  <c r="Z215" i="1" l="1"/>
  <c r="AB215" i="1" s="1"/>
  <c r="Y215" i="1"/>
  <c r="AA215" i="1" s="1"/>
  <c r="AC215" i="1" s="1"/>
  <c r="P215" i="1"/>
  <c r="R215" i="1" s="1"/>
  <c r="O215" i="1"/>
  <c r="CH211" i="1"/>
  <c r="CJ211" i="1" s="1"/>
  <c r="CG211" i="1"/>
  <c r="CI211" i="1" s="1"/>
  <c r="CK211" i="1" s="1"/>
  <c r="BD213" i="1"/>
  <c r="BF213" i="1" s="1"/>
  <c r="BC213" i="1"/>
  <c r="BE213" i="1" s="1"/>
  <c r="BG213" i="1" s="1"/>
  <c r="BS212" i="1"/>
  <c r="BU212" i="1" s="1"/>
  <c r="BR212" i="1"/>
  <c r="BT212" i="1" s="1"/>
  <c r="BV212" i="1" s="1"/>
  <c r="AO214" i="1"/>
  <c r="AQ214" i="1" s="1"/>
  <c r="AN214" i="1"/>
  <c r="AP214" i="1" s="1"/>
  <c r="AR214" i="1" s="1"/>
  <c r="CW210" i="1"/>
  <c r="CY210" i="1" s="1"/>
  <c r="CV210" i="1"/>
  <c r="CX210" i="1" s="1"/>
  <c r="CZ210" i="1" s="1"/>
  <c r="F216" i="1"/>
  <c r="H216" i="1" s="1"/>
  <c r="E216" i="1"/>
  <c r="G216" i="1" l="1"/>
  <c r="I216" i="1" s="1"/>
  <c r="Q216" i="1"/>
  <c r="S216" i="1" s="1"/>
  <c r="AE215" i="1"/>
  <c r="AG215" i="1" s="1"/>
  <c r="AD215" i="1"/>
  <c r="AF215" i="1" s="1"/>
  <c r="AH215" i="1" s="1"/>
  <c r="BI213" i="1"/>
  <c r="BK213" i="1" s="1"/>
  <c r="BH213" i="1"/>
  <c r="BJ213" i="1" s="1"/>
  <c r="BL213" i="1" s="1"/>
  <c r="CM211" i="1"/>
  <c r="CO211" i="1" s="1"/>
  <c r="CL211" i="1"/>
  <c r="CN211" i="1" s="1"/>
  <c r="CP211" i="1" s="1"/>
  <c r="AS214" i="1"/>
  <c r="AU214" i="1" s="1"/>
  <c r="AW214" i="1" s="1"/>
  <c r="AT214" i="1"/>
  <c r="AV214" i="1" s="1"/>
  <c r="DB210" i="1"/>
  <c r="DD210" i="1" s="1"/>
  <c r="DA210" i="1"/>
  <c r="DC210" i="1" s="1"/>
  <c r="BX212" i="1"/>
  <c r="BZ212" i="1" s="1"/>
  <c r="BW212" i="1"/>
  <c r="BY212" i="1" s="1"/>
  <c r="CA212" i="1" s="1"/>
  <c r="CC212" i="1" l="1"/>
  <c r="CE212" i="1" s="1"/>
  <c r="CB212" i="1"/>
  <c r="CD212" i="1" s="1"/>
  <c r="CF212" i="1" s="1"/>
  <c r="AY214" i="1"/>
  <c r="BA214" i="1" s="1"/>
  <c r="AX214" i="1"/>
  <c r="AZ214" i="1" s="1"/>
  <c r="BB214" i="1" s="1"/>
  <c r="CR211" i="1"/>
  <c r="CT211" i="1" s="1"/>
  <c r="CQ211" i="1"/>
  <c r="CS211" i="1" s="1"/>
  <c r="CU211" i="1" s="1"/>
  <c r="AI215" i="1"/>
  <c r="AK215" i="1" s="1"/>
  <c r="AM215" i="1" s="1"/>
  <c r="AJ215" i="1"/>
  <c r="AL215" i="1" s="1"/>
  <c r="U216" i="1"/>
  <c r="W216" i="1" s="1"/>
  <c r="T216" i="1"/>
  <c r="V216" i="1" s="1"/>
  <c r="X216" i="1" s="1"/>
  <c r="BN213" i="1"/>
  <c r="BP213" i="1" s="1"/>
  <c r="BM213" i="1"/>
  <c r="BO213" i="1" s="1"/>
  <c r="BQ213" i="1" s="1"/>
  <c r="K216" i="1"/>
  <c r="M216" i="1" s="1"/>
  <c r="J216" i="1"/>
  <c r="L216" i="1" s="1"/>
  <c r="N216" i="1" s="1"/>
  <c r="D217" i="1"/>
  <c r="CW211" i="1" l="1"/>
  <c r="CY211" i="1" s="1"/>
  <c r="CV211" i="1"/>
  <c r="CX211" i="1" s="1"/>
  <c r="CZ211" i="1" s="1"/>
  <c r="F217" i="1"/>
  <c r="H217" i="1" s="1"/>
  <c r="E217" i="1"/>
  <c r="P216" i="1"/>
  <c r="R216" i="1" s="1"/>
  <c r="O216" i="1"/>
  <c r="BD214" i="1"/>
  <c r="BF214" i="1" s="1"/>
  <c r="BC214" i="1"/>
  <c r="BE214" i="1" s="1"/>
  <c r="BG214" i="1" s="1"/>
  <c r="Y216" i="1"/>
  <c r="AA216" i="1" s="1"/>
  <c r="AC216" i="1" s="1"/>
  <c r="Z216" i="1"/>
  <c r="AB216" i="1" s="1"/>
  <c r="CH212" i="1"/>
  <c r="CJ212" i="1" s="1"/>
  <c r="CG212" i="1"/>
  <c r="CI212" i="1" s="1"/>
  <c r="CK212" i="1" s="1"/>
  <c r="AO215" i="1"/>
  <c r="AQ215" i="1" s="1"/>
  <c r="AN215" i="1"/>
  <c r="AP215" i="1" s="1"/>
  <c r="AR215" i="1" s="1"/>
  <c r="BS213" i="1"/>
  <c r="BU213" i="1" s="1"/>
  <c r="BR213" i="1"/>
  <c r="BT213" i="1" s="1"/>
  <c r="BV213" i="1" s="1"/>
  <c r="BH214" i="1" l="1"/>
  <c r="BJ214" i="1" s="1"/>
  <c r="BL214" i="1" s="1"/>
  <c r="BI214" i="1"/>
  <c r="BK214" i="1" s="1"/>
  <c r="CM212" i="1"/>
  <c r="CO212" i="1" s="1"/>
  <c r="CL212" i="1"/>
  <c r="CN212" i="1" s="1"/>
  <c r="CP212" i="1" s="1"/>
  <c r="BX213" i="1"/>
  <c r="BZ213" i="1" s="1"/>
  <c r="BW213" i="1"/>
  <c r="BY213" i="1" s="1"/>
  <c r="CA213" i="1" s="1"/>
  <c r="DA211" i="1"/>
  <c r="DC211" i="1" s="1"/>
  <c r="DB211" i="1"/>
  <c r="DD211" i="1" s="1"/>
  <c r="AT215" i="1"/>
  <c r="AV215" i="1" s="1"/>
  <c r="AS215" i="1"/>
  <c r="AU215" i="1" s="1"/>
  <c r="AW215" i="1" s="1"/>
  <c r="G217" i="1"/>
  <c r="I217" i="1" s="1"/>
  <c r="Q217" i="1"/>
  <c r="S217" i="1" s="1"/>
  <c r="AE216" i="1"/>
  <c r="AG216" i="1" s="1"/>
  <c r="AD216" i="1"/>
  <c r="AF216" i="1" s="1"/>
  <c r="AH216" i="1" s="1"/>
  <c r="AJ216" i="1" l="1"/>
  <c r="AL216" i="1" s="1"/>
  <c r="AI216" i="1"/>
  <c r="AK216" i="1" s="1"/>
  <c r="AM216" i="1" s="1"/>
  <c r="U217" i="1"/>
  <c r="W217" i="1" s="1"/>
  <c r="T217" i="1"/>
  <c r="V217" i="1" s="1"/>
  <c r="X217" i="1" s="1"/>
  <c r="CC213" i="1"/>
  <c r="CE213" i="1" s="1"/>
  <c r="CB213" i="1"/>
  <c r="CD213" i="1" s="1"/>
  <c r="CF213" i="1" s="1"/>
  <c r="AX215" i="1"/>
  <c r="AZ215" i="1" s="1"/>
  <c r="BB215" i="1" s="1"/>
  <c r="AY215" i="1"/>
  <c r="BA215" i="1" s="1"/>
  <c r="CQ212" i="1"/>
  <c r="CS212" i="1" s="1"/>
  <c r="CU212" i="1" s="1"/>
  <c r="CR212" i="1"/>
  <c r="CT212" i="1" s="1"/>
  <c r="K217" i="1"/>
  <c r="M217" i="1" s="1"/>
  <c r="J217" i="1"/>
  <c r="L217" i="1" s="1"/>
  <c r="N217" i="1" s="1"/>
  <c r="D218" i="1"/>
  <c r="BN214" i="1"/>
  <c r="BP214" i="1" s="1"/>
  <c r="BM214" i="1"/>
  <c r="BO214" i="1" s="1"/>
  <c r="BQ214" i="1" s="1"/>
  <c r="BD215" i="1" l="1"/>
  <c r="BF215" i="1" s="1"/>
  <c r="BC215" i="1"/>
  <c r="BE215" i="1" s="1"/>
  <c r="BG215" i="1" s="1"/>
  <c r="BS214" i="1"/>
  <c r="BU214" i="1" s="1"/>
  <c r="BR214" i="1"/>
  <c r="BT214" i="1" s="1"/>
  <c r="BV214" i="1" s="1"/>
  <c r="CG213" i="1"/>
  <c r="CI213" i="1" s="1"/>
  <c r="CK213" i="1" s="1"/>
  <c r="CH213" i="1"/>
  <c r="CJ213" i="1" s="1"/>
  <c r="Z217" i="1"/>
  <c r="AB217" i="1" s="1"/>
  <c r="Y217" i="1"/>
  <c r="AA217" i="1" s="1"/>
  <c r="AC217" i="1" s="1"/>
  <c r="E218" i="1"/>
  <c r="F218" i="1"/>
  <c r="H218" i="1" s="1"/>
  <c r="O217" i="1"/>
  <c r="P217" i="1"/>
  <c r="R217" i="1" s="1"/>
  <c r="AN216" i="1"/>
  <c r="AP216" i="1" s="1"/>
  <c r="AR216" i="1" s="1"/>
  <c r="AO216" i="1"/>
  <c r="AQ216" i="1" s="1"/>
  <c r="CW212" i="1"/>
  <c r="CY212" i="1" s="1"/>
  <c r="CV212" i="1"/>
  <c r="CX212" i="1" s="1"/>
  <c r="CZ212" i="1" s="1"/>
  <c r="DB212" i="1" l="1"/>
  <c r="DD212" i="1" s="1"/>
  <c r="DA212" i="1"/>
  <c r="DC212" i="1" s="1"/>
  <c r="CM213" i="1"/>
  <c r="CO213" i="1" s="1"/>
  <c r="CL213" i="1"/>
  <c r="CN213" i="1" s="1"/>
  <c r="CP213" i="1" s="1"/>
  <c r="AD217" i="1"/>
  <c r="AF217" i="1" s="1"/>
  <c r="AH217" i="1" s="1"/>
  <c r="AE217" i="1"/>
  <c r="AG217" i="1" s="1"/>
  <c r="BW214" i="1"/>
  <c r="BY214" i="1" s="1"/>
  <c r="CA214" i="1" s="1"/>
  <c r="BX214" i="1"/>
  <c r="BZ214" i="1" s="1"/>
  <c r="AT216" i="1"/>
  <c r="AV216" i="1" s="1"/>
  <c r="AS216" i="1"/>
  <c r="AU216" i="1" s="1"/>
  <c r="AW216" i="1" s="1"/>
  <c r="BI215" i="1"/>
  <c r="BK215" i="1" s="1"/>
  <c r="BH215" i="1"/>
  <c r="BJ215" i="1" s="1"/>
  <c r="BL215" i="1" s="1"/>
  <c r="Q218" i="1"/>
  <c r="S218" i="1" s="1"/>
  <c r="G218" i="1"/>
  <c r="I218" i="1" s="1"/>
  <c r="CC214" i="1" l="1"/>
  <c r="CE214" i="1" s="1"/>
  <c r="CB214" i="1"/>
  <c r="CD214" i="1" s="1"/>
  <c r="CF214" i="1" s="1"/>
  <c r="CR213" i="1"/>
  <c r="CT213" i="1" s="1"/>
  <c r="CQ213" i="1"/>
  <c r="CS213" i="1" s="1"/>
  <c r="CU213" i="1" s="1"/>
  <c r="K218" i="1"/>
  <c r="M218" i="1" s="1"/>
  <c r="J218" i="1"/>
  <c r="L218" i="1" s="1"/>
  <c r="N218" i="1" s="1"/>
  <c r="D219" i="1"/>
  <c r="T218" i="1"/>
  <c r="V218" i="1" s="1"/>
  <c r="X218" i="1" s="1"/>
  <c r="U218" i="1"/>
  <c r="W218" i="1" s="1"/>
  <c r="AJ217" i="1"/>
  <c r="AL217" i="1" s="1"/>
  <c r="AI217" i="1"/>
  <c r="AK217" i="1" s="1"/>
  <c r="AM217" i="1" s="1"/>
  <c r="BM215" i="1"/>
  <c r="BO215" i="1" s="1"/>
  <c r="BQ215" i="1" s="1"/>
  <c r="BN215" i="1"/>
  <c r="BP215" i="1" s="1"/>
  <c r="AY216" i="1"/>
  <c r="BA216" i="1" s="1"/>
  <c r="AX216" i="1"/>
  <c r="AZ216" i="1" s="1"/>
  <c r="BB216" i="1" s="1"/>
  <c r="P218" i="1" l="1"/>
  <c r="R218" i="1" s="1"/>
  <c r="O218" i="1"/>
  <c r="Z218" i="1"/>
  <c r="AB218" i="1" s="1"/>
  <c r="Y218" i="1"/>
  <c r="AA218" i="1" s="1"/>
  <c r="AC218" i="1" s="1"/>
  <c r="F219" i="1"/>
  <c r="H219" i="1" s="1"/>
  <c r="E219" i="1"/>
  <c r="BS215" i="1"/>
  <c r="BU215" i="1" s="1"/>
  <c r="BR215" i="1"/>
  <c r="BT215" i="1" s="1"/>
  <c r="BV215" i="1" s="1"/>
  <c r="AO217" i="1"/>
  <c r="AQ217" i="1" s="1"/>
  <c r="AN217" i="1"/>
  <c r="AP217" i="1" s="1"/>
  <c r="AR217" i="1" s="1"/>
  <c r="CH214" i="1"/>
  <c r="CJ214" i="1" s="1"/>
  <c r="CG214" i="1"/>
  <c r="CI214" i="1" s="1"/>
  <c r="CK214" i="1" s="1"/>
  <c r="BC216" i="1"/>
  <c r="BE216" i="1" s="1"/>
  <c r="BG216" i="1" s="1"/>
  <c r="BD216" i="1"/>
  <c r="BF216" i="1" s="1"/>
  <c r="CW213" i="1"/>
  <c r="CY213" i="1" s="1"/>
  <c r="CV213" i="1"/>
  <c r="CX213" i="1" s="1"/>
  <c r="CZ213" i="1" s="1"/>
  <c r="BX215" i="1" l="1"/>
  <c r="BZ215" i="1" s="1"/>
  <c r="BW215" i="1"/>
  <c r="BY215" i="1" s="1"/>
  <c r="CA215" i="1" s="1"/>
  <c r="BI216" i="1"/>
  <c r="BK216" i="1" s="1"/>
  <c r="BH216" i="1"/>
  <c r="BJ216" i="1" s="1"/>
  <c r="BL216" i="1" s="1"/>
  <c r="AE218" i="1"/>
  <c r="AG218" i="1" s="1"/>
  <c r="AD218" i="1"/>
  <c r="AF218" i="1" s="1"/>
  <c r="AH218" i="1" s="1"/>
  <c r="DB213" i="1"/>
  <c r="DD213" i="1" s="1"/>
  <c r="DA213" i="1"/>
  <c r="DC213" i="1" s="1"/>
  <c r="G219" i="1"/>
  <c r="I219" i="1" s="1"/>
  <c r="Q219" i="1"/>
  <c r="S219" i="1" s="1"/>
  <c r="CM214" i="1"/>
  <c r="CO214" i="1" s="1"/>
  <c r="CL214" i="1"/>
  <c r="CN214" i="1" s="1"/>
  <c r="CP214" i="1" s="1"/>
  <c r="AS217" i="1"/>
  <c r="AU217" i="1" s="1"/>
  <c r="AW217" i="1" s="1"/>
  <c r="AT217" i="1"/>
  <c r="AV217" i="1" s="1"/>
  <c r="AY217" i="1" l="1"/>
  <c r="BA217" i="1" s="1"/>
  <c r="AX217" i="1"/>
  <c r="AZ217" i="1" s="1"/>
  <c r="BB217" i="1" s="1"/>
  <c r="BN216" i="1"/>
  <c r="BP216" i="1" s="1"/>
  <c r="BM216" i="1"/>
  <c r="BO216" i="1" s="1"/>
  <c r="BQ216" i="1" s="1"/>
  <c r="CC215" i="1"/>
  <c r="CE215" i="1" s="1"/>
  <c r="CB215" i="1"/>
  <c r="CD215" i="1" s="1"/>
  <c r="CF215" i="1" s="1"/>
  <c r="AI218" i="1"/>
  <c r="AK218" i="1" s="1"/>
  <c r="AM218" i="1" s="1"/>
  <c r="AJ218" i="1"/>
  <c r="AL218" i="1" s="1"/>
  <c r="CR214" i="1"/>
  <c r="CT214" i="1" s="1"/>
  <c r="CQ214" i="1"/>
  <c r="CS214" i="1" s="1"/>
  <c r="CU214" i="1" s="1"/>
  <c r="U219" i="1"/>
  <c r="W219" i="1" s="1"/>
  <c r="T219" i="1"/>
  <c r="V219" i="1" s="1"/>
  <c r="X219" i="1" s="1"/>
  <c r="J219" i="1"/>
  <c r="L219" i="1" s="1"/>
  <c r="N219" i="1" s="1"/>
  <c r="K219" i="1"/>
  <c r="M219" i="1" s="1"/>
  <c r="D220" i="1"/>
  <c r="F220" i="1" l="1"/>
  <c r="H220" i="1" s="1"/>
  <c r="E220" i="1"/>
  <c r="P219" i="1"/>
  <c r="R219" i="1" s="1"/>
  <c r="O219" i="1"/>
  <c r="AO218" i="1"/>
  <c r="AQ218" i="1" s="1"/>
  <c r="AN218" i="1"/>
  <c r="AP218" i="1" s="1"/>
  <c r="AR218" i="1" s="1"/>
  <c r="Y219" i="1"/>
  <c r="AA219" i="1" s="1"/>
  <c r="AC219" i="1" s="1"/>
  <c r="Z219" i="1"/>
  <c r="AB219" i="1" s="1"/>
  <c r="CH215" i="1"/>
  <c r="CJ215" i="1" s="1"/>
  <c r="CG215" i="1"/>
  <c r="CI215" i="1" s="1"/>
  <c r="CK215" i="1" s="1"/>
  <c r="BS216" i="1"/>
  <c r="BU216" i="1" s="1"/>
  <c r="BR216" i="1"/>
  <c r="BT216" i="1" s="1"/>
  <c r="BV216" i="1" s="1"/>
  <c r="CW214" i="1"/>
  <c r="CY214" i="1" s="1"/>
  <c r="CV214" i="1"/>
  <c r="CX214" i="1" s="1"/>
  <c r="CZ214" i="1" s="1"/>
  <c r="BD217" i="1"/>
  <c r="BF217" i="1" s="1"/>
  <c r="BC217" i="1"/>
  <c r="BE217" i="1" s="1"/>
  <c r="BG217" i="1" s="1"/>
  <c r="DA214" i="1" l="1"/>
  <c r="DC214" i="1" s="1"/>
  <c r="DB214" i="1"/>
  <c r="DD214" i="1" s="1"/>
  <c r="BI217" i="1"/>
  <c r="BK217" i="1" s="1"/>
  <c r="BH217" i="1"/>
  <c r="BJ217" i="1" s="1"/>
  <c r="BL217" i="1" s="1"/>
  <c r="AE219" i="1"/>
  <c r="AG219" i="1" s="1"/>
  <c r="AD219" i="1"/>
  <c r="AF219" i="1" s="1"/>
  <c r="AH219" i="1" s="1"/>
  <c r="G220" i="1"/>
  <c r="I220" i="1" s="1"/>
  <c r="Q220" i="1"/>
  <c r="S220" i="1" s="1"/>
  <c r="AT218" i="1"/>
  <c r="AV218" i="1" s="1"/>
  <c r="AS218" i="1"/>
  <c r="AU218" i="1" s="1"/>
  <c r="AW218" i="1" s="1"/>
  <c r="BX216" i="1"/>
  <c r="BZ216" i="1" s="1"/>
  <c r="BW216" i="1"/>
  <c r="BY216" i="1" s="1"/>
  <c r="CA216" i="1" s="1"/>
  <c r="CM215" i="1"/>
  <c r="CO215" i="1" s="1"/>
  <c r="CL215" i="1"/>
  <c r="CN215" i="1" s="1"/>
  <c r="CP215" i="1" s="1"/>
  <c r="CQ215" i="1" l="1"/>
  <c r="CS215" i="1" s="1"/>
  <c r="CU215" i="1" s="1"/>
  <c r="CR215" i="1"/>
  <c r="CT215" i="1" s="1"/>
  <c r="U220" i="1"/>
  <c r="W220" i="1" s="1"/>
  <c r="T220" i="1"/>
  <c r="V220" i="1" s="1"/>
  <c r="X220" i="1" s="1"/>
  <c r="K220" i="1"/>
  <c r="M220" i="1" s="1"/>
  <c r="J220" i="1"/>
  <c r="L220" i="1" s="1"/>
  <c r="N220" i="1" s="1"/>
  <c r="D221" i="1"/>
  <c r="BN217" i="1"/>
  <c r="BP217" i="1" s="1"/>
  <c r="BM217" i="1"/>
  <c r="BO217" i="1" s="1"/>
  <c r="BQ217" i="1" s="1"/>
  <c r="AJ219" i="1"/>
  <c r="AL219" i="1" s="1"/>
  <c r="AI219" i="1"/>
  <c r="AK219" i="1" s="1"/>
  <c r="AM219" i="1" s="1"/>
  <c r="CC216" i="1"/>
  <c r="CE216" i="1" s="1"/>
  <c r="CB216" i="1"/>
  <c r="CD216" i="1" s="1"/>
  <c r="CF216" i="1" s="1"/>
  <c r="AY218" i="1"/>
  <c r="BA218" i="1" s="1"/>
  <c r="AX218" i="1"/>
  <c r="AZ218" i="1" s="1"/>
  <c r="BB218" i="1" s="1"/>
  <c r="E221" i="1" l="1"/>
  <c r="F221" i="1"/>
  <c r="H221" i="1" s="1"/>
  <c r="CG216" i="1"/>
  <c r="CI216" i="1" s="1"/>
  <c r="CK216" i="1" s="1"/>
  <c r="CH216" i="1"/>
  <c r="CJ216" i="1" s="1"/>
  <c r="O220" i="1"/>
  <c r="P220" i="1"/>
  <c r="R220" i="1" s="1"/>
  <c r="Z220" i="1"/>
  <c r="AB220" i="1" s="1"/>
  <c r="Y220" i="1"/>
  <c r="AA220" i="1" s="1"/>
  <c r="AC220" i="1" s="1"/>
  <c r="BD218" i="1"/>
  <c r="BF218" i="1" s="1"/>
  <c r="BC218" i="1"/>
  <c r="BE218" i="1" s="1"/>
  <c r="BG218" i="1" s="1"/>
  <c r="AO219" i="1"/>
  <c r="AQ219" i="1" s="1"/>
  <c r="AN219" i="1"/>
  <c r="AP219" i="1" s="1"/>
  <c r="AR219" i="1" s="1"/>
  <c r="BS217" i="1"/>
  <c r="BU217" i="1" s="1"/>
  <c r="BR217" i="1"/>
  <c r="BT217" i="1" s="1"/>
  <c r="BV217" i="1" s="1"/>
  <c r="CW215" i="1"/>
  <c r="CY215" i="1" s="1"/>
  <c r="CV215" i="1"/>
  <c r="CX215" i="1" s="1"/>
  <c r="CZ215" i="1" s="1"/>
  <c r="DB215" i="1" l="1"/>
  <c r="DD215" i="1" s="1"/>
  <c r="DA215" i="1"/>
  <c r="DC215" i="1" s="1"/>
  <c r="AE220" i="1"/>
  <c r="AG220" i="1" s="1"/>
  <c r="AD220" i="1"/>
  <c r="AF220" i="1" s="1"/>
  <c r="AH220" i="1" s="1"/>
  <c r="CM216" i="1"/>
  <c r="CO216" i="1" s="1"/>
  <c r="CL216" i="1"/>
  <c r="CN216" i="1" s="1"/>
  <c r="CP216" i="1" s="1"/>
  <c r="BW217" i="1"/>
  <c r="BY217" i="1" s="1"/>
  <c r="CA217" i="1" s="1"/>
  <c r="BX217" i="1"/>
  <c r="BZ217" i="1" s="1"/>
  <c r="AT219" i="1"/>
  <c r="AV219" i="1" s="1"/>
  <c r="AS219" i="1"/>
  <c r="AU219" i="1" s="1"/>
  <c r="AW219" i="1" s="1"/>
  <c r="BI218" i="1"/>
  <c r="BK218" i="1" s="1"/>
  <c r="BH218" i="1"/>
  <c r="BJ218" i="1" s="1"/>
  <c r="BL218" i="1" s="1"/>
  <c r="Q221" i="1"/>
  <c r="S221" i="1" s="1"/>
  <c r="G221" i="1"/>
  <c r="I221" i="1" s="1"/>
  <c r="CC217" i="1" l="1"/>
  <c r="CE217" i="1" s="1"/>
  <c r="CB217" i="1"/>
  <c r="CD217" i="1" s="1"/>
  <c r="CF217" i="1" s="1"/>
  <c r="K221" i="1"/>
  <c r="M221" i="1" s="1"/>
  <c r="J221" i="1"/>
  <c r="L221" i="1" s="1"/>
  <c r="N221" i="1" s="1"/>
  <c r="D222" i="1"/>
  <c r="CR216" i="1"/>
  <c r="CT216" i="1" s="1"/>
  <c r="CQ216" i="1"/>
  <c r="CS216" i="1" s="1"/>
  <c r="CU216" i="1" s="1"/>
  <c r="BM218" i="1"/>
  <c r="BO218" i="1" s="1"/>
  <c r="BQ218" i="1" s="1"/>
  <c r="BN218" i="1"/>
  <c r="BP218" i="1" s="1"/>
  <c r="U221" i="1"/>
  <c r="W221" i="1" s="1"/>
  <c r="T221" i="1"/>
  <c r="V221" i="1" s="1"/>
  <c r="X221" i="1" s="1"/>
  <c r="AJ220" i="1"/>
  <c r="AL220" i="1" s="1"/>
  <c r="AI220" i="1"/>
  <c r="AK220" i="1" s="1"/>
  <c r="AM220" i="1" s="1"/>
  <c r="AY219" i="1"/>
  <c r="BA219" i="1" s="1"/>
  <c r="AX219" i="1"/>
  <c r="AZ219" i="1" s="1"/>
  <c r="BB219" i="1" s="1"/>
  <c r="CW216" i="1" l="1"/>
  <c r="CY216" i="1" s="1"/>
  <c r="CV216" i="1"/>
  <c r="CX216" i="1" s="1"/>
  <c r="CZ216" i="1" s="1"/>
  <c r="Z221" i="1"/>
  <c r="AB221" i="1" s="1"/>
  <c r="Y221" i="1"/>
  <c r="AA221" i="1" s="1"/>
  <c r="AC221" i="1" s="1"/>
  <c r="BC219" i="1"/>
  <c r="BE219" i="1" s="1"/>
  <c r="BG219" i="1" s="1"/>
  <c r="BD219" i="1"/>
  <c r="BF219" i="1" s="1"/>
  <c r="E222" i="1"/>
  <c r="F222" i="1"/>
  <c r="H222" i="1" s="1"/>
  <c r="BS218" i="1"/>
  <c r="BU218" i="1" s="1"/>
  <c r="BR218" i="1"/>
  <c r="BT218" i="1" s="1"/>
  <c r="BV218" i="1" s="1"/>
  <c r="P221" i="1"/>
  <c r="R221" i="1" s="1"/>
  <c r="O221" i="1"/>
  <c r="AO220" i="1"/>
  <c r="AQ220" i="1" s="1"/>
  <c r="AN220" i="1"/>
  <c r="AP220" i="1" s="1"/>
  <c r="AR220" i="1" s="1"/>
  <c r="CH217" i="1"/>
  <c r="CJ217" i="1" s="1"/>
  <c r="CG217" i="1"/>
  <c r="CI217" i="1" s="1"/>
  <c r="CK217" i="1" s="1"/>
  <c r="CM217" i="1" l="1"/>
  <c r="CO217" i="1" s="1"/>
  <c r="CL217" i="1"/>
  <c r="CN217" i="1" s="1"/>
  <c r="CP217" i="1" s="1"/>
  <c r="AS220" i="1"/>
  <c r="AU220" i="1" s="1"/>
  <c r="AW220" i="1" s="1"/>
  <c r="AT220" i="1"/>
  <c r="AV220" i="1" s="1"/>
  <c r="BI219" i="1"/>
  <c r="BK219" i="1" s="1"/>
  <c r="BH219" i="1"/>
  <c r="BJ219" i="1" s="1"/>
  <c r="BL219" i="1" s="1"/>
  <c r="BX218" i="1"/>
  <c r="BZ218" i="1" s="1"/>
  <c r="BW218" i="1"/>
  <c r="BY218" i="1" s="1"/>
  <c r="CA218" i="1" s="1"/>
  <c r="Q222" i="1"/>
  <c r="S222" i="1" s="1"/>
  <c r="G222" i="1"/>
  <c r="I222" i="1" s="1"/>
  <c r="AE221" i="1"/>
  <c r="AG221" i="1" s="1"/>
  <c r="AD221" i="1"/>
  <c r="AF221" i="1" s="1"/>
  <c r="AH221" i="1" s="1"/>
  <c r="DB216" i="1"/>
  <c r="DD216" i="1" s="1"/>
  <c r="DA216" i="1"/>
  <c r="DC216" i="1" s="1"/>
  <c r="CC218" i="1" l="1"/>
  <c r="CE218" i="1" s="1"/>
  <c r="CB218" i="1"/>
  <c r="CD218" i="1" s="1"/>
  <c r="CF218" i="1" s="1"/>
  <c r="CR217" i="1"/>
  <c r="CT217" i="1" s="1"/>
  <c r="CQ217" i="1"/>
  <c r="CS217" i="1" s="1"/>
  <c r="CU217" i="1" s="1"/>
  <c r="BN219" i="1"/>
  <c r="BP219" i="1" s="1"/>
  <c r="BM219" i="1"/>
  <c r="BO219" i="1" s="1"/>
  <c r="BQ219" i="1" s="1"/>
  <c r="AI221" i="1"/>
  <c r="AK221" i="1" s="1"/>
  <c r="AM221" i="1" s="1"/>
  <c r="AJ221" i="1"/>
  <c r="AL221" i="1" s="1"/>
  <c r="AY220" i="1"/>
  <c r="BA220" i="1" s="1"/>
  <c r="AX220" i="1"/>
  <c r="AZ220" i="1" s="1"/>
  <c r="BB220" i="1" s="1"/>
  <c r="K222" i="1"/>
  <c r="M222" i="1" s="1"/>
  <c r="J222" i="1"/>
  <c r="L222" i="1" s="1"/>
  <c r="N222" i="1" s="1"/>
  <c r="D223" i="1"/>
  <c r="U222" i="1"/>
  <c r="W222" i="1" s="1"/>
  <c r="T222" i="1"/>
  <c r="V222" i="1" s="1"/>
  <c r="X222" i="1" s="1"/>
  <c r="BS219" i="1" l="1"/>
  <c r="BU219" i="1" s="1"/>
  <c r="BR219" i="1"/>
  <c r="BT219" i="1" s="1"/>
  <c r="BV219" i="1" s="1"/>
  <c r="Y222" i="1"/>
  <c r="AA222" i="1" s="1"/>
  <c r="AC222" i="1" s="1"/>
  <c r="Z222" i="1"/>
  <c r="AB222" i="1" s="1"/>
  <c r="CW217" i="1"/>
  <c r="CY217" i="1" s="1"/>
  <c r="CV217" i="1"/>
  <c r="CX217" i="1" s="1"/>
  <c r="CZ217" i="1" s="1"/>
  <c r="BD220" i="1"/>
  <c r="BF220" i="1" s="1"/>
  <c r="BC220" i="1"/>
  <c r="BE220" i="1" s="1"/>
  <c r="BG220" i="1" s="1"/>
  <c r="AO221" i="1"/>
  <c r="AQ221" i="1" s="1"/>
  <c r="AN221" i="1"/>
  <c r="AP221" i="1" s="1"/>
  <c r="AR221" i="1" s="1"/>
  <c r="F223" i="1"/>
  <c r="H223" i="1" s="1"/>
  <c r="E223" i="1"/>
  <c r="P222" i="1"/>
  <c r="R222" i="1" s="1"/>
  <c r="O222" i="1"/>
  <c r="CH218" i="1"/>
  <c r="CJ218" i="1" s="1"/>
  <c r="CG218" i="1"/>
  <c r="CI218" i="1" s="1"/>
  <c r="CK218" i="1" s="1"/>
  <c r="DB217" i="1" l="1"/>
  <c r="DD217" i="1" s="1"/>
  <c r="DA217" i="1"/>
  <c r="DC217" i="1" s="1"/>
  <c r="CM218" i="1"/>
  <c r="CO218" i="1" s="1"/>
  <c r="CL218" i="1"/>
  <c r="CN218" i="1" s="1"/>
  <c r="CP218" i="1" s="1"/>
  <c r="BX219" i="1"/>
  <c r="BZ219" i="1" s="1"/>
  <c r="BW219" i="1"/>
  <c r="BY219" i="1" s="1"/>
  <c r="CA219" i="1" s="1"/>
  <c r="BI220" i="1"/>
  <c r="BK220" i="1" s="1"/>
  <c r="BH220" i="1"/>
  <c r="BJ220" i="1" s="1"/>
  <c r="BL220" i="1" s="1"/>
  <c r="G223" i="1"/>
  <c r="I223" i="1" s="1"/>
  <c r="Q223" i="1"/>
  <c r="S223" i="1" s="1"/>
  <c r="AE222" i="1"/>
  <c r="AG222" i="1" s="1"/>
  <c r="AD222" i="1"/>
  <c r="AF222" i="1" s="1"/>
  <c r="AH222" i="1" s="1"/>
  <c r="AT221" i="1"/>
  <c r="AV221" i="1" s="1"/>
  <c r="AS221" i="1"/>
  <c r="AU221" i="1" s="1"/>
  <c r="AW221" i="1" s="1"/>
  <c r="BN220" i="1" l="1"/>
  <c r="BP220" i="1" s="1"/>
  <c r="BM220" i="1"/>
  <c r="BO220" i="1" s="1"/>
  <c r="BQ220" i="1" s="1"/>
  <c r="CR218" i="1"/>
  <c r="CT218" i="1" s="1"/>
  <c r="CQ218" i="1"/>
  <c r="CS218" i="1" s="1"/>
  <c r="CU218" i="1" s="1"/>
  <c r="CC219" i="1"/>
  <c r="CE219" i="1" s="1"/>
  <c r="CB219" i="1"/>
  <c r="CD219" i="1" s="1"/>
  <c r="CF219" i="1" s="1"/>
  <c r="U223" i="1"/>
  <c r="W223" i="1" s="1"/>
  <c r="T223" i="1"/>
  <c r="V223" i="1" s="1"/>
  <c r="X223" i="1" s="1"/>
  <c r="AY221" i="1"/>
  <c r="BA221" i="1" s="1"/>
  <c r="AX221" i="1"/>
  <c r="AZ221" i="1" s="1"/>
  <c r="BB221" i="1" s="1"/>
  <c r="AJ222" i="1"/>
  <c r="AL222" i="1" s="1"/>
  <c r="AI222" i="1"/>
  <c r="AK222" i="1" s="1"/>
  <c r="AM222" i="1" s="1"/>
  <c r="K223" i="1"/>
  <c r="M223" i="1" s="1"/>
  <c r="J223" i="1"/>
  <c r="L223" i="1" s="1"/>
  <c r="N223" i="1" s="1"/>
  <c r="D224" i="1"/>
  <c r="Z223" i="1" l="1"/>
  <c r="AB223" i="1" s="1"/>
  <c r="Y223" i="1"/>
  <c r="AA223" i="1" s="1"/>
  <c r="AC223" i="1" s="1"/>
  <c r="E224" i="1"/>
  <c r="F224" i="1"/>
  <c r="H224" i="1" s="1"/>
  <c r="CW218" i="1"/>
  <c r="CY218" i="1" s="1"/>
  <c r="CV218" i="1"/>
  <c r="CX218" i="1" s="1"/>
  <c r="CZ218" i="1" s="1"/>
  <c r="O223" i="1"/>
  <c r="P223" i="1"/>
  <c r="R223" i="1" s="1"/>
  <c r="CH219" i="1"/>
  <c r="CJ219" i="1" s="1"/>
  <c r="CG219" i="1"/>
  <c r="CI219" i="1" s="1"/>
  <c r="CK219" i="1" s="1"/>
  <c r="AO222" i="1"/>
  <c r="AQ222" i="1" s="1"/>
  <c r="AN222" i="1"/>
  <c r="AP222" i="1" s="1"/>
  <c r="AR222" i="1" s="1"/>
  <c r="BD221" i="1"/>
  <c r="BF221" i="1" s="1"/>
  <c r="BC221" i="1"/>
  <c r="BE221" i="1" s="1"/>
  <c r="BG221" i="1" s="1"/>
  <c r="BS220" i="1"/>
  <c r="BU220" i="1" s="1"/>
  <c r="BR220" i="1"/>
  <c r="BT220" i="1" s="1"/>
  <c r="BV220" i="1" s="1"/>
  <c r="BI221" i="1" l="1"/>
  <c r="BK221" i="1" s="1"/>
  <c r="BH221" i="1"/>
  <c r="BJ221" i="1" s="1"/>
  <c r="BL221" i="1" s="1"/>
  <c r="DB218" i="1"/>
  <c r="DD218" i="1" s="1"/>
  <c r="DA218" i="1"/>
  <c r="DC218" i="1" s="1"/>
  <c r="BX220" i="1"/>
  <c r="BZ220" i="1" s="1"/>
  <c r="BW220" i="1"/>
  <c r="BY220" i="1" s="1"/>
  <c r="CA220" i="1" s="1"/>
  <c r="AT222" i="1"/>
  <c r="AV222" i="1" s="1"/>
  <c r="AS222" i="1"/>
  <c r="AU222" i="1" s="1"/>
  <c r="AW222" i="1" s="1"/>
  <c r="AE223" i="1"/>
  <c r="AG223" i="1" s="1"/>
  <c r="AD223" i="1"/>
  <c r="AF223" i="1" s="1"/>
  <c r="AH223" i="1" s="1"/>
  <c r="Q224" i="1"/>
  <c r="S224" i="1" s="1"/>
  <c r="G224" i="1"/>
  <c r="I224" i="1" s="1"/>
  <c r="CM219" i="1"/>
  <c r="CO219" i="1" s="1"/>
  <c r="CL219" i="1"/>
  <c r="CN219" i="1" s="1"/>
  <c r="CP219" i="1" s="1"/>
  <c r="CC220" i="1" l="1"/>
  <c r="CE220" i="1" s="1"/>
  <c r="CB220" i="1"/>
  <c r="CD220" i="1" s="1"/>
  <c r="CF220" i="1" s="1"/>
  <c r="AY222" i="1"/>
  <c r="BA222" i="1" s="1"/>
  <c r="AX222" i="1"/>
  <c r="AZ222" i="1" s="1"/>
  <c r="BB222" i="1" s="1"/>
  <c r="AJ223" i="1"/>
  <c r="AL223" i="1" s="1"/>
  <c r="AI223" i="1"/>
  <c r="AK223" i="1" s="1"/>
  <c r="AM223" i="1" s="1"/>
  <c r="U224" i="1"/>
  <c r="W224" i="1" s="1"/>
  <c r="T224" i="1"/>
  <c r="V224" i="1" s="1"/>
  <c r="X224" i="1" s="1"/>
  <c r="CR219" i="1"/>
  <c r="CT219" i="1" s="1"/>
  <c r="CQ219" i="1"/>
  <c r="CS219" i="1" s="1"/>
  <c r="CU219" i="1" s="1"/>
  <c r="K224" i="1"/>
  <c r="M224" i="1" s="1"/>
  <c r="J224" i="1"/>
  <c r="L224" i="1" s="1"/>
  <c r="N224" i="1" s="1"/>
  <c r="D225" i="1"/>
  <c r="BN221" i="1"/>
  <c r="BP221" i="1" s="1"/>
  <c r="BM221" i="1"/>
  <c r="BO221" i="1" s="1"/>
  <c r="BQ221" i="1" s="1"/>
  <c r="Z224" i="1" l="1"/>
  <c r="AB224" i="1" s="1"/>
  <c r="Y224" i="1"/>
  <c r="AA224" i="1" s="1"/>
  <c r="AC224" i="1" s="1"/>
  <c r="F225" i="1"/>
  <c r="H225" i="1" s="1"/>
  <c r="E225" i="1"/>
  <c r="AN223" i="1"/>
  <c r="AP223" i="1" s="1"/>
  <c r="AR223" i="1" s="1"/>
  <c r="AO223" i="1"/>
  <c r="AQ223" i="1" s="1"/>
  <c r="BC222" i="1"/>
  <c r="BE222" i="1" s="1"/>
  <c r="BG222" i="1" s="1"/>
  <c r="BD222" i="1"/>
  <c r="BF222" i="1" s="1"/>
  <c r="BS221" i="1"/>
  <c r="BU221" i="1" s="1"/>
  <c r="BR221" i="1"/>
  <c r="BT221" i="1" s="1"/>
  <c r="BV221" i="1" s="1"/>
  <c r="P224" i="1"/>
  <c r="R224" i="1" s="1"/>
  <c r="O224" i="1"/>
  <c r="CW219" i="1"/>
  <c r="CY219" i="1" s="1"/>
  <c r="CV219" i="1"/>
  <c r="CX219" i="1" s="1"/>
  <c r="CZ219" i="1" s="1"/>
  <c r="CH220" i="1"/>
  <c r="CJ220" i="1" s="1"/>
  <c r="CG220" i="1"/>
  <c r="CI220" i="1" s="1"/>
  <c r="CK220" i="1" s="1"/>
  <c r="DB219" i="1" l="1"/>
  <c r="DD219" i="1" s="1"/>
  <c r="DA219" i="1"/>
  <c r="DC219" i="1" s="1"/>
  <c r="CM220" i="1"/>
  <c r="CO220" i="1" s="1"/>
  <c r="CL220" i="1"/>
  <c r="CN220" i="1" s="1"/>
  <c r="CP220" i="1" s="1"/>
  <c r="AT223" i="1"/>
  <c r="AV223" i="1" s="1"/>
  <c r="AS223" i="1"/>
  <c r="AU223" i="1" s="1"/>
  <c r="AW223" i="1" s="1"/>
  <c r="BI222" i="1"/>
  <c r="BK222" i="1" s="1"/>
  <c r="BH222" i="1"/>
  <c r="BJ222" i="1" s="1"/>
  <c r="BL222" i="1" s="1"/>
  <c r="G225" i="1"/>
  <c r="I225" i="1" s="1"/>
  <c r="Q225" i="1"/>
  <c r="S225" i="1" s="1"/>
  <c r="AE224" i="1"/>
  <c r="AG224" i="1" s="1"/>
  <c r="AD224" i="1"/>
  <c r="AF224" i="1" s="1"/>
  <c r="AH224" i="1" s="1"/>
  <c r="BW221" i="1"/>
  <c r="BY221" i="1" s="1"/>
  <c r="CA221" i="1" s="1"/>
  <c r="BX221" i="1"/>
  <c r="BZ221" i="1" s="1"/>
  <c r="AY223" i="1" l="1"/>
  <c r="BA223" i="1" s="1"/>
  <c r="AX223" i="1"/>
  <c r="AZ223" i="1" s="1"/>
  <c r="BB223" i="1" s="1"/>
  <c r="CR220" i="1"/>
  <c r="CT220" i="1" s="1"/>
  <c r="CQ220" i="1"/>
  <c r="CS220" i="1" s="1"/>
  <c r="CU220" i="1" s="1"/>
  <c r="BM222" i="1"/>
  <c r="BO222" i="1" s="1"/>
  <c r="BQ222" i="1" s="1"/>
  <c r="BN222" i="1"/>
  <c r="BP222" i="1" s="1"/>
  <c r="CC221" i="1"/>
  <c r="CE221" i="1" s="1"/>
  <c r="CB221" i="1"/>
  <c r="CD221" i="1" s="1"/>
  <c r="CF221" i="1" s="1"/>
  <c r="U225" i="1"/>
  <c r="W225" i="1" s="1"/>
  <c r="T225" i="1"/>
  <c r="V225" i="1" s="1"/>
  <c r="X225" i="1" s="1"/>
  <c r="AJ224" i="1"/>
  <c r="AL224" i="1" s="1"/>
  <c r="AI224" i="1"/>
  <c r="AK224" i="1" s="1"/>
  <c r="AM224" i="1" s="1"/>
  <c r="K225" i="1"/>
  <c r="M225" i="1" s="1"/>
  <c r="J225" i="1"/>
  <c r="L225" i="1" s="1"/>
  <c r="N225" i="1" s="1"/>
  <c r="D226" i="1"/>
  <c r="F226" i="1" l="1"/>
  <c r="H226" i="1" s="1"/>
  <c r="E226" i="1"/>
  <c r="CH221" i="1"/>
  <c r="CJ221" i="1" s="1"/>
  <c r="CG221" i="1"/>
  <c r="CI221" i="1" s="1"/>
  <c r="CK221" i="1" s="1"/>
  <c r="BS222" i="1"/>
  <c r="BU222" i="1" s="1"/>
  <c r="BR222" i="1"/>
  <c r="BT222" i="1" s="1"/>
  <c r="BV222" i="1" s="1"/>
  <c r="AO224" i="1"/>
  <c r="AQ224" i="1" s="1"/>
  <c r="AN224" i="1"/>
  <c r="AP224" i="1" s="1"/>
  <c r="AR224" i="1" s="1"/>
  <c r="P225" i="1"/>
  <c r="R225" i="1" s="1"/>
  <c r="O225" i="1"/>
  <c r="CW220" i="1"/>
  <c r="CY220" i="1" s="1"/>
  <c r="CV220" i="1"/>
  <c r="CX220" i="1" s="1"/>
  <c r="CZ220" i="1" s="1"/>
  <c r="Y225" i="1"/>
  <c r="AA225" i="1" s="1"/>
  <c r="AC225" i="1" s="1"/>
  <c r="Z225" i="1"/>
  <c r="AB225" i="1" s="1"/>
  <c r="BC223" i="1"/>
  <c r="BE223" i="1" s="1"/>
  <c r="BG223" i="1" s="1"/>
  <c r="BD223" i="1"/>
  <c r="BF223" i="1" s="1"/>
  <c r="BI223" i="1" l="1"/>
  <c r="BK223" i="1" s="1"/>
  <c r="BH223" i="1"/>
  <c r="BJ223" i="1" s="1"/>
  <c r="BL223" i="1" s="1"/>
  <c r="AE225" i="1"/>
  <c r="AG225" i="1" s="1"/>
  <c r="AD225" i="1"/>
  <c r="AF225" i="1" s="1"/>
  <c r="AH225" i="1" s="1"/>
  <c r="CM221" i="1"/>
  <c r="CO221" i="1" s="1"/>
  <c r="CL221" i="1"/>
  <c r="CN221" i="1" s="1"/>
  <c r="CP221" i="1" s="1"/>
  <c r="AS224" i="1"/>
  <c r="AU224" i="1" s="1"/>
  <c r="AW224" i="1" s="1"/>
  <c r="AT224" i="1"/>
  <c r="AV224" i="1" s="1"/>
  <c r="BX222" i="1"/>
  <c r="BZ222" i="1" s="1"/>
  <c r="BW222" i="1"/>
  <c r="BY222" i="1" s="1"/>
  <c r="CA222" i="1" s="1"/>
  <c r="G226" i="1"/>
  <c r="I226" i="1" s="1"/>
  <c r="Q226" i="1"/>
  <c r="S226" i="1" s="1"/>
  <c r="DA220" i="1"/>
  <c r="DC220" i="1" s="1"/>
  <c r="DB220" i="1"/>
  <c r="DD220" i="1" s="1"/>
  <c r="AY224" i="1" l="1"/>
  <c r="BA224" i="1" s="1"/>
  <c r="AX224" i="1"/>
  <c r="AZ224" i="1" s="1"/>
  <c r="BB224" i="1" s="1"/>
  <c r="J226" i="1"/>
  <c r="L226" i="1" s="1"/>
  <c r="N226" i="1" s="1"/>
  <c r="K226" i="1"/>
  <c r="M226" i="1" s="1"/>
  <c r="D227" i="1"/>
  <c r="U226" i="1"/>
  <c r="W226" i="1" s="1"/>
  <c r="T226" i="1"/>
  <c r="V226" i="1" s="1"/>
  <c r="X226" i="1" s="1"/>
  <c r="CC222" i="1"/>
  <c r="CE222" i="1" s="1"/>
  <c r="CB222" i="1"/>
  <c r="CD222" i="1" s="1"/>
  <c r="CF222" i="1" s="1"/>
  <c r="CQ221" i="1"/>
  <c r="CS221" i="1" s="1"/>
  <c r="CU221" i="1" s="1"/>
  <c r="CR221" i="1"/>
  <c r="CT221" i="1" s="1"/>
  <c r="AI225" i="1"/>
  <c r="AK225" i="1" s="1"/>
  <c r="AM225" i="1" s="1"/>
  <c r="AJ225" i="1"/>
  <c r="AL225" i="1" s="1"/>
  <c r="BN223" i="1"/>
  <c r="BP223" i="1" s="1"/>
  <c r="BM223" i="1"/>
  <c r="BO223" i="1" s="1"/>
  <c r="BQ223" i="1" s="1"/>
  <c r="F227" i="1" l="1"/>
  <c r="H227" i="1" s="1"/>
  <c r="E227" i="1"/>
  <c r="Y226" i="1"/>
  <c r="AA226" i="1" s="1"/>
  <c r="AC226" i="1" s="1"/>
  <c r="Z226" i="1"/>
  <c r="AB226" i="1" s="1"/>
  <c r="CW221" i="1"/>
  <c r="CY221" i="1" s="1"/>
  <c r="CV221" i="1"/>
  <c r="CX221" i="1" s="1"/>
  <c r="CZ221" i="1" s="1"/>
  <c r="BS223" i="1"/>
  <c r="BU223" i="1" s="1"/>
  <c r="BR223" i="1"/>
  <c r="BT223" i="1" s="1"/>
  <c r="BV223" i="1" s="1"/>
  <c r="AO225" i="1"/>
  <c r="AQ225" i="1" s="1"/>
  <c r="AN225" i="1"/>
  <c r="AP225" i="1" s="1"/>
  <c r="AR225" i="1" s="1"/>
  <c r="P226" i="1"/>
  <c r="R226" i="1" s="1"/>
  <c r="O226" i="1"/>
  <c r="BD224" i="1"/>
  <c r="BF224" i="1" s="1"/>
  <c r="BC224" i="1"/>
  <c r="BE224" i="1" s="1"/>
  <c r="BG224" i="1" s="1"/>
  <c r="CG222" i="1"/>
  <c r="CI222" i="1" s="1"/>
  <c r="CK222" i="1" s="1"/>
  <c r="CH222" i="1"/>
  <c r="CJ222" i="1" s="1"/>
  <c r="DB221" i="1" l="1"/>
  <c r="DD221" i="1" s="1"/>
  <c r="DA221" i="1"/>
  <c r="DC221" i="1" s="1"/>
  <c r="BW223" i="1"/>
  <c r="BY223" i="1" s="1"/>
  <c r="CA223" i="1" s="1"/>
  <c r="BX223" i="1"/>
  <c r="BZ223" i="1" s="1"/>
  <c r="CM222" i="1"/>
  <c r="CO222" i="1" s="1"/>
  <c r="CL222" i="1"/>
  <c r="CN222" i="1" s="1"/>
  <c r="CP222" i="1" s="1"/>
  <c r="AT225" i="1"/>
  <c r="AV225" i="1" s="1"/>
  <c r="AS225" i="1"/>
  <c r="AU225" i="1" s="1"/>
  <c r="AW225" i="1" s="1"/>
  <c r="G227" i="1"/>
  <c r="I227" i="1" s="1"/>
  <c r="Q227" i="1"/>
  <c r="S227" i="1" s="1"/>
  <c r="BI224" i="1"/>
  <c r="BK224" i="1" s="1"/>
  <c r="BH224" i="1"/>
  <c r="BJ224" i="1" s="1"/>
  <c r="BL224" i="1" s="1"/>
  <c r="AE226" i="1"/>
  <c r="AG226" i="1" s="1"/>
  <c r="AD226" i="1"/>
  <c r="AF226" i="1" s="1"/>
  <c r="AH226" i="1" s="1"/>
  <c r="AJ226" i="1" l="1"/>
  <c r="AL226" i="1" s="1"/>
  <c r="AI226" i="1"/>
  <c r="AK226" i="1" s="1"/>
  <c r="AM226" i="1" s="1"/>
  <c r="CR222" i="1"/>
  <c r="CT222" i="1" s="1"/>
  <c r="CQ222" i="1"/>
  <c r="CS222" i="1" s="1"/>
  <c r="CU222" i="1" s="1"/>
  <c r="BM224" i="1"/>
  <c r="BO224" i="1" s="1"/>
  <c r="BQ224" i="1" s="1"/>
  <c r="BN224" i="1"/>
  <c r="BP224" i="1" s="1"/>
  <c r="U227" i="1"/>
  <c r="W227" i="1" s="1"/>
  <c r="T227" i="1"/>
  <c r="V227" i="1" s="1"/>
  <c r="X227" i="1" s="1"/>
  <c r="AY225" i="1"/>
  <c r="BA225" i="1" s="1"/>
  <c r="AX225" i="1"/>
  <c r="AZ225" i="1" s="1"/>
  <c r="BB225" i="1" s="1"/>
  <c r="CC223" i="1"/>
  <c r="CE223" i="1" s="1"/>
  <c r="CB223" i="1"/>
  <c r="CD223" i="1" s="1"/>
  <c r="CF223" i="1" s="1"/>
  <c r="K227" i="1"/>
  <c r="M227" i="1" s="1"/>
  <c r="J227" i="1"/>
  <c r="L227" i="1" s="1"/>
  <c r="N227" i="1" s="1"/>
  <c r="D228" i="1"/>
  <c r="Z227" i="1" l="1"/>
  <c r="AB227" i="1" s="1"/>
  <c r="Y227" i="1"/>
  <c r="AA227" i="1" s="1"/>
  <c r="AC227" i="1" s="1"/>
  <c r="O227" i="1"/>
  <c r="P227" i="1"/>
  <c r="R227" i="1" s="1"/>
  <c r="CH223" i="1"/>
  <c r="CJ223" i="1" s="1"/>
  <c r="CG223" i="1"/>
  <c r="CI223" i="1" s="1"/>
  <c r="CK223" i="1" s="1"/>
  <c r="E228" i="1"/>
  <c r="F228" i="1"/>
  <c r="H228" i="1" s="1"/>
  <c r="BS224" i="1"/>
  <c r="BU224" i="1" s="1"/>
  <c r="BR224" i="1"/>
  <c r="BT224" i="1" s="1"/>
  <c r="BV224" i="1" s="1"/>
  <c r="CW222" i="1"/>
  <c r="CY222" i="1" s="1"/>
  <c r="CV222" i="1"/>
  <c r="CX222" i="1" s="1"/>
  <c r="CZ222" i="1" s="1"/>
  <c r="BC225" i="1"/>
  <c r="BE225" i="1" s="1"/>
  <c r="BG225" i="1" s="1"/>
  <c r="BD225" i="1"/>
  <c r="BF225" i="1" s="1"/>
  <c r="AO226" i="1"/>
  <c r="AQ226" i="1" s="1"/>
  <c r="AN226" i="1"/>
  <c r="AP226" i="1" s="1"/>
  <c r="AR226" i="1" s="1"/>
  <c r="Q228" i="1" l="1"/>
  <c r="S228" i="1" s="1"/>
  <c r="G228" i="1"/>
  <c r="I228" i="1" s="1"/>
  <c r="CM223" i="1"/>
  <c r="CO223" i="1" s="1"/>
  <c r="CL223" i="1"/>
  <c r="CN223" i="1" s="1"/>
  <c r="CP223" i="1" s="1"/>
  <c r="BI225" i="1"/>
  <c r="BK225" i="1" s="1"/>
  <c r="BH225" i="1"/>
  <c r="BJ225" i="1" s="1"/>
  <c r="BL225" i="1" s="1"/>
  <c r="BX224" i="1"/>
  <c r="BZ224" i="1" s="1"/>
  <c r="BW224" i="1"/>
  <c r="BY224" i="1" s="1"/>
  <c r="CA224" i="1" s="1"/>
  <c r="AS226" i="1"/>
  <c r="AU226" i="1" s="1"/>
  <c r="AW226" i="1" s="1"/>
  <c r="AT226" i="1"/>
  <c r="AV226" i="1" s="1"/>
  <c r="DB222" i="1"/>
  <c r="DD222" i="1" s="1"/>
  <c r="DA222" i="1"/>
  <c r="DC222" i="1" s="1"/>
  <c r="AE227" i="1"/>
  <c r="AG227" i="1" s="1"/>
  <c r="AD227" i="1"/>
  <c r="AF227" i="1" s="1"/>
  <c r="AH227" i="1" s="1"/>
  <c r="AY226" i="1" l="1"/>
  <c r="BA226" i="1" s="1"/>
  <c r="AX226" i="1"/>
  <c r="AZ226" i="1" s="1"/>
  <c r="BB226" i="1" s="1"/>
  <c r="BN225" i="1"/>
  <c r="BP225" i="1" s="1"/>
  <c r="BM225" i="1"/>
  <c r="BO225" i="1" s="1"/>
  <c r="BQ225" i="1" s="1"/>
  <c r="CC224" i="1"/>
  <c r="CE224" i="1" s="1"/>
  <c r="CB224" i="1"/>
  <c r="CD224" i="1" s="1"/>
  <c r="CF224" i="1" s="1"/>
  <c r="K228" i="1"/>
  <c r="M228" i="1" s="1"/>
  <c r="J228" i="1"/>
  <c r="L228" i="1" s="1"/>
  <c r="N228" i="1" s="1"/>
  <c r="D229" i="1"/>
  <c r="AI227" i="1"/>
  <c r="AK227" i="1" s="1"/>
  <c r="AM227" i="1" s="1"/>
  <c r="AJ227" i="1"/>
  <c r="AL227" i="1" s="1"/>
  <c r="CR223" i="1"/>
  <c r="CT223" i="1" s="1"/>
  <c r="CQ223" i="1"/>
  <c r="CS223" i="1" s="1"/>
  <c r="CU223" i="1" s="1"/>
  <c r="U228" i="1"/>
  <c r="W228" i="1" s="1"/>
  <c r="T228" i="1"/>
  <c r="V228" i="1" s="1"/>
  <c r="X228" i="1" s="1"/>
  <c r="CH224" i="1" l="1"/>
  <c r="CJ224" i="1" s="1"/>
  <c r="CG224" i="1"/>
  <c r="CI224" i="1" s="1"/>
  <c r="CK224" i="1" s="1"/>
  <c r="P228" i="1"/>
  <c r="R228" i="1" s="1"/>
  <c r="O228" i="1"/>
  <c r="BS225" i="1"/>
  <c r="BU225" i="1" s="1"/>
  <c r="BR225" i="1"/>
  <c r="BT225" i="1" s="1"/>
  <c r="BV225" i="1" s="1"/>
  <c r="Y228" i="1"/>
  <c r="AA228" i="1" s="1"/>
  <c r="AC228" i="1" s="1"/>
  <c r="Z228" i="1"/>
  <c r="AB228" i="1" s="1"/>
  <c r="CW223" i="1"/>
  <c r="CY223" i="1" s="1"/>
  <c r="CV223" i="1"/>
  <c r="CX223" i="1" s="1"/>
  <c r="CZ223" i="1" s="1"/>
  <c r="AO227" i="1"/>
  <c r="AQ227" i="1" s="1"/>
  <c r="AN227" i="1"/>
  <c r="AP227" i="1" s="1"/>
  <c r="AR227" i="1" s="1"/>
  <c r="BD226" i="1"/>
  <c r="BF226" i="1" s="1"/>
  <c r="BC226" i="1"/>
  <c r="BE226" i="1" s="1"/>
  <c r="BG226" i="1" s="1"/>
  <c r="F229" i="1"/>
  <c r="H229" i="1" s="1"/>
  <c r="E229" i="1"/>
  <c r="AE228" i="1" l="1"/>
  <c r="AG228" i="1" s="1"/>
  <c r="AD228" i="1"/>
  <c r="AF228" i="1" s="1"/>
  <c r="AH228" i="1" s="1"/>
  <c r="BX225" i="1"/>
  <c r="BZ225" i="1" s="1"/>
  <c r="BW225" i="1"/>
  <c r="BY225" i="1" s="1"/>
  <c r="CA225" i="1" s="1"/>
  <c r="G229" i="1"/>
  <c r="I229" i="1" s="1"/>
  <c r="Q229" i="1"/>
  <c r="S229" i="1" s="1"/>
  <c r="DB223" i="1"/>
  <c r="DD223" i="1" s="1"/>
  <c r="DA223" i="1"/>
  <c r="DC223" i="1" s="1"/>
  <c r="BI226" i="1"/>
  <c r="BK226" i="1" s="1"/>
  <c r="BH226" i="1"/>
  <c r="BJ226" i="1" s="1"/>
  <c r="BL226" i="1" s="1"/>
  <c r="AT227" i="1"/>
  <c r="AV227" i="1" s="1"/>
  <c r="AS227" i="1"/>
  <c r="AU227" i="1" s="1"/>
  <c r="AW227" i="1" s="1"/>
  <c r="CM224" i="1"/>
  <c r="CO224" i="1" s="1"/>
  <c r="CL224" i="1"/>
  <c r="CN224" i="1" s="1"/>
  <c r="CP224" i="1" s="1"/>
  <c r="U229" i="1" l="1"/>
  <c r="W229" i="1" s="1"/>
  <c r="T229" i="1"/>
  <c r="V229" i="1" s="1"/>
  <c r="X229" i="1" s="1"/>
  <c r="AY227" i="1"/>
  <c r="BA227" i="1" s="1"/>
  <c r="AX227" i="1"/>
  <c r="AZ227" i="1" s="1"/>
  <c r="BB227" i="1" s="1"/>
  <c r="CQ224" i="1"/>
  <c r="CS224" i="1" s="1"/>
  <c r="CU224" i="1" s="1"/>
  <c r="CR224" i="1"/>
  <c r="CT224" i="1" s="1"/>
  <c r="CB225" i="1"/>
  <c r="CD225" i="1" s="1"/>
  <c r="CF225" i="1" s="1"/>
  <c r="CC225" i="1"/>
  <c r="CE225" i="1" s="1"/>
  <c r="AJ228" i="1"/>
  <c r="AL228" i="1" s="1"/>
  <c r="AI228" i="1"/>
  <c r="AK228" i="1" s="1"/>
  <c r="AM228" i="1" s="1"/>
  <c r="K229" i="1"/>
  <c r="M229" i="1" s="1"/>
  <c r="J229" i="1"/>
  <c r="L229" i="1" s="1"/>
  <c r="N229" i="1" s="1"/>
  <c r="D230" i="1"/>
  <c r="BN226" i="1"/>
  <c r="BP226" i="1" s="1"/>
  <c r="BM226" i="1"/>
  <c r="BO226" i="1" s="1"/>
  <c r="BQ226" i="1" s="1"/>
  <c r="BS226" i="1" l="1"/>
  <c r="BU226" i="1" s="1"/>
  <c r="BR226" i="1"/>
  <c r="BT226" i="1" s="1"/>
  <c r="BV226" i="1" s="1"/>
  <c r="CW224" i="1"/>
  <c r="CY224" i="1" s="1"/>
  <c r="CV224" i="1"/>
  <c r="CX224" i="1" s="1"/>
  <c r="CZ224" i="1" s="1"/>
  <c r="CH225" i="1"/>
  <c r="CJ225" i="1" s="1"/>
  <c r="CG225" i="1"/>
  <c r="CI225" i="1" s="1"/>
  <c r="CK225" i="1" s="1"/>
  <c r="E230" i="1"/>
  <c r="F230" i="1"/>
  <c r="H230" i="1" s="1"/>
  <c r="BD227" i="1"/>
  <c r="BF227" i="1" s="1"/>
  <c r="BC227" i="1"/>
  <c r="BE227" i="1" s="1"/>
  <c r="BG227" i="1" s="1"/>
  <c r="AO228" i="1"/>
  <c r="AQ228" i="1" s="1"/>
  <c r="AN228" i="1"/>
  <c r="AP228" i="1" s="1"/>
  <c r="AR228" i="1" s="1"/>
  <c r="Z229" i="1"/>
  <c r="AB229" i="1" s="1"/>
  <c r="Y229" i="1"/>
  <c r="AA229" i="1" s="1"/>
  <c r="AC229" i="1" s="1"/>
  <c r="O229" i="1"/>
  <c r="P229" i="1"/>
  <c r="R229" i="1" s="1"/>
  <c r="AE229" i="1" l="1"/>
  <c r="AG229" i="1" s="1"/>
  <c r="AD229" i="1"/>
  <c r="AF229" i="1" s="1"/>
  <c r="AH229" i="1" s="1"/>
  <c r="CM225" i="1"/>
  <c r="CO225" i="1" s="1"/>
  <c r="CL225" i="1"/>
  <c r="CN225" i="1" s="1"/>
  <c r="CP225" i="1" s="1"/>
  <c r="BX226" i="1"/>
  <c r="BZ226" i="1" s="1"/>
  <c r="BW226" i="1"/>
  <c r="BY226" i="1" s="1"/>
  <c r="CA226" i="1" s="1"/>
  <c r="DA224" i="1"/>
  <c r="DC224" i="1" s="1"/>
  <c r="DB224" i="1"/>
  <c r="DD224" i="1" s="1"/>
  <c r="Q230" i="1"/>
  <c r="S230" i="1" s="1"/>
  <c r="G230" i="1"/>
  <c r="I230" i="1" s="1"/>
  <c r="AT228" i="1"/>
  <c r="AV228" i="1" s="1"/>
  <c r="AS228" i="1"/>
  <c r="AU228" i="1" s="1"/>
  <c r="AW228" i="1" s="1"/>
  <c r="BI227" i="1"/>
  <c r="BK227" i="1" s="1"/>
  <c r="BH227" i="1"/>
  <c r="BJ227" i="1" s="1"/>
  <c r="BL227" i="1" s="1"/>
  <c r="BM227" i="1" l="1"/>
  <c r="BO227" i="1" s="1"/>
  <c r="BQ227" i="1" s="1"/>
  <c r="BN227" i="1"/>
  <c r="BP227" i="1" s="1"/>
  <c r="CC226" i="1"/>
  <c r="CE226" i="1" s="1"/>
  <c r="CB226" i="1"/>
  <c r="CD226" i="1" s="1"/>
  <c r="CF226" i="1" s="1"/>
  <c r="CQ225" i="1"/>
  <c r="CS225" i="1" s="1"/>
  <c r="CU225" i="1" s="1"/>
  <c r="CR225" i="1"/>
  <c r="CT225" i="1" s="1"/>
  <c r="AX228" i="1"/>
  <c r="AZ228" i="1" s="1"/>
  <c r="BB228" i="1" s="1"/>
  <c r="AY228" i="1"/>
  <c r="BA228" i="1" s="1"/>
  <c r="AJ229" i="1"/>
  <c r="AL229" i="1" s="1"/>
  <c r="AI229" i="1"/>
  <c r="AK229" i="1" s="1"/>
  <c r="AM229" i="1" s="1"/>
  <c r="K230" i="1"/>
  <c r="M230" i="1" s="1"/>
  <c r="J230" i="1"/>
  <c r="L230" i="1" s="1"/>
  <c r="N230" i="1" s="1"/>
  <c r="D231" i="1"/>
  <c r="U230" i="1"/>
  <c r="W230" i="1" s="1"/>
  <c r="T230" i="1"/>
  <c r="V230" i="1" s="1"/>
  <c r="X230" i="1" s="1"/>
  <c r="CW225" i="1" l="1"/>
  <c r="CY225" i="1" s="1"/>
  <c r="CV225" i="1"/>
  <c r="CX225" i="1" s="1"/>
  <c r="CZ225" i="1" s="1"/>
  <c r="CG226" i="1"/>
  <c r="CI226" i="1" s="1"/>
  <c r="CK226" i="1" s="1"/>
  <c r="CH226" i="1"/>
  <c r="CJ226" i="1" s="1"/>
  <c r="BD228" i="1"/>
  <c r="BF228" i="1" s="1"/>
  <c r="BC228" i="1"/>
  <c r="BE228" i="1" s="1"/>
  <c r="BG228" i="1" s="1"/>
  <c r="F231" i="1"/>
  <c r="H231" i="1" s="1"/>
  <c r="E231" i="1"/>
  <c r="P230" i="1"/>
  <c r="R230" i="1" s="1"/>
  <c r="O230" i="1"/>
  <c r="Z230" i="1"/>
  <c r="AB230" i="1" s="1"/>
  <c r="Y230" i="1"/>
  <c r="AA230" i="1" s="1"/>
  <c r="AC230" i="1" s="1"/>
  <c r="AO229" i="1"/>
  <c r="AQ229" i="1" s="1"/>
  <c r="AN229" i="1"/>
  <c r="AP229" i="1" s="1"/>
  <c r="AR229" i="1" s="1"/>
  <c r="BS227" i="1"/>
  <c r="BU227" i="1" s="1"/>
  <c r="BR227" i="1"/>
  <c r="BT227" i="1" s="1"/>
  <c r="BV227" i="1" s="1"/>
  <c r="G231" i="1" l="1"/>
  <c r="I231" i="1" s="1"/>
  <c r="Q231" i="1"/>
  <c r="S231" i="1" s="1"/>
  <c r="BW227" i="1"/>
  <c r="BY227" i="1" s="1"/>
  <c r="CA227" i="1" s="1"/>
  <c r="BX227" i="1"/>
  <c r="BZ227" i="1" s="1"/>
  <c r="AE230" i="1"/>
  <c r="AG230" i="1" s="1"/>
  <c r="AD230" i="1"/>
  <c r="AF230" i="1" s="1"/>
  <c r="AH230" i="1" s="1"/>
  <c r="BI228" i="1"/>
  <c r="BK228" i="1" s="1"/>
  <c r="BH228" i="1"/>
  <c r="BJ228" i="1" s="1"/>
  <c r="BL228" i="1" s="1"/>
  <c r="CM226" i="1"/>
  <c r="CO226" i="1" s="1"/>
  <c r="CL226" i="1"/>
  <c r="CN226" i="1" s="1"/>
  <c r="CP226" i="1" s="1"/>
  <c r="AT229" i="1"/>
  <c r="AV229" i="1" s="1"/>
  <c r="AS229" i="1"/>
  <c r="AU229" i="1" s="1"/>
  <c r="AW229" i="1" s="1"/>
  <c r="DB225" i="1"/>
  <c r="DD225" i="1" s="1"/>
  <c r="DA225" i="1"/>
  <c r="DC225" i="1" s="1"/>
  <c r="AI230" i="1" l="1"/>
  <c r="AK230" i="1" s="1"/>
  <c r="AM230" i="1" s="1"/>
  <c r="AJ230" i="1"/>
  <c r="AL230" i="1" s="1"/>
  <c r="AY229" i="1"/>
  <c r="BA229" i="1" s="1"/>
  <c r="AX229" i="1"/>
  <c r="AZ229" i="1" s="1"/>
  <c r="BB229" i="1" s="1"/>
  <c r="CC227" i="1"/>
  <c r="CE227" i="1" s="1"/>
  <c r="CB227" i="1"/>
  <c r="CD227" i="1" s="1"/>
  <c r="CF227" i="1" s="1"/>
  <c r="U231" i="1"/>
  <c r="W231" i="1" s="1"/>
  <c r="T231" i="1"/>
  <c r="V231" i="1" s="1"/>
  <c r="X231" i="1" s="1"/>
  <c r="BM228" i="1"/>
  <c r="BO228" i="1" s="1"/>
  <c r="BQ228" i="1" s="1"/>
  <c r="BN228" i="1"/>
  <c r="BP228" i="1" s="1"/>
  <c r="CR226" i="1"/>
  <c r="CT226" i="1" s="1"/>
  <c r="CQ226" i="1"/>
  <c r="CS226" i="1" s="1"/>
  <c r="CU226" i="1" s="1"/>
  <c r="K231" i="1"/>
  <c r="M231" i="1" s="1"/>
  <c r="J231" i="1"/>
  <c r="L231" i="1" s="1"/>
  <c r="N231" i="1" s="1"/>
  <c r="D232" i="1"/>
  <c r="F232" i="1" l="1"/>
  <c r="H232" i="1" s="1"/>
  <c r="E232" i="1"/>
  <c r="Y231" i="1"/>
  <c r="AA231" i="1" s="1"/>
  <c r="AC231" i="1" s="1"/>
  <c r="Z231" i="1"/>
  <c r="AB231" i="1" s="1"/>
  <c r="CW226" i="1"/>
  <c r="CY226" i="1" s="1"/>
  <c r="CV226" i="1"/>
  <c r="CX226" i="1" s="1"/>
  <c r="CZ226" i="1" s="1"/>
  <c r="CH227" i="1"/>
  <c r="CJ227" i="1" s="1"/>
  <c r="CG227" i="1"/>
  <c r="CI227" i="1" s="1"/>
  <c r="CK227" i="1" s="1"/>
  <c r="P231" i="1"/>
  <c r="R231" i="1" s="1"/>
  <c r="O231" i="1"/>
  <c r="BC229" i="1"/>
  <c r="BE229" i="1" s="1"/>
  <c r="BG229" i="1" s="1"/>
  <c r="BD229" i="1"/>
  <c r="BF229" i="1" s="1"/>
  <c r="BS228" i="1"/>
  <c r="BU228" i="1" s="1"/>
  <c r="BR228" i="1"/>
  <c r="BT228" i="1" s="1"/>
  <c r="BV228" i="1" s="1"/>
  <c r="AO230" i="1"/>
  <c r="AQ230" i="1" s="1"/>
  <c r="AN230" i="1"/>
  <c r="AP230" i="1" s="1"/>
  <c r="AR230" i="1" s="1"/>
  <c r="DA226" i="1" l="1"/>
  <c r="DC226" i="1" s="1"/>
  <c r="DB226" i="1"/>
  <c r="DD226" i="1" s="1"/>
  <c r="CM227" i="1"/>
  <c r="CO227" i="1" s="1"/>
  <c r="CL227" i="1"/>
  <c r="CN227" i="1" s="1"/>
  <c r="CP227" i="1" s="1"/>
  <c r="BX228" i="1"/>
  <c r="BZ228" i="1" s="1"/>
  <c r="BW228" i="1"/>
  <c r="BY228" i="1" s="1"/>
  <c r="CA228" i="1" s="1"/>
  <c r="BI229" i="1"/>
  <c r="BK229" i="1" s="1"/>
  <c r="BH229" i="1"/>
  <c r="BJ229" i="1" s="1"/>
  <c r="BL229" i="1" s="1"/>
  <c r="AS230" i="1"/>
  <c r="AU230" i="1" s="1"/>
  <c r="AW230" i="1" s="1"/>
  <c r="AT230" i="1"/>
  <c r="AV230" i="1" s="1"/>
  <c r="AE231" i="1"/>
  <c r="AG231" i="1" s="1"/>
  <c r="AD231" i="1"/>
  <c r="AF231" i="1" s="1"/>
  <c r="AH231" i="1" s="1"/>
  <c r="G232" i="1"/>
  <c r="I232" i="1" s="1"/>
  <c r="Q232" i="1"/>
  <c r="S232" i="1" s="1"/>
  <c r="BN229" i="1" l="1"/>
  <c r="BP229" i="1" s="1"/>
  <c r="BM229" i="1"/>
  <c r="BO229" i="1" s="1"/>
  <c r="BQ229" i="1" s="1"/>
  <c r="CC228" i="1"/>
  <c r="CE228" i="1" s="1"/>
  <c r="CB228" i="1"/>
  <c r="CD228" i="1" s="1"/>
  <c r="CF228" i="1" s="1"/>
  <c r="CQ227" i="1"/>
  <c r="CS227" i="1" s="1"/>
  <c r="CU227" i="1" s="1"/>
  <c r="CR227" i="1"/>
  <c r="CT227" i="1" s="1"/>
  <c r="U232" i="1"/>
  <c r="W232" i="1" s="1"/>
  <c r="T232" i="1"/>
  <c r="V232" i="1" s="1"/>
  <c r="X232" i="1" s="1"/>
  <c r="AJ231" i="1"/>
  <c r="AL231" i="1" s="1"/>
  <c r="AI231" i="1"/>
  <c r="AK231" i="1" s="1"/>
  <c r="AM231" i="1" s="1"/>
  <c r="K232" i="1"/>
  <c r="M232" i="1" s="1"/>
  <c r="J232" i="1"/>
  <c r="L232" i="1" s="1"/>
  <c r="N232" i="1" s="1"/>
  <c r="D233" i="1"/>
  <c r="AY230" i="1"/>
  <c r="BA230" i="1" s="1"/>
  <c r="AX230" i="1"/>
  <c r="AZ230" i="1" s="1"/>
  <c r="BB230" i="1" s="1"/>
  <c r="F233" i="1" l="1"/>
  <c r="H233" i="1" s="1"/>
  <c r="E233" i="1"/>
  <c r="Z232" i="1"/>
  <c r="AB232" i="1" s="1"/>
  <c r="Y232" i="1"/>
  <c r="AA232" i="1" s="1"/>
  <c r="AC232" i="1" s="1"/>
  <c r="O232" i="1"/>
  <c r="P232" i="1"/>
  <c r="R232" i="1" s="1"/>
  <c r="BD230" i="1"/>
  <c r="BF230" i="1" s="1"/>
  <c r="BC230" i="1"/>
  <c r="BE230" i="1" s="1"/>
  <c r="BG230" i="1" s="1"/>
  <c r="CG228" i="1"/>
  <c r="CI228" i="1" s="1"/>
  <c r="CK228" i="1" s="1"/>
  <c r="CH228" i="1"/>
  <c r="CJ228" i="1" s="1"/>
  <c r="CW227" i="1"/>
  <c r="CY227" i="1" s="1"/>
  <c r="CV227" i="1"/>
  <c r="CX227" i="1" s="1"/>
  <c r="CZ227" i="1" s="1"/>
  <c r="BS229" i="1"/>
  <c r="BU229" i="1" s="1"/>
  <c r="BR229" i="1"/>
  <c r="BT229" i="1" s="1"/>
  <c r="BV229" i="1" s="1"/>
  <c r="AO231" i="1"/>
  <c r="AQ231" i="1" s="1"/>
  <c r="AN231" i="1"/>
  <c r="AP231" i="1" s="1"/>
  <c r="AR231" i="1" s="1"/>
  <c r="BW229" i="1" l="1"/>
  <c r="BY229" i="1" s="1"/>
  <c r="CA229" i="1" s="1"/>
  <c r="BX229" i="1"/>
  <c r="BZ229" i="1" s="1"/>
  <c r="DB227" i="1"/>
  <c r="DD227" i="1" s="1"/>
  <c r="DA227" i="1"/>
  <c r="DC227" i="1" s="1"/>
  <c r="BI230" i="1"/>
  <c r="BK230" i="1" s="1"/>
  <c r="BH230" i="1"/>
  <c r="BJ230" i="1" s="1"/>
  <c r="BL230" i="1" s="1"/>
  <c r="Q233" i="1"/>
  <c r="S233" i="1" s="1"/>
  <c r="G233" i="1"/>
  <c r="I233" i="1" s="1"/>
  <c r="AS231" i="1"/>
  <c r="AU231" i="1" s="1"/>
  <c r="AW231" i="1" s="1"/>
  <c r="AT231" i="1"/>
  <c r="AV231" i="1" s="1"/>
  <c r="AE232" i="1"/>
  <c r="AG232" i="1" s="1"/>
  <c r="AD232" i="1"/>
  <c r="AF232" i="1" s="1"/>
  <c r="AH232" i="1" s="1"/>
  <c r="CM228" i="1"/>
  <c r="CO228" i="1" s="1"/>
  <c r="CL228" i="1"/>
  <c r="CN228" i="1" s="1"/>
  <c r="CP228" i="1" s="1"/>
  <c r="U233" i="1" l="1"/>
  <c r="W233" i="1" s="1"/>
  <c r="T233" i="1"/>
  <c r="V233" i="1" s="1"/>
  <c r="X233" i="1" s="1"/>
  <c r="CR228" i="1"/>
  <c r="CT228" i="1" s="1"/>
  <c r="CQ228" i="1"/>
  <c r="CS228" i="1" s="1"/>
  <c r="CU228" i="1" s="1"/>
  <c r="BM230" i="1"/>
  <c r="BO230" i="1" s="1"/>
  <c r="BQ230" i="1" s="1"/>
  <c r="BN230" i="1"/>
  <c r="BP230" i="1" s="1"/>
  <c r="K233" i="1"/>
  <c r="M233" i="1" s="1"/>
  <c r="J233" i="1"/>
  <c r="L233" i="1" s="1"/>
  <c r="N233" i="1" s="1"/>
  <c r="D234" i="1"/>
  <c r="AI232" i="1"/>
  <c r="AK232" i="1" s="1"/>
  <c r="AM232" i="1" s="1"/>
  <c r="AJ232" i="1"/>
  <c r="AL232" i="1" s="1"/>
  <c r="AY231" i="1"/>
  <c r="BA231" i="1" s="1"/>
  <c r="AX231" i="1"/>
  <c r="AZ231" i="1" s="1"/>
  <c r="BB231" i="1" s="1"/>
  <c r="CC229" i="1"/>
  <c r="CE229" i="1" s="1"/>
  <c r="CB229" i="1"/>
  <c r="CD229" i="1" s="1"/>
  <c r="CF229" i="1" s="1"/>
  <c r="P233" i="1" l="1"/>
  <c r="R233" i="1" s="1"/>
  <c r="O233" i="1"/>
  <c r="BS230" i="1"/>
  <c r="BU230" i="1" s="1"/>
  <c r="BR230" i="1"/>
  <c r="BT230" i="1" s="1"/>
  <c r="BV230" i="1" s="1"/>
  <c r="BC231" i="1"/>
  <c r="BE231" i="1" s="1"/>
  <c r="BG231" i="1" s="1"/>
  <c r="BD231" i="1"/>
  <c r="BF231" i="1" s="1"/>
  <c r="Y233" i="1"/>
  <c r="AA233" i="1" s="1"/>
  <c r="AC233" i="1" s="1"/>
  <c r="Z233" i="1"/>
  <c r="AB233" i="1" s="1"/>
  <c r="CH229" i="1"/>
  <c r="CJ229" i="1" s="1"/>
  <c r="CG229" i="1"/>
  <c r="CI229" i="1" s="1"/>
  <c r="CK229" i="1" s="1"/>
  <c r="CW228" i="1"/>
  <c r="CY228" i="1" s="1"/>
  <c r="CV228" i="1"/>
  <c r="CX228" i="1" s="1"/>
  <c r="CZ228" i="1" s="1"/>
  <c r="AO232" i="1"/>
  <c r="AQ232" i="1" s="1"/>
  <c r="AN232" i="1"/>
  <c r="AP232" i="1" s="1"/>
  <c r="AR232" i="1" s="1"/>
  <c r="F234" i="1"/>
  <c r="H234" i="1" s="1"/>
  <c r="E234" i="1"/>
  <c r="Q234" i="1" l="1"/>
  <c r="S234" i="1" s="1"/>
  <c r="G234" i="1"/>
  <c r="I234" i="1" s="1"/>
  <c r="AE233" i="1"/>
  <c r="AG233" i="1" s="1"/>
  <c r="AD233" i="1"/>
  <c r="AF233" i="1" s="1"/>
  <c r="AH233" i="1" s="1"/>
  <c r="BH231" i="1"/>
  <c r="BJ231" i="1" s="1"/>
  <c r="BL231" i="1" s="1"/>
  <c r="BI231" i="1"/>
  <c r="BK231" i="1" s="1"/>
  <c r="AS232" i="1"/>
  <c r="AU232" i="1" s="1"/>
  <c r="AW232" i="1" s="1"/>
  <c r="AT232" i="1"/>
  <c r="AV232" i="1" s="1"/>
  <c r="BX230" i="1"/>
  <c r="BZ230" i="1" s="1"/>
  <c r="BW230" i="1"/>
  <c r="BY230" i="1" s="1"/>
  <c r="CA230" i="1" s="1"/>
  <c r="CM229" i="1"/>
  <c r="CO229" i="1" s="1"/>
  <c r="CL229" i="1"/>
  <c r="CN229" i="1" s="1"/>
  <c r="CP229" i="1" s="1"/>
  <c r="DB228" i="1"/>
  <c r="DD228" i="1" s="1"/>
  <c r="DA228" i="1"/>
  <c r="DC228" i="1" s="1"/>
  <c r="AI233" i="1" l="1"/>
  <c r="AK233" i="1" s="1"/>
  <c r="AM233" i="1" s="1"/>
  <c r="AJ233" i="1"/>
  <c r="AL233" i="1" s="1"/>
  <c r="CR229" i="1"/>
  <c r="CT229" i="1" s="1"/>
  <c r="CQ229" i="1"/>
  <c r="CS229" i="1" s="1"/>
  <c r="CU229" i="1" s="1"/>
  <c r="K234" i="1"/>
  <c r="M234" i="1" s="1"/>
  <c r="J234" i="1"/>
  <c r="L234" i="1" s="1"/>
  <c r="N234" i="1" s="1"/>
  <c r="D235" i="1"/>
  <c r="AX232" i="1"/>
  <c r="AZ232" i="1" s="1"/>
  <c r="BB232" i="1" s="1"/>
  <c r="AY232" i="1"/>
  <c r="BA232" i="1" s="1"/>
  <c r="BN231" i="1"/>
  <c r="BP231" i="1" s="1"/>
  <c r="BM231" i="1"/>
  <c r="BO231" i="1" s="1"/>
  <c r="BQ231" i="1" s="1"/>
  <c r="CC230" i="1"/>
  <c r="CE230" i="1" s="1"/>
  <c r="CB230" i="1"/>
  <c r="CD230" i="1" s="1"/>
  <c r="CF230" i="1" s="1"/>
  <c r="U234" i="1"/>
  <c r="W234" i="1" s="1"/>
  <c r="T234" i="1"/>
  <c r="V234" i="1" s="1"/>
  <c r="X234" i="1" s="1"/>
  <c r="CH230" i="1" l="1"/>
  <c r="CJ230" i="1" s="1"/>
  <c r="CG230" i="1"/>
  <c r="CI230" i="1" s="1"/>
  <c r="CK230" i="1" s="1"/>
  <c r="Y234" i="1"/>
  <c r="AA234" i="1" s="1"/>
  <c r="AC234" i="1" s="1"/>
  <c r="Z234" i="1"/>
  <c r="AB234" i="1" s="1"/>
  <c r="BD232" i="1"/>
  <c r="BF232" i="1" s="1"/>
  <c r="BC232" i="1"/>
  <c r="BE232" i="1" s="1"/>
  <c r="BG232" i="1" s="1"/>
  <c r="E235" i="1"/>
  <c r="F235" i="1"/>
  <c r="H235" i="1" s="1"/>
  <c r="BS231" i="1"/>
  <c r="BU231" i="1" s="1"/>
  <c r="BR231" i="1"/>
  <c r="BT231" i="1" s="1"/>
  <c r="BV231" i="1" s="1"/>
  <c r="O234" i="1"/>
  <c r="P234" i="1"/>
  <c r="R234" i="1" s="1"/>
  <c r="CW229" i="1"/>
  <c r="CY229" i="1" s="1"/>
  <c r="CV229" i="1"/>
  <c r="CX229" i="1" s="1"/>
  <c r="CZ229" i="1" s="1"/>
  <c r="AN233" i="1"/>
  <c r="AP233" i="1" s="1"/>
  <c r="AR233" i="1" s="1"/>
  <c r="AO233" i="1"/>
  <c r="AQ233" i="1" s="1"/>
  <c r="AT233" i="1" l="1"/>
  <c r="AV233" i="1" s="1"/>
  <c r="AS233" i="1"/>
  <c r="AU233" i="1" s="1"/>
  <c r="AW233" i="1" s="1"/>
  <c r="BX231" i="1"/>
  <c r="BZ231" i="1" s="1"/>
  <c r="BW231" i="1"/>
  <c r="BY231" i="1" s="1"/>
  <c r="CA231" i="1" s="1"/>
  <c r="DA229" i="1"/>
  <c r="DC229" i="1" s="1"/>
  <c r="DB229" i="1"/>
  <c r="DD229" i="1" s="1"/>
  <c r="AD234" i="1"/>
  <c r="AF234" i="1" s="1"/>
  <c r="AH234" i="1" s="1"/>
  <c r="AE234" i="1"/>
  <c r="AG234" i="1" s="1"/>
  <c r="G235" i="1"/>
  <c r="I235" i="1" s="1"/>
  <c r="Q235" i="1"/>
  <c r="S235" i="1" s="1"/>
  <c r="BI232" i="1"/>
  <c r="BK232" i="1" s="1"/>
  <c r="BH232" i="1"/>
  <c r="BJ232" i="1" s="1"/>
  <c r="BL232" i="1" s="1"/>
  <c r="CL230" i="1"/>
  <c r="CN230" i="1" s="1"/>
  <c r="CP230" i="1" s="1"/>
  <c r="CM230" i="1"/>
  <c r="CO230" i="1" s="1"/>
  <c r="CR230" i="1" l="1"/>
  <c r="CT230" i="1" s="1"/>
  <c r="CQ230" i="1"/>
  <c r="CS230" i="1" s="1"/>
  <c r="CU230" i="1" s="1"/>
  <c r="AJ234" i="1"/>
  <c r="AL234" i="1" s="1"/>
  <c r="AI234" i="1"/>
  <c r="AK234" i="1" s="1"/>
  <c r="AM234" i="1" s="1"/>
  <c r="BN232" i="1"/>
  <c r="BP232" i="1" s="1"/>
  <c r="BM232" i="1"/>
  <c r="BO232" i="1" s="1"/>
  <c r="BQ232" i="1" s="1"/>
  <c r="AY233" i="1"/>
  <c r="BA233" i="1" s="1"/>
  <c r="AX233" i="1"/>
  <c r="AZ233" i="1" s="1"/>
  <c r="BB233" i="1" s="1"/>
  <c r="CC231" i="1"/>
  <c r="CE231" i="1" s="1"/>
  <c r="CB231" i="1"/>
  <c r="CD231" i="1" s="1"/>
  <c r="CF231" i="1" s="1"/>
  <c r="T235" i="1"/>
  <c r="V235" i="1" s="1"/>
  <c r="X235" i="1" s="1"/>
  <c r="U235" i="1"/>
  <c r="W235" i="1" s="1"/>
  <c r="K235" i="1"/>
  <c r="M235" i="1" s="1"/>
  <c r="J235" i="1"/>
  <c r="L235" i="1" s="1"/>
  <c r="N235" i="1" s="1"/>
  <c r="D236" i="1"/>
  <c r="O235" i="1" l="1"/>
  <c r="P235" i="1"/>
  <c r="R235" i="1" s="1"/>
  <c r="E236" i="1"/>
  <c r="F236" i="1"/>
  <c r="H236" i="1" s="1"/>
  <c r="BS232" i="1"/>
  <c r="BU232" i="1" s="1"/>
  <c r="BR232" i="1"/>
  <c r="BT232" i="1" s="1"/>
  <c r="BV232" i="1" s="1"/>
  <c r="CW230" i="1"/>
  <c r="CY230" i="1" s="1"/>
  <c r="CV230" i="1"/>
  <c r="CX230" i="1" s="1"/>
  <c r="CZ230" i="1" s="1"/>
  <c r="BD233" i="1"/>
  <c r="BF233" i="1" s="1"/>
  <c r="BC233" i="1"/>
  <c r="BE233" i="1" s="1"/>
  <c r="BG233" i="1" s="1"/>
  <c r="Z235" i="1"/>
  <c r="AB235" i="1" s="1"/>
  <c r="Y235" i="1"/>
  <c r="AA235" i="1" s="1"/>
  <c r="AC235" i="1" s="1"/>
  <c r="AO234" i="1"/>
  <c r="AQ234" i="1" s="1"/>
  <c r="AN234" i="1"/>
  <c r="AP234" i="1" s="1"/>
  <c r="AR234" i="1" s="1"/>
  <c r="CH231" i="1"/>
  <c r="CJ231" i="1" s="1"/>
  <c r="CG231" i="1"/>
  <c r="CI231" i="1" s="1"/>
  <c r="CK231" i="1" s="1"/>
  <c r="DA230" i="1" l="1"/>
  <c r="DC230" i="1" s="1"/>
  <c r="DB230" i="1"/>
  <c r="DD230" i="1" s="1"/>
  <c r="CM231" i="1"/>
  <c r="CO231" i="1" s="1"/>
  <c r="CL231" i="1"/>
  <c r="CN231" i="1" s="1"/>
  <c r="CP231" i="1" s="1"/>
  <c r="BX232" i="1"/>
  <c r="BZ232" i="1" s="1"/>
  <c r="BW232" i="1"/>
  <c r="BY232" i="1" s="1"/>
  <c r="CA232" i="1" s="1"/>
  <c r="BI233" i="1"/>
  <c r="BK233" i="1" s="1"/>
  <c r="BH233" i="1"/>
  <c r="BJ233" i="1" s="1"/>
  <c r="BL233" i="1" s="1"/>
  <c r="AT234" i="1"/>
  <c r="AV234" i="1" s="1"/>
  <c r="AS234" i="1"/>
  <c r="AU234" i="1" s="1"/>
  <c r="AW234" i="1" s="1"/>
  <c r="AE235" i="1"/>
  <c r="AG235" i="1" s="1"/>
  <c r="AD235" i="1"/>
  <c r="AF235" i="1" s="1"/>
  <c r="AH235" i="1" s="1"/>
  <c r="Q236" i="1"/>
  <c r="S236" i="1" s="1"/>
  <c r="G236" i="1"/>
  <c r="I236" i="1" s="1"/>
  <c r="AJ235" i="1" l="1"/>
  <c r="AL235" i="1" s="1"/>
  <c r="AI235" i="1"/>
  <c r="AK235" i="1" s="1"/>
  <c r="AM235" i="1" s="1"/>
  <c r="BM233" i="1"/>
  <c r="BO233" i="1" s="1"/>
  <c r="BQ233" i="1" s="1"/>
  <c r="BN233" i="1"/>
  <c r="BP233" i="1" s="1"/>
  <c r="J236" i="1"/>
  <c r="L236" i="1" s="1"/>
  <c r="N236" i="1" s="1"/>
  <c r="K236" i="1"/>
  <c r="M236" i="1" s="1"/>
  <c r="D237" i="1"/>
  <c r="U236" i="1"/>
  <c r="W236" i="1" s="1"/>
  <c r="T236" i="1"/>
  <c r="V236" i="1" s="1"/>
  <c r="X236" i="1" s="1"/>
  <c r="AY234" i="1"/>
  <c r="BA234" i="1" s="1"/>
  <c r="AX234" i="1"/>
  <c r="AZ234" i="1" s="1"/>
  <c r="BB234" i="1" s="1"/>
  <c r="CC232" i="1"/>
  <c r="CE232" i="1" s="1"/>
  <c r="CB232" i="1"/>
  <c r="CD232" i="1" s="1"/>
  <c r="CF232" i="1" s="1"/>
  <c r="CR231" i="1"/>
  <c r="CT231" i="1" s="1"/>
  <c r="CQ231" i="1"/>
  <c r="CS231" i="1" s="1"/>
  <c r="CU231" i="1" s="1"/>
  <c r="CW231" i="1" l="1"/>
  <c r="CY231" i="1" s="1"/>
  <c r="CV231" i="1"/>
  <c r="CX231" i="1" s="1"/>
  <c r="CZ231" i="1" s="1"/>
  <c r="BD234" i="1"/>
  <c r="BF234" i="1" s="1"/>
  <c r="BC234" i="1"/>
  <c r="BE234" i="1" s="1"/>
  <c r="BG234" i="1" s="1"/>
  <c r="F237" i="1"/>
  <c r="H237" i="1" s="1"/>
  <c r="E237" i="1"/>
  <c r="CH232" i="1"/>
  <c r="CJ232" i="1" s="1"/>
  <c r="CG232" i="1"/>
  <c r="CI232" i="1" s="1"/>
  <c r="CK232" i="1" s="1"/>
  <c r="P236" i="1"/>
  <c r="R236" i="1" s="1"/>
  <c r="O236" i="1"/>
  <c r="BS233" i="1"/>
  <c r="BU233" i="1" s="1"/>
  <c r="BR233" i="1"/>
  <c r="BT233" i="1" s="1"/>
  <c r="BV233" i="1" s="1"/>
  <c r="AO235" i="1"/>
  <c r="AQ235" i="1" s="1"/>
  <c r="AN235" i="1"/>
  <c r="AP235" i="1" s="1"/>
  <c r="AR235" i="1" s="1"/>
  <c r="Z236" i="1"/>
  <c r="AB236" i="1" s="1"/>
  <c r="Y236" i="1"/>
  <c r="AA236" i="1" s="1"/>
  <c r="AC236" i="1" s="1"/>
  <c r="AE236" i="1" l="1"/>
  <c r="AG236" i="1" s="1"/>
  <c r="AD236" i="1"/>
  <c r="AF236" i="1" s="1"/>
  <c r="AH236" i="1" s="1"/>
  <c r="BI234" i="1"/>
  <c r="BK234" i="1" s="1"/>
  <c r="BH234" i="1"/>
  <c r="BJ234" i="1" s="1"/>
  <c r="BL234" i="1" s="1"/>
  <c r="AT235" i="1"/>
  <c r="AV235" i="1" s="1"/>
  <c r="AS235" i="1"/>
  <c r="AU235" i="1" s="1"/>
  <c r="AW235" i="1" s="1"/>
  <c r="G237" i="1"/>
  <c r="I237" i="1" s="1"/>
  <c r="Q237" i="1"/>
  <c r="S237" i="1" s="1"/>
  <c r="BX233" i="1"/>
  <c r="BZ233" i="1" s="1"/>
  <c r="BW233" i="1"/>
  <c r="BY233" i="1" s="1"/>
  <c r="CA233" i="1" s="1"/>
  <c r="CM232" i="1"/>
  <c r="CO232" i="1" s="1"/>
  <c r="CL232" i="1"/>
  <c r="CN232" i="1" s="1"/>
  <c r="CP232" i="1" s="1"/>
  <c r="DA231" i="1"/>
  <c r="DC231" i="1" s="1"/>
  <c r="DB231" i="1"/>
  <c r="DD231" i="1" s="1"/>
  <c r="U237" i="1" l="1"/>
  <c r="W237" i="1" s="1"/>
  <c r="T237" i="1"/>
  <c r="V237" i="1" s="1"/>
  <c r="X237" i="1" s="1"/>
  <c r="K237" i="1"/>
  <c r="M237" i="1" s="1"/>
  <c r="J237" i="1"/>
  <c r="L237" i="1" s="1"/>
  <c r="N237" i="1" s="1"/>
  <c r="D238" i="1"/>
  <c r="CQ232" i="1"/>
  <c r="CS232" i="1" s="1"/>
  <c r="CU232" i="1" s="1"/>
  <c r="CR232" i="1"/>
  <c r="CT232" i="1" s="1"/>
  <c r="AI236" i="1"/>
  <c r="AK236" i="1" s="1"/>
  <c r="AM236" i="1" s="1"/>
  <c r="AJ236" i="1"/>
  <c r="AL236" i="1" s="1"/>
  <c r="AY235" i="1"/>
  <c r="BA235" i="1" s="1"/>
  <c r="AX235" i="1"/>
  <c r="AZ235" i="1" s="1"/>
  <c r="BB235" i="1" s="1"/>
  <c r="BN234" i="1"/>
  <c r="BP234" i="1" s="1"/>
  <c r="BM234" i="1"/>
  <c r="BO234" i="1" s="1"/>
  <c r="BQ234" i="1" s="1"/>
  <c r="CC233" i="1"/>
  <c r="CE233" i="1" s="1"/>
  <c r="CB233" i="1"/>
  <c r="CD233" i="1" s="1"/>
  <c r="CF233" i="1" s="1"/>
  <c r="CG233" i="1" l="1"/>
  <c r="CI233" i="1" s="1"/>
  <c r="CK233" i="1" s="1"/>
  <c r="CH233" i="1"/>
  <c r="CJ233" i="1" s="1"/>
  <c r="AO236" i="1"/>
  <c r="AQ236" i="1" s="1"/>
  <c r="AN236" i="1"/>
  <c r="AP236" i="1" s="1"/>
  <c r="AR236" i="1" s="1"/>
  <c r="BS234" i="1"/>
  <c r="BU234" i="1" s="1"/>
  <c r="BR234" i="1"/>
  <c r="BT234" i="1" s="1"/>
  <c r="BV234" i="1" s="1"/>
  <c r="CW232" i="1"/>
  <c r="CY232" i="1" s="1"/>
  <c r="CV232" i="1"/>
  <c r="CX232" i="1" s="1"/>
  <c r="CZ232" i="1" s="1"/>
  <c r="F238" i="1"/>
  <c r="H238" i="1" s="1"/>
  <c r="E238" i="1"/>
  <c r="P237" i="1"/>
  <c r="R237" i="1" s="1"/>
  <c r="O237" i="1"/>
  <c r="BD235" i="1"/>
  <c r="BF235" i="1" s="1"/>
  <c r="BC235" i="1"/>
  <c r="BE235" i="1" s="1"/>
  <c r="BG235" i="1" s="1"/>
  <c r="Z237" i="1"/>
  <c r="AB237" i="1" s="1"/>
  <c r="Y237" i="1"/>
  <c r="AA237" i="1" s="1"/>
  <c r="AC237" i="1" s="1"/>
  <c r="AE237" i="1" l="1"/>
  <c r="AG237" i="1" s="1"/>
  <c r="AD237" i="1"/>
  <c r="AF237" i="1" s="1"/>
  <c r="AH237" i="1" s="1"/>
  <c r="DA232" i="1"/>
  <c r="DC232" i="1" s="1"/>
  <c r="DB232" i="1"/>
  <c r="DD232" i="1" s="1"/>
  <c r="BI235" i="1"/>
  <c r="BK235" i="1" s="1"/>
  <c r="BH235" i="1"/>
  <c r="BJ235" i="1" s="1"/>
  <c r="BL235" i="1" s="1"/>
  <c r="BW234" i="1"/>
  <c r="BY234" i="1" s="1"/>
  <c r="CA234" i="1" s="1"/>
  <c r="BX234" i="1"/>
  <c r="BZ234" i="1" s="1"/>
  <c r="AT236" i="1"/>
  <c r="AV236" i="1" s="1"/>
  <c r="AS236" i="1"/>
  <c r="AU236" i="1" s="1"/>
  <c r="AW236" i="1" s="1"/>
  <c r="G238" i="1"/>
  <c r="I238" i="1" s="1"/>
  <c r="Q238" i="1"/>
  <c r="S238" i="1" s="1"/>
  <c r="CM233" i="1"/>
  <c r="CO233" i="1" s="1"/>
  <c r="CL233" i="1"/>
  <c r="CN233" i="1" s="1"/>
  <c r="CP233" i="1" s="1"/>
  <c r="CC234" i="1" l="1"/>
  <c r="CE234" i="1" s="1"/>
  <c r="CB234" i="1"/>
  <c r="CD234" i="1" s="1"/>
  <c r="CF234" i="1" s="1"/>
  <c r="U238" i="1"/>
  <c r="W238" i="1" s="1"/>
  <c r="T238" i="1"/>
  <c r="V238" i="1" s="1"/>
  <c r="X238" i="1" s="1"/>
  <c r="BM235" i="1"/>
  <c r="BO235" i="1" s="1"/>
  <c r="BQ235" i="1" s="1"/>
  <c r="BN235" i="1"/>
  <c r="BP235" i="1" s="1"/>
  <c r="AJ237" i="1"/>
  <c r="AL237" i="1" s="1"/>
  <c r="AI237" i="1"/>
  <c r="AK237" i="1" s="1"/>
  <c r="AM237" i="1" s="1"/>
  <c r="CQ233" i="1"/>
  <c r="CS233" i="1" s="1"/>
  <c r="CU233" i="1" s="1"/>
  <c r="CR233" i="1"/>
  <c r="CT233" i="1" s="1"/>
  <c r="K238" i="1"/>
  <c r="M238" i="1" s="1"/>
  <c r="J238" i="1"/>
  <c r="L238" i="1" s="1"/>
  <c r="N238" i="1" s="1"/>
  <c r="D239" i="1"/>
  <c r="AY236" i="1"/>
  <c r="BA236" i="1" s="1"/>
  <c r="AX236" i="1"/>
  <c r="AZ236" i="1" s="1"/>
  <c r="BB236" i="1" s="1"/>
  <c r="BS235" i="1" l="1"/>
  <c r="BU235" i="1" s="1"/>
  <c r="BR235" i="1"/>
  <c r="BT235" i="1" s="1"/>
  <c r="BV235" i="1" s="1"/>
  <c r="Z238" i="1"/>
  <c r="AB238" i="1" s="1"/>
  <c r="Y238" i="1"/>
  <c r="AA238" i="1" s="1"/>
  <c r="AC238" i="1" s="1"/>
  <c r="AO237" i="1"/>
  <c r="AQ237" i="1" s="1"/>
  <c r="AN237" i="1"/>
  <c r="AP237" i="1" s="1"/>
  <c r="AR237" i="1" s="1"/>
  <c r="F239" i="1"/>
  <c r="H239" i="1" s="1"/>
  <c r="E239" i="1"/>
  <c r="BC236" i="1"/>
  <c r="BE236" i="1" s="1"/>
  <c r="BG236" i="1" s="1"/>
  <c r="BD236" i="1"/>
  <c r="BF236" i="1" s="1"/>
  <c r="O238" i="1"/>
  <c r="P238" i="1"/>
  <c r="R238" i="1" s="1"/>
  <c r="CG234" i="1"/>
  <c r="CI234" i="1" s="1"/>
  <c r="CK234" i="1" s="1"/>
  <c r="CH234" i="1"/>
  <c r="CJ234" i="1" s="1"/>
  <c r="CV233" i="1"/>
  <c r="CX233" i="1" s="1"/>
  <c r="CW233" i="1"/>
  <c r="CY233" i="1" s="1"/>
  <c r="CL234" i="1" l="1"/>
  <c r="CN234" i="1" s="1"/>
  <c r="CP234" i="1" s="1"/>
  <c r="CM234" i="1"/>
  <c r="CO234" i="1" s="1"/>
  <c r="CZ233" i="1"/>
  <c r="Q239" i="1"/>
  <c r="S239" i="1" s="1"/>
  <c r="G239" i="1"/>
  <c r="I239" i="1" s="1"/>
  <c r="AS237" i="1"/>
  <c r="AU237" i="1" s="1"/>
  <c r="AW237" i="1" s="1"/>
  <c r="AT237" i="1"/>
  <c r="AV237" i="1" s="1"/>
  <c r="AE238" i="1"/>
  <c r="AG238" i="1" s="1"/>
  <c r="AD238" i="1"/>
  <c r="AF238" i="1" s="1"/>
  <c r="AH238" i="1" s="1"/>
  <c r="BW235" i="1"/>
  <c r="BY235" i="1" s="1"/>
  <c r="CA235" i="1" s="1"/>
  <c r="BX235" i="1"/>
  <c r="BZ235" i="1" s="1"/>
  <c r="BI236" i="1"/>
  <c r="BK236" i="1" s="1"/>
  <c r="BH236" i="1"/>
  <c r="BJ236" i="1" s="1"/>
  <c r="BL236" i="1" s="1"/>
  <c r="DB233" i="1" l="1"/>
  <c r="DD233" i="1" s="1"/>
  <c r="DA233" i="1"/>
  <c r="DC233" i="1" s="1"/>
  <c r="AJ238" i="1"/>
  <c r="AL238" i="1" s="1"/>
  <c r="AI238" i="1"/>
  <c r="AK238" i="1" s="1"/>
  <c r="AM238" i="1" s="1"/>
  <c r="U239" i="1"/>
  <c r="W239" i="1" s="1"/>
  <c r="T239" i="1"/>
  <c r="V239" i="1" s="1"/>
  <c r="X239" i="1" s="1"/>
  <c r="BM236" i="1"/>
  <c r="BO236" i="1" s="1"/>
  <c r="BQ236" i="1" s="1"/>
  <c r="BN236" i="1"/>
  <c r="BP236" i="1" s="1"/>
  <c r="AY237" i="1"/>
  <c r="BA237" i="1" s="1"/>
  <c r="AX237" i="1"/>
  <c r="AZ237" i="1" s="1"/>
  <c r="BB237" i="1" s="1"/>
  <c r="K239" i="1"/>
  <c r="M239" i="1" s="1"/>
  <c r="J239" i="1"/>
  <c r="L239" i="1" s="1"/>
  <c r="N239" i="1" s="1"/>
  <c r="D240" i="1"/>
  <c r="CB235" i="1"/>
  <c r="CD235" i="1" s="1"/>
  <c r="CF235" i="1" s="1"/>
  <c r="CC235" i="1"/>
  <c r="CE235" i="1" s="1"/>
  <c r="CR234" i="1"/>
  <c r="CT234" i="1" s="1"/>
  <c r="CQ234" i="1"/>
  <c r="CS234" i="1" s="1"/>
  <c r="CU234" i="1" s="1"/>
  <c r="CH235" i="1" l="1"/>
  <c r="CJ235" i="1" s="1"/>
  <c r="CG235" i="1"/>
  <c r="CI235" i="1" s="1"/>
  <c r="CK235" i="1" s="1"/>
  <c r="F240" i="1"/>
  <c r="H240" i="1" s="1"/>
  <c r="E240" i="1"/>
  <c r="BR236" i="1"/>
  <c r="BT236" i="1" s="1"/>
  <c r="BV236" i="1" s="1"/>
  <c r="BS236" i="1"/>
  <c r="BU236" i="1" s="1"/>
  <c r="CW234" i="1"/>
  <c r="CY234" i="1" s="1"/>
  <c r="CV234" i="1"/>
  <c r="CX234" i="1" s="1"/>
  <c r="CZ234" i="1" s="1"/>
  <c r="AN238" i="1"/>
  <c r="AP238" i="1" s="1"/>
  <c r="AR238" i="1" s="1"/>
  <c r="AO238" i="1"/>
  <c r="AQ238" i="1" s="1"/>
  <c r="Y239" i="1"/>
  <c r="AA239" i="1" s="1"/>
  <c r="AC239" i="1" s="1"/>
  <c r="Z239" i="1"/>
  <c r="AB239" i="1" s="1"/>
  <c r="P239" i="1"/>
  <c r="R239" i="1" s="1"/>
  <c r="O239" i="1"/>
  <c r="BC237" i="1"/>
  <c r="BE237" i="1" s="1"/>
  <c r="BG237" i="1" s="1"/>
  <c r="BD237" i="1"/>
  <c r="BF237" i="1" s="1"/>
  <c r="BH237" i="1" l="1"/>
  <c r="BJ237" i="1" s="1"/>
  <c r="BL237" i="1" s="1"/>
  <c r="BI237" i="1"/>
  <c r="BK237" i="1" s="1"/>
  <c r="Q240" i="1"/>
  <c r="S240" i="1" s="1"/>
  <c r="G240" i="1"/>
  <c r="I240" i="1" s="1"/>
  <c r="DB234" i="1"/>
  <c r="DD234" i="1" s="1"/>
  <c r="DA234" i="1"/>
  <c r="DC234" i="1" s="1"/>
  <c r="BX236" i="1"/>
  <c r="BZ236" i="1" s="1"/>
  <c r="BW236" i="1"/>
  <c r="BY236" i="1" s="1"/>
  <c r="CA236" i="1" s="1"/>
  <c r="CM235" i="1"/>
  <c r="CO235" i="1" s="1"/>
  <c r="CL235" i="1"/>
  <c r="CN235" i="1" s="1"/>
  <c r="CP235" i="1" s="1"/>
  <c r="AE239" i="1"/>
  <c r="AG239" i="1" s="1"/>
  <c r="AD239" i="1"/>
  <c r="AF239" i="1" s="1"/>
  <c r="AH239" i="1" s="1"/>
  <c r="AS238" i="1"/>
  <c r="AU238" i="1" s="1"/>
  <c r="AW238" i="1" s="1"/>
  <c r="AT238" i="1"/>
  <c r="AV238" i="1" s="1"/>
  <c r="T240" i="1" l="1"/>
  <c r="V240" i="1" s="1"/>
  <c r="X240" i="1" s="1"/>
  <c r="U240" i="1"/>
  <c r="W240" i="1" s="1"/>
  <c r="CC236" i="1"/>
  <c r="CE236" i="1" s="1"/>
  <c r="CB236" i="1"/>
  <c r="CD236" i="1" s="1"/>
  <c r="CF236" i="1" s="1"/>
  <c r="AX238" i="1"/>
  <c r="AZ238" i="1" s="1"/>
  <c r="BB238" i="1" s="1"/>
  <c r="AY238" i="1"/>
  <c r="BA238" i="1" s="1"/>
  <c r="K240" i="1"/>
  <c r="M240" i="1" s="1"/>
  <c r="J240" i="1"/>
  <c r="L240" i="1" s="1"/>
  <c r="N240" i="1" s="1"/>
  <c r="D241" i="1"/>
  <c r="BN237" i="1"/>
  <c r="BP237" i="1" s="1"/>
  <c r="BM237" i="1"/>
  <c r="BO237" i="1" s="1"/>
  <c r="BQ237" i="1" s="1"/>
  <c r="AI239" i="1"/>
  <c r="AK239" i="1" s="1"/>
  <c r="AM239" i="1" s="1"/>
  <c r="AJ239" i="1"/>
  <c r="AL239" i="1" s="1"/>
  <c r="CR235" i="1"/>
  <c r="CT235" i="1" s="1"/>
  <c r="CQ235" i="1"/>
  <c r="CS235" i="1" s="1"/>
  <c r="CU235" i="1" s="1"/>
  <c r="BC238" i="1" l="1"/>
  <c r="BE238" i="1" s="1"/>
  <c r="BG238" i="1" s="1"/>
  <c r="BD238" i="1"/>
  <c r="BF238" i="1" s="1"/>
  <c r="CW235" i="1"/>
  <c r="CY235" i="1" s="1"/>
  <c r="CV235" i="1"/>
  <c r="CX235" i="1" s="1"/>
  <c r="CZ235" i="1" s="1"/>
  <c r="CH236" i="1"/>
  <c r="CJ236" i="1" s="1"/>
  <c r="CG236" i="1"/>
  <c r="CI236" i="1" s="1"/>
  <c r="CK236" i="1" s="1"/>
  <c r="O240" i="1"/>
  <c r="P240" i="1"/>
  <c r="R240" i="1" s="1"/>
  <c r="AN239" i="1"/>
  <c r="AP239" i="1" s="1"/>
  <c r="AR239" i="1" s="1"/>
  <c r="AO239" i="1"/>
  <c r="AQ239" i="1" s="1"/>
  <c r="BS237" i="1"/>
  <c r="BU237" i="1" s="1"/>
  <c r="BR237" i="1"/>
  <c r="BT237" i="1" s="1"/>
  <c r="BV237" i="1" s="1"/>
  <c r="E241" i="1"/>
  <c r="F241" i="1"/>
  <c r="H241" i="1" s="1"/>
  <c r="Y240" i="1"/>
  <c r="AA240" i="1" s="1"/>
  <c r="AC240" i="1" s="1"/>
  <c r="Z240" i="1"/>
  <c r="AB240" i="1" s="1"/>
  <c r="AD240" i="1" l="1"/>
  <c r="AF240" i="1" s="1"/>
  <c r="AH240" i="1" s="1"/>
  <c r="AE240" i="1"/>
  <c r="AG240" i="1" s="1"/>
  <c r="DB235" i="1"/>
  <c r="DD235" i="1" s="1"/>
  <c r="DA235" i="1"/>
  <c r="DC235" i="1" s="1"/>
  <c r="BX237" i="1"/>
  <c r="BZ237" i="1" s="1"/>
  <c r="BW237" i="1"/>
  <c r="BY237" i="1" s="1"/>
  <c r="CA237" i="1" s="1"/>
  <c r="AT239" i="1"/>
  <c r="AV239" i="1" s="1"/>
  <c r="AS239" i="1"/>
  <c r="AU239" i="1" s="1"/>
  <c r="AW239" i="1" s="1"/>
  <c r="CM236" i="1"/>
  <c r="CO236" i="1" s="1"/>
  <c r="CL236" i="1"/>
  <c r="CN236" i="1" s="1"/>
  <c r="CP236" i="1" s="1"/>
  <c r="Q241" i="1"/>
  <c r="S241" i="1" s="1"/>
  <c r="G241" i="1"/>
  <c r="I241" i="1" s="1"/>
  <c r="BI238" i="1"/>
  <c r="BK238" i="1" s="1"/>
  <c r="BH238" i="1"/>
  <c r="BJ238" i="1" s="1"/>
  <c r="BL238" i="1" s="1"/>
  <c r="CC237" i="1" l="1"/>
  <c r="CE237" i="1" s="1"/>
  <c r="CB237" i="1"/>
  <c r="CD237" i="1" s="1"/>
  <c r="CF237" i="1" s="1"/>
  <c r="AY239" i="1"/>
  <c r="BA239" i="1" s="1"/>
  <c r="AX239" i="1"/>
  <c r="AZ239" i="1" s="1"/>
  <c r="BB239" i="1" s="1"/>
  <c r="U241" i="1"/>
  <c r="W241" i="1" s="1"/>
  <c r="T241" i="1"/>
  <c r="V241" i="1" s="1"/>
  <c r="X241" i="1" s="1"/>
  <c r="BN238" i="1"/>
  <c r="BP238" i="1" s="1"/>
  <c r="BM238" i="1"/>
  <c r="BO238" i="1" s="1"/>
  <c r="BQ238" i="1" s="1"/>
  <c r="K241" i="1"/>
  <c r="M241" i="1" s="1"/>
  <c r="J241" i="1"/>
  <c r="L241" i="1" s="1"/>
  <c r="N241" i="1" s="1"/>
  <c r="D242" i="1"/>
  <c r="CR236" i="1"/>
  <c r="CT236" i="1" s="1"/>
  <c r="CQ236" i="1"/>
  <c r="CS236" i="1" s="1"/>
  <c r="CU236" i="1" s="1"/>
  <c r="AJ240" i="1"/>
  <c r="AL240" i="1" s="1"/>
  <c r="AI240" i="1"/>
  <c r="AK240" i="1" s="1"/>
  <c r="AM240" i="1" s="1"/>
  <c r="CW236" i="1" l="1"/>
  <c r="CY236" i="1" s="1"/>
  <c r="CV236" i="1"/>
  <c r="CX236" i="1" s="1"/>
  <c r="CZ236" i="1" s="1"/>
  <c r="BS238" i="1"/>
  <c r="BU238" i="1" s="1"/>
  <c r="BR238" i="1"/>
  <c r="BT238" i="1" s="1"/>
  <c r="BV238" i="1" s="1"/>
  <c r="CG237" i="1"/>
  <c r="CI237" i="1" s="1"/>
  <c r="CK237" i="1" s="1"/>
  <c r="CH237" i="1"/>
  <c r="CJ237" i="1" s="1"/>
  <c r="Z241" i="1"/>
  <c r="AB241" i="1" s="1"/>
  <c r="Y241" i="1"/>
  <c r="AA241" i="1" s="1"/>
  <c r="AC241" i="1" s="1"/>
  <c r="BD239" i="1"/>
  <c r="BF239" i="1" s="1"/>
  <c r="BC239" i="1"/>
  <c r="BE239" i="1" s="1"/>
  <c r="BG239" i="1" s="1"/>
  <c r="AN240" i="1"/>
  <c r="AP240" i="1" s="1"/>
  <c r="AR240" i="1" s="1"/>
  <c r="AO240" i="1"/>
  <c r="AQ240" i="1" s="1"/>
  <c r="E242" i="1"/>
  <c r="F242" i="1"/>
  <c r="H242" i="1" s="1"/>
  <c r="O241" i="1"/>
  <c r="P241" i="1"/>
  <c r="R241" i="1" s="1"/>
  <c r="AE241" i="1" l="1"/>
  <c r="AG241" i="1" s="1"/>
  <c r="AD241" i="1"/>
  <c r="AF241" i="1" s="1"/>
  <c r="AH241" i="1" s="1"/>
  <c r="G242" i="1"/>
  <c r="I242" i="1" s="1"/>
  <c r="Q242" i="1"/>
  <c r="S242" i="1" s="1"/>
  <c r="BI239" i="1"/>
  <c r="BK239" i="1" s="1"/>
  <c r="BH239" i="1"/>
  <c r="BJ239" i="1" s="1"/>
  <c r="BL239" i="1" s="1"/>
  <c r="AT240" i="1"/>
  <c r="AV240" i="1" s="1"/>
  <c r="AS240" i="1"/>
  <c r="AU240" i="1" s="1"/>
  <c r="AW240" i="1" s="1"/>
  <c r="CM237" i="1"/>
  <c r="CO237" i="1" s="1"/>
  <c r="CL237" i="1"/>
  <c r="CN237" i="1" s="1"/>
  <c r="CP237" i="1" s="1"/>
  <c r="BX238" i="1"/>
  <c r="BZ238" i="1" s="1"/>
  <c r="BW238" i="1"/>
  <c r="BY238" i="1" s="1"/>
  <c r="CA238" i="1" s="1"/>
  <c r="DB236" i="1"/>
  <c r="DD236" i="1" s="1"/>
  <c r="DA236" i="1"/>
  <c r="DC236" i="1" s="1"/>
  <c r="AY240" i="1" l="1"/>
  <c r="BA240" i="1" s="1"/>
  <c r="AX240" i="1"/>
  <c r="AZ240" i="1" s="1"/>
  <c r="BB240" i="1" s="1"/>
  <c r="BN239" i="1"/>
  <c r="BP239" i="1" s="1"/>
  <c r="BM239" i="1"/>
  <c r="BO239" i="1" s="1"/>
  <c r="BQ239" i="1" s="1"/>
  <c r="U242" i="1"/>
  <c r="W242" i="1" s="1"/>
  <c r="T242" i="1"/>
  <c r="V242" i="1" s="1"/>
  <c r="X242" i="1" s="1"/>
  <c r="CC238" i="1"/>
  <c r="CE238" i="1" s="1"/>
  <c r="CB238" i="1"/>
  <c r="CD238" i="1" s="1"/>
  <c r="CF238" i="1" s="1"/>
  <c r="J242" i="1"/>
  <c r="L242" i="1" s="1"/>
  <c r="N242" i="1" s="1"/>
  <c r="K242" i="1"/>
  <c r="M242" i="1" s="1"/>
  <c r="D243" i="1"/>
  <c r="AJ241" i="1"/>
  <c r="AL241" i="1" s="1"/>
  <c r="AI241" i="1"/>
  <c r="AK241" i="1" s="1"/>
  <c r="AM241" i="1" s="1"/>
  <c r="CR237" i="1"/>
  <c r="CT237" i="1" s="1"/>
  <c r="CQ237" i="1"/>
  <c r="CS237" i="1" s="1"/>
  <c r="CU237" i="1" s="1"/>
  <c r="CW237" i="1" l="1"/>
  <c r="CY237" i="1" s="1"/>
  <c r="CV237" i="1"/>
  <c r="CX237" i="1" s="1"/>
  <c r="CZ237" i="1" s="1"/>
  <c r="Z242" i="1"/>
  <c r="AB242" i="1" s="1"/>
  <c r="Y242" i="1"/>
  <c r="AA242" i="1" s="1"/>
  <c r="AC242" i="1" s="1"/>
  <c r="BS239" i="1"/>
  <c r="BU239" i="1" s="1"/>
  <c r="BR239" i="1"/>
  <c r="BT239" i="1" s="1"/>
  <c r="BV239" i="1" s="1"/>
  <c r="BD240" i="1"/>
  <c r="BF240" i="1" s="1"/>
  <c r="BC240" i="1"/>
  <c r="BE240" i="1" s="1"/>
  <c r="BG240" i="1" s="1"/>
  <c r="AO241" i="1"/>
  <c r="AQ241" i="1" s="1"/>
  <c r="AN241" i="1"/>
  <c r="AP241" i="1" s="1"/>
  <c r="AR241" i="1" s="1"/>
  <c r="P242" i="1"/>
  <c r="R242" i="1" s="1"/>
  <c r="O242" i="1"/>
  <c r="CH238" i="1"/>
  <c r="CJ238" i="1" s="1"/>
  <c r="CG238" i="1"/>
  <c r="CI238" i="1" s="1"/>
  <c r="CK238" i="1" s="1"/>
  <c r="F243" i="1"/>
  <c r="H243" i="1" s="1"/>
  <c r="E243" i="1"/>
  <c r="BX239" i="1" l="1"/>
  <c r="BZ239" i="1" s="1"/>
  <c r="BW239" i="1"/>
  <c r="BY239" i="1" s="1"/>
  <c r="CA239" i="1" s="1"/>
  <c r="BI240" i="1"/>
  <c r="BK240" i="1" s="1"/>
  <c r="BH240" i="1"/>
  <c r="BJ240" i="1" s="1"/>
  <c r="BL240" i="1" s="1"/>
  <c r="G243" i="1"/>
  <c r="I243" i="1" s="1"/>
  <c r="Q243" i="1"/>
  <c r="S243" i="1" s="1"/>
  <c r="CM238" i="1"/>
  <c r="CO238" i="1" s="1"/>
  <c r="CL238" i="1"/>
  <c r="CN238" i="1" s="1"/>
  <c r="CP238" i="1" s="1"/>
  <c r="DA237" i="1"/>
  <c r="DC237" i="1" s="1"/>
  <c r="DB237" i="1"/>
  <c r="DD237" i="1" s="1"/>
  <c r="AE242" i="1"/>
  <c r="AG242" i="1" s="1"/>
  <c r="AD242" i="1"/>
  <c r="AF242" i="1" s="1"/>
  <c r="AH242" i="1" s="1"/>
  <c r="AT241" i="1"/>
  <c r="AV241" i="1" s="1"/>
  <c r="AS241" i="1"/>
  <c r="AU241" i="1" s="1"/>
  <c r="AW241" i="1" s="1"/>
  <c r="AY241" i="1" l="1"/>
  <c r="BA241" i="1" s="1"/>
  <c r="AX241" i="1"/>
  <c r="AZ241" i="1" s="1"/>
  <c r="BB241" i="1" s="1"/>
  <c r="BN240" i="1"/>
  <c r="BP240" i="1" s="1"/>
  <c r="BM240" i="1"/>
  <c r="BO240" i="1" s="1"/>
  <c r="BQ240" i="1" s="1"/>
  <c r="CQ238" i="1"/>
  <c r="CS238" i="1" s="1"/>
  <c r="CU238" i="1" s="1"/>
  <c r="CR238" i="1"/>
  <c r="CT238" i="1" s="1"/>
  <c r="J243" i="1"/>
  <c r="L243" i="1" s="1"/>
  <c r="N243" i="1" s="1"/>
  <c r="K243" i="1"/>
  <c r="M243" i="1" s="1"/>
  <c r="D244" i="1"/>
  <c r="U243" i="1"/>
  <c r="W243" i="1" s="1"/>
  <c r="T243" i="1"/>
  <c r="V243" i="1" s="1"/>
  <c r="X243" i="1" s="1"/>
  <c r="AJ242" i="1"/>
  <c r="AL242" i="1" s="1"/>
  <c r="AI242" i="1"/>
  <c r="AK242" i="1" s="1"/>
  <c r="AM242" i="1" s="1"/>
  <c r="CC239" i="1"/>
  <c r="CE239" i="1" s="1"/>
  <c r="CB239" i="1"/>
  <c r="CD239" i="1" s="1"/>
  <c r="CF239" i="1" s="1"/>
  <c r="P243" i="1" l="1"/>
  <c r="R243" i="1" s="1"/>
  <c r="O243" i="1"/>
  <c r="CW238" i="1"/>
  <c r="CY238" i="1" s="1"/>
  <c r="CV238" i="1"/>
  <c r="CX238" i="1" s="1"/>
  <c r="CZ238" i="1" s="1"/>
  <c r="Z243" i="1"/>
  <c r="AB243" i="1" s="1"/>
  <c r="Y243" i="1"/>
  <c r="AA243" i="1" s="1"/>
  <c r="AC243" i="1" s="1"/>
  <c r="CG239" i="1"/>
  <c r="CI239" i="1" s="1"/>
  <c r="CK239" i="1" s="1"/>
  <c r="CH239" i="1"/>
  <c r="CJ239" i="1" s="1"/>
  <c r="AO242" i="1"/>
  <c r="AQ242" i="1" s="1"/>
  <c r="AN242" i="1"/>
  <c r="AP242" i="1" s="1"/>
  <c r="AR242" i="1" s="1"/>
  <c r="BS240" i="1"/>
  <c r="BU240" i="1" s="1"/>
  <c r="BR240" i="1"/>
  <c r="BT240" i="1" s="1"/>
  <c r="BV240" i="1" s="1"/>
  <c r="BD241" i="1"/>
  <c r="BF241" i="1" s="1"/>
  <c r="BC241" i="1"/>
  <c r="BE241" i="1" s="1"/>
  <c r="BG241" i="1" s="1"/>
  <c r="F244" i="1"/>
  <c r="H244" i="1" s="1"/>
  <c r="E244" i="1"/>
  <c r="BI241" i="1" l="1"/>
  <c r="BK241" i="1" s="1"/>
  <c r="BH241" i="1"/>
  <c r="BJ241" i="1" s="1"/>
  <c r="BL241" i="1" s="1"/>
  <c r="G244" i="1"/>
  <c r="I244" i="1" s="1"/>
  <c r="Q244" i="1"/>
  <c r="S244" i="1" s="1"/>
  <c r="AE243" i="1"/>
  <c r="AG243" i="1" s="1"/>
  <c r="AD243" i="1"/>
  <c r="AF243" i="1" s="1"/>
  <c r="AH243" i="1" s="1"/>
  <c r="CL239" i="1"/>
  <c r="CN239" i="1" s="1"/>
  <c r="CP239" i="1" s="1"/>
  <c r="CM239" i="1"/>
  <c r="CO239" i="1" s="1"/>
  <c r="BW240" i="1"/>
  <c r="BY240" i="1" s="1"/>
  <c r="CA240" i="1" s="1"/>
  <c r="BX240" i="1"/>
  <c r="BZ240" i="1" s="1"/>
  <c r="AT242" i="1"/>
  <c r="AV242" i="1" s="1"/>
  <c r="AS242" i="1"/>
  <c r="AU242" i="1" s="1"/>
  <c r="AW242" i="1" s="1"/>
  <c r="DA238" i="1"/>
  <c r="DC238" i="1" s="1"/>
  <c r="DB238" i="1"/>
  <c r="DD238" i="1" s="1"/>
  <c r="CC240" i="1" l="1"/>
  <c r="CE240" i="1" s="1"/>
  <c r="CB240" i="1"/>
  <c r="CD240" i="1" s="1"/>
  <c r="CF240" i="1" s="1"/>
  <c r="CQ239" i="1"/>
  <c r="CS239" i="1" s="1"/>
  <c r="CU239" i="1" s="1"/>
  <c r="CR239" i="1"/>
  <c r="CT239" i="1" s="1"/>
  <c r="U244" i="1"/>
  <c r="W244" i="1" s="1"/>
  <c r="T244" i="1"/>
  <c r="V244" i="1" s="1"/>
  <c r="X244" i="1" s="1"/>
  <c r="AY242" i="1"/>
  <c r="BA242" i="1" s="1"/>
  <c r="AX242" i="1"/>
  <c r="AZ242" i="1" s="1"/>
  <c r="BB242" i="1" s="1"/>
  <c r="AJ243" i="1"/>
  <c r="AL243" i="1" s="1"/>
  <c r="AI243" i="1"/>
  <c r="AK243" i="1" s="1"/>
  <c r="AM243" i="1" s="1"/>
  <c r="K244" i="1"/>
  <c r="M244" i="1" s="1"/>
  <c r="J244" i="1"/>
  <c r="L244" i="1" s="1"/>
  <c r="N244" i="1" s="1"/>
  <c r="D245" i="1"/>
  <c r="BM241" i="1"/>
  <c r="BO241" i="1" s="1"/>
  <c r="BQ241" i="1" s="1"/>
  <c r="BN241" i="1"/>
  <c r="BP241" i="1" s="1"/>
  <c r="BC242" i="1" l="1"/>
  <c r="BE242" i="1" s="1"/>
  <c r="BG242" i="1" s="1"/>
  <c r="BD242" i="1"/>
  <c r="BF242" i="1" s="1"/>
  <c r="BS241" i="1"/>
  <c r="BU241" i="1" s="1"/>
  <c r="BR241" i="1"/>
  <c r="BT241" i="1" s="1"/>
  <c r="BV241" i="1" s="1"/>
  <c r="F245" i="1"/>
  <c r="H245" i="1" s="1"/>
  <c r="E245" i="1"/>
  <c r="P244" i="1"/>
  <c r="R244" i="1" s="1"/>
  <c r="O244" i="1"/>
  <c r="CG240" i="1"/>
  <c r="CI240" i="1" s="1"/>
  <c r="CK240" i="1" s="1"/>
  <c r="CH240" i="1"/>
  <c r="CJ240" i="1" s="1"/>
  <c r="Z244" i="1"/>
  <c r="AB244" i="1" s="1"/>
  <c r="Y244" i="1"/>
  <c r="AA244" i="1" s="1"/>
  <c r="AC244" i="1" s="1"/>
  <c r="CV239" i="1"/>
  <c r="CX239" i="1" s="1"/>
  <c r="CZ239" i="1" s="1"/>
  <c r="CW239" i="1"/>
  <c r="CY239" i="1" s="1"/>
  <c r="AO243" i="1"/>
  <c r="AQ243" i="1" s="1"/>
  <c r="AN243" i="1"/>
  <c r="AP243" i="1" s="1"/>
  <c r="AR243" i="1" s="1"/>
  <c r="DB239" i="1" l="1"/>
  <c r="DD239" i="1" s="1"/>
  <c r="DA239" i="1"/>
  <c r="DC239" i="1" s="1"/>
  <c r="G245" i="1"/>
  <c r="I245" i="1" s="1"/>
  <c r="Q245" i="1"/>
  <c r="S245" i="1" s="1"/>
  <c r="BW241" i="1"/>
  <c r="BY241" i="1" s="1"/>
  <c r="CA241" i="1" s="1"/>
  <c r="BX241" i="1"/>
  <c r="BZ241" i="1" s="1"/>
  <c r="AS243" i="1"/>
  <c r="AU243" i="1" s="1"/>
  <c r="AW243" i="1" s="1"/>
  <c r="AT243" i="1"/>
  <c r="AV243" i="1" s="1"/>
  <c r="AE244" i="1"/>
  <c r="AG244" i="1" s="1"/>
  <c r="AD244" i="1"/>
  <c r="AF244" i="1" s="1"/>
  <c r="AH244" i="1" s="1"/>
  <c r="CM240" i="1"/>
  <c r="CO240" i="1" s="1"/>
  <c r="CL240" i="1"/>
  <c r="CN240" i="1" s="1"/>
  <c r="CP240" i="1" s="1"/>
  <c r="BH242" i="1"/>
  <c r="BJ242" i="1" s="1"/>
  <c r="BL242" i="1" s="1"/>
  <c r="BI242" i="1"/>
  <c r="BK242" i="1" s="1"/>
  <c r="BM242" i="1" l="1"/>
  <c r="BO242" i="1" s="1"/>
  <c r="BQ242" i="1" s="1"/>
  <c r="BN242" i="1"/>
  <c r="BP242" i="1" s="1"/>
  <c r="U245" i="1"/>
  <c r="W245" i="1" s="1"/>
  <c r="T245" i="1"/>
  <c r="V245" i="1" s="1"/>
  <c r="X245" i="1" s="1"/>
  <c r="AY243" i="1"/>
  <c r="BA243" i="1" s="1"/>
  <c r="AX243" i="1"/>
  <c r="AZ243" i="1" s="1"/>
  <c r="BB243" i="1" s="1"/>
  <c r="CB241" i="1"/>
  <c r="CD241" i="1" s="1"/>
  <c r="CF241" i="1" s="1"/>
  <c r="CC241" i="1"/>
  <c r="CE241" i="1" s="1"/>
  <c r="CR240" i="1"/>
  <c r="CT240" i="1" s="1"/>
  <c r="CQ240" i="1"/>
  <c r="CS240" i="1" s="1"/>
  <c r="CU240" i="1" s="1"/>
  <c r="K245" i="1"/>
  <c r="M245" i="1" s="1"/>
  <c r="J245" i="1"/>
  <c r="L245" i="1" s="1"/>
  <c r="N245" i="1" s="1"/>
  <c r="D246" i="1"/>
  <c r="AI244" i="1"/>
  <c r="AK244" i="1" s="1"/>
  <c r="AM244" i="1" s="1"/>
  <c r="AJ244" i="1"/>
  <c r="AL244" i="1" s="1"/>
  <c r="CH241" i="1" l="1"/>
  <c r="CJ241" i="1" s="1"/>
  <c r="CG241" i="1"/>
  <c r="CI241" i="1" s="1"/>
  <c r="CK241" i="1" s="1"/>
  <c r="BC243" i="1"/>
  <c r="BE243" i="1" s="1"/>
  <c r="BG243" i="1" s="1"/>
  <c r="BD243" i="1"/>
  <c r="BF243" i="1" s="1"/>
  <c r="P245" i="1"/>
  <c r="R245" i="1" s="1"/>
  <c r="O245" i="1"/>
  <c r="F246" i="1"/>
  <c r="H246" i="1" s="1"/>
  <c r="E246" i="1"/>
  <c r="AO244" i="1"/>
  <c r="AQ244" i="1" s="1"/>
  <c r="AN244" i="1"/>
  <c r="AP244" i="1" s="1"/>
  <c r="AR244" i="1" s="1"/>
  <c r="Y245" i="1"/>
  <c r="AA245" i="1" s="1"/>
  <c r="AC245" i="1" s="1"/>
  <c r="Z245" i="1"/>
  <c r="AB245" i="1" s="1"/>
  <c r="CW240" i="1"/>
  <c r="CY240" i="1" s="1"/>
  <c r="CV240" i="1"/>
  <c r="CX240" i="1" s="1"/>
  <c r="CZ240" i="1" s="1"/>
  <c r="BR242" i="1"/>
  <c r="BT242" i="1" s="1"/>
  <c r="BV242" i="1" s="1"/>
  <c r="BS242" i="1"/>
  <c r="BU242" i="1" s="1"/>
  <c r="DB240" i="1" l="1"/>
  <c r="DD240" i="1" s="1"/>
  <c r="DA240" i="1"/>
  <c r="DC240" i="1" s="1"/>
  <c r="Q246" i="1"/>
  <c r="S246" i="1" s="1"/>
  <c r="G246" i="1"/>
  <c r="I246" i="1" s="1"/>
  <c r="BX242" i="1"/>
  <c r="BZ242" i="1" s="1"/>
  <c r="BW242" i="1"/>
  <c r="BY242" i="1" s="1"/>
  <c r="CA242" i="1" s="1"/>
  <c r="BI243" i="1"/>
  <c r="BK243" i="1" s="1"/>
  <c r="BH243" i="1"/>
  <c r="BJ243" i="1" s="1"/>
  <c r="BL243" i="1" s="1"/>
  <c r="AD245" i="1"/>
  <c r="AF245" i="1" s="1"/>
  <c r="AH245" i="1" s="1"/>
  <c r="AE245" i="1"/>
  <c r="AG245" i="1" s="1"/>
  <c r="CM241" i="1"/>
  <c r="CO241" i="1" s="1"/>
  <c r="CL241" i="1"/>
  <c r="CN241" i="1" s="1"/>
  <c r="CP241" i="1" s="1"/>
  <c r="AS244" i="1"/>
  <c r="AU244" i="1" s="1"/>
  <c r="AW244" i="1" s="1"/>
  <c r="AT244" i="1"/>
  <c r="AV244" i="1" s="1"/>
  <c r="AI245" i="1" l="1"/>
  <c r="AK245" i="1" s="1"/>
  <c r="AM245" i="1" s="1"/>
  <c r="AJ245" i="1"/>
  <c r="AL245" i="1" s="1"/>
  <c r="CB242" i="1"/>
  <c r="CD242" i="1" s="1"/>
  <c r="CF242" i="1" s="1"/>
  <c r="CC242" i="1"/>
  <c r="CE242" i="1" s="1"/>
  <c r="K246" i="1"/>
  <c r="M246" i="1" s="1"/>
  <c r="J246" i="1"/>
  <c r="L246" i="1" s="1"/>
  <c r="N246" i="1" s="1"/>
  <c r="BN243" i="1"/>
  <c r="BP243" i="1" s="1"/>
  <c r="BM243" i="1"/>
  <c r="BO243" i="1" s="1"/>
  <c r="BQ243" i="1" s="1"/>
  <c r="CR241" i="1"/>
  <c r="CT241" i="1" s="1"/>
  <c r="CQ241" i="1"/>
  <c r="CS241" i="1" s="1"/>
  <c r="CU241" i="1" s="1"/>
  <c r="AX244" i="1"/>
  <c r="AZ244" i="1" s="1"/>
  <c r="BB244" i="1" s="1"/>
  <c r="AY244" i="1"/>
  <c r="BA244" i="1" s="1"/>
  <c r="U246" i="1"/>
  <c r="W246" i="1" s="1"/>
  <c r="T246" i="1"/>
  <c r="V246" i="1" s="1"/>
  <c r="X246" i="1" s="1"/>
  <c r="Y246" i="1" l="1"/>
  <c r="AA246" i="1" s="1"/>
  <c r="AC246" i="1" s="1"/>
  <c r="Z246" i="1"/>
  <c r="AB246" i="1" s="1"/>
  <c r="O246" i="1"/>
  <c r="P246" i="1"/>
  <c r="R246" i="1" s="1"/>
  <c r="BD244" i="1"/>
  <c r="BF244" i="1" s="1"/>
  <c r="BC244" i="1"/>
  <c r="BE244" i="1" s="1"/>
  <c r="BG244" i="1" s="1"/>
  <c r="CW241" i="1"/>
  <c r="CY241" i="1" s="1"/>
  <c r="CV241" i="1"/>
  <c r="CX241" i="1" s="1"/>
  <c r="CZ241" i="1" s="1"/>
  <c r="BS243" i="1"/>
  <c r="BU243" i="1" s="1"/>
  <c r="BR243" i="1"/>
  <c r="BT243" i="1" s="1"/>
  <c r="BV243" i="1" s="1"/>
  <c r="CH242" i="1"/>
  <c r="CJ242" i="1" s="1"/>
  <c r="CG242" i="1"/>
  <c r="CI242" i="1" s="1"/>
  <c r="CK242" i="1" s="1"/>
  <c r="AN245" i="1"/>
  <c r="AP245" i="1" s="1"/>
  <c r="AR245" i="1" s="1"/>
  <c r="AO245" i="1"/>
  <c r="AQ245" i="1" s="1"/>
  <c r="BI244" i="1" l="1"/>
  <c r="BK244" i="1" s="1"/>
  <c r="BH244" i="1"/>
  <c r="BJ244" i="1" s="1"/>
  <c r="BL244" i="1" s="1"/>
  <c r="DB241" i="1"/>
  <c r="DD241" i="1" s="1"/>
  <c r="DA241" i="1"/>
  <c r="DC241" i="1" s="1"/>
  <c r="CM242" i="1"/>
  <c r="CO242" i="1" s="1"/>
  <c r="CL242" i="1"/>
  <c r="CN242" i="1" s="1"/>
  <c r="CP242" i="1" s="1"/>
  <c r="AT245" i="1"/>
  <c r="AV245" i="1" s="1"/>
  <c r="AS245" i="1"/>
  <c r="AU245" i="1" s="1"/>
  <c r="AW245" i="1" s="1"/>
  <c r="BX243" i="1"/>
  <c r="BZ243" i="1" s="1"/>
  <c r="BW243" i="1"/>
  <c r="BY243" i="1" s="1"/>
  <c r="CA243" i="1" s="1"/>
  <c r="AE246" i="1"/>
  <c r="AG246" i="1" s="1"/>
  <c r="AD246" i="1"/>
  <c r="AF246" i="1" s="1"/>
  <c r="AH246" i="1" s="1"/>
  <c r="CR242" i="1" l="1"/>
  <c r="CT242" i="1" s="1"/>
  <c r="CQ242" i="1"/>
  <c r="CS242" i="1" s="1"/>
  <c r="CU242" i="1" s="1"/>
  <c r="AX245" i="1"/>
  <c r="AZ245" i="1" s="1"/>
  <c r="BB245" i="1" s="1"/>
  <c r="AY245" i="1"/>
  <c r="BA245" i="1" s="1"/>
  <c r="BN244" i="1"/>
  <c r="BP244" i="1" s="1"/>
  <c r="BM244" i="1"/>
  <c r="BO244" i="1" s="1"/>
  <c r="BQ244" i="1" s="1"/>
  <c r="AJ246" i="1"/>
  <c r="AL246" i="1" s="1"/>
  <c r="AI246" i="1"/>
  <c r="AK246" i="1" s="1"/>
  <c r="AM246" i="1" s="1"/>
  <c r="CC243" i="1"/>
  <c r="CE243" i="1" s="1"/>
  <c r="CB243" i="1"/>
  <c r="CD243" i="1" s="1"/>
  <c r="CF243" i="1" s="1"/>
  <c r="AO246" i="1" l="1"/>
  <c r="AQ246" i="1" s="1"/>
  <c r="AN246" i="1"/>
  <c r="AP246" i="1" s="1"/>
  <c r="AR246" i="1" s="1"/>
  <c r="BD245" i="1"/>
  <c r="BF245" i="1" s="1"/>
  <c r="BC245" i="1"/>
  <c r="BE245" i="1" s="1"/>
  <c r="BG245" i="1" s="1"/>
  <c r="CW242" i="1"/>
  <c r="CY242" i="1" s="1"/>
  <c r="CV242" i="1"/>
  <c r="CX242" i="1" s="1"/>
  <c r="CZ242" i="1" s="1"/>
  <c r="BS244" i="1"/>
  <c r="BU244" i="1" s="1"/>
  <c r="BR244" i="1"/>
  <c r="BT244" i="1" s="1"/>
  <c r="BV244" i="1" s="1"/>
  <c r="CH243" i="1"/>
  <c r="CJ243" i="1" s="1"/>
  <c r="CG243" i="1"/>
  <c r="CI243" i="1" s="1"/>
  <c r="CK243" i="1" s="1"/>
  <c r="BX244" i="1" l="1"/>
  <c r="BZ244" i="1" s="1"/>
  <c r="BW244" i="1"/>
  <c r="BY244" i="1" s="1"/>
  <c r="CA244" i="1" s="1"/>
  <c r="BI245" i="1"/>
  <c r="BK245" i="1" s="1"/>
  <c r="BH245" i="1"/>
  <c r="BJ245" i="1" s="1"/>
  <c r="BL245" i="1" s="1"/>
  <c r="DB242" i="1"/>
  <c r="DD242" i="1" s="1"/>
  <c r="DA242" i="1"/>
  <c r="DC242" i="1" s="1"/>
  <c r="CM243" i="1"/>
  <c r="CO243" i="1" s="1"/>
  <c r="CL243" i="1"/>
  <c r="CN243" i="1" s="1"/>
  <c r="CP243" i="1" s="1"/>
  <c r="AT246" i="1"/>
  <c r="AV246" i="1" s="1"/>
  <c r="AS246" i="1"/>
  <c r="AU246" i="1" s="1"/>
  <c r="AW246" i="1" s="1"/>
  <c r="CR243" i="1" l="1"/>
  <c r="CT243" i="1" s="1"/>
  <c r="CQ243" i="1"/>
  <c r="CS243" i="1" s="1"/>
  <c r="CU243" i="1" s="1"/>
  <c r="CC244" i="1"/>
  <c r="CE244" i="1" s="1"/>
  <c r="CB244" i="1"/>
  <c r="CD244" i="1" s="1"/>
  <c r="CF244" i="1" s="1"/>
  <c r="BN245" i="1"/>
  <c r="BP245" i="1" s="1"/>
  <c r="BM245" i="1"/>
  <c r="BO245" i="1" s="1"/>
  <c r="BQ245" i="1" s="1"/>
  <c r="AY246" i="1"/>
  <c r="BA246" i="1" s="1"/>
  <c r="AX246" i="1"/>
  <c r="AZ246" i="1" s="1"/>
  <c r="BB246" i="1" s="1"/>
  <c r="BS245" i="1" l="1"/>
  <c r="BU245" i="1" s="1"/>
  <c r="BR245" i="1"/>
  <c r="BT245" i="1" s="1"/>
  <c r="BV245" i="1" s="1"/>
  <c r="BD246" i="1"/>
  <c r="BF246" i="1" s="1"/>
  <c r="BC246" i="1"/>
  <c r="BE246" i="1" s="1"/>
  <c r="BG246" i="1" s="1"/>
  <c r="CH244" i="1"/>
  <c r="CJ244" i="1" s="1"/>
  <c r="CG244" i="1"/>
  <c r="CI244" i="1" s="1"/>
  <c r="CK244" i="1" s="1"/>
  <c r="CW243" i="1"/>
  <c r="CY243" i="1" s="1"/>
  <c r="CV243" i="1"/>
  <c r="CX243" i="1" s="1"/>
  <c r="CZ243" i="1" s="1"/>
  <c r="DA243" i="1" l="1"/>
  <c r="DC243" i="1" s="1"/>
  <c r="DB243" i="1"/>
  <c r="DD243" i="1" s="1"/>
  <c r="BI246" i="1"/>
  <c r="BK246" i="1" s="1"/>
  <c r="BH246" i="1"/>
  <c r="BJ246" i="1" s="1"/>
  <c r="BL246" i="1" s="1"/>
  <c r="CM244" i="1"/>
  <c r="CO244" i="1" s="1"/>
  <c r="CL244" i="1"/>
  <c r="CN244" i="1" s="1"/>
  <c r="CP244" i="1" s="1"/>
  <c r="BX245" i="1"/>
  <c r="BZ245" i="1" s="1"/>
  <c r="BW245" i="1"/>
  <c r="BY245" i="1" s="1"/>
  <c r="CA245" i="1" s="1"/>
  <c r="CC245" i="1" l="1"/>
  <c r="CE245" i="1" s="1"/>
  <c r="CB245" i="1"/>
  <c r="CD245" i="1" s="1"/>
  <c r="CF245" i="1" s="1"/>
  <c r="CQ244" i="1"/>
  <c r="CS244" i="1" s="1"/>
  <c r="CU244" i="1" s="1"/>
  <c r="CR244" i="1"/>
  <c r="CT244" i="1" s="1"/>
  <c r="BN246" i="1"/>
  <c r="BP246" i="1" s="1"/>
  <c r="BM246" i="1"/>
  <c r="BO246" i="1" s="1"/>
  <c r="BQ246" i="1" s="1"/>
  <c r="BS246" i="1" l="1"/>
  <c r="BU246" i="1" s="1"/>
  <c r="BR246" i="1"/>
  <c r="BT246" i="1" s="1"/>
  <c r="BV246" i="1" s="1"/>
  <c r="CV244" i="1"/>
  <c r="CX244" i="1" s="1"/>
  <c r="CW244" i="1"/>
  <c r="CY244" i="1" s="1"/>
  <c r="CG245" i="1"/>
  <c r="CI245" i="1" s="1"/>
  <c r="CK245" i="1" s="1"/>
  <c r="CH245" i="1"/>
  <c r="CJ245" i="1" s="1"/>
  <c r="CM245" i="1" l="1"/>
  <c r="CO245" i="1" s="1"/>
  <c r="CL245" i="1"/>
  <c r="CN245" i="1" s="1"/>
  <c r="CP245" i="1" s="1"/>
  <c r="CZ244" i="1"/>
  <c r="BW246" i="1"/>
  <c r="BY246" i="1" s="1"/>
  <c r="CA246" i="1" s="1"/>
  <c r="BX246" i="1"/>
  <c r="BZ246" i="1" s="1"/>
  <c r="DA244" i="1" l="1"/>
  <c r="DC244" i="1" s="1"/>
  <c r="DB244" i="1"/>
  <c r="DD244" i="1" s="1"/>
  <c r="CC246" i="1"/>
  <c r="CE246" i="1" s="1"/>
  <c r="CB246" i="1"/>
  <c r="CD246" i="1" s="1"/>
  <c r="CF246" i="1" s="1"/>
  <c r="CQ245" i="1"/>
  <c r="CS245" i="1" s="1"/>
  <c r="CU245" i="1" s="1"/>
  <c r="CR245" i="1"/>
  <c r="CT245" i="1" s="1"/>
  <c r="CW245" i="1" l="1"/>
  <c r="CY245" i="1" s="1"/>
  <c r="CV245" i="1"/>
  <c r="CX245" i="1" s="1"/>
  <c r="CZ245" i="1" s="1"/>
  <c r="CG246" i="1"/>
  <c r="CI246" i="1" s="1"/>
  <c r="CK246" i="1" s="1"/>
  <c r="CH246" i="1"/>
  <c r="CJ246" i="1" s="1"/>
  <c r="DB245" i="1" l="1"/>
  <c r="DD245" i="1" s="1"/>
  <c r="DA245" i="1"/>
  <c r="DC245" i="1" s="1"/>
  <c r="CL246" i="1"/>
  <c r="CN246" i="1" s="1"/>
  <c r="CP246" i="1" s="1"/>
  <c r="CM246" i="1"/>
  <c r="CO246" i="1" s="1"/>
  <c r="CR246" i="1" l="1"/>
  <c r="CT246" i="1" s="1"/>
  <c r="CQ246" i="1"/>
  <c r="CS246" i="1" s="1"/>
  <c r="CU246" i="1" s="1"/>
  <c r="CW246" i="1" l="1"/>
  <c r="CY246" i="1" s="1"/>
  <c r="CV246" i="1"/>
  <c r="CX246" i="1" s="1"/>
  <c r="CZ246" i="1" s="1"/>
  <c r="C255" i="1" l="1"/>
  <c r="C263" i="1" s="1"/>
  <c r="DB246" i="1"/>
  <c r="DD246" i="1" s="1"/>
  <c r="DA246" i="1"/>
  <c r="DC246" i="1" s="1"/>
  <c r="M283" i="1" l="1"/>
  <c r="W282" i="1"/>
  <c r="AG281" i="1"/>
  <c r="AQ280" i="1"/>
  <c r="M277" i="1"/>
  <c r="W276" i="1"/>
  <c r="AG275" i="1"/>
  <c r="AQ274" i="1"/>
  <c r="BA273" i="1"/>
  <c r="BK272" i="1"/>
  <c r="BU271" i="1"/>
  <c r="M271" i="1"/>
  <c r="CE270" i="1"/>
  <c r="W270" i="1"/>
  <c r="CO269" i="1"/>
  <c r="AG269" i="1"/>
  <c r="CY268" i="1"/>
  <c r="CZ268" i="1" s="1"/>
  <c r="AQ268" i="1"/>
  <c r="BA267" i="1"/>
  <c r="H287" i="1"/>
  <c r="H281" i="1"/>
  <c r="R280" i="1"/>
  <c r="AB279" i="1"/>
  <c r="AL278" i="1"/>
  <c r="AV277" i="1"/>
  <c r="BF276" i="1"/>
  <c r="BP275" i="1"/>
  <c r="H275" i="1"/>
  <c r="R274" i="1"/>
  <c r="AB273" i="1"/>
  <c r="AL272" i="1"/>
  <c r="AV271" i="1"/>
  <c r="BF270" i="1"/>
  <c r="BP269" i="1"/>
  <c r="H269" i="1"/>
  <c r="BZ268" i="1"/>
  <c r="R268" i="1"/>
  <c r="CJ267" i="1"/>
  <c r="M284" i="1"/>
  <c r="W283" i="1"/>
  <c r="AG282" i="1"/>
  <c r="M278" i="1"/>
  <c r="W277" i="1"/>
  <c r="AG276" i="1"/>
  <c r="AQ275" i="1"/>
  <c r="BA274" i="1"/>
  <c r="BK273" i="1"/>
  <c r="BU272" i="1"/>
  <c r="M272" i="1"/>
  <c r="CE271" i="1"/>
  <c r="W271" i="1"/>
  <c r="CO270" i="1"/>
  <c r="AG270" i="1"/>
  <c r="AQ269" i="1"/>
  <c r="BA268" i="1"/>
  <c r="BK267" i="1"/>
  <c r="H282" i="1"/>
  <c r="R281" i="1"/>
  <c r="AB280" i="1"/>
  <c r="AL279" i="1"/>
  <c r="AV278" i="1"/>
  <c r="BF277" i="1"/>
  <c r="H276" i="1"/>
  <c r="R275" i="1"/>
  <c r="AB274" i="1"/>
  <c r="AL273" i="1"/>
  <c r="AV272" i="1"/>
  <c r="BF271" i="1"/>
  <c r="BP270" i="1"/>
  <c r="H270" i="1"/>
  <c r="BZ269" i="1"/>
  <c r="R269" i="1"/>
  <c r="CJ268" i="1"/>
  <c r="AB268" i="1"/>
  <c r="CT267" i="1"/>
  <c r="AL267" i="1"/>
  <c r="M285" i="1"/>
  <c r="W284" i="1"/>
  <c r="M279" i="1"/>
  <c r="W278" i="1"/>
  <c r="AG277" i="1"/>
  <c r="AQ276" i="1"/>
  <c r="BA275" i="1"/>
  <c r="BK274" i="1"/>
  <c r="BU273" i="1"/>
  <c r="M273" i="1"/>
  <c r="CE272" i="1"/>
  <c r="W272" i="1"/>
  <c r="AG271" i="1"/>
  <c r="AQ270" i="1"/>
  <c r="BA269" i="1"/>
  <c r="BK268" i="1"/>
  <c r="BU267" i="1"/>
  <c r="M267" i="1"/>
  <c r="H283" i="1"/>
  <c r="R282" i="1"/>
  <c r="AB281" i="1"/>
  <c r="AL280" i="1"/>
  <c r="AV279" i="1"/>
  <c r="H277" i="1"/>
  <c r="R276" i="1"/>
  <c r="AB275" i="1"/>
  <c r="AL274" i="1"/>
  <c r="AV273" i="1"/>
  <c r="BF272" i="1"/>
  <c r="BP271" i="1"/>
  <c r="H271" i="1"/>
  <c r="BZ270" i="1"/>
  <c r="R270" i="1"/>
  <c r="CJ269" i="1"/>
  <c r="AB269" i="1"/>
  <c r="CT268" i="1"/>
  <c r="AL268" i="1"/>
  <c r="M286" i="1"/>
  <c r="M280" i="1"/>
  <c r="W279" i="1"/>
  <c r="AG278" i="1"/>
  <c r="AQ277" i="1"/>
  <c r="BA276" i="1"/>
  <c r="BK275" i="1"/>
  <c r="BU274" i="1"/>
  <c r="M274" i="1"/>
  <c r="W273" i="1"/>
  <c r="AG272" i="1"/>
  <c r="AQ271" i="1"/>
  <c r="BA270" i="1"/>
  <c r="BK269" i="1"/>
  <c r="BU268" i="1"/>
  <c r="M268" i="1"/>
  <c r="CE267" i="1"/>
  <c r="H284" i="1"/>
  <c r="R283" i="1"/>
  <c r="AB282" i="1"/>
  <c r="AL281" i="1"/>
  <c r="H278" i="1"/>
  <c r="R277" i="1"/>
  <c r="AB276" i="1"/>
  <c r="AL275" i="1"/>
  <c r="AV274" i="1"/>
  <c r="BF273" i="1"/>
  <c r="BP272" i="1"/>
  <c r="H272" i="1"/>
  <c r="BZ271" i="1"/>
  <c r="R271" i="1"/>
  <c r="CJ270" i="1"/>
  <c r="AB270" i="1"/>
  <c r="CT269" i="1"/>
  <c r="AL269" i="1"/>
  <c r="AV268" i="1"/>
  <c r="M281" i="1"/>
  <c r="W280" i="1"/>
  <c r="AG279" i="1"/>
  <c r="AQ278" i="1"/>
  <c r="BA277" i="1"/>
  <c r="BK276" i="1"/>
  <c r="M275" i="1"/>
  <c r="W274" i="1"/>
  <c r="AG273" i="1"/>
  <c r="AQ272" i="1"/>
  <c r="BA271" i="1"/>
  <c r="BK270" i="1"/>
  <c r="BU269" i="1"/>
  <c r="M269" i="1"/>
  <c r="CE268" i="1"/>
  <c r="W268" i="1"/>
  <c r="H279" i="1"/>
  <c r="R278" i="1"/>
  <c r="AB277" i="1"/>
  <c r="AL276" i="1"/>
  <c r="AV275" i="1"/>
  <c r="BF274" i="1"/>
  <c r="BP273" i="1"/>
  <c r="BZ272" i="1"/>
  <c r="CJ271" i="1"/>
  <c r="AQ267" i="1"/>
  <c r="W267" i="1"/>
  <c r="BF267" i="1"/>
  <c r="H274" i="1"/>
  <c r="R273" i="1"/>
  <c r="AB272" i="1"/>
  <c r="AL271" i="1"/>
  <c r="AV270" i="1"/>
  <c r="BF269" i="1"/>
  <c r="BP268" i="1"/>
  <c r="CY267" i="1"/>
  <c r="H273" i="1"/>
  <c r="R272" i="1"/>
  <c r="AB271" i="1"/>
  <c r="AL270" i="1"/>
  <c r="AV269" i="1"/>
  <c r="BF268" i="1"/>
  <c r="BZ267" i="1"/>
  <c r="M282" i="1"/>
  <c r="W281" i="1"/>
  <c r="AG280" i="1"/>
  <c r="AQ279" i="1"/>
  <c r="BA278" i="1"/>
  <c r="CO267" i="1"/>
  <c r="AG267" i="1"/>
  <c r="M256" i="1" s="1"/>
  <c r="H255" i="1" s="1"/>
  <c r="M276" i="1"/>
  <c r="W275" i="1"/>
  <c r="AG274" i="1"/>
  <c r="AQ273" i="1"/>
  <c r="BA272" i="1"/>
  <c r="BK271" i="1"/>
  <c r="BU270" i="1"/>
  <c r="CE269" i="1"/>
  <c r="CO268" i="1"/>
  <c r="BP267" i="1"/>
  <c r="AV267" i="1"/>
  <c r="H286" i="1"/>
  <c r="R285" i="1"/>
  <c r="M270" i="1"/>
  <c r="W269" i="1"/>
  <c r="DD267" i="1"/>
  <c r="AB267" i="1"/>
  <c r="H280" i="1"/>
  <c r="AB278" i="1"/>
  <c r="AV276" i="1"/>
  <c r="BP274" i="1"/>
  <c r="H267" i="1"/>
  <c r="H285" i="1"/>
  <c r="AB283" i="1"/>
  <c r="R279" i="1"/>
  <c r="AL277" i="1"/>
  <c r="BF275" i="1"/>
  <c r="BZ273" i="1"/>
  <c r="AG268" i="1"/>
  <c r="R284" i="1"/>
  <c r="H268" i="1"/>
  <c r="R267" i="1"/>
  <c r="DB268" i="1" l="1"/>
  <c r="DD268" i="1" s="1"/>
  <c r="DA268" i="1"/>
  <c r="DC268" i="1" s="1"/>
  <c r="CU269" i="1"/>
  <c r="CW269" i="1" l="1"/>
  <c r="CY269" i="1" s="1"/>
  <c r="CV269" i="1"/>
  <c r="CX269" i="1" s="1"/>
  <c r="CZ269" i="1" s="1"/>
  <c r="CP270" i="1"/>
  <c r="CQ270" i="1" l="1"/>
  <c r="CS270" i="1" s="1"/>
  <c r="CU270" i="1" s="1"/>
  <c r="CR270" i="1"/>
  <c r="CT270" i="1" s="1"/>
  <c r="CK271" i="1"/>
  <c r="DA269" i="1"/>
  <c r="DC269" i="1" s="1"/>
  <c r="DB269" i="1"/>
  <c r="DD269" i="1" s="1"/>
  <c r="CM271" i="1" l="1"/>
  <c r="CO271" i="1" s="1"/>
  <c r="CL271" i="1"/>
  <c r="CN271" i="1" s="1"/>
  <c r="CP271" i="1" s="1"/>
  <c r="CF272" i="1"/>
  <c r="CW270" i="1"/>
  <c r="CY270" i="1" s="1"/>
  <c r="CV270" i="1"/>
  <c r="CX270" i="1" s="1"/>
  <c r="CZ270" i="1" s="1"/>
  <c r="DB270" i="1" l="1"/>
  <c r="DD270" i="1" s="1"/>
  <c r="DA270" i="1"/>
  <c r="DC270" i="1" s="1"/>
  <c r="CR271" i="1"/>
  <c r="CT271" i="1" s="1"/>
  <c r="CQ271" i="1"/>
  <c r="CS271" i="1" s="1"/>
  <c r="CU271" i="1" s="1"/>
  <c r="CH272" i="1"/>
  <c r="CJ272" i="1" s="1"/>
  <c r="CG272" i="1"/>
  <c r="CI272" i="1" s="1"/>
  <c r="CK272" i="1" s="1"/>
  <c r="CA273" i="1"/>
  <c r="CC273" i="1" l="1"/>
  <c r="CE273" i="1" s="1"/>
  <c r="CB273" i="1"/>
  <c r="CD273" i="1" s="1"/>
  <c r="CF273" i="1" s="1"/>
  <c r="BV274" i="1"/>
  <c r="CW271" i="1"/>
  <c r="CY271" i="1" s="1"/>
  <c r="CV271" i="1"/>
  <c r="CX271" i="1" s="1"/>
  <c r="CZ271" i="1" s="1"/>
  <c r="CM272" i="1"/>
  <c r="CO272" i="1" s="1"/>
  <c r="CL272" i="1"/>
  <c r="CN272" i="1" s="1"/>
  <c r="CP272" i="1" s="1"/>
  <c r="DB271" i="1" l="1"/>
  <c r="DD271" i="1" s="1"/>
  <c r="DA271" i="1"/>
  <c r="DC271" i="1" s="1"/>
  <c r="CH273" i="1"/>
  <c r="CJ273" i="1" s="1"/>
  <c r="CG273" i="1"/>
  <c r="CI273" i="1" s="1"/>
  <c r="CK273" i="1" s="1"/>
  <c r="CR272" i="1"/>
  <c r="CT272" i="1" s="1"/>
  <c r="CQ272" i="1"/>
  <c r="CS272" i="1" s="1"/>
  <c r="CU272" i="1" s="1"/>
  <c r="BX274" i="1"/>
  <c r="BZ274" i="1" s="1"/>
  <c r="BW274" i="1"/>
  <c r="BY274" i="1" s="1"/>
  <c r="CA274" i="1" s="1"/>
  <c r="BQ275" i="1"/>
  <c r="CW272" i="1" l="1"/>
  <c r="CY272" i="1" s="1"/>
  <c r="CV272" i="1"/>
  <c r="CX272" i="1" s="1"/>
  <c r="CZ272" i="1" s="1"/>
  <c r="CC274" i="1"/>
  <c r="CE274" i="1" s="1"/>
  <c r="CB274" i="1"/>
  <c r="CD274" i="1" s="1"/>
  <c r="CF274" i="1" s="1"/>
  <c r="CM273" i="1"/>
  <c r="CO273" i="1" s="1"/>
  <c r="CL273" i="1"/>
  <c r="CN273" i="1" s="1"/>
  <c r="CP273" i="1" s="1"/>
  <c r="BS275" i="1"/>
  <c r="BU275" i="1" s="1"/>
  <c r="BR275" i="1"/>
  <c r="BT275" i="1" s="1"/>
  <c r="BV275" i="1" s="1"/>
  <c r="BL276" i="1"/>
  <c r="CR273" i="1" l="1"/>
  <c r="CT273" i="1" s="1"/>
  <c r="CQ273" i="1"/>
  <c r="CS273" i="1" s="1"/>
  <c r="CU273" i="1" s="1"/>
  <c r="DB272" i="1"/>
  <c r="DD272" i="1" s="1"/>
  <c r="DA272" i="1"/>
  <c r="DC272" i="1" s="1"/>
  <c r="BX275" i="1"/>
  <c r="BZ275" i="1" s="1"/>
  <c r="BW275" i="1"/>
  <c r="BY275" i="1" s="1"/>
  <c r="CA275" i="1" s="1"/>
  <c r="CH274" i="1"/>
  <c r="CJ274" i="1" s="1"/>
  <c r="CG274" i="1"/>
  <c r="CI274" i="1" s="1"/>
  <c r="CK274" i="1" s="1"/>
  <c r="BN276" i="1"/>
  <c r="BP276" i="1" s="1"/>
  <c r="BM276" i="1"/>
  <c r="BO276" i="1" s="1"/>
  <c r="BQ276" i="1" s="1"/>
  <c r="BG277" i="1"/>
  <c r="CM274" i="1" l="1"/>
  <c r="CO274" i="1" s="1"/>
  <c r="CL274" i="1"/>
  <c r="CN274" i="1" s="1"/>
  <c r="CP274" i="1" s="1"/>
  <c r="CW273" i="1"/>
  <c r="CY273" i="1" s="1"/>
  <c r="CV273" i="1"/>
  <c r="CX273" i="1" s="1"/>
  <c r="CZ273" i="1" s="1"/>
  <c r="CC275" i="1"/>
  <c r="CE275" i="1" s="1"/>
  <c r="CB275" i="1"/>
  <c r="CD275" i="1" s="1"/>
  <c r="CF275" i="1" s="1"/>
  <c r="BI277" i="1"/>
  <c r="BK277" i="1" s="1"/>
  <c r="BH277" i="1"/>
  <c r="BJ277" i="1" s="1"/>
  <c r="BL277" i="1" s="1"/>
  <c r="BB278" i="1"/>
  <c r="BS276" i="1"/>
  <c r="BU276" i="1" s="1"/>
  <c r="BR276" i="1"/>
  <c r="BT276" i="1" s="1"/>
  <c r="BV276" i="1" s="1"/>
  <c r="CH275" i="1" l="1"/>
  <c r="CJ275" i="1" s="1"/>
  <c r="CG275" i="1"/>
  <c r="CI275" i="1" s="1"/>
  <c r="CK275" i="1" s="1"/>
  <c r="BN277" i="1"/>
  <c r="BP277" i="1" s="1"/>
  <c r="BM277" i="1"/>
  <c r="BO277" i="1" s="1"/>
  <c r="BQ277" i="1" s="1"/>
  <c r="CR274" i="1"/>
  <c r="CT274" i="1" s="1"/>
  <c r="CQ274" i="1"/>
  <c r="CS274" i="1" s="1"/>
  <c r="CU274" i="1" s="1"/>
  <c r="DB273" i="1"/>
  <c r="DD273" i="1" s="1"/>
  <c r="DA273" i="1"/>
  <c r="DC273" i="1" s="1"/>
  <c r="BX276" i="1"/>
  <c r="BZ276" i="1" s="1"/>
  <c r="BW276" i="1"/>
  <c r="BY276" i="1" s="1"/>
  <c r="CA276" i="1" s="1"/>
  <c r="BD278" i="1"/>
  <c r="BF278" i="1" s="1"/>
  <c r="BC278" i="1"/>
  <c r="BE278" i="1" s="1"/>
  <c r="BG278" i="1" s="1"/>
  <c r="AW279" i="1"/>
  <c r="AY279" i="1" l="1"/>
  <c r="BA279" i="1" s="1"/>
  <c r="AX279" i="1"/>
  <c r="AZ279" i="1" s="1"/>
  <c r="BB279" i="1" s="1"/>
  <c r="AR280" i="1"/>
  <c r="CW274" i="1"/>
  <c r="CY274" i="1" s="1"/>
  <c r="CV274" i="1"/>
  <c r="CX274" i="1" s="1"/>
  <c r="CZ274" i="1" s="1"/>
  <c r="BI278" i="1"/>
  <c r="BK278" i="1" s="1"/>
  <c r="BH278" i="1"/>
  <c r="BJ278" i="1" s="1"/>
  <c r="BL278" i="1" s="1"/>
  <c r="CM275" i="1"/>
  <c r="CO275" i="1" s="1"/>
  <c r="CL275" i="1"/>
  <c r="CN275" i="1" s="1"/>
  <c r="CP275" i="1" s="1"/>
  <c r="BS277" i="1"/>
  <c r="BU277" i="1" s="1"/>
  <c r="BR277" i="1"/>
  <c r="BT277" i="1" s="1"/>
  <c r="BV277" i="1" s="1"/>
  <c r="CC276" i="1"/>
  <c r="CE276" i="1" s="1"/>
  <c r="CB276" i="1"/>
  <c r="CD276" i="1" s="1"/>
  <c r="CF276" i="1" s="1"/>
  <c r="DB274" i="1" l="1"/>
  <c r="DD274" i="1" s="1"/>
  <c r="DA274" i="1"/>
  <c r="DC274" i="1" s="1"/>
  <c r="BN278" i="1"/>
  <c r="BP278" i="1" s="1"/>
  <c r="BM278" i="1"/>
  <c r="BO278" i="1" s="1"/>
  <c r="BQ278" i="1" s="1"/>
  <c r="AT280" i="1"/>
  <c r="AV280" i="1" s="1"/>
  <c r="AS280" i="1"/>
  <c r="AU280" i="1" s="1"/>
  <c r="AW280" i="1" s="1"/>
  <c r="AM281" i="1"/>
  <c r="BD279" i="1"/>
  <c r="BF279" i="1" s="1"/>
  <c r="BC279" i="1"/>
  <c r="BE279" i="1" s="1"/>
  <c r="BG279" i="1" s="1"/>
  <c r="CR275" i="1"/>
  <c r="CT275" i="1" s="1"/>
  <c r="CQ275" i="1"/>
  <c r="CS275" i="1" s="1"/>
  <c r="CU275" i="1" s="1"/>
  <c r="CH276" i="1"/>
  <c r="CJ276" i="1" s="1"/>
  <c r="CG276" i="1"/>
  <c r="CI276" i="1" s="1"/>
  <c r="CK276" i="1" s="1"/>
  <c r="BX277" i="1"/>
  <c r="BZ277" i="1" s="1"/>
  <c r="BW277" i="1"/>
  <c r="BY277" i="1" s="1"/>
  <c r="CA277" i="1" s="1"/>
  <c r="CC277" i="1" l="1"/>
  <c r="CE277" i="1" s="1"/>
  <c r="CB277" i="1"/>
  <c r="CD277" i="1" s="1"/>
  <c r="CF277" i="1" s="1"/>
  <c r="AO281" i="1"/>
  <c r="AQ281" i="1" s="1"/>
  <c r="AN281" i="1"/>
  <c r="AP281" i="1" s="1"/>
  <c r="AR281" i="1" s="1"/>
  <c r="AH282" i="1"/>
  <c r="AY280" i="1"/>
  <c r="BA280" i="1" s="1"/>
  <c r="AX280" i="1"/>
  <c r="AZ280" i="1" s="1"/>
  <c r="BB280" i="1" s="1"/>
  <c r="CW275" i="1"/>
  <c r="CY275" i="1" s="1"/>
  <c r="CV275" i="1"/>
  <c r="CX275" i="1" s="1"/>
  <c r="CZ275" i="1" s="1"/>
  <c r="CM276" i="1"/>
  <c r="CO276" i="1" s="1"/>
  <c r="CL276" i="1"/>
  <c r="CN276" i="1" s="1"/>
  <c r="CP276" i="1" s="1"/>
  <c r="BS278" i="1"/>
  <c r="BU278" i="1" s="1"/>
  <c r="BR278" i="1"/>
  <c r="BT278" i="1" s="1"/>
  <c r="BV278" i="1" s="1"/>
  <c r="BI279" i="1"/>
  <c r="BK279" i="1" s="1"/>
  <c r="BH279" i="1"/>
  <c r="BJ279" i="1" s="1"/>
  <c r="BL279" i="1" s="1"/>
  <c r="BC280" i="1" l="1"/>
  <c r="BE280" i="1" s="1"/>
  <c r="BG280" i="1" s="1"/>
  <c r="BD280" i="1"/>
  <c r="BF280" i="1" s="1"/>
  <c r="BM279" i="1"/>
  <c r="BO279" i="1" s="1"/>
  <c r="BQ279" i="1" s="1"/>
  <c r="BN279" i="1"/>
  <c r="BP279" i="1" s="1"/>
  <c r="BW278" i="1"/>
  <c r="BY278" i="1" s="1"/>
  <c r="CA278" i="1" s="1"/>
  <c r="BX278" i="1"/>
  <c r="BZ278" i="1" s="1"/>
  <c r="AS281" i="1"/>
  <c r="AU281" i="1" s="1"/>
  <c r="AW281" i="1" s="1"/>
  <c r="AT281" i="1"/>
  <c r="AV281" i="1" s="1"/>
  <c r="AI282" i="1"/>
  <c r="AK282" i="1" s="1"/>
  <c r="AM282" i="1" s="1"/>
  <c r="AJ282" i="1"/>
  <c r="AL282" i="1" s="1"/>
  <c r="AC283" i="1"/>
  <c r="CG277" i="1"/>
  <c r="CI277" i="1" s="1"/>
  <c r="CK277" i="1" s="1"/>
  <c r="CH277" i="1"/>
  <c r="CJ277" i="1" s="1"/>
  <c r="DA275" i="1"/>
  <c r="DC275" i="1" s="1"/>
  <c r="DB275" i="1"/>
  <c r="DD275" i="1" s="1"/>
  <c r="CQ276" i="1"/>
  <c r="CS276" i="1" s="1"/>
  <c r="CU276" i="1" s="1"/>
  <c r="CR276" i="1"/>
  <c r="CT276" i="1" s="1"/>
  <c r="CW276" i="1" l="1"/>
  <c r="CY276" i="1" s="1"/>
  <c r="CV276" i="1"/>
  <c r="CX276" i="1" s="1"/>
  <c r="CZ276" i="1" s="1"/>
  <c r="AY281" i="1"/>
  <c r="BA281" i="1" s="1"/>
  <c r="AX281" i="1"/>
  <c r="AZ281" i="1" s="1"/>
  <c r="BB281" i="1" s="1"/>
  <c r="CC278" i="1"/>
  <c r="CE278" i="1" s="1"/>
  <c r="CB278" i="1"/>
  <c r="CD278" i="1" s="1"/>
  <c r="CF278" i="1" s="1"/>
  <c r="CM277" i="1"/>
  <c r="CO277" i="1" s="1"/>
  <c r="CL277" i="1"/>
  <c r="CN277" i="1" s="1"/>
  <c r="CP277" i="1" s="1"/>
  <c r="AE283" i="1"/>
  <c r="AG283" i="1" s="1"/>
  <c r="AD283" i="1"/>
  <c r="AF283" i="1" s="1"/>
  <c r="AH283" i="1" s="1"/>
  <c r="X284" i="1"/>
  <c r="BS279" i="1"/>
  <c r="BU279" i="1" s="1"/>
  <c r="BR279" i="1"/>
  <c r="BT279" i="1" s="1"/>
  <c r="BV279" i="1" s="1"/>
  <c r="AO282" i="1"/>
  <c r="AQ282" i="1" s="1"/>
  <c r="AN282" i="1"/>
  <c r="AP282" i="1" s="1"/>
  <c r="AR282" i="1" s="1"/>
  <c r="BI280" i="1"/>
  <c r="BK280" i="1" s="1"/>
  <c r="BH280" i="1"/>
  <c r="BJ280" i="1" s="1"/>
  <c r="BL280" i="1" s="1"/>
  <c r="AT282" i="1" l="1"/>
  <c r="AV282" i="1" s="1"/>
  <c r="AS282" i="1"/>
  <c r="AU282" i="1" s="1"/>
  <c r="AW282" i="1" s="1"/>
  <c r="CR277" i="1"/>
  <c r="CT277" i="1" s="1"/>
  <c r="CQ277" i="1"/>
  <c r="CS277" i="1" s="1"/>
  <c r="CU277" i="1" s="1"/>
  <c r="BX279" i="1"/>
  <c r="BZ279" i="1" s="1"/>
  <c r="BW279" i="1"/>
  <c r="BY279" i="1" s="1"/>
  <c r="CA279" i="1" s="1"/>
  <c r="BN280" i="1"/>
  <c r="BP280" i="1" s="1"/>
  <c r="BM280" i="1"/>
  <c r="BO280" i="1" s="1"/>
  <c r="BQ280" i="1" s="1"/>
  <c r="CH278" i="1"/>
  <c r="CJ278" i="1" s="1"/>
  <c r="CG278" i="1"/>
  <c r="CI278" i="1" s="1"/>
  <c r="CK278" i="1" s="1"/>
  <c r="AJ283" i="1"/>
  <c r="AL283" i="1" s="1"/>
  <c r="AI283" i="1"/>
  <c r="AK283" i="1" s="1"/>
  <c r="AM283" i="1" s="1"/>
  <c r="BD281" i="1"/>
  <c r="BF281" i="1" s="1"/>
  <c r="BC281" i="1"/>
  <c r="BE281" i="1" s="1"/>
  <c r="BG281" i="1" s="1"/>
  <c r="Z284" i="1"/>
  <c r="AB284" i="1" s="1"/>
  <c r="Y284" i="1"/>
  <c r="AA284" i="1" s="1"/>
  <c r="AC284" i="1" s="1"/>
  <c r="S285" i="1"/>
  <c r="DB276" i="1"/>
  <c r="DD276" i="1" s="1"/>
  <c r="DA276" i="1"/>
  <c r="DC276" i="1" s="1"/>
  <c r="BI281" i="1" l="1"/>
  <c r="BK281" i="1" s="1"/>
  <c r="BH281" i="1"/>
  <c r="BJ281" i="1" s="1"/>
  <c r="BL281" i="1" s="1"/>
  <c r="AE284" i="1"/>
  <c r="AG284" i="1" s="1"/>
  <c r="AD284" i="1"/>
  <c r="AF284" i="1" s="1"/>
  <c r="AH284" i="1" s="1"/>
  <c r="CC279" i="1"/>
  <c r="CE279" i="1" s="1"/>
  <c r="CB279" i="1"/>
  <c r="CD279" i="1" s="1"/>
  <c r="CF279" i="1" s="1"/>
  <c r="CW277" i="1"/>
  <c r="CY277" i="1" s="1"/>
  <c r="CV277" i="1"/>
  <c r="CX277" i="1" s="1"/>
  <c r="CZ277" i="1" s="1"/>
  <c r="CM278" i="1"/>
  <c r="CO278" i="1" s="1"/>
  <c r="CL278" i="1"/>
  <c r="CN278" i="1" s="1"/>
  <c r="CP278" i="1" s="1"/>
  <c r="AY282" i="1"/>
  <c r="BA282" i="1" s="1"/>
  <c r="AX282" i="1"/>
  <c r="AZ282" i="1" s="1"/>
  <c r="BB282" i="1" s="1"/>
  <c r="BS280" i="1"/>
  <c r="BU280" i="1" s="1"/>
  <c r="BR280" i="1"/>
  <c r="BT280" i="1" s="1"/>
  <c r="BV280" i="1" s="1"/>
  <c r="AO283" i="1"/>
  <c r="AQ283" i="1" s="1"/>
  <c r="AN283" i="1"/>
  <c r="AP283" i="1" s="1"/>
  <c r="AR283" i="1" s="1"/>
  <c r="U285" i="1"/>
  <c r="W285" i="1" s="1"/>
  <c r="T285" i="1"/>
  <c r="V285" i="1" s="1"/>
  <c r="X285" i="1" s="1"/>
  <c r="N286" i="1"/>
  <c r="AT283" i="1" l="1"/>
  <c r="AV283" i="1" s="1"/>
  <c r="AS283" i="1"/>
  <c r="AU283" i="1" s="1"/>
  <c r="AW283" i="1" s="1"/>
  <c r="P286" i="1"/>
  <c r="R286" i="1" s="1"/>
  <c r="O286" i="1"/>
  <c r="I287" i="1"/>
  <c r="CH279" i="1"/>
  <c r="CJ279" i="1" s="1"/>
  <c r="CG279" i="1"/>
  <c r="CI279" i="1" s="1"/>
  <c r="CK279" i="1" s="1"/>
  <c r="CR278" i="1"/>
  <c r="CT278" i="1" s="1"/>
  <c r="CQ278" i="1"/>
  <c r="CS278" i="1" s="1"/>
  <c r="CU278" i="1" s="1"/>
  <c r="BX280" i="1"/>
  <c r="BZ280" i="1" s="1"/>
  <c r="BW280" i="1"/>
  <c r="BY280" i="1" s="1"/>
  <c r="CA280" i="1" s="1"/>
  <c r="AJ284" i="1"/>
  <c r="AL284" i="1" s="1"/>
  <c r="AI284" i="1"/>
  <c r="AK284" i="1" s="1"/>
  <c r="AM284" i="1" s="1"/>
  <c r="BN281" i="1"/>
  <c r="BP281" i="1" s="1"/>
  <c r="BM281" i="1"/>
  <c r="BO281" i="1" s="1"/>
  <c r="BQ281" i="1" s="1"/>
  <c r="DB277" i="1"/>
  <c r="DD277" i="1" s="1"/>
  <c r="DA277" i="1"/>
  <c r="DC277" i="1" s="1"/>
  <c r="BD282" i="1"/>
  <c r="BF282" i="1" s="1"/>
  <c r="BC282" i="1"/>
  <c r="BE282" i="1" s="1"/>
  <c r="BG282" i="1" s="1"/>
  <c r="Z285" i="1"/>
  <c r="AB285" i="1" s="1"/>
  <c r="Y285" i="1"/>
  <c r="AA285" i="1" s="1"/>
  <c r="AC285" i="1" s="1"/>
  <c r="S286" i="1"/>
  <c r="CW278" i="1" l="1"/>
  <c r="CY278" i="1" s="1"/>
  <c r="CV278" i="1"/>
  <c r="CX278" i="1" s="1"/>
  <c r="CZ278" i="1" s="1"/>
  <c r="CM279" i="1"/>
  <c r="CO279" i="1" s="1"/>
  <c r="CL279" i="1"/>
  <c r="CN279" i="1" s="1"/>
  <c r="CP279" i="1" s="1"/>
  <c r="U286" i="1"/>
  <c r="W286" i="1" s="1"/>
  <c r="T286" i="1"/>
  <c r="V286" i="1" s="1"/>
  <c r="X286" i="1" s="1"/>
  <c r="S287" i="1" s="1"/>
  <c r="K287" i="1"/>
  <c r="M287" i="1" s="1"/>
  <c r="J287" i="1"/>
  <c r="L287" i="1" s="1"/>
  <c r="N287" i="1" s="1"/>
  <c r="D288" i="1"/>
  <c r="CC280" i="1"/>
  <c r="CE280" i="1" s="1"/>
  <c r="CB280" i="1"/>
  <c r="CD280" i="1" s="1"/>
  <c r="CF280" i="1" s="1"/>
  <c r="BS281" i="1"/>
  <c r="BU281" i="1" s="1"/>
  <c r="BR281" i="1"/>
  <c r="BT281" i="1" s="1"/>
  <c r="BV281" i="1" s="1"/>
  <c r="AE285" i="1"/>
  <c r="AG285" i="1" s="1"/>
  <c r="AD285" i="1"/>
  <c r="AF285" i="1" s="1"/>
  <c r="AH285" i="1" s="1"/>
  <c r="AY283" i="1"/>
  <c r="BA283" i="1" s="1"/>
  <c r="AX283" i="1"/>
  <c r="AZ283" i="1" s="1"/>
  <c r="BB283" i="1" s="1"/>
  <c r="AO284" i="1"/>
  <c r="AQ284" i="1" s="1"/>
  <c r="AN284" i="1"/>
  <c r="AP284" i="1" s="1"/>
  <c r="AR284" i="1" s="1"/>
  <c r="BI282" i="1"/>
  <c r="BK282" i="1" s="1"/>
  <c r="BH282" i="1"/>
  <c r="BJ282" i="1" s="1"/>
  <c r="BL282" i="1" s="1"/>
  <c r="U287" i="1" l="1"/>
  <c r="W287" i="1" s="1"/>
  <c r="T287" i="1"/>
  <c r="V287" i="1" s="1"/>
  <c r="X287" i="1" s="1"/>
  <c r="BN282" i="1"/>
  <c r="BP282" i="1" s="1"/>
  <c r="BM282" i="1"/>
  <c r="BO282" i="1" s="1"/>
  <c r="BQ282" i="1" s="1"/>
  <c r="AJ285" i="1"/>
  <c r="AL285" i="1" s="1"/>
  <c r="AI285" i="1"/>
  <c r="AK285" i="1" s="1"/>
  <c r="AM285" i="1" s="1"/>
  <c r="AT284" i="1"/>
  <c r="AV284" i="1" s="1"/>
  <c r="AS284" i="1"/>
  <c r="AU284" i="1" s="1"/>
  <c r="AW284" i="1" s="1"/>
  <c r="Z286" i="1"/>
  <c r="AB286" i="1" s="1"/>
  <c r="Y286" i="1"/>
  <c r="AA286" i="1" s="1"/>
  <c r="AC286" i="1" s="1"/>
  <c r="CR279" i="1"/>
  <c r="CT279" i="1" s="1"/>
  <c r="CQ279" i="1"/>
  <c r="CS279" i="1" s="1"/>
  <c r="CU279" i="1" s="1"/>
  <c r="BX281" i="1"/>
  <c r="BZ281" i="1" s="1"/>
  <c r="BW281" i="1"/>
  <c r="BY281" i="1" s="1"/>
  <c r="CA281" i="1" s="1"/>
  <c r="CH280" i="1"/>
  <c r="CJ280" i="1" s="1"/>
  <c r="CG280" i="1"/>
  <c r="CI280" i="1" s="1"/>
  <c r="CK280" i="1" s="1"/>
  <c r="P287" i="1"/>
  <c r="R287" i="1" s="1"/>
  <c r="O287" i="1"/>
  <c r="DB278" i="1"/>
  <c r="DD278" i="1" s="1"/>
  <c r="DA278" i="1"/>
  <c r="DC278" i="1" s="1"/>
  <c r="BD283" i="1"/>
  <c r="BF283" i="1" s="1"/>
  <c r="BC283" i="1"/>
  <c r="BE283" i="1" s="1"/>
  <c r="BG283" i="1" s="1"/>
  <c r="F288" i="1"/>
  <c r="H288" i="1" s="1"/>
  <c r="E288" i="1"/>
  <c r="Y287" i="1" l="1"/>
  <c r="AA287" i="1" s="1"/>
  <c r="Z287" i="1"/>
  <c r="AB287" i="1" s="1"/>
  <c r="AY284" i="1"/>
  <c r="BA284" i="1" s="1"/>
  <c r="AX284" i="1"/>
  <c r="AZ284" i="1" s="1"/>
  <c r="BB284" i="1" s="1"/>
  <c r="CC281" i="1"/>
  <c r="CE281" i="1" s="1"/>
  <c r="CB281" i="1"/>
  <c r="CD281" i="1" s="1"/>
  <c r="CF281" i="1" s="1"/>
  <c r="CM280" i="1"/>
  <c r="CO280" i="1" s="1"/>
  <c r="CL280" i="1"/>
  <c r="CN280" i="1" s="1"/>
  <c r="CP280" i="1" s="1"/>
  <c r="BI283" i="1"/>
  <c r="BK283" i="1" s="1"/>
  <c r="BH283" i="1"/>
  <c r="BJ283" i="1" s="1"/>
  <c r="BL283" i="1" s="1"/>
  <c r="AO285" i="1"/>
  <c r="AQ285" i="1" s="1"/>
  <c r="AN285" i="1"/>
  <c r="AP285" i="1" s="1"/>
  <c r="AR285" i="1" s="1"/>
  <c r="AE286" i="1"/>
  <c r="AG286" i="1" s="1"/>
  <c r="AD286" i="1"/>
  <c r="AF286" i="1" s="1"/>
  <c r="AH286" i="1" s="1"/>
  <c r="AC287" i="1" s="1"/>
  <c r="G288" i="1"/>
  <c r="I288" i="1" s="1"/>
  <c r="Q288" i="1"/>
  <c r="S288" i="1" s="1"/>
  <c r="CW279" i="1"/>
  <c r="CY279" i="1" s="1"/>
  <c r="CV279" i="1"/>
  <c r="CX279" i="1" s="1"/>
  <c r="BS282" i="1"/>
  <c r="BU282" i="1" s="1"/>
  <c r="BR282" i="1"/>
  <c r="BT282" i="1" s="1"/>
  <c r="BV282" i="1" s="1"/>
  <c r="AD287" i="1" l="1"/>
  <c r="AF287" i="1" s="1"/>
  <c r="AE287" i="1"/>
  <c r="AG287" i="1" s="1"/>
  <c r="CR280" i="1"/>
  <c r="CT280" i="1" s="1"/>
  <c r="CQ280" i="1"/>
  <c r="CS280" i="1" s="1"/>
  <c r="T288" i="1"/>
  <c r="V288" i="1" s="1"/>
  <c r="X288" i="1" s="1"/>
  <c r="U288" i="1"/>
  <c r="W288" i="1" s="1"/>
  <c r="CH281" i="1"/>
  <c r="CJ281" i="1" s="1"/>
  <c r="CG281" i="1"/>
  <c r="CI281" i="1" s="1"/>
  <c r="CK281" i="1" s="1"/>
  <c r="AJ286" i="1"/>
  <c r="AL286" i="1" s="1"/>
  <c r="AI286" i="1"/>
  <c r="AK286" i="1" s="1"/>
  <c r="AM286" i="1" s="1"/>
  <c r="BX282" i="1"/>
  <c r="BZ282" i="1" s="1"/>
  <c r="BW282" i="1"/>
  <c r="BY282" i="1" s="1"/>
  <c r="CA282" i="1" s="1"/>
  <c r="K288" i="1"/>
  <c r="M288" i="1" s="1"/>
  <c r="J288" i="1"/>
  <c r="L288" i="1" s="1"/>
  <c r="N288" i="1" s="1"/>
  <c r="D289" i="1"/>
  <c r="AT285" i="1"/>
  <c r="AV285" i="1" s="1"/>
  <c r="AS285" i="1"/>
  <c r="AU285" i="1" s="1"/>
  <c r="AW285" i="1" s="1"/>
  <c r="BN283" i="1"/>
  <c r="BP283" i="1" s="1"/>
  <c r="BM283" i="1"/>
  <c r="BO283" i="1" s="1"/>
  <c r="BQ283" i="1" s="1"/>
  <c r="BD284" i="1"/>
  <c r="BF284" i="1" s="1"/>
  <c r="BC284" i="1"/>
  <c r="BE284" i="1" s="1"/>
  <c r="BG284" i="1" s="1"/>
  <c r="CZ279" i="1"/>
  <c r="CM281" i="1" l="1"/>
  <c r="CO281" i="1" s="1"/>
  <c r="CL281" i="1"/>
  <c r="CN281" i="1" s="1"/>
  <c r="CC282" i="1"/>
  <c r="CE282" i="1" s="1"/>
  <c r="CB282" i="1"/>
  <c r="CD282" i="1" s="1"/>
  <c r="CF282" i="1" s="1"/>
  <c r="AY285" i="1"/>
  <c r="BA285" i="1" s="1"/>
  <c r="AX285" i="1"/>
  <c r="AZ285" i="1" s="1"/>
  <c r="BB285" i="1" s="1"/>
  <c r="E289" i="1"/>
  <c r="F289" i="1"/>
  <c r="H289" i="1" s="1"/>
  <c r="Z288" i="1"/>
  <c r="AB288" i="1" s="1"/>
  <c r="Y288" i="1"/>
  <c r="AA288" i="1" s="1"/>
  <c r="DB279" i="1"/>
  <c r="DD279" i="1" s="1"/>
  <c r="DA279" i="1"/>
  <c r="DC279" i="1" s="1"/>
  <c r="BI284" i="1"/>
  <c r="BK284" i="1" s="1"/>
  <c r="BH284" i="1"/>
  <c r="BJ284" i="1" s="1"/>
  <c r="BL284" i="1" s="1"/>
  <c r="CU280" i="1"/>
  <c r="BS283" i="1"/>
  <c r="BU283" i="1" s="1"/>
  <c r="BR283" i="1"/>
  <c r="BT283" i="1" s="1"/>
  <c r="BV283" i="1" s="1"/>
  <c r="O288" i="1"/>
  <c r="P288" i="1"/>
  <c r="R288" i="1" s="1"/>
  <c r="AO286" i="1"/>
  <c r="AQ286" i="1" s="1"/>
  <c r="AN286" i="1"/>
  <c r="AP286" i="1" s="1"/>
  <c r="AR286" i="1" s="1"/>
  <c r="AH287" i="1"/>
  <c r="AJ287" i="1" l="1"/>
  <c r="AL287" i="1" s="1"/>
  <c r="AI287" i="1"/>
  <c r="AK287" i="1" s="1"/>
  <c r="AM287" i="1" s="1"/>
  <c r="BW283" i="1"/>
  <c r="BY283" i="1" s="1"/>
  <c r="CA283" i="1" s="1"/>
  <c r="BX283" i="1"/>
  <c r="BZ283" i="1" s="1"/>
  <c r="BM284" i="1"/>
  <c r="BO284" i="1" s="1"/>
  <c r="BQ284" i="1" s="1"/>
  <c r="BN284" i="1"/>
  <c r="BP284" i="1" s="1"/>
  <c r="Q289" i="1"/>
  <c r="S289" i="1" s="1"/>
  <c r="G289" i="1"/>
  <c r="I289" i="1" s="1"/>
  <c r="BC285" i="1"/>
  <c r="BE285" i="1" s="1"/>
  <c r="BG285" i="1" s="1"/>
  <c r="BD285" i="1"/>
  <c r="BF285" i="1" s="1"/>
  <c r="CW280" i="1"/>
  <c r="CY280" i="1" s="1"/>
  <c r="CV280" i="1"/>
  <c r="CX280" i="1" s="1"/>
  <c r="CZ280" i="1" s="1"/>
  <c r="AS286" i="1"/>
  <c r="AU286" i="1" s="1"/>
  <c r="AW286" i="1" s="1"/>
  <c r="AT286" i="1"/>
  <c r="AV286" i="1" s="1"/>
  <c r="CG282" i="1"/>
  <c r="CI282" i="1" s="1"/>
  <c r="CK282" i="1" s="1"/>
  <c r="CH282" i="1"/>
  <c r="CJ282" i="1" s="1"/>
  <c r="AC288" i="1"/>
  <c r="CP281" i="1"/>
  <c r="J289" i="1" l="1"/>
  <c r="L289" i="1" s="1"/>
  <c r="N289" i="1" s="1"/>
  <c r="K289" i="1"/>
  <c r="M289" i="1" s="1"/>
  <c r="D290" i="1"/>
  <c r="AY286" i="1"/>
  <c r="BA286" i="1" s="1"/>
  <c r="AX286" i="1"/>
  <c r="AZ286" i="1" s="1"/>
  <c r="BB286" i="1" s="1"/>
  <c r="AE288" i="1"/>
  <c r="AG288" i="1" s="1"/>
  <c r="AD288" i="1"/>
  <c r="AF288" i="1" s="1"/>
  <c r="AH288" i="1" s="1"/>
  <c r="U289" i="1"/>
  <c r="W289" i="1" s="1"/>
  <c r="T289" i="1"/>
  <c r="V289" i="1" s="1"/>
  <c r="X289" i="1" s="1"/>
  <c r="AO287" i="1"/>
  <c r="AQ287" i="1" s="1"/>
  <c r="AN287" i="1"/>
  <c r="AP287" i="1" s="1"/>
  <c r="AR287" i="1" s="1"/>
  <c r="CM282" i="1"/>
  <c r="CO282" i="1" s="1"/>
  <c r="CL282" i="1"/>
  <c r="CN282" i="1" s="1"/>
  <c r="CP282" i="1" s="1"/>
  <c r="DA280" i="1"/>
  <c r="DC280" i="1" s="1"/>
  <c r="DB280" i="1"/>
  <c r="DD280" i="1" s="1"/>
  <c r="BS284" i="1"/>
  <c r="BU284" i="1" s="1"/>
  <c r="BR284" i="1"/>
  <c r="BT284" i="1" s="1"/>
  <c r="BV284" i="1" s="1"/>
  <c r="CC283" i="1"/>
  <c r="CE283" i="1" s="1"/>
  <c r="CB283" i="1"/>
  <c r="CD283" i="1" s="1"/>
  <c r="CF283" i="1" s="1"/>
  <c r="CQ281" i="1"/>
  <c r="CS281" i="1" s="1"/>
  <c r="CU281" i="1" s="1"/>
  <c r="CR281" i="1"/>
  <c r="CT281" i="1" s="1"/>
  <c r="BI285" i="1"/>
  <c r="BK285" i="1" s="1"/>
  <c r="BH285" i="1"/>
  <c r="BJ285" i="1" s="1"/>
  <c r="BL285" i="1" s="1"/>
  <c r="CQ282" i="1" l="1"/>
  <c r="CS282" i="1" s="1"/>
  <c r="CR282" i="1"/>
  <c r="CT282" i="1" s="1"/>
  <c r="BW284" i="1"/>
  <c r="BY284" i="1" s="1"/>
  <c r="CA284" i="1" s="1"/>
  <c r="BX284" i="1"/>
  <c r="BZ284" i="1" s="1"/>
  <c r="BM285" i="1"/>
  <c r="BO285" i="1" s="1"/>
  <c r="BQ285" i="1" s="1"/>
  <c r="BN285" i="1"/>
  <c r="BP285" i="1" s="1"/>
  <c r="BC286" i="1"/>
  <c r="BE286" i="1" s="1"/>
  <c r="BG286" i="1" s="1"/>
  <c r="BD286" i="1"/>
  <c r="BF286" i="1" s="1"/>
  <c r="AS287" i="1"/>
  <c r="AU287" i="1" s="1"/>
  <c r="AW287" i="1" s="1"/>
  <c r="AT287" i="1"/>
  <c r="AV287" i="1" s="1"/>
  <c r="AI288" i="1"/>
  <c r="AK288" i="1" s="1"/>
  <c r="AM288" i="1" s="1"/>
  <c r="AJ288" i="1"/>
  <c r="AL288" i="1" s="1"/>
  <c r="CW281" i="1"/>
  <c r="CY281" i="1" s="1"/>
  <c r="CV281" i="1"/>
  <c r="CX281" i="1" s="1"/>
  <c r="CZ281" i="1" s="1"/>
  <c r="CG283" i="1"/>
  <c r="CI283" i="1" s="1"/>
  <c r="CK283" i="1" s="1"/>
  <c r="CH283" i="1"/>
  <c r="CJ283" i="1" s="1"/>
  <c r="F290" i="1"/>
  <c r="H290" i="1" s="1"/>
  <c r="E290" i="1"/>
  <c r="Y289" i="1"/>
  <c r="AA289" i="1" s="1"/>
  <c r="AC289" i="1" s="1"/>
  <c r="Z289" i="1"/>
  <c r="AB289" i="1" s="1"/>
  <c r="P289" i="1"/>
  <c r="R289" i="1" s="1"/>
  <c r="O289" i="1"/>
  <c r="DA281" i="1" l="1"/>
  <c r="DC281" i="1" s="1"/>
  <c r="DB281" i="1"/>
  <c r="DD281" i="1" s="1"/>
  <c r="CC284" i="1"/>
  <c r="CE284" i="1" s="1"/>
  <c r="CB284" i="1"/>
  <c r="CD284" i="1" s="1"/>
  <c r="CF284" i="1" s="1"/>
  <c r="BS285" i="1"/>
  <c r="BU285" i="1" s="1"/>
  <c r="BR285" i="1"/>
  <c r="BT285" i="1" s="1"/>
  <c r="BV285" i="1" s="1"/>
  <c r="CM283" i="1"/>
  <c r="CO283" i="1" s="1"/>
  <c r="CL283" i="1"/>
  <c r="CN283" i="1" s="1"/>
  <c r="CP283" i="1" s="1"/>
  <c r="CU282" i="1"/>
  <c r="AO288" i="1"/>
  <c r="AQ288" i="1" s="1"/>
  <c r="AN288" i="1"/>
  <c r="AP288" i="1" s="1"/>
  <c r="AR288" i="1" s="1"/>
  <c r="G290" i="1"/>
  <c r="I290" i="1" s="1"/>
  <c r="Q290" i="1"/>
  <c r="S290" i="1" s="1"/>
  <c r="BI286" i="1"/>
  <c r="BK286" i="1" s="1"/>
  <c r="BH286" i="1"/>
  <c r="BJ286" i="1" s="1"/>
  <c r="BL286" i="1" s="1"/>
  <c r="AE289" i="1"/>
  <c r="AG289" i="1" s="1"/>
  <c r="AD289" i="1"/>
  <c r="AF289" i="1" s="1"/>
  <c r="AH289" i="1" s="1"/>
  <c r="AY287" i="1"/>
  <c r="BA287" i="1" s="1"/>
  <c r="AX287" i="1"/>
  <c r="AZ287" i="1" s="1"/>
  <c r="BB287" i="1" s="1"/>
  <c r="CR283" i="1" l="1"/>
  <c r="CT283" i="1" s="1"/>
  <c r="CQ283" i="1"/>
  <c r="CS283" i="1" s="1"/>
  <c r="AJ289" i="1"/>
  <c r="AL289" i="1" s="1"/>
  <c r="AI289" i="1"/>
  <c r="AK289" i="1" s="1"/>
  <c r="AM289" i="1" s="1"/>
  <c r="BN286" i="1"/>
  <c r="BP286" i="1" s="1"/>
  <c r="BM286" i="1"/>
  <c r="BO286" i="1" s="1"/>
  <c r="BQ286" i="1" s="1"/>
  <c r="BX285" i="1"/>
  <c r="BZ285" i="1" s="1"/>
  <c r="BW285" i="1"/>
  <c r="BY285" i="1" s="1"/>
  <c r="CA285" i="1" s="1"/>
  <c r="U290" i="1"/>
  <c r="W290" i="1" s="1"/>
  <c r="T290" i="1"/>
  <c r="V290" i="1" s="1"/>
  <c r="X290" i="1" s="1"/>
  <c r="CH284" i="1"/>
  <c r="CJ284" i="1" s="1"/>
  <c r="CG284" i="1"/>
  <c r="CI284" i="1" s="1"/>
  <c r="CK284" i="1" s="1"/>
  <c r="K290" i="1"/>
  <c r="M290" i="1" s="1"/>
  <c r="J290" i="1"/>
  <c r="L290" i="1" s="1"/>
  <c r="N290" i="1" s="1"/>
  <c r="D291" i="1"/>
  <c r="AT288" i="1"/>
  <c r="AV288" i="1" s="1"/>
  <c r="AS288" i="1"/>
  <c r="AU288" i="1" s="1"/>
  <c r="AW288" i="1" s="1"/>
  <c r="BD287" i="1"/>
  <c r="BF287" i="1" s="1"/>
  <c r="BC287" i="1"/>
  <c r="BE287" i="1" s="1"/>
  <c r="BG287" i="1" s="1"/>
  <c r="CW282" i="1"/>
  <c r="CY282" i="1" s="1"/>
  <c r="CV282" i="1"/>
  <c r="CX282" i="1" s="1"/>
  <c r="CZ282" i="1" s="1"/>
  <c r="CU283" i="1" s="1"/>
  <c r="CW283" i="1" l="1"/>
  <c r="CY283" i="1" s="1"/>
  <c r="CV283" i="1"/>
  <c r="CX283" i="1" s="1"/>
  <c r="BS286" i="1"/>
  <c r="BU286" i="1" s="1"/>
  <c r="BR286" i="1"/>
  <c r="BT286" i="1" s="1"/>
  <c r="BV286" i="1" s="1"/>
  <c r="CM284" i="1"/>
  <c r="CO284" i="1" s="1"/>
  <c r="CL284" i="1"/>
  <c r="CN284" i="1" s="1"/>
  <c r="CP284" i="1" s="1"/>
  <c r="CC285" i="1"/>
  <c r="CE285" i="1" s="1"/>
  <c r="CB285" i="1"/>
  <c r="CD285" i="1" s="1"/>
  <c r="CF285" i="1" s="1"/>
  <c r="DB282" i="1"/>
  <c r="DD282" i="1" s="1"/>
  <c r="DA282" i="1"/>
  <c r="DC282" i="1" s="1"/>
  <c r="CZ283" i="1"/>
  <c r="E291" i="1"/>
  <c r="F291" i="1"/>
  <c r="H291" i="1" s="1"/>
  <c r="O290" i="1"/>
  <c r="P290" i="1"/>
  <c r="R290" i="1" s="1"/>
  <c r="AO289" i="1"/>
  <c r="AQ289" i="1" s="1"/>
  <c r="AN289" i="1"/>
  <c r="AP289" i="1" s="1"/>
  <c r="AR289" i="1" s="1"/>
  <c r="BI287" i="1"/>
  <c r="BK287" i="1" s="1"/>
  <c r="BH287" i="1"/>
  <c r="BJ287" i="1" s="1"/>
  <c r="BL287" i="1" s="1"/>
  <c r="Z290" i="1"/>
  <c r="AB290" i="1" s="1"/>
  <c r="Y290" i="1"/>
  <c r="AA290" i="1" s="1"/>
  <c r="AC290" i="1" s="1"/>
  <c r="AY288" i="1"/>
  <c r="BA288" i="1" s="1"/>
  <c r="AX288" i="1"/>
  <c r="AZ288" i="1" s="1"/>
  <c r="BB288" i="1" s="1"/>
  <c r="CR284" i="1" l="1"/>
  <c r="CT284" i="1" s="1"/>
  <c r="CQ284" i="1"/>
  <c r="CS284" i="1" s="1"/>
  <c r="CU284" i="1" s="1"/>
  <c r="CH285" i="1"/>
  <c r="CJ285" i="1" s="1"/>
  <c r="CG285" i="1"/>
  <c r="CI285" i="1" s="1"/>
  <c r="CK285" i="1" s="1"/>
  <c r="AE290" i="1"/>
  <c r="AG290" i="1" s="1"/>
  <c r="AD290" i="1"/>
  <c r="AF290" i="1" s="1"/>
  <c r="AH290" i="1" s="1"/>
  <c r="DB283" i="1"/>
  <c r="DD283" i="1" s="1"/>
  <c r="DA283" i="1"/>
  <c r="DC283" i="1" s="1"/>
  <c r="AT289" i="1"/>
  <c r="AV289" i="1" s="1"/>
  <c r="AS289" i="1"/>
  <c r="AU289" i="1" s="1"/>
  <c r="AW289" i="1" s="1"/>
  <c r="Q291" i="1"/>
  <c r="S291" i="1" s="1"/>
  <c r="G291" i="1"/>
  <c r="I291" i="1" s="1"/>
  <c r="BD288" i="1"/>
  <c r="BF288" i="1" s="1"/>
  <c r="BC288" i="1"/>
  <c r="BE288" i="1" s="1"/>
  <c r="BG288" i="1" s="1"/>
  <c r="BX286" i="1"/>
  <c r="BZ286" i="1" s="1"/>
  <c r="BW286" i="1"/>
  <c r="BY286" i="1" s="1"/>
  <c r="CA286" i="1" s="1"/>
  <c r="BN287" i="1"/>
  <c r="BP287" i="1" s="1"/>
  <c r="BM287" i="1"/>
  <c r="BO287" i="1" s="1"/>
  <c r="BQ287" i="1" s="1"/>
  <c r="BI288" i="1" l="1"/>
  <c r="BK288" i="1" s="1"/>
  <c r="BH288" i="1"/>
  <c r="BJ288" i="1" s="1"/>
  <c r="BL288" i="1" s="1"/>
  <c r="CC286" i="1"/>
  <c r="CE286" i="1" s="1"/>
  <c r="CB286" i="1"/>
  <c r="CD286" i="1" s="1"/>
  <c r="CF286" i="1" s="1"/>
  <c r="K291" i="1"/>
  <c r="M291" i="1" s="1"/>
  <c r="J291" i="1"/>
  <c r="L291" i="1" s="1"/>
  <c r="N291" i="1" s="1"/>
  <c r="D292" i="1"/>
  <c r="AJ290" i="1"/>
  <c r="AL290" i="1" s="1"/>
  <c r="AI290" i="1"/>
  <c r="AK290" i="1" s="1"/>
  <c r="AM290" i="1" s="1"/>
  <c r="CM285" i="1"/>
  <c r="CO285" i="1" s="1"/>
  <c r="CL285" i="1"/>
  <c r="CN285" i="1" s="1"/>
  <c r="CP285" i="1" s="1"/>
  <c r="CW284" i="1"/>
  <c r="CY284" i="1" s="1"/>
  <c r="CV284" i="1"/>
  <c r="CX284" i="1" s="1"/>
  <c r="CZ284" i="1" s="1"/>
  <c r="U291" i="1"/>
  <c r="W291" i="1" s="1"/>
  <c r="T291" i="1"/>
  <c r="V291" i="1" s="1"/>
  <c r="X291" i="1" s="1"/>
  <c r="AY289" i="1"/>
  <c r="BA289" i="1" s="1"/>
  <c r="AX289" i="1"/>
  <c r="AZ289" i="1" s="1"/>
  <c r="BB289" i="1" s="1"/>
  <c r="BS287" i="1"/>
  <c r="BU287" i="1" s="1"/>
  <c r="BR287" i="1"/>
  <c r="BT287" i="1" s="1"/>
  <c r="BV287" i="1" s="1"/>
  <c r="AO290" i="1" l="1"/>
  <c r="AQ290" i="1" s="1"/>
  <c r="AN290" i="1"/>
  <c r="AP290" i="1" s="1"/>
  <c r="AR290" i="1" s="1"/>
  <c r="DB284" i="1"/>
  <c r="DD284" i="1" s="1"/>
  <c r="DA284" i="1"/>
  <c r="DC284" i="1" s="1"/>
  <c r="Z291" i="1"/>
  <c r="AB291" i="1" s="1"/>
  <c r="Y291" i="1"/>
  <c r="AA291" i="1" s="1"/>
  <c r="AC291" i="1" s="1"/>
  <c r="P291" i="1"/>
  <c r="R291" i="1" s="1"/>
  <c r="O291" i="1"/>
  <c r="CR285" i="1"/>
  <c r="CT285" i="1" s="1"/>
  <c r="CQ285" i="1"/>
  <c r="CS285" i="1" s="1"/>
  <c r="CU285" i="1" s="1"/>
  <c r="F292" i="1"/>
  <c r="H292" i="1" s="1"/>
  <c r="E292" i="1"/>
  <c r="CH286" i="1"/>
  <c r="CJ286" i="1" s="1"/>
  <c r="CG286" i="1"/>
  <c r="CI286" i="1" s="1"/>
  <c r="CK286" i="1" s="1"/>
  <c r="BX287" i="1"/>
  <c r="BZ287" i="1" s="1"/>
  <c r="BW287" i="1"/>
  <c r="BY287" i="1" s="1"/>
  <c r="CA287" i="1" s="1"/>
  <c r="BN288" i="1"/>
  <c r="BP288" i="1" s="1"/>
  <c r="BM288" i="1"/>
  <c r="BO288" i="1" s="1"/>
  <c r="BQ288" i="1" s="1"/>
  <c r="BD289" i="1"/>
  <c r="BF289" i="1" s="1"/>
  <c r="BC289" i="1"/>
  <c r="BE289" i="1" s="1"/>
  <c r="BG289" i="1" s="1"/>
  <c r="BI289" i="1" l="1"/>
  <c r="BK289" i="1" s="1"/>
  <c r="BH289" i="1"/>
  <c r="BJ289" i="1" s="1"/>
  <c r="BL289" i="1" s="1"/>
  <c r="CM286" i="1"/>
  <c r="CO286" i="1" s="1"/>
  <c r="CL286" i="1"/>
  <c r="CN286" i="1" s="1"/>
  <c r="CP286" i="1" s="1"/>
  <c r="BS288" i="1"/>
  <c r="BU288" i="1" s="1"/>
  <c r="BR288" i="1"/>
  <c r="BT288" i="1" s="1"/>
  <c r="BV288" i="1" s="1"/>
  <c r="CC287" i="1"/>
  <c r="CE287" i="1" s="1"/>
  <c r="CB287" i="1"/>
  <c r="CD287" i="1" s="1"/>
  <c r="CF287" i="1" s="1"/>
  <c r="AD291" i="1"/>
  <c r="AF291" i="1" s="1"/>
  <c r="AH291" i="1" s="1"/>
  <c r="AE291" i="1"/>
  <c r="AG291" i="1" s="1"/>
  <c r="G292" i="1"/>
  <c r="I292" i="1" s="1"/>
  <c r="Q292" i="1"/>
  <c r="S292" i="1" s="1"/>
  <c r="AT290" i="1"/>
  <c r="AV290" i="1" s="1"/>
  <c r="AS290" i="1"/>
  <c r="AU290" i="1" s="1"/>
  <c r="AW290" i="1" s="1"/>
  <c r="CW285" i="1"/>
  <c r="CY285" i="1" s="1"/>
  <c r="CV285" i="1"/>
  <c r="CX285" i="1" s="1"/>
  <c r="CZ285" i="1" l="1"/>
  <c r="CR286" i="1"/>
  <c r="CT286" i="1" s="1"/>
  <c r="CQ286" i="1"/>
  <c r="CS286" i="1" s="1"/>
  <c r="CU286" i="1" s="1"/>
  <c r="CG287" i="1"/>
  <c r="CI287" i="1" s="1"/>
  <c r="CK287" i="1" s="1"/>
  <c r="CH287" i="1"/>
  <c r="CJ287" i="1" s="1"/>
  <c r="U292" i="1"/>
  <c r="W292" i="1" s="1"/>
  <c r="T292" i="1"/>
  <c r="V292" i="1" s="1"/>
  <c r="X292" i="1" s="1"/>
  <c r="AY290" i="1"/>
  <c r="BA290" i="1" s="1"/>
  <c r="AX290" i="1"/>
  <c r="AZ290" i="1" s="1"/>
  <c r="BB290" i="1" s="1"/>
  <c r="AJ291" i="1"/>
  <c r="AL291" i="1" s="1"/>
  <c r="AI291" i="1"/>
  <c r="AK291" i="1" s="1"/>
  <c r="AM291" i="1" s="1"/>
  <c r="BW288" i="1"/>
  <c r="BY288" i="1" s="1"/>
  <c r="CA288" i="1" s="1"/>
  <c r="BX288" i="1"/>
  <c r="BZ288" i="1" s="1"/>
  <c r="K292" i="1"/>
  <c r="M292" i="1" s="1"/>
  <c r="J292" i="1"/>
  <c r="L292" i="1" s="1"/>
  <c r="N292" i="1" s="1"/>
  <c r="D293" i="1"/>
  <c r="BM289" i="1"/>
  <c r="BO289" i="1" s="1"/>
  <c r="BQ289" i="1" s="1"/>
  <c r="BN289" i="1"/>
  <c r="BP289" i="1" s="1"/>
  <c r="BR289" i="1" l="1"/>
  <c r="BT289" i="1" s="1"/>
  <c r="BV289" i="1" s="1"/>
  <c r="BS289" i="1"/>
  <c r="BU289" i="1" s="1"/>
  <c r="CL287" i="1"/>
  <c r="CN287" i="1" s="1"/>
  <c r="CP287" i="1" s="1"/>
  <c r="CM287" i="1"/>
  <c r="CO287" i="1" s="1"/>
  <c r="F293" i="1"/>
  <c r="H293" i="1" s="1"/>
  <c r="E293" i="1"/>
  <c r="CW286" i="1"/>
  <c r="CY286" i="1" s="1"/>
  <c r="CV286" i="1"/>
  <c r="CX286" i="1" s="1"/>
  <c r="CZ286" i="1" s="1"/>
  <c r="Z292" i="1"/>
  <c r="AB292" i="1" s="1"/>
  <c r="Y292" i="1"/>
  <c r="AA292" i="1" s="1"/>
  <c r="AC292" i="1" s="1"/>
  <c r="CB288" i="1"/>
  <c r="CD288" i="1" s="1"/>
  <c r="CF288" i="1" s="1"/>
  <c r="CC288" i="1"/>
  <c r="CE288" i="1" s="1"/>
  <c r="P292" i="1"/>
  <c r="R292" i="1" s="1"/>
  <c r="O292" i="1"/>
  <c r="AO291" i="1"/>
  <c r="AQ291" i="1" s="1"/>
  <c r="AN291" i="1"/>
  <c r="AP291" i="1" s="1"/>
  <c r="AR291" i="1" s="1"/>
  <c r="BC290" i="1"/>
  <c r="BE290" i="1" s="1"/>
  <c r="BG290" i="1" s="1"/>
  <c r="BD290" i="1"/>
  <c r="BF290" i="1" s="1"/>
  <c r="DB285" i="1"/>
  <c r="DD285" i="1" s="1"/>
  <c r="DA285" i="1"/>
  <c r="DC285" i="1" s="1"/>
  <c r="DB286" i="1" l="1"/>
  <c r="DD286" i="1" s="1"/>
  <c r="DA286" i="1"/>
  <c r="DC286" i="1" s="1"/>
  <c r="AS291" i="1"/>
  <c r="AU291" i="1" s="1"/>
  <c r="AW291" i="1" s="1"/>
  <c r="AT291" i="1"/>
  <c r="AV291" i="1" s="1"/>
  <c r="CH288" i="1"/>
  <c r="CJ288" i="1" s="1"/>
  <c r="CG288" i="1"/>
  <c r="CI288" i="1" s="1"/>
  <c r="CK288" i="1" s="1"/>
  <c r="AE292" i="1"/>
  <c r="AG292" i="1" s="1"/>
  <c r="AD292" i="1"/>
  <c r="AF292" i="1" s="1"/>
  <c r="AH292" i="1" s="1"/>
  <c r="Q293" i="1"/>
  <c r="S293" i="1" s="1"/>
  <c r="G293" i="1"/>
  <c r="I293" i="1" s="1"/>
  <c r="CR287" i="1"/>
  <c r="CT287" i="1" s="1"/>
  <c r="CQ287" i="1"/>
  <c r="CS287" i="1" s="1"/>
  <c r="CU287" i="1" s="1"/>
  <c r="BH290" i="1"/>
  <c r="BJ290" i="1" s="1"/>
  <c r="BL290" i="1" s="1"/>
  <c r="BI290" i="1"/>
  <c r="BK290" i="1" s="1"/>
  <c r="BX289" i="1"/>
  <c r="BZ289" i="1" s="1"/>
  <c r="BW289" i="1"/>
  <c r="BY289" i="1" s="1"/>
  <c r="CA289" i="1" s="1"/>
  <c r="AI292" i="1" l="1"/>
  <c r="AK292" i="1" s="1"/>
  <c r="AM292" i="1" s="1"/>
  <c r="AJ292" i="1"/>
  <c r="AL292" i="1" s="1"/>
  <c r="CM288" i="1"/>
  <c r="CO288" i="1" s="1"/>
  <c r="CL288" i="1"/>
  <c r="CN288" i="1" s="1"/>
  <c r="CP288" i="1" s="1"/>
  <c r="CC289" i="1"/>
  <c r="CE289" i="1" s="1"/>
  <c r="CB289" i="1"/>
  <c r="CD289" i="1" s="1"/>
  <c r="CF289" i="1" s="1"/>
  <c r="BN290" i="1"/>
  <c r="BP290" i="1" s="1"/>
  <c r="BM290" i="1"/>
  <c r="BO290" i="1" s="1"/>
  <c r="BQ290" i="1" s="1"/>
  <c r="AX291" i="1"/>
  <c r="AZ291" i="1" s="1"/>
  <c r="BB291" i="1" s="1"/>
  <c r="AY291" i="1"/>
  <c r="BA291" i="1" s="1"/>
  <c r="CW287" i="1"/>
  <c r="CY287" i="1" s="1"/>
  <c r="CV287" i="1"/>
  <c r="CX287" i="1" s="1"/>
  <c r="CZ287" i="1" s="1"/>
  <c r="K293" i="1"/>
  <c r="M293" i="1" s="1"/>
  <c r="J293" i="1"/>
  <c r="L293" i="1" s="1"/>
  <c r="N293" i="1" s="1"/>
  <c r="D294" i="1"/>
  <c r="U293" i="1"/>
  <c r="W293" i="1" s="1"/>
  <c r="T293" i="1"/>
  <c r="V293" i="1" s="1"/>
  <c r="X293" i="1" s="1"/>
  <c r="P293" i="1" l="1"/>
  <c r="R293" i="1" s="1"/>
  <c r="O293" i="1"/>
  <c r="BS290" i="1"/>
  <c r="BU290" i="1" s="1"/>
  <c r="BR290" i="1"/>
  <c r="BT290" i="1" s="1"/>
  <c r="BV290" i="1" s="1"/>
  <c r="CG289" i="1"/>
  <c r="CI289" i="1" s="1"/>
  <c r="CK289" i="1" s="1"/>
  <c r="CH289" i="1"/>
  <c r="CJ289" i="1" s="1"/>
  <c r="CQ288" i="1"/>
  <c r="CS288" i="1" s="1"/>
  <c r="CU288" i="1" s="1"/>
  <c r="CR288" i="1"/>
  <c r="CT288" i="1" s="1"/>
  <c r="F294" i="1"/>
  <c r="H294" i="1" s="1"/>
  <c r="E294" i="1"/>
  <c r="DA287" i="1"/>
  <c r="DC287" i="1" s="1"/>
  <c r="DB287" i="1"/>
  <c r="DD287" i="1" s="1"/>
  <c r="Y293" i="1"/>
  <c r="AA293" i="1" s="1"/>
  <c r="AC293" i="1" s="1"/>
  <c r="Z293" i="1"/>
  <c r="AB293" i="1" s="1"/>
  <c r="BD291" i="1"/>
  <c r="BF291" i="1" s="1"/>
  <c r="BC291" i="1"/>
  <c r="BE291" i="1" s="1"/>
  <c r="BG291" i="1" s="1"/>
  <c r="AN292" i="1"/>
  <c r="AP292" i="1" s="1"/>
  <c r="AR292" i="1" s="1"/>
  <c r="AO292" i="1"/>
  <c r="AQ292" i="1" s="1"/>
  <c r="CW288" i="1" l="1"/>
  <c r="CY288" i="1" s="1"/>
  <c r="CV288" i="1"/>
  <c r="CX288" i="1" s="1"/>
  <c r="CZ288" i="1" s="1"/>
  <c r="AD293" i="1"/>
  <c r="AF293" i="1" s="1"/>
  <c r="AH293" i="1" s="1"/>
  <c r="AE293" i="1"/>
  <c r="AG293" i="1" s="1"/>
  <c r="CM289" i="1"/>
  <c r="CO289" i="1" s="1"/>
  <c r="CL289" i="1"/>
  <c r="CN289" i="1" s="1"/>
  <c r="CP289" i="1" s="1"/>
  <c r="G294" i="1"/>
  <c r="I294" i="1" s="1"/>
  <c r="Q294" i="1"/>
  <c r="S294" i="1" s="1"/>
  <c r="BW290" i="1"/>
  <c r="BY290" i="1" s="1"/>
  <c r="CA290" i="1" s="1"/>
  <c r="BX290" i="1"/>
  <c r="BZ290" i="1" s="1"/>
  <c r="BI291" i="1"/>
  <c r="BK291" i="1" s="1"/>
  <c r="BH291" i="1"/>
  <c r="BJ291" i="1" s="1"/>
  <c r="BL291" i="1" s="1"/>
  <c r="AT292" i="1"/>
  <c r="AV292" i="1" s="1"/>
  <c r="AS292" i="1"/>
  <c r="AU292" i="1" s="1"/>
  <c r="AW292" i="1" s="1"/>
  <c r="K294" i="1" l="1"/>
  <c r="M294" i="1" s="1"/>
  <c r="J294" i="1"/>
  <c r="L294" i="1" s="1"/>
  <c r="N294" i="1" s="1"/>
  <c r="D295" i="1"/>
  <c r="CQ289" i="1"/>
  <c r="CS289" i="1" s="1"/>
  <c r="CU289" i="1" s="1"/>
  <c r="CR289" i="1"/>
  <c r="CT289" i="1" s="1"/>
  <c r="T294" i="1"/>
  <c r="V294" i="1" s="1"/>
  <c r="X294" i="1" s="1"/>
  <c r="U294" i="1"/>
  <c r="W294" i="1" s="1"/>
  <c r="BM291" i="1"/>
  <c r="BO291" i="1" s="1"/>
  <c r="BQ291" i="1" s="1"/>
  <c r="BN291" i="1"/>
  <c r="BP291" i="1" s="1"/>
  <c r="CC290" i="1"/>
  <c r="CE290" i="1" s="1"/>
  <c r="CB290" i="1"/>
  <c r="CD290" i="1" s="1"/>
  <c r="CF290" i="1" s="1"/>
  <c r="AY292" i="1"/>
  <c r="BA292" i="1" s="1"/>
  <c r="AX292" i="1"/>
  <c r="AZ292" i="1" s="1"/>
  <c r="BB292" i="1" s="1"/>
  <c r="AJ293" i="1"/>
  <c r="AL293" i="1" s="1"/>
  <c r="AI293" i="1"/>
  <c r="AK293" i="1" s="1"/>
  <c r="AM293" i="1" s="1"/>
  <c r="DB288" i="1"/>
  <c r="DD288" i="1" s="1"/>
  <c r="DA288" i="1"/>
  <c r="DC288" i="1" s="1"/>
  <c r="BS291" i="1" l="1"/>
  <c r="BU291" i="1" s="1"/>
  <c r="BR291" i="1"/>
  <c r="BT291" i="1" s="1"/>
  <c r="BV291" i="1" s="1"/>
  <c r="BC292" i="1"/>
  <c r="BE292" i="1" s="1"/>
  <c r="BG292" i="1" s="1"/>
  <c r="BD292" i="1"/>
  <c r="BF292" i="1" s="1"/>
  <c r="Z294" i="1"/>
  <c r="AB294" i="1" s="1"/>
  <c r="Y294" i="1"/>
  <c r="AA294" i="1" s="1"/>
  <c r="AC294" i="1" s="1"/>
  <c r="CH290" i="1"/>
  <c r="CJ290" i="1" s="1"/>
  <c r="CG290" i="1"/>
  <c r="CI290" i="1" s="1"/>
  <c r="CK290" i="1" s="1"/>
  <c r="O294" i="1"/>
  <c r="P294" i="1"/>
  <c r="R294" i="1" s="1"/>
  <c r="AO293" i="1"/>
  <c r="AQ293" i="1" s="1"/>
  <c r="AN293" i="1"/>
  <c r="AP293" i="1" s="1"/>
  <c r="AR293" i="1" s="1"/>
  <c r="CW289" i="1"/>
  <c r="CY289" i="1" s="1"/>
  <c r="CV289" i="1"/>
  <c r="CX289" i="1" s="1"/>
  <c r="CZ289" i="1" s="1"/>
  <c r="E295" i="1"/>
  <c r="F295" i="1"/>
  <c r="H295" i="1" s="1"/>
  <c r="CM290" i="1" l="1"/>
  <c r="CO290" i="1" s="1"/>
  <c r="CL290" i="1"/>
  <c r="CN290" i="1" s="1"/>
  <c r="CP290" i="1" s="1"/>
  <c r="Q295" i="1"/>
  <c r="S295" i="1" s="1"/>
  <c r="G295" i="1"/>
  <c r="I295" i="1" s="1"/>
  <c r="AE294" i="1"/>
  <c r="AG294" i="1" s="1"/>
  <c r="AD294" i="1"/>
  <c r="AF294" i="1" s="1"/>
  <c r="AH294" i="1" s="1"/>
  <c r="AS293" i="1"/>
  <c r="AU293" i="1" s="1"/>
  <c r="AW293" i="1" s="1"/>
  <c r="AT293" i="1"/>
  <c r="AV293" i="1" s="1"/>
  <c r="DB289" i="1"/>
  <c r="DD289" i="1" s="1"/>
  <c r="DA289" i="1"/>
  <c r="DC289" i="1" s="1"/>
  <c r="BI292" i="1"/>
  <c r="BK292" i="1" s="1"/>
  <c r="BH292" i="1"/>
  <c r="BJ292" i="1" s="1"/>
  <c r="BL292" i="1" s="1"/>
  <c r="BX291" i="1"/>
  <c r="BZ291" i="1" s="1"/>
  <c r="BW291" i="1"/>
  <c r="BY291" i="1" s="1"/>
  <c r="CA291" i="1" s="1"/>
  <c r="AY293" i="1" l="1"/>
  <c r="BA293" i="1" s="1"/>
  <c r="AX293" i="1"/>
  <c r="AZ293" i="1" s="1"/>
  <c r="BB293" i="1" s="1"/>
  <c r="CC291" i="1"/>
  <c r="CE291" i="1" s="1"/>
  <c r="CB291" i="1"/>
  <c r="CD291" i="1" s="1"/>
  <c r="CF291" i="1" s="1"/>
  <c r="BM292" i="1"/>
  <c r="BO292" i="1" s="1"/>
  <c r="BQ292" i="1" s="1"/>
  <c r="BN292" i="1"/>
  <c r="BP292" i="1" s="1"/>
  <c r="AI294" i="1"/>
  <c r="AK294" i="1" s="1"/>
  <c r="AM294" i="1" s="1"/>
  <c r="AJ294" i="1"/>
  <c r="AL294" i="1" s="1"/>
  <c r="U295" i="1"/>
  <c r="W295" i="1" s="1"/>
  <c r="T295" i="1"/>
  <c r="V295" i="1" s="1"/>
  <c r="X295" i="1" s="1"/>
  <c r="J295" i="1"/>
  <c r="L295" i="1" s="1"/>
  <c r="N295" i="1" s="1"/>
  <c r="K295" i="1"/>
  <c r="M295" i="1" s="1"/>
  <c r="D296" i="1"/>
  <c r="CR290" i="1"/>
  <c r="CT290" i="1" s="1"/>
  <c r="CQ290" i="1"/>
  <c r="CS290" i="1" s="1"/>
  <c r="CU290" i="1" s="1"/>
  <c r="CW290" i="1" l="1"/>
  <c r="CY290" i="1" s="1"/>
  <c r="CV290" i="1"/>
  <c r="CX290" i="1" s="1"/>
  <c r="CZ290" i="1" s="1"/>
  <c r="BS292" i="1"/>
  <c r="BU292" i="1" s="1"/>
  <c r="BR292" i="1"/>
  <c r="BT292" i="1" s="1"/>
  <c r="BV292" i="1" s="1"/>
  <c r="AO294" i="1"/>
  <c r="AQ294" i="1" s="1"/>
  <c r="AN294" i="1"/>
  <c r="AP294" i="1" s="1"/>
  <c r="AR294" i="1" s="1"/>
  <c r="F296" i="1"/>
  <c r="H296" i="1" s="1"/>
  <c r="E296" i="1"/>
  <c r="Y295" i="1"/>
  <c r="AA295" i="1" s="1"/>
  <c r="AC295" i="1" s="1"/>
  <c r="Z295" i="1"/>
  <c r="AB295" i="1" s="1"/>
  <c r="CH291" i="1"/>
  <c r="CJ291" i="1" s="1"/>
  <c r="CG291" i="1"/>
  <c r="CI291" i="1" s="1"/>
  <c r="CK291" i="1" s="1"/>
  <c r="P295" i="1"/>
  <c r="R295" i="1" s="1"/>
  <c r="O295" i="1"/>
  <c r="BD293" i="1"/>
  <c r="BF293" i="1" s="1"/>
  <c r="BC293" i="1"/>
  <c r="BE293" i="1" s="1"/>
  <c r="BG293" i="1" s="1"/>
  <c r="AT294" i="1" l="1"/>
  <c r="AV294" i="1" s="1"/>
  <c r="AS294" i="1"/>
  <c r="AU294" i="1" s="1"/>
  <c r="AW294" i="1" s="1"/>
  <c r="BI293" i="1"/>
  <c r="BK293" i="1" s="1"/>
  <c r="BH293" i="1"/>
  <c r="BJ293" i="1" s="1"/>
  <c r="BL293" i="1" s="1"/>
  <c r="CM291" i="1"/>
  <c r="CO291" i="1" s="1"/>
  <c r="CL291" i="1"/>
  <c r="CN291" i="1" s="1"/>
  <c r="CP291" i="1" s="1"/>
  <c r="G296" i="1"/>
  <c r="I296" i="1" s="1"/>
  <c r="Q296" i="1"/>
  <c r="S296" i="1" s="1"/>
  <c r="BX292" i="1"/>
  <c r="BZ292" i="1" s="1"/>
  <c r="BW292" i="1"/>
  <c r="BY292" i="1" s="1"/>
  <c r="CA292" i="1" s="1"/>
  <c r="DB290" i="1"/>
  <c r="DD290" i="1" s="1"/>
  <c r="DA290" i="1"/>
  <c r="DC290" i="1" s="1"/>
  <c r="AE295" i="1"/>
  <c r="AG295" i="1" s="1"/>
  <c r="AD295" i="1"/>
  <c r="AF295" i="1" s="1"/>
  <c r="AH295" i="1" s="1"/>
  <c r="K296" i="1" l="1"/>
  <c r="M296" i="1" s="1"/>
  <c r="J296" i="1"/>
  <c r="L296" i="1" s="1"/>
  <c r="N296" i="1" s="1"/>
  <c r="D297" i="1"/>
  <c r="U296" i="1"/>
  <c r="W296" i="1" s="1"/>
  <c r="T296" i="1"/>
  <c r="V296" i="1" s="1"/>
  <c r="X296" i="1" s="1"/>
  <c r="CR291" i="1"/>
  <c r="CT291" i="1" s="1"/>
  <c r="CQ291" i="1"/>
  <c r="CS291" i="1" s="1"/>
  <c r="CU291" i="1" s="1"/>
  <c r="AI295" i="1"/>
  <c r="AK295" i="1" s="1"/>
  <c r="AM295" i="1" s="1"/>
  <c r="AJ295" i="1"/>
  <c r="AL295" i="1" s="1"/>
  <c r="AY294" i="1"/>
  <c r="BA294" i="1" s="1"/>
  <c r="AX294" i="1"/>
  <c r="AZ294" i="1" s="1"/>
  <c r="BB294" i="1" s="1"/>
  <c r="BN293" i="1"/>
  <c r="BP293" i="1" s="1"/>
  <c r="BM293" i="1"/>
  <c r="BO293" i="1" s="1"/>
  <c r="BQ293" i="1" s="1"/>
  <c r="CC292" i="1"/>
  <c r="CE292" i="1" s="1"/>
  <c r="CB292" i="1"/>
  <c r="CD292" i="1" s="1"/>
  <c r="CF292" i="1" s="1"/>
  <c r="AO295" i="1" l="1"/>
  <c r="AQ295" i="1" s="1"/>
  <c r="AN295" i="1"/>
  <c r="AP295" i="1" s="1"/>
  <c r="AR295" i="1" s="1"/>
  <c r="Z296" i="1"/>
  <c r="AB296" i="1" s="1"/>
  <c r="Y296" i="1"/>
  <c r="AA296" i="1" s="1"/>
  <c r="AC296" i="1" s="1"/>
  <c r="CW291" i="1"/>
  <c r="CY291" i="1" s="1"/>
  <c r="CV291" i="1"/>
  <c r="CX291" i="1" s="1"/>
  <c r="CZ291" i="1" s="1"/>
  <c r="BS293" i="1"/>
  <c r="BU293" i="1" s="1"/>
  <c r="BR293" i="1"/>
  <c r="BT293" i="1" s="1"/>
  <c r="BV293" i="1" s="1"/>
  <c r="O296" i="1"/>
  <c r="P296" i="1"/>
  <c r="R296" i="1" s="1"/>
  <c r="CG292" i="1"/>
  <c r="CI292" i="1" s="1"/>
  <c r="CK292" i="1" s="1"/>
  <c r="CH292" i="1"/>
  <c r="CJ292" i="1" s="1"/>
  <c r="BD294" i="1"/>
  <c r="BF294" i="1" s="1"/>
  <c r="BC294" i="1"/>
  <c r="BE294" i="1" s="1"/>
  <c r="BG294" i="1" s="1"/>
  <c r="E297" i="1"/>
  <c r="F297" i="1"/>
  <c r="H297" i="1" s="1"/>
  <c r="BX293" i="1" l="1"/>
  <c r="BZ293" i="1" s="1"/>
  <c r="BW293" i="1"/>
  <c r="BY293" i="1" s="1"/>
  <c r="CA293" i="1" s="1"/>
  <c r="Q297" i="1"/>
  <c r="S297" i="1" s="1"/>
  <c r="G297" i="1"/>
  <c r="I297" i="1" s="1"/>
  <c r="AE296" i="1"/>
  <c r="AG296" i="1" s="1"/>
  <c r="AD296" i="1"/>
  <c r="AF296" i="1" s="1"/>
  <c r="AH296" i="1" s="1"/>
  <c r="DA291" i="1"/>
  <c r="DC291" i="1" s="1"/>
  <c r="DB291" i="1"/>
  <c r="DD291" i="1" s="1"/>
  <c r="CM292" i="1"/>
  <c r="CO292" i="1" s="1"/>
  <c r="CL292" i="1"/>
  <c r="CN292" i="1" s="1"/>
  <c r="CP292" i="1" s="1"/>
  <c r="BI294" i="1"/>
  <c r="BK294" i="1" s="1"/>
  <c r="BH294" i="1"/>
  <c r="BJ294" i="1" s="1"/>
  <c r="BL294" i="1" s="1"/>
  <c r="AT295" i="1"/>
  <c r="AV295" i="1" s="1"/>
  <c r="AS295" i="1"/>
  <c r="AU295" i="1" s="1"/>
  <c r="AW295" i="1" s="1"/>
  <c r="BN294" i="1" l="1"/>
  <c r="BP294" i="1" s="1"/>
  <c r="BM294" i="1"/>
  <c r="BO294" i="1" s="1"/>
  <c r="BQ294" i="1" s="1"/>
  <c r="AY295" i="1"/>
  <c r="BA295" i="1" s="1"/>
  <c r="AX295" i="1"/>
  <c r="AZ295" i="1" s="1"/>
  <c r="BB295" i="1" s="1"/>
  <c r="K297" i="1"/>
  <c r="M297" i="1" s="1"/>
  <c r="J297" i="1"/>
  <c r="L297" i="1" s="1"/>
  <c r="N297" i="1" s="1"/>
  <c r="D298" i="1"/>
  <c r="CQ292" i="1"/>
  <c r="CS292" i="1" s="1"/>
  <c r="CU292" i="1" s="1"/>
  <c r="CR292" i="1"/>
  <c r="CT292" i="1" s="1"/>
  <c r="AJ296" i="1"/>
  <c r="AL296" i="1" s="1"/>
  <c r="AI296" i="1"/>
  <c r="AK296" i="1" s="1"/>
  <c r="AM296" i="1" s="1"/>
  <c r="U297" i="1"/>
  <c r="W297" i="1" s="1"/>
  <c r="T297" i="1"/>
  <c r="V297" i="1" s="1"/>
  <c r="X297" i="1" s="1"/>
  <c r="CC293" i="1"/>
  <c r="CE293" i="1" s="1"/>
  <c r="CB293" i="1"/>
  <c r="CD293" i="1" s="1"/>
  <c r="CF293" i="1" s="1"/>
  <c r="CG293" i="1" l="1"/>
  <c r="CI293" i="1" s="1"/>
  <c r="CK293" i="1" s="1"/>
  <c r="CH293" i="1"/>
  <c r="CJ293" i="1" s="1"/>
  <c r="Z297" i="1"/>
  <c r="AB297" i="1" s="1"/>
  <c r="Y297" i="1"/>
  <c r="AA297" i="1" s="1"/>
  <c r="AC297" i="1" s="1"/>
  <c r="E298" i="1"/>
  <c r="F298" i="1"/>
  <c r="H298" i="1" s="1"/>
  <c r="AO296" i="1"/>
  <c r="AQ296" i="1" s="1"/>
  <c r="AN296" i="1"/>
  <c r="AP296" i="1" s="1"/>
  <c r="AR296" i="1" s="1"/>
  <c r="CV292" i="1"/>
  <c r="CX292" i="1" s="1"/>
  <c r="CW292" i="1"/>
  <c r="CY292" i="1" s="1"/>
  <c r="P297" i="1"/>
  <c r="R297" i="1" s="1"/>
  <c r="O297" i="1"/>
  <c r="BC295" i="1"/>
  <c r="BE295" i="1" s="1"/>
  <c r="BG295" i="1" s="1"/>
  <c r="BD295" i="1"/>
  <c r="BF295" i="1" s="1"/>
  <c r="BS294" i="1"/>
  <c r="BU294" i="1" s="1"/>
  <c r="BR294" i="1"/>
  <c r="BT294" i="1" s="1"/>
  <c r="BV294" i="1" s="1"/>
  <c r="AT296" i="1" l="1"/>
  <c r="AV296" i="1" s="1"/>
  <c r="AS296" i="1"/>
  <c r="AU296" i="1" s="1"/>
  <c r="AW296" i="1" s="1"/>
  <c r="BI295" i="1"/>
  <c r="BK295" i="1" s="1"/>
  <c r="BH295" i="1"/>
  <c r="BJ295" i="1" s="1"/>
  <c r="BL295" i="1" s="1"/>
  <c r="AE297" i="1"/>
  <c r="AG297" i="1" s="1"/>
  <c r="AD297" i="1"/>
  <c r="AF297" i="1" s="1"/>
  <c r="AH297" i="1" s="1"/>
  <c r="BW294" i="1"/>
  <c r="BY294" i="1" s="1"/>
  <c r="CA294" i="1" s="1"/>
  <c r="BX294" i="1"/>
  <c r="BZ294" i="1" s="1"/>
  <c r="G298" i="1"/>
  <c r="I298" i="1" s="1"/>
  <c r="Q298" i="1"/>
  <c r="S298" i="1" s="1"/>
  <c r="CZ292" i="1"/>
  <c r="CL293" i="1"/>
  <c r="CN293" i="1" s="1"/>
  <c r="CP293" i="1" s="1"/>
  <c r="CM293" i="1"/>
  <c r="CO293" i="1" s="1"/>
  <c r="CB294" i="1" l="1"/>
  <c r="CD294" i="1" s="1"/>
  <c r="CF294" i="1" s="1"/>
  <c r="CC294" i="1"/>
  <c r="CE294" i="1" s="1"/>
  <c r="DB292" i="1"/>
  <c r="DD292" i="1" s="1"/>
  <c r="DA292" i="1"/>
  <c r="DC292" i="1" s="1"/>
  <c r="AJ297" i="1"/>
  <c r="AL297" i="1" s="1"/>
  <c r="AI297" i="1"/>
  <c r="AK297" i="1" s="1"/>
  <c r="AM297" i="1" s="1"/>
  <c r="BM295" i="1"/>
  <c r="BO295" i="1" s="1"/>
  <c r="BQ295" i="1" s="1"/>
  <c r="BN295" i="1"/>
  <c r="BP295" i="1" s="1"/>
  <c r="CR293" i="1"/>
  <c r="CT293" i="1" s="1"/>
  <c r="CQ293" i="1"/>
  <c r="CS293" i="1" s="1"/>
  <c r="CU293" i="1" s="1"/>
  <c r="U298" i="1"/>
  <c r="W298" i="1" s="1"/>
  <c r="T298" i="1"/>
  <c r="V298" i="1" s="1"/>
  <c r="X298" i="1" s="1"/>
  <c r="AY296" i="1"/>
  <c r="BA296" i="1" s="1"/>
  <c r="AX296" i="1"/>
  <c r="AZ296" i="1" s="1"/>
  <c r="BB296" i="1" s="1"/>
  <c r="K298" i="1"/>
  <c r="M298" i="1" s="1"/>
  <c r="J298" i="1"/>
  <c r="L298" i="1" s="1"/>
  <c r="N298" i="1" s="1"/>
  <c r="D299" i="1"/>
  <c r="P298" i="1" l="1"/>
  <c r="R298" i="1" s="1"/>
  <c r="O298" i="1"/>
  <c r="BC296" i="1"/>
  <c r="BE296" i="1" s="1"/>
  <c r="BG296" i="1" s="1"/>
  <c r="BD296" i="1"/>
  <c r="BF296" i="1" s="1"/>
  <c r="BR295" i="1"/>
  <c r="BT295" i="1" s="1"/>
  <c r="BV295" i="1" s="1"/>
  <c r="BS295" i="1"/>
  <c r="BU295" i="1" s="1"/>
  <c r="AO297" i="1"/>
  <c r="AQ297" i="1" s="1"/>
  <c r="AN297" i="1"/>
  <c r="AP297" i="1" s="1"/>
  <c r="AR297" i="1" s="1"/>
  <c r="Y298" i="1"/>
  <c r="AA298" i="1" s="1"/>
  <c r="AC298" i="1" s="1"/>
  <c r="Z298" i="1"/>
  <c r="AB298" i="1" s="1"/>
  <c r="CW293" i="1"/>
  <c r="CY293" i="1" s="1"/>
  <c r="CV293" i="1"/>
  <c r="CX293" i="1" s="1"/>
  <c r="CZ293" i="1" s="1"/>
  <c r="F299" i="1"/>
  <c r="H299" i="1" s="1"/>
  <c r="E299" i="1"/>
  <c r="CH294" i="1"/>
  <c r="CJ294" i="1" s="1"/>
  <c r="CG294" i="1"/>
  <c r="CI294" i="1" s="1"/>
  <c r="CK294" i="1" s="1"/>
  <c r="Q299" i="1" l="1"/>
  <c r="S299" i="1" s="1"/>
  <c r="G299" i="1"/>
  <c r="I299" i="1" s="1"/>
  <c r="AS297" i="1"/>
  <c r="AU297" i="1" s="1"/>
  <c r="AW297" i="1" s="1"/>
  <c r="AT297" i="1"/>
  <c r="AV297" i="1" s="1"/>
  <c r="BH296" i="1"/>
  <c r="BJ296" i="1" s="1"/>
  <c r="BL296" i="1" s="1"/>
  <c r="BI296" i="1"/>
  <c r="BK296" i="1" s="1"/>
  <c r="DA293" i="1"/>
  <c r="DC293" i="1" s="1"/>
  <c r="DB293" i="1"/>
  <c r="DD293" i="1" s="1"/>
  <c r="CM294" i="1"/>
  <c r="CO294" i="1" s="1"/>
  <c r="CL294" i="1"/>
  <c r="CN294" i="1" s="1"/>
  <c r="CP294" i="1" s="1"/>
  <c r="BX295" i="1"/>
  <c r="BZ295" i="1" s="1"/>
  <c r="BW295" i="1"/>
  <c r="BY295" i="1" s="1"/>
  <c r="CA295" i="1" s="1"/>
  <c r="AE298" i="1"/>
  <c r="AG298" i="1" s="1"/>
  <c r="AD298" i="1"/>
  <c r="AF298" i="1" s="1"/>
  <c r="AH298" i="1" s="1"/>
  <c r="AI298" i="1" l="1"/>
  <c r="AK298" i="1" s="1"/>
  <c r="AM298" i="1" s="1"/>
  <c r="AJ298" i="1"/>
  <c r="AL298" i="1" s="1"/>
  <c r="BN296" i="1"/>
  <c r="BP296" i="1" s="1"/>
  <c r="BM296" i="1"/>
  <c r="BO296" i="1" s="1"/>
  <c r="BQ296" i="1" s="1"/>
  <c r="CQ294" i="1"/>
  <c r="CS294" i="1" s="1"/>
  <c r="CU294" i="1" s="1"/>
  <c r="CR294" i="1"/>
  <c r="CT294" i="1" s="1"/>
  <c r="K299" i="1"/>
  <c r="M299" i="1" s="1"/>
  <c r="J299" i="1"/>
  <c r="L299" i="1" s="1"/>
  <c r="N299" i="1" s="1"/>
  <c r="D300" i="1"/>
  <c r="CC295" i="1"/>
  <c r="CE295" i="1" s="1"/>
  <c r="CB295" i="1"/>
  <c r="CD295" i="1" s="1"/>
  <c r="CF295" i="1" s="1"/>
  <c r="AX297" i="1"/>
  <c r="AZ297" i="1" s="1"/>
  <c r="BB297" i="1" s="1"/>
  <c r="AY297" i="1"/>
  <c r="BA297" i="1" s="1"/>
  <c r="U299" i="1"/>
  <c r="W299" i="1" s="1"/>
  <c r="T299" i="1"/>
  <c r="V299" i="1" s="1"/>
  <c r="X299" i="1" s="1"/>
  <c r="Y299" i="1" l="1"/>
  <c r="AA299" i="1" s="1"/>
  <c r="AC299" i="1" s="1"/>
  <c r="Z299" i="1"/>
  <c r="AB299" i="1" s="1"/>
  <c r="BS296" i="1"/>
  <c r="BU296" i="1" s="1"/>
  <c r="BR296" i="1"/>
  <c r="BT296" i="1" s="1"/>
  <c r="BV296" i="1" s="1"/>
  <c r="P299" i="1"/>
  <c r="R299" i="1" s="1"/>
  <c r="O299" i="1"/>
  <c r="BD297" i="1"/>
  <c r="BF297" i="1" s="1"/>
  <c r="BC297" i="1"/>
  <c r="BE297" i="1" s="1"/>
  <c r="BG297" i="1" s="1"/>
  <c r="CV294" i="1"/>
  <c r="CX294" i="1" s="1"/>
  <c r="CZ294" i="1" s="1"/>
  <c r="CW294" i="1"/>
  <c r="CY294" i="1" s="1"/>
  <c r="CG295" i="1"/>
  <c r="CI295" i="1" s="1"/>
  <c r="CK295" i="1" s="1"/>
  <c r="CH295" i="1"/>
  <c r="CJ295" i="1" s="1"/>
  <c r="F300" i="1"/>
  <c r="H300" i="1" s="1"/>
  <c r="E300" i="1"/>
  <c r="AN298" i="1"/>
  <c r="AP298" i="1" s="1"/>
  <c r="AR298" i="1" s="1"/>
  <c r="AO298" i="1"/>
  <c r="AQ298" i="1" s="1"/>
  <c r="AT298" i="1" l="1"/>
  <c r="AV298" i="1" s="1"/>
  <c r="AS298" i="1"/>
  <c r="AU298" i="1" s="1"/>
  <c r="AW298" i="1" s="1"/>
  <c r="BW296" i="1"/>
  <c r="BY296" i="1" s="1"/>
  <c r="CA296" i="1" s="1"/>
  <c r="BX296" i="1"/>
  <c r="BZ296" i="1" s="1"/>
  <c r="BI297" i="1"/>
  <c r="BK297" i="1" s="1"/>
  <c r="BH297" i="1"/>
  <c r="BJ297" i="1" s="1"/>
  <c r="BL297" i="1" s="1"/>
  <c r="G300" i="1"/>
  <c r="I300" i="1" s="1"/>
  <c r="Q300" i="1"/>
  <c r="S300" i="1" s="1"/>
  <c r="CM295" i="1"/>
  <c r="CO295" i="1" s="1"/>
  <c r="CL295" i="1"/>
  <c r="CN295" i="1" s="1"/>
  <c r="CP295" i="1" s="1"/>
  <c r="DB294" i="1"/>
  <c r="DD294" i="1" s="1"/>
  <c r="DA294" i="1"/>
  <c r="DC294" i="1" s="1"/>
  <c r="AD299" i="1"/>
  <c r="AF299" i="1" s="1"/>
  <c r="AH299" i="1" s="1"/>
  <c r="AE299" i="1"/>
  <c r="AG299" i="1" s="1"/>
  <c r="BM297" i="1" l="1"/>
  <c r="BO297" i="1" s="1"/>
  <c r="BQ297" i="1" s="1"/>
  <c r="BN297" i="1"/>
  <c r="BP297" i="1" s="1"/>
  <c r="K300" i="1"/>
  <c r="M300" i="1" s="1"/>
  <c r="J300" i="1"/>
  <c r="L300" i="1" s="1"/>
  <c r="N300" i="1" s="1"/>
  <c r="D301" i="1"/>
  <c r="CC296" i="1"/>
  <c r="CE296" i="1" s="1"/>
  <c r="CB296" i="1"/>
  <c r="CD296" i="1" s="1"/>
  <c r="CF296" i="1" s="1"/>
  <c r="U300" i="1"/>
  <c r="W300" i="1" s="1"/>
  <c r="T300" i="1"/>
  <c r="V300" i="1" s="1"/>
  <c r="X300" i="1" s="1"/>
  <c r="AJ299" i="1"/>
  <c r="AL299" i="1" s="1"/>
  <c r="AI299" i="1"/>
  <c r="AK299" i="1" s="1"/>
  <c r="AM299" i="1" s="1"/>
  <c r="AY298" i="1"/>
  <c r="BA298" i="1" s="1"/>
  <c r="AX298" i="1"/>
  <c r="AZ298" i="1" s="1"/>
  <c r="BB298" i="1" s="1"/>
  <c r="CR295" i="1"/>
  <c r="CT295" i="1" s="1"/>
  <c r="CQ295" i="1"/>
  <c r="CS295" i="1" s="1"/>
  <c r="CU295" i="1" s="1"/>
  <c r="CH296" i="1" l="1"/>
  <c r="CJ296" i="1" s="1"/>
  <c r="CG296" i="1"/>
  <c r="CI296" i="1" s="1"/>
  <c r="CK296" i="1" s="1"/>
  <c r="F301" i="1"/>
  <c r="H301" i="1" s="1"/>
  <c r="E301" i="1"/>
  <c r="CW295" i="1"/>
  <c r="CY295" i="1" s="1"/>
  <c r="CV295" i="1"/>
  <c r="CX295" i="1" s="1"/>
  <c r="CZ295" i="1" s="1"/>
  <c r="AO299" i="1"/>
  <c r="AQ299" i="1" s="1"/>
  <c r="AN299" i="1"/>
  <c r="AP299" i="1" s="1"/>
  <c r="AR299" i="1" s="1"/>
  <c r="BC298" i="1"/>
  <c r="BE298" i="1" s="1"/>
  <c r="BG298" i="1" s="1"/>
  <c r="BD298" i="1"/>
  <c r="BF298" i="1" s="1"/>
  <c r="O300" i="1"/>
  <c r="P300" i="1"/>
  <c r="R300" i="1" s="1"/>
  <c r="Z300" i="1"/>
  <c r="AB300" i="1" s="1"/>
  <c r="Y300" i="1"/>
  <c r="AA300" i="1" s="1"/>
  <c r="AC300" i="1" s="1"/>
  <c r="BR297" i="1"/>
  <c r="BT297" i="1" s="1"/>
  <c r="BV297" i="1" s="1"/>
  <c r="BS297" i="1"/>
  <c r="BU297" i="1" s="1"/>
  <c r="DB295" i="1" l="1"/>
  <c r="DD295" i="1" s="1"/>
  <c r="DA295" i="1"/>
  <c r="DC295" i="1" s="1"/>
  <c r="Q301" i="1"/>
  <c r="S301" i="1" s="1"/>
  <c r="G301" i="1"/>
  <c r="I301" i="1" s="1"/>
  <c r="AS299" i="1"/>
  <c r="AU299" i="1" s="1"/>
  <c r="AW299" i="1" s="1"/>
  <c r="AT299" i="1"/>
  <c r="AV299" i="1" s="1"/>
  <c r="BX297" i="1"/>
  <c r="BZ297" i="1" s="1"/>
  <c r="BW297" i="1"/>
  <c r="BY297" i="1" s="1"/>
  <c r="CA297" i="1" s="1"/>
  <c r="AE300" i="1"/>
  <c r="AG300" i="1" s="1"/>
  <c r="AD300" i="1"/>
  <c r="AF300" i="1" s="1"/>
  <c r="AH300" i="1" s="1"/>
  <c r="CM296" i="1"/>
  <c r="CO296" i="1" s="1"/>
  <c r="CL296" i="1"/>
  <c r="CN296" i="1" s="1"/>
  <c r="CP296" i="1" s="1"/>
  <c r="BI298" i="1"/>
  <c r="BK298" i="1" s="1"/>
  <c r="BH298" i="1"/>
  <c r="BJ298" i="1" s="1"/>
  <c r="BL298" i="1" s="1"/>
  <c r="CC297" i="1" l="1"/>
  <c r="CE297" i="1" s="1"/>
  <c r="CB297" i="1"/>
  <c r="CD297" i="1" s="1"/>
  <c r="CF297" i="1" s="1"/>
  <c r="K301" i="1"/>
  <c r="M301" i="1" s="1"/>
  <c r="J301" i="1"/>
  <c r="L301" i="1" s="1"/>
  <c r="N301" i="1" s="1"/>
  <c r="D302" i="1"/>
  <c r="BN298" i="1"/>
  <c r="BP298" i="1" s="1"/>
  <c r="BM298" i="1"/>
  <c r="BO298" i="1" s="1"/>
  <c r="BQ298" i="1" s="1"/>
  <c r="AY299" i="1"/>
  <c r="BA299" i="1" s="1"/>
  <c r="AX299" i="1"/>
  <c r="AZ299" i="1" s="1"/>
  <c r="BB299" i="1" s="1"/>
  <c r="CR296" i="1"/>
  <c r="CT296" i="1" s="1"/>
  <c r="CQ296" i="1"/>
  <c r="CS296" i="1" s="1"/>
  <c r="CU296" i="1" s="1"/>
  <c r="T301" i="1"/>
  <c r="V301" i="1" s="1"/>
  <c r="X301" i="1" s="1"/>
  <c r="U301" i="1"/>
  <c r="W301" i="1" s="1"/>
  <c r="AI300" i="1"/>
  <c r="AK300" i="1" s="1"/>
  <c r="AM300" i="1" s="1"/>
  <c r="AJ300" i="1"/>
  <c r="AL300" i="1" s="1"/>
  <c r="E302" i="1" l="1"/>
  <c r="F302" i="1"/>
  <c r="H302" i="1" s="1"/>
  <c r="CW296" i="1"/>
  <c r="CY296" i="1" s="1"/>
  <c r="CV296" i="1"/>
  <c r="CX296" i="1" s="1"/>
  <c r="CZ296" i="1" s="1"/>
  <c r="AO300" i="1"/>
  <c r="AQ300" i="1" s="1"/>
  <c r="AN300" i="1"/>
  <c r="AP300" i="1" s="1"/>
  <c r="AR300" i="1" s="1"/>
  <c r="O301" i="1"/>
  <c r="P301" i="1"/>
  <c r="R301" i="1" s="1"/>
  <c r="BS298" i="1"/>
  <c r="BU298" i="1" s="1"/>
  <c r="BR298" i="1"/>
  <c r="BT298" i="1" s="1"/>
  <c r="BV298" i="1" s="1"/>
  <c r="Z301" i="1"/>
  <c r="AB301" i="1" s="1"/>
  <c r="Y301" i="1"/>
  <c r="AA301" i="1" s="1"/>
  <c r="AC301" i="1" s="1"/>
  <c r="CH297" i="1"/>
  <c r="CJ297" i="1" s="1"/>
  <c r="CG297" i="1"/>
  <c r="CI297" i="1" s="1"/>
  <c r="CK297" i="1" s="1"/>
  <c r="BD299" i="1"/>
  <c r="BF299" i="1" s="1"/>
  <c r="BC299" i="1"/>
  <c r="BE299" i="1" s="1"/>
  <c r="BG299" i="1" s="1"/>
  <c r="BI299" i="1" l="1"/>
  <c r="BK299" i="1" s="1"/>
  <c r="BH299" i="1"/>
  <c r="BJ299" i="1" s="1"/>
  <c r="BL299" i="1" s="1"/>
  <c r="DB296" i="1"/>
  <c r="DD296" i="1" s="1"/>
  <c r="DA296" i="1"/>
  <c r="DC296" i="1" s="1"/>
  <c r="CL297" i="1"/>
  <c r="CN297" i="1" s="1"/>
  <c r="CP297" i="1" s="1"/>
  <c r="CM297" i="1"/>
  <c r="CO297" i="1" s="1"/>
  <c r="AT300" i="1"/>
  <c r="AV300" i="1" s="1"/>
  <c r="AS300" i="1"/>
  <c r="AU300" i="1" s="1"/>
  <c r="AW300" i="1" s="1"/>
  <c r="AD301" i="1"/>
  <c r="AF301" i="1" s="1"/>
  <c r="AH301" i="1" s="1"/>
  <c r="AE301" i="1"/>
  <c r="AG301" i="1" s="1"/>
  <c r="BX298" i="1"/>
  <c r="BZ298" i="1" s="1"/>
  <c r="BW298" i="1"/>
  <c r="BY298" i="1" s="1"/>
  <c r="CA298" i="1" s="1"/>
  <c r="Q302" i="1"/>
  <c r="S302" i="1" s="1"/>
  <c r="G302" i="1"/>
  <c r="I302" i="1" s="1"/>
  <c r="CR297" i="1" l="1"/>
  <c r="CT297" i="1" s="1"/>
  <c r="CQ297" i="1"/>
  <c r="CS297" i="1" s="1"/>
  <c r="CU297" i="1" s="1"/>
  <c r="AY300" i="1"/>
  <c r="BA300" i="1" s="1"/>
  <c r="AX300" i="1"/>
  <c r="AZ300" i="1" s="1"/>
  <c r="BB300" i="1" s="1"/>
  <c r="CC298" i="1"/>
  <c r="CE298" i="1" s="1"/>
  <c r="CB298" i="1"/>
  <c r="CD298" i="1" s="1"/>
  <c r="CF298" i="1" s="1"/>
  <c r="K302" i="1"/>
  <c r="M302" i="1" s="1"/>
  <c r="J302" i="1"/>
  <c r="L302" i="1" s="1"/>
  <c r="N302" i="1" s="1"/>
  <c r="D303" i="1"/>
  <c r="T302" i="1"/>
  <c r="V302" i="1" s="1"/>
  <c r="X302" i="1" s="1"/>
  <c r="U302" i="1"/>
  <c r="W302" i="1" s="1"/>
  <c r="BN299" i="1"/>
  <c r="BP299" i="1" s="1"/>
  <c r="BM299" i="1"/>
  <c r="BO299" i="1" s="1"/>
  <c r="BQ299" i="1" s="1"/>
  <c r="AI301" i="1"/>
  <c r="AK301" i="1" s="1"/>
  <c r="AM301" i="1" s="1"/>
  <c r="AJ301" i="1"/>
  <c r="AL301" i="1" s="1"/>
  <c r="P302" i="1" l="1"/>
  <c r="R302" i="1" s="1"/>
  <c r="O302" i="1"/>
  <c r="AO301" i="1"/>
  <c r="AQ301" i="1" s="1"/>
  <c r="AN301" i="1"/>
  <c r="AP301" i="1" s="1"/>
  <c r="AR301" i="1" s="1"/>
  <c r="CH298" i="1"/>
  <c r="CJ298" i="1" s="1"/>
  <c r="CG298" i="1"/>
  <c r="CI298" i="1" s="1"/>
  <c r="CK298" i="1" s="1"/>
  <c r="CW297" i="1"/>
  <c r="CY297" i="1" s="1"/>
  <c r="CV297" i="1"/>
  <c r="CX297" i="1" s="1"/>
  <c r="CZ297" i="1" s="1"/>
  <c r="BS299" i="1"/>
  <c r="BU299" i="1" s="1"/>
  <c r="BR299" i="1"/>
  <c r="BT299" i="1" s="1"/>
  <c r="BV299" i="1" s="1"/>
  <c r="BD300" i="1"/>
  <c r="BF300" i="1" s="1"/>
  <c r="BC300" i="1"/>
  <c r="BE300" i="1" s="1"/>
  <c r="BG300" i="1" s="1"/>
  <c r="Y302" i="1"/>
  <c r="AA302" i="1" s="1"/>
  <c r="AC302" i="1" s="1"/>
  <c r="Z302" i="1"/>
  <c r="AB302" i="1" s="1"/>
  <c r="F303" i="1"/>
  <c r="H303" i="1" s="1"/>
  <c r="E303" i="1"/>
  <c r="G303" i="1" l="1"/>
  <c r="I303" i="1" s="1"/>
  <c r="Q303" i="1"/>
  <c r="S303" i="1" s="1"/>
  <c r="BI300" i="1"/>
  <c r="BK300" i="1" s="1"/>
  <c r="BH300" i="1"/>
  <c r="BJ300" i="1" s="1"/>
  <c r="BL300" i="1" s="1"/>
  <c r="DA297" i="1"/>
  <c r="DC297" i="1" s="1"/>
  <c r="DB297" i="1"/>
  <c r="DD297" i="1" s="1"/>
  <c r="CM298" i="1"/>
  <c r="CO298" i="1" s="1"/>
  <c r="CL298" i="1"/>
  <c r="CN298" i="1" s="1"/>
  <c r="CP298" i="1" s="1"/>
  <c r="AE302" i="1"/>
  <c r="AG302" i="1" s="1"/>
  <c r="AD302" i="1"/>
  <c r="AF302" i="1" s="1"/>
  <c r="AH302" i="1" s="1"/>
  <c r="AT301" i="1"/>
  <c r="AV301" i="1" s="1"/>
  <c r="AS301" i="1"/>
  <c r="AU301" i="1" s="1"/>
  <c r="AW301" i="1" s="1"/>
  <c r="BX299" i="1"/>
  <c r="BZ299" i="1" s="1"/>
  <c r="BW299" i="1"/>
  <c r="BY299" i="1" s="1"/>
  <c r="CA299" i="1" s="1"/>
  <c r="BN300" i="1" l="1"/>
  <c r="BP300" i="1" s="1"/>
  <c r="BM300" i="1"/>
  <c r="BO300" i="1" s="1"/>
  <c r="BQ300" i="1" s="1"/>
  <c r="CQ298" i="1"/>
  <c r="CS298" i="1" s="1"/>
  <c r="CU298" i="1" s="1"/>
  <c r="CR298" i="1"/>
  <c r="CT298" i="1" s="1"/>
  <c r="AY301" i="1"/>
  <c r="BA301" i="1" s="1"/>
  <c r="AX301" i="1"/>
  <c r="AZ301" i="1" s="1"/>
  <c r="BB301" i="1" s="1"/>
  <c r="AJ302" i="1"/>
  <c r="AL302" i="1" s="1"/>
  <c r="AI302" i="1"/>
  <c r="AK302" i="1" s="1"/>
  <c r="AM302" i="1" s="1"/>
  <c r="U303" i="1"/>
  <c r="W303" i="1" s="1"/>
  <c r="T303" i="1"/>
  <c r="V303" i="1" s="1"/>
  <c r="X303" i="1" s="1"/>
  <c r="CC299" i="1"/>
  <c r="CE299" i="1" s="1"/>
  <c r="CB299" i="1"/>
  <c r="CD299" i="1" s="1"/>
  <c r="CF299" i="1" s="1"/>
  <c r="J303" i="1"/>
  <c r="L303" i="1" s="1"/>
  <c r="N303" i="1" s="1"/>
  <c r="K303" i="1"/>
  <c r="M303" i="1" s="1"/>
  <c r="D304" i="1"/>
  <c r="AO302" i="1" l="1"/>
  <c r="AQ302" i="1" s="1"/>
  <c r="AN302" i="1"/>
  <c r="AP302" i="1" s="1"/>
  <c r="AR302" i="1" s="1"/>
  <c r="E304" i="1"/>
  <c r="F304" i="1"/>
  <c r="H304" i="1" s="1"/>
  <c r="CG299" i="1"/>
  <c r="CI299" i="1" s="1"/>
  <c r="CK299" i="1" s="1"/>
  <c r="CH299" i="1"/>
  <c r="CJ299" i="1" s="1"/>
  <c r="O303" i="1"/>
  <c r="P303" i="1"/>
  <c r="R303" i="1" s="1"/>
  <c r="CV298" i="1"/>
  <c r="CX298" i="1" s="1"/>
  <c r="CW298" i="1"/>
  <c r="CY298" i="1" s="1"/>
  <c r="BD301" i="1"/>
  <c r="BF301" i="1" s="1"/>
  <c r="BC301" i="1"/>
  <c r="BE301" i="1" s="1"/>
  <c r="BG301" i="1" s="1"/>
  <c r="Z303" i="1"/>
  <c r="AB303" i="1" s="1"/>
  <c r="Y303" i="1"/>
  <c r="AA303" i="1" s="1"/>
  <c r="AC303" i="1" s="1"/>
  <c r="BS300" i="1"/>
  <c r="BU300" i="1" s="1"/>
  <c r="BR300" i="1"/>
  <c r="BT300" i="1" s="1"/>
  <c r="BV300" i="1" s="1"/>
  <c r="AE303" i="1" l="1"/>
  <c r="AG303" i="1" s="1"/>
  <c r="AD303" i="1"/>
  <c r="AF303" i="1" s="1"/>
  <c r="AH303" i="1" s="1"/>
  <c r="BI301" i="1"/>
  <c r="BK301" i="1" s="1"/>
  <c r="BH301" i="1"/>
  <c r="BJ301" i="1" s="1"/>
  <c r="BL301" i="1" s="1"/>
  <c r="AT302" i="1"/>
  <c r="AV302" i="1" s="1"/>
  <c r="AS302" i="1"/>
  <c r="AU302" i="1" s="1"/>
  <c r="AW302" i="1" s="1"/>
  <c r="BW300" i="1"/>
  <c r="BY300" i="1" s="1"/>
  <c r="CA300" i="1" s="1"/>
  <c r="BX300" i="1"/>
  <c r="BZ300" i="1" s="1"/>
  <c r="CL299" i="1"/>
  <c r="CN299" i="1" s="1"/>
  <c r="CP299" i="1" s="1"/>
  <c r="CM299" i="1"/>
  <c r="CO299" i="1" s="1"/>
  <c r="G304" i="1"/>
  <c r="I304" i="1" s="1"/>
  <c r="Q304" i="1"/>
  <c r="S304" i="1" s="1"/>
  <c r="CZ298" i="1"/>
  <c r="CC300" i="1" l="1"/>
  <c r="CE300" i="1" s="1"/>
  <c r="CB300" i="1"/>
  <c r="CD300" i="1" s="1"/>
  <c r="CF300" i="1" s="1"/>
  <c r="K304" i="1"/>
  <c r="M304" i="1" s="1"/>
  <c r="J304" i="1"/>
  <c r="L304" i="1" s="1"/>
  <c r="N304" i="1" s="1"/>
  <c r="D305" i="1"/>
  <c r="DB298" i="1"/>
  <c r="DD298" i="1" s="1"/>
  <c r="DA298" i="1"/>
  <c r="DC298" i="1" s="1"/>
  <c r="AY302" i="1"/>
  <c r="BA302" i="1" s="1"/>
  <c r="AX302" i="1"/>
  <c r="AZ302" i="1" s="1"/>
  <c r="BB302" i="1" s="1"/>
  <c r="U304" i="1"/>
  <c r="W304" i="1" s="1"/>
  <c r="T304" i="1"/>
  <c r="V304" i="1" s="1"/>
  <c r="X304" i="1" s="1"/>
  <c r="AJ303" i="1"/>
  <c r="AL303" i="1" s="1"/>
  <c r="AI303" i="1"/>
  <c r="AK303" i="1" s="1"/>
  <c r="AM303" i="1" s="1"/>
  <c r="BN301" i="1"/>
  <c r="BP301" i="1" s="1"/>
  <c r="BM301" i="1"/>
  <c r="BO301" i="1" s="1"/>
  <c r="BQ301" i="1" s="1"/>
  <c r="CR299" i="1"/>
  <c r="CT299" i="1" s="1"/>
  <c r="CQ299" i="1"/>
  <c r="CS299" i="1" s="1"/>
  <c r="CU299" i="1" s="1"/>
  <c r="AO303" i="1" l="1"/>
  <c r="AQ303" i="1" s="1"/>
  <c r="AN303" i="1"/>
  <c r="AP303" i="1" s="1"/>
  <c r="AR303" i="1" s="1"/>
  <c r="P304" i="1"/>
  <c r="R304" i="1" s="1"/>
  <c r="O304" i="1"/>
  <c r="Z304" i="1"/>
  <c r="AB304" i="1" s="1"/>
  <c r="Y304" i="1"/>
  <c r="AA304" i="1" s="1"/>
  <c r="AC304" i="1" s="1"/>
  <c r="BS301" i="1"/>
  <c r="BU301" i="1" s="1"/>
  <c r="BR301" i="1"/>
  <c r="BT301" i="1" s="1"/>
  <c r="BV301" i="1" s="1"/>
  <c r="F305" i="1"/>
  <c r="H305" i="1" s="1"/>
  <c r="E305" i="1"/>
  <c r="CH300" i="1"/>
  <c r="CJ300" i="1" s="1"/>
  <c r="CG300" i="1"/>
  <c r="CI300" i="1" s="1"/>
  <c r="CK300" i="1" s="1"/>
  <c r="CW299" i="1"/>
  <c r="CY299" i="1" s="1"/>
  <c r="CV299" i="1"/>
  <c r="CX299" i="1" s="1"/>
  <c r="CZ299" i="1" s="1"/>
  <c r="BD302" i="1"/>
  <c r="BF302" i="1" s="1"/>
  <c r="BC302" i="1"/>
  <c r="BE302" i="1" s="1"/>
  <c r="BG302" i="1" s="1"/>
  <c r="BI302" i="1" l="1"/>
  <c r="BK302" i="1" s="1"/>
  <c r="BH302" i="1"/>
  <c r="BJ302" i="1" s="1"/>
  <c r="BL302" i="1" s="1"/>
  <c r="DA299" i="1"/>
  <c r="DC299" i="1" s="1"/>
  <c r="DB299" i="1"/>
  <c r="DD299" i="1" s="1"/>
  <c r="BW301" i="1"/>
  <c r="BY301" i="1" s="1"/>
  <c r="CA301" i="1" s="1"/>
  <c r="BX301" i="1"/>
  <c r="BZ301" i="1" s="1"/>
  <c r="AE304" i="1"/>
  <c r="AG304" i="1" s="1"/>
  <c r="AD304" i="1"/>
  <c r="AF304" i="1" s="1"/>
  <c r="AH304" i="1" s="1"/>
  <c r="G305" i="1"/>
  <c r="I305" i="1" s="1"/>
  <c r="Q305" i="1"/>
  <c r="S305" i="1" s="1"/>
  <c r="CM300" i="1"/>
  <c r="CO300" i="1" s="1"/>
  <c r="CL300" i="1"/>
  <c r="CN300" i="1" s="1"/>
  <c r="CP300" i="1" s="1"/>
  <c r="AT303" i="1"/>
  <c r="AV303" i="1" s="1"/>
  <c r="AS303" i="1"/>
  <c r="AU303" i="1" s="1"/>
  <c r="AW303" i="1" s="1"/>
  <c r="AJ304" i="1" l="1"/>
  <c r="AL304" i="1" s="1"/>
  <c r="AI304" i="1"/>
  <c r="AK304" i="1" s="1"/>
  <c r="AM304" i="1" s="1"/>
  <c r="CC301" i="1"/>
  <c r="CE301" i="1" s="1"/>
  <c r="CB301" i="1"/>
  <c r="CD301" i="1" s="1"/>
  <c r="CF301" i="1" s="1"/>
  <c r="AY303" i="1"/>
  <c r="BA303" i="1" s="1"/>
  <c r="AX303" i="1"/>
  <c r="AZ303" i="1" s="1"/>
  <c r="BB303" i="1" s="1"/>
  <c r="CQ300" i="1"/>
  <c r="CS300" i="1" s="1"/>
  <c r="CU300" i="1" s="1"/>
  <c r="CR300" i="1"/>
  <c r="CT300" i="1" s="1"/>
  <c r="BM302" i="1"/>
  <c r="BO302" i="1" s="1"/>
  <c r="BQ302" i="1" s="1"/>
  <c r="BN302" i="1"/>
  <c r="BP302" i="1" s="1"/>
  <c r="U305" i="1"/>
  <c r="W305" i="1" s="1"/>
  <c r="T305" i="1"/>
  <c r="V305" i="1" s="1"/>
  <c r="X305" i="1" s="1"/>
  <c r="K305" i="1"/>
  <c r="M305" i="1" s="1"/>
  <c r="J305" i="1"/>
  <c r="L305" i="1" s="1"/>
  <c r="N305" i="1" s="1"/>
  <c r="D306" i="1"/>
  <c r="F306" i="1" l="1"/>
  <c r="H306" i="1" s="1"/>
  <c r="E306" i="1"/>
  <c r="P305" i="1"/>
  <c r="R305" i="1" s="1"/>
  <c r="O305" i="1"/>
  <c r="CV300" i="1"/>
  <c r="CX300" i="1" s="1"/>
  <c r="CW300" i="1"/>
  <c r="CY300" i="1" s="1"/>
  <c r="Z305" i="1"/>
  <c r="AB305" i="1" s="1"/>
  <c r="Y305" i="1"/>
  <c r="AA305" i="1" s="1"/>
  <c r="AC305" i="1" s="1"/>
  <c r="AO304" i="1"/>
  <c r="AQ304" i="1" s="1"/>
  <c r="AN304" i="1"/>
  <c r="AP304" i="1" s="1"/>
  <c r="AR304" i="1" s="1"/>
  <c r="BC303" i="1"/>
  <c r="BE303" i="1" s="1"/>
  <c r="BG303" i="1" s="1"/>
  <c r="BD303" i="1"/>
  <c r="BF303" i="1" s="1"/>
  <c r="CH301" i="1"/>
  <c r="CJ301" i="1" s="1"/>
  <c r="CG301" i="1"/>
  <c r="CI301" i="1" s="1"/>
  <c r="CK301" i="1" s="1"/>
  <c r="BS302" i="1"/>
  <c r="BU302" i="1" s="1"/>
  <c r="BR302" i="1"/>
  <c r="BT302" i="1" s="1"/>
  <c r="BV302" i="1" s="1"/>
  <c r="BX302" i="1" l="1"/>
  <c r="BZ302" i="1" s="1"/>
  <c r="BW302" i="1"/>
  <c r="BY302" i="1" s="1"/>
  <c r="CA302" i="1" s="1"/>
  <c r="AE305" i="1"/>
  <c r="AG305" i="1" s="1"/>
  <c r="AD305" i="1"/>
  <c r="AF305" i="1" s="1"/>
  <c r="AH305" i="1" s="1"/>
  <c r="CL301" i="1"/>
  <c r="CN301" i="1" s="1"/>
  <c r="CP301" i="1" s="1"/>
  <c r="CM301" i="1"/>
  <c r="CO301" i="1" s="1"/>
  <c r="CZ300" i="1"/>
  <c r="BI303" i="1"/>
  <c r="BK303" i="1" s="1"/>
  <c r="BH303" i="1"/>
  <c r="BJ303" i="1" s="1"/>
  <c r="BL303" i="1" s="1"/>
  <c r="AS304" i="1"/>
  <c r="AU304" i="1" s="1"/>
  <c r="AW304" i="1" s="1"/>
  <c r="AT304" i="1"/>
  <c r="AV304" i="1" s="1"/>
  <c r="G306" i="1"/>
  <c r="I306" i="1" s="1"/>
  <c r="Q306" i="1"/>
  <c r="S306" i="1" s="1"/>
  <c r="CQ301" i="1" l="1"/>
  <c r="CS301" i="1" s="1"/>
  <c r="CU301" i="1" s="1"/>
  <c r="CR301" i="1"/>
  <c r="CT301" i="1" s="1"/>
  <c r="AI305" i="1"/>
  <c r="AK305" i="1" s="1"/>
  <c r="AM305" i="1" s="1"/>
  <c r="AJ305" i="1"/>
  <c r="AL305" i="1" s="1"/>
  <c r="DB300" i="1"/>
  <c r="DD300" i="1" s="1"/>
  <c r="DA300" i="1"/>
  <c r="DC300" i="1" s="1"/>
  <c r="U306" i="1"/>
  <c r="W306" i="1" s="1"/>
  <c r="T306" i="1"/>
  <c r="V306" i="1" s="1"/>
  <c r="X306" i="1" s="1"/>
  <c r="AY304" i="1"/>
  <c r="BA304" i="1" s="1"/>
  <c r="AX304" i="1"/>
  <c r="AZ304" i="1" s="1"/>
  <c r="BB304" i="1" s="1"/>
  <c r="CB302" i="1"/>
  <c r="CD302" i="1" s="1"/>
  <c r="CF302" i="1" s="1"/>
  <c r="CC302" i="1"/>
  <c r="CE302" i="1" s="1"/>
  <c r="J306" i="1"/>
  <c r="L306" i="1" s="1"/>
  <c r="N306" i="1" s="1"/>
  <c r="K306" i="1"/>
  <c r="M306" i="1" s="1"/>
  <c r="D307" i="1"/>
  <c r="BN303" i="1"/>
  <c r="BP303" i="1" s="1"/>
  <c r="BM303" i="1"/>
  <c r="BO303" i="1" s="1"/>
  <c r="BQ303" i="1" s="1"/>
  <c r="F307" i="1" l="1"/>
  <c r="H307" i="1" s="1"/>
  <c r="E307" i="1"/>
  <c r="Z306" i="1"/>
  <c r="AB306" i="1" s="1"/>
  <c r="Y306" i="1"/>
  <c r="AA306" i="1" s="1"/>
  <c r="AC306" i="1" s="1"/>
  <c r="BR303" i="1"/>
  <c r="BT303" i="1" s="1"/>
  <c r="BV303" i="1" s="1"/>
  <c r="BS303" i="1"/>
  <c r="BU303" i="1" s="1"/>
  <c r="AO305" i="1"/>
  <c r="AQ305" i="1" s="1"/>
  <c r="AN305" i="1"/>
  <c r="AP305" i="1" s="1"/>
  <c r="AR305" i="1" s="1"/>
  <c r="O306" i="1"/>
  <c r="P306" i="1"/>
  <c r="R306" i="1" s="1"/>
  <c r="CG302" i="1"/>
  <c r="CI302" i="1" s="1"/>
  <c r="CK302" i="1" s="1"/>
  <c r="CH302" i="1"/>
  <c r="CJ302" i="1" s="1"/>
  <c r="BD304" i="1"/>
  <c r="BF304" i="1" s="1"/>
  <c r="BC304" i="1"/>
  <c r="BE304" i="1" s="1"/>
  <c r="BG304" i="1" s="1"/>
  <c r="CV301" i="1"/>
  <c r="CX301" i="1" s="1"/>
  <c r="CW301" i="1"/>
  <c r="CY301" i="1" s="1"/>
  <c r="AT305" i="1" l="1"/>
  <c r="AV305" i="1" s="1"/>
  <c r="AS305" i="1"/>
  <c r="AU305" i="1" s="1"/>
  <c r="AW305" i="1" s="1"/>
  <c r="BW303" i="1"/>
  <c r="BY303" i="1" s="1"/>
  <c r="CA303" i="1" s="1"/>
  <c r="BX303" i="1"/>
  <c r="BZ303" i="1" s="1"/>
  <c r="CM302" i="1"/>
  <c r="CO302" i="1" s="1"/>
  <c r="CL302" i="1"/>
  <c r="CN302" i="1" s="1"/>
  <c r="CP302" i="1" s="1"/>
  <c r="Q307" i="1"/>
  <c r="S307" i="1" s="1"/>
  <c r="G307" i="1"/>
  <c r="I307" i="1" s="1"/>
  <c r="CZ301" i="1"/>
  <c r="AD306" i="1"/>
  <c r="AF306" i="1" s="1"/>
  <c r="AH306" i="1" s="1"/>
  <c r="AE306" i="1"/>
  <c r="AG306" i="1" s="1"/>
  <c r="BH304" i="1"/>
  <c r="BJ304" i="1" s="1"/>
  <c r="BL304" i="1" s="1"/>
  <c r="BI304" i="1"/>
  <c r="BK304" i="1" s="1"/>
  <c r="DA301" i="1" l="1"/>
  <c r="DC301" i="1" s="1"/>
  <c r="DB301" i="1"/>
  <c r="DD301" i="1" s="1"/>
  <c r="CQ302" i="1"/>
  <c r="CS302" i="1" s="1"/>
  <c r="CU302" i="1" s="1"/>
  <c r="CR302" i="1"/>
  <c r="CT302" i="1" s="1"/>
  <c r="BM304" i="1"/>
  <c r="BO304" i="1" s="1"/>
  <c r="BQ304" i="1" s="1"/>
  <c r="BN304" i="1"/>
  <c r="BP304" i="1" s="1"/>
  <c r="T307" i="1"/>
  <c r="V307" i="1" s="1"/>
  <c r="X307" i="1" s="1"/>
  <c r="U307" i="1"/>
  <c r="W307" i="1" s="1"/>
  <c r="AX305" i="1"/>
  <c r="AZ305" i="1" s="1"/>
  <c r="BB305" i="1" s="1"/>
  <c r="AY305" i="1"/>
  <c r="BA305" i="1" s="1"/>
  <c r="K307" i="1"/>
  <c r="M307" i="1" s="1"/>
  <c r="J307" i="1"/>
  <c r="L307" i="1" s="1"/>
  <c r="N307" i="1" s="1"/>
  <c r="D308" i="1"/>
  <c r="CB303" i="1"/>
  <c r="CD303" i="1" s="1"/>
  <c r="CF303" i="1" s="1"/>
  <c r="CC303" i="1"/>
  <c r="CE303" i="1" s="1"/>
  <c r="AJ306" i="1"/>
  <c r="AL306" i="1" s="1"/>
  <c r="AI306" i="1"/>
  <c r="AK306" i="1" s="1"/>
  <c r="AM306" i="1" s="1"/>
  <c r="CH303" i="1" l="1"/>
  <c r="CJ303" i="1" s="1"/>
  <c r="CG303" i="1"/>
  <c r="CI303" i="1" s="1"/>
  <c r="CK303" i="1" s="1"/>
  <c r="BR304" i="1"/>
  <c r="BT304" i="1" s="1"/>
  <c r="BV304" i="1" s="1"/>
  <c r="BS304" i="1"/>
  <c r="BU304" i="1" s="1"/>
  <c r="Z307" i="1"/>
  <c r="AB307" i="1" s="1"/>
  <c r="Y307" i="1"/>
  <c r="AA307" i="1" s="1"/>
  <c r="AC307" i="1" s="1"/>
  <c r="P307" i="1"/>
  <c r="R307" i="1" s="1"/>
  <c r="O307" i="1"/>
  <c r="AO306" i="1"/>
  <c r="AQ306" i="1" s="1"/>
  <c r="AN306" i="1"/>
  <c r="AP306" i="1" s="1"/>
  <c r="AR306" i="1" s="1"/>
  <c r="F308" i="1"/>
  <c r="H308" i="1" s="1"/>
  <c r="E308" i="1"/>
  <c r="CW302" i="1"/>
  <c r="CY302" i="1" s="1"/>
  <c r="CV302" i="1"/>
  <c r="CX302" i="1" s="1"/>
  <c r="CZ302" i="1" s="1"/>
  <c r="BC305" i="1"/>
  <c r="BE305" i="1" s="1"/>
  <c r="BG305" i="1" s="1"/>
  <c r="BD305" i="1"/>
  <c r="BF305" i="1" s="1"/>
  <c r="BI305" i="1" l="1"/>
  <c r="BK305" i="1" s="1"/>
  <c r="BH305" i="1"/>
  <c r="BJ305" i="1" s="1"/>
  <c r="BL305" i="1" s="1"/>
  <c r="BW304" i="1"/>
  <c r="BY304" i="1" s="1"/>
  <c r="CA304" i="1" s="1"/>
  <c r="BX304" i="1"/>
  <c r="BZ304" i="1" s="1"/>
  <c r="DB302" i="1"/>
  <c r="DD302" i="1" s="1"/>
  <c r="DA302" i="1"/>
  <c r="DC302" i="1" s="1"/>
  <c r="G308" i="1"/>
  <c r="I308" i="1" s="1"/>
  <c r="Q308" i="1"/>
  <c r="S308" i="1" s="1"/>
  <c r="AT306" i="1"/>
  <c r="AV306" i="1" s="1"/>
  <c r="AS306" i="1"/>
  <c r="AU306" i="1" s="1"/>
  <c r="AW306" i="1" s="1"/>
  <c r="AE307" i="1"/>
  <c r="AG307" i="1" s="1"/>
  <c r="AD307" i="1"/>
  <c r="AF307" i="1" s="1"/>
  <c r="AH307" i="1" s="1"/>
  <c r="CM303" i="1"/>
  <c r="CO303" i="1" s="1"/>
  <c r="CL303" i="1"/>
  <c r="CN303" i="1" s="1"/>
  <c r="CP303" i="1" s="1"/>
  <c r="J308" i="1" l="1"/>
  <c r="L308" i="1" s="1"/>
  <c r="N308" i="1" s="1"/>
  <c r="K308" i="1"/>
  <c r="M308" i="1" s="1"/>
  <c r="D309" i="1"/>
  <c r="CC304" i="1"/>
  <c r="CE304" i="1" s="1"/>
  <c r="CB304" i="1"/>
  <c r="CD304" i="1" s="1"/>
  <c r="CF304" i="1" s="1"/>
  <c r="U308" i="1"/>
  <c r="W308" i="1" s="1"/>
  <c r="T308" i="1"/>
  <c r="V308" i="1" s="1"/>
  <c r="X308" i="1" s="1"/>
  <c r="CR303" i="1"/>
  <c r="CT303" i="1" s="1"/>
  <c r="CQ303" i="1"/>
  <c r="CS303" i="1" s="1"/>
  <c r="CU303" i="1" s="1"/>
  <c r="AJ307" i="1"/>
  <c r="AL307" i="1" s="1"/>
  <c r="AI307" i="1"/>
  <c r="AK307" i="1" s="1"/>
  <c r="AM307" i="1" s="1"/>
  <c r="BM305" i="1"/>
  <c r="BO305" i="1" s="1"/>
  <c r="BQ305" i="1" s="1"/>
  <c r="BN305" i="1"/>
  <c r="BP305" i="1" s="1"/>
  <c r="AX306" i="1"/>
  <c r="AZ306" i="1" s="1"/>
  <c r="BB306" i="1" s="1"/>
  <c r="AY306" i="1"/>
  <c r="BA306" i="1" s="1"/>
  <c r="AN307" i="1" l="1"/>
  <c r="AP307" i="1" s="1"/>
  <c r="AR307" i="1" s="1"/>
  <c r="AO307" i="1"/>
  <c r="AQ307" i="1" s="1"/>
  <c r="BC306" i="1"/>
  <c r="BE306" i="1" s="1"/>
  <c r="BG306" i="1" s="1"/>
  <c r="BD306" i="1"/>
  <c r="BF306" i="1" s="1"/>
  <c r="BS305" i="1"/>
  <c r="BU305" i="1" s="1"/>
  <c r="BR305" i="1"/>
  <c r="BT305" i="1" s="1"/>
  <c r="BV305" i="1" s="1"/>
  <c r="F309" i="1"/>
  <c r="H309" i="1" s="1"/>
  <c r="E309" i="1"/>
  <c r="Y308" i="1"/>
  <c r="AA308" i="1" s="1"/>
  <c r="AC308" i="1" s="1"/>
  <c r="Z308" i="1"/>
  <c r="AB308" i="1" s="1"/>
  <c r="CH304" i="1"/>
  <c r="CJ304" i="1" s="1"/>
  <c r="CG304" i="1"/>
  <c r="CI304" i="1" s="1"/>
  <c r="CK304" i="1" s="1"/>
  <c r="CW303" i="1"/>
  <c r="CY303" i="1" s="1"/>
  <c r="CV303" i="1"/>
  <c r="CX303" i="1" s="1"/>
  <c r="CZ303" i="1" s="1"/>
  <c r="P308" i="1"/>
  <c r="R308" i="1" s="1"/>
  <c r="O308" i="1"/>
  <c r="Q309" i="1" l="1"/>
  <c r="S309" i="1" s="1"/>
  <c r="G309" i="1"/>
  <c r="I309" i="1" s="1"/>
  <c r="BX305" i="1"/>
  <c r="BZ305" i="1" s="1"/>
  <c r="BW305" i="1"/>
  <c r="BY305" i="1" s="1"/>
  <c r="CA305" i="1" s="1"/>
  <c r="DB303" i="1"/>
  <c r="DD303" i="1" s="1"/>
  <c r="DA303" i="1"/>
  <c r="DC303" i="1" s="1"/>
  <c r="AD308" i="1"/>
  <c r="AF308" i="1" s="1"/>
  <c r="AH308" i="1" s="1"/>
  <c r="AE308" i="1"/>
  <c r="AG308" i="1" s="1"/>
  <c r="CM304" i="1"/>
  <c r="CO304" i="1" s="1"/>
  <c r="CL304" i="1"/>
  <c r="CN304" i="1" s="1"/>
  <c r="CP304" i="1" s="1"/>
  <c r="BH306" i="1"/>
  <c r="BJ306" i="1" s="1"/>
  <c r="BL306" i="1" s="1"/>
  <c r="BI306" i="1"/>
  <c r="BK306" i="1" s="1"/>
  <c r="AS307" i="1"/>
  <c r="AU307" i="1" s="1"/>
  <c r="AW307" i="1" s="1"/>
  <c r="AT307" i="1"/>
  <c r="AV307" i="1" s="1"/>
  <c r="AX307" i="1" l="1"/>
  <c r="AZ307" i="1" s="1"/>
  <c r="BB307" i="1" s="1"/>
  <c r="AY307" i="1"/>
  <c r="BA307" i="1" s="1"/>
  <c r="BN306" i="1"/>
  <c r="BP306" i="1" s="1"/>
  <c r="BM306" i="1"/>
  <c r="BO306" i="1" s="1"/>
  <c r="BQ306" i="1" s="1"/>
  <c r="CC305" i="1"/>
  <c r="CE305" i="1" s="1"/>
  <c r="CB305" i="1"/>
  <c r="CD305" i="1" s="1"/>
  <c r="CF305" i="1" s="1"/>
  <c r="K309" i="1"/>
  <c r="M309" i="1" s="1"/>
  <c r="J309" i="1"/>
  <c r="L309" i="1" s="1"/>
  <c r="N309" i="1" s="1"/>
  <c r="D310" i="1"/>
  <c r="AJ308" i="1"/>
  <c r="AL308" i="1" s="1"/>
  <c r="AI308" i="1"/>
  <c r="AK308" i="1" s="1"/>
  <c r="AM308" i="1" s="1"/>
  <c r="CR304" i="1"/>
  <c r="CT304" i="1" s="1"/>
  <c r="CQ304" i="1"/>
  <c r="CS304" i="1" s="1"/>
  <c r="CU304" i="1" s="1"/>
  <c r="T309" i="1"/>
  <c r="V309" i="1" s="1"/>
  <c r="X309" i="1" s="1"/>
  <c r="U309" i="1"/>
  <c r="W309" i="1" s="1"/>
  <c r="CW304" i="1" l="1"/>
  <c r="CY304" i="1" s="1"/>
  <c r="CV304" i="1"/>
  <c r="CX304" i="1" s="1"/>
  <c r="CZ304" i="1" s="1"/>
  <c r="BR306" i="1"/>
  <c r="BT306" i="1" s="1"/>
  <c r="BV306" i="1" s="1"/>
  <c r="BS306" i="1"/>
  <c r="BU306" i="1" s="1"/>
  <c r="P309" i="1"/>
  <c r="R309" i="1" s="1"/>
  <c r="O309" i="1"/>
  <c r="CH305" i="1"/>
  <c r="CJ305" i="1" s="1"/>
  <c r="CG305" i="1"/>
  <c r="CI305" i="1" s="1"/>
  <c r="CK305" i="1" s="1"/>
  <c r="Z309" i="1"/>
  <c r="AB309" i="1" s="1"/>
  <c r="Y309" i="1"/>
  <c r="AA309" i="1" s="1"/>
  <c r="AC309" i="1" s="1"/>
  <c r="AN308" i="1"/>
  <c r="AP308" i="1" s="1"/>
  <c r="AR308" i="1" s="1"/>
  <c r="AO308" i="1"/>
  <c r="AQ308" i="1" s="1"/>
  <c r="F310" i="1"/>
  <c r="H310" i="1" s="1"/>
  <c r="E310" i="1"/>
  <c r="BD307" i="1"/>
  <c r="BF307" i="1" s="1"/>
  <c r="BC307" i="1"/>
  <c r="BE307" i="1" s="1"/>
  <c r="BG307" i="1" s="1"/>
  <c r="BH307" i="1" l="1"/>
  <c r="BJ307" i="1" s="1"/>
  <c r="BL307" i="1" s="1"/>
  <c r="BI307" i="1"/>
  <c r="BK307" i="1" s="1"/>
  <c r="AT308" i="1"/>
  <c r="AV308" i="1" s="1"/>
  <c r="AS308" i="1"/>
  <c r="AU308" i="1" s="1"/>
  <c r="AW308" i="1" s="1"/>
  <c r="CM305" i="1"/>
  <c r="CO305" i="1" s="1"/>
  <c r="CL305" i="1"/>
  <c r="CN305" i="1" s="1"/>
  <c r="CP305" i="1" s="1"/>
  <c r="Q310" i="1"/>
  <c r="S310" i="1" s="1"/>
  <c r="G310" i="1"/>
  <c r="I310" i="1" s="1"/>
  <c r="BW306" i="1"/>
  <c r="BY306" i="1" s="1"/>
  <c r="CA306" i="1" s="1"/>
  <c r="BX306" i="1"/>
  <c r="BZ306" i="1" s="1"/>
  <c r="DA304" i="1"/>
  <c r="DC304" i="1" s="1"/>
  <c r="DB304" i="1"/>
  <c r="DD304" i="1" s="1"/>
  <c r="AD309" i="1"/>
  <c r="AF309" i="1" s="1"/>
  <c r="AH309" i="1" s="1"/>
  <c r="AE309" i="1"/>
  <c r="AG309" i="1" s="1"/>
  <c r="CR305" i="1" l="1"/>
  <c r="CT305" i="1" s="1"/>
  <c r="CQ305" i="1"/>
  <c r="CS305" i="1" s="1"/>
  <c r="CU305" i="1" s="1"/>
  <c r="K310" i="1"/>
  <c r="M310" i="1" s="1"/>
  <c r="J310" i="1"/>
  <c r="L310" i="1" s="1"/>
  <c r="N310" i="1" s="1"/>
  <c r="D311" i="1"/>
  <c r="U310" i="1"/>
  <c r="W310" i="1" s="1"/>
  <c r="T310" i="1"/>
  <c r="V310" i="1" s="1"/>
  <c r="X310" i="1" s="1"/>
  <c r="AY308" i="1"/>
  <c r="BA308" i="1" s="1"/>
  <c r="AX308" i="1"/>
  <c r="AZ308" i="1" s="1"/>
  <c r="BB308" i="1" s="1"/>
  <c r="BM307" i="1"/>
  <c r="BO307" i="1" s="1"/>
  <c r="BQ307" i="1" s="1"/>
  <c r="BN307" i="1"/>
  <c r="BP307" i="1" s="1"/>
  <c r="AJ309" i="1"/>
  <c r="AL309" i="1" s="1"/>
  <c r="AI309" i="1"/>
  <c r="AK309" i="1" s="1"/>
  <c r="AM309" i="1" s="1"/>
  <c r="CC306" i="1"/>
  <c r="CE306" i="1" s="1"/>
  <c r="CB306" i="1"/>
  <c r="CD306" i="1" s="1"/>
  <c r="CF306" i="1" s="1"/>
  <c r="Z310" i="1" l="1"/>
  <c r="AB310" i="1" s="1"/>
  <c r="Y310" i="1"/>
  <c r="AA310" i="1" s="1"/>
  <c r="AC310" i="1" s="1"/>
  <c r="CH306" i="1"/>
  <c r="CJ306" i="1" s="1"/>
  <c r="CG306" i="1"/>
  <c r="CI306" i="1" s="1"/>
  <c r="CK306" i="1" s="1"/>
  <c r="P310" i="1"/>
  <c r="R310" i="1" s="1"/>
  <c r="O310" i="1"/>
  <c r="E311" i="1"/>
  <c r="F311" i="1"/>
  <c r="H311" i="1" s="1"/>
  <c r="CV305" i="1"/>
  <c r="CX305" i="1" s="1"/>
  <c r="CW305" i="1"/>
  <c r="CY305" i="1" s="1"/>
  <c r="AO309" i="1"/>
  <c r="AQ309" i="1" s="1"/>
  <c r="AN309" i="1"/>
  <c r="AP309" i="1" s="1"/>
  <c r="AR309" i="1" s="1"/>
  <c r="BS307" i="1"/>
  <c r="BU307" i="1" s="1"/>
  <c r="BR307" i="1"/>
  <c r="BT307" i="1" s="1"/>
  <c r="BV307" i="1" s="1"/>
  <c r="BD308" i="1"/>
  <c r="BF308" i="1" s="1"/>
  <c r="BC308" i="1"/>
  <c r="BE308" i="1" s="1"/>
  <c r="BG308" i="1" s="1"/>
  <c r="BI308" i="1" l="1"/>
  <c r="BK308" i="1" s="1"/>
  <c r="BH308" i="1"/>
  <c r="BJ308" i="1" s="1"/>
  <c r="BL308" i="1" s="1"/>
  <c r="Q311" i="1"/>
  <c r="S311" i="1" s="1"/>
  <c r="G311" i="1"/>
  <c r="I311" i="1" s="1"/>
  <c r="AT309" i="1"/>
  <c r="AV309" i="1" s="1"/>
  <c r="AS309" i="1"/>
  <c r="AU309" i="1" s="1"/>
  <c r="AW309" i="1" s="1"/>
  <c r="BX307" i="1"/>
  <c r="BZ307" i="1" s="1"/>
  <c r="BW307" i="1"/>
  <c r="BY307" i="1" s="1"/>
  <c r="CA307" i="1" s="1"/>
  <c r="CL306" i="1"/>
  <c r="CN306" i="1" s="1"/>
  <c r="CP306" i="1" s="1"/>
  <c r="CM306" i="1"/>
  <c r="CO306" i="1" s="1"/>
  <c r="AE310" i="1"/>
  <c r="AG310" i="1" s="1"/>
  <c r="AD310" i="1"/>
  <c r="AF310" i="1" s="1"/>
  <c r="AH310" i="1" s="1"/>
  <c r="CZ305" i="1"/>
  <c r="DB305" i="1" l="1"/>
  <c r="DD305" i="1" s="1"/>
  <c r="DA305" i="1"/>
  <c r="DC305" i="1" s="1"/>
  <c r="CB307" i="1"/>
  <c r="CD307" i="1" s="1"/>
  <c r="CF307" i="1" s="1"/>
  <c r="CC307" i="1"/>
  <c r="CE307" i="1" s="1"/>
  <c r="AJ310" i="1"/>
  <c r="AL310" i="1" s="1"/>
  <c r="AI310" i="1"/>
  <c r="AK310" i="1" s="1"/>
  <c r="AM310" i="1" s="1"/>
  <c r="CR306" i="1"/>
  <c r="CT306" i="1" s="1"/>
  <c r="CQ306" i="1"/>
  <c r="CS306" i="1" s="1"/>
  <c r="CU306" i="1" s="1"/>
  <c r="AY309" i="1"/>
  <c r="BA309" i="1" s="1"/>
  <c r="AX309" i="1"/>
  <c r="AZ309" i="1" s="1"/>
  <c r="BB309" i="1" s="1"/>
  <c r="K311" i="1"/>
  <c r="M311" i="1" s="1"/>
  <c r="J311" i="1"/>
  <c r="L311" i="1" s="1"/>
  <c r="N311" i="1" s="1"/>
  <c r="D312" i="1"/>
  <c r="U311" i="1"/>
  <c r="W311" i="1" s="1"/>
  <c r="T311" i="1"/>
  <c r="V311" i="1" s="1"/>
  <c r="X311" i="1" s="1"/>
  <c r="BN308" i="1"/>
  <c r="BP308" i="1" s="1"/>
  <c r="BM308" i="1"/>
  <c r="BO308" i="1" s="1"/>
  <c r="BQ308" i="1" s="1"/>
  <c r="Z311" i="1" l="1"/>
  <c r="AB311" i="1" s="1"/>
  <c r="Y311" i="1"/>
  <c r="AA311" i="1" s="1"/>
  <c r="AC311" i="1" s="1"/>
  <c r="AO310" i="1"/>
  <c r="AQ310" i="1" s="1"/>
  <c r="AN310" i="1"/>
  <c r="AP310" i="1" s="1"/>
  <c r="AR310" i="1" s="1"/>
  <c r="CW306" i="1"/>
  <c r="CY306" i="1" s="1"/>
  <c r="CV306" i="1"/>
  <c r="CX306" i="1" s="1"/>
  <c r="CZ306" i="1" s="1"/>
  <c r="F312" i="1"/>
  <c r="H312" i="1" s="1"/>
  <c r="E312" i="1"/>
  <c r="BD309" i="1"/>
  <c r="BF309" i="1" s="1"/>
  <c r="BC309" i="1"/>
  <c r="BE309" i="1" s="1"/>
  <c r="BG309" i="1" s="1"/>
  <c r="P311" i="1"/>
  <c r="R311" i="1" s="1"/>
  <c r="O311" i="1"/>
  <c r="CH307" i="1"/>
  <c r="CJ307" i="1" s="1"/>
  <c r="CG307" i="1"/>
  <c r="CI307" i="1" s="1"/>
  <c r="CK307" i="1" s="1"/>
  <c r="BR308" i="1"/>
  <c r="BT308" i="1" s="1"/>
  <c r="BV308" i="1" s="1"/>
  <c r="BS308" i="1"/>
  <c r="BU308" i="1" s="1"/>
  <c r="CM307" i="1" l="1"/>
  <c r="CO307" i="1" s="1"/>
  <c r="CL307" i="1"/>
  <c r="CN307" i="1" s="1"/>
  <c r="CP307" i="1" s="1"/>
  <c r="Q312" i="1"/>
  <c r="S312" i="1" s="1"/>
  <c r="G312" i="1"/>
  <c r="I312" i="1" s="1"/>
  <c r="AT310" i="1"/>
  <c r="AV310" i="1" s="1"/>
  <c r="AS310" i="1"/>
  <c r="AU310" i="1" s="1"/>
  <c r="AW310" i="1" s="1"/>
  <c r="DB306" i="1"/>
  <c r="DD306" i="1" s="1"/>
  <c r="DA306" i="1"/>
  <c r="DC306" i="1" s="1"/>
  <c r="BH309" i="1"/>
  <c r="BJ309" i="1" s="1"/>
  <c r="BL309" i="1" s="1"/>
  <c r="BI309" i="1"/>
  <c r="BK309" i="1" s="1"/>
  <c r="AE311" i="1"/>
  <c r="AG311" i="1" s="1"/>
  <c r="AD311" i="1"/>
  <c r="AF311" i="1" s="1"/>
  <c r="AH311" i="1" s="1"/>
  <c r="BX308" i="1"/>
  <c r="BZ308" i="1" s="1"/>
  <c r="BW308" i="1"/>
  <c r="BY308" i="1" s="1"/>
  <c r="CA308" i="1" s="1"/>
  <c r="BN309" i="1" l="1"/>
  <c r="BP309" i="1" s="1"/>
  <c r="BM309" i="1"/>
  <c r="BO309" i="1" s="1"/>
  <c r="BQ309" i="1" s="1"/>
  <c r="J312" i="1"/>
  <c r="L312" i="1" s="1"/>
  <c r="N312" i="1" s="1"/>
  <c r="K312" i="1"/>
  <c r="M312" i="1" s="1"/>
  <c r="D313" i="1"/>
  <c r="CB308" i="1"/>
  <c r="CD308" i="1" s="1"/>
  <c r="CF308" i="1" s="1"/>
  <c r="CC308" i="1"/>
  <c r="CE308" i="1" s="1"/>
  <c r="AJ311" i="1"/>
  <c r="AL311" i="1" s="1"/>
  <c r="AI311" i="1"/>
  <c r="AK311" i="1" s="1"/>
  <c r="AM311" i="1" s="1"/>
  <c r="U312" i="1"/>
  <c r="W312" i="1" s="1"/>
  <c r="T312" i="1"/>
  <c r="V312" i="1" s="1"/>
  <c r="X312" i="1" s="1"/>
  <c r="AX310" i="1"/>
  <c r="AZ310" i="1" s="1"/>
  <c r="BB310" i="1" s="1"/>
  <c r="AY310" i="1"/>
  <c r="BA310" i="1" s="1"/>
  <c r="CR307" i="1"/>
  <c r="CT307" i="1" s="1"/>
  <c r="CQ307" i="1"/>
  <c r="CS307" i="1" s="1"/>
  <c r="CU307" i="1" s="1"/>
  <c r="CV307" i="1" l="1"/>
  <c r="CX307" i="1" s="1"/>
  <c r="CW307" i="1"/>
  <c r="CY307" i="1" s="1"/>
  <c r="F313" i="1"/>
  <c r="H313" i="1" s="1"/>
  <c r="E313" i="1"/>
  <c r="AN311" i="1"/>
  <c r="AP311" i="1" s="1"/>
  <c r="AR311" i="1" s="1"/>
  <c r="AO311" i="1"/>
  <c r="AQ311" i="1" s="1"/>
  <c r="P312" i="1"/>
  <c r="R312" i="1" s="1"/>
  <c r="O312" i="1"/>
  <c r="CH308" i="1"/>
  <c r="CJ308" i="1" s="1"/>
  <c r="CG308" i="1"/>
  <c r="CI308" i="1" s="1"/>
  <c r="CK308" i="1" s="1"/>
  <c r="BD310" i="1"/>
  <c r="BF310" i="1" s="1"/>
  <c r="BC310" i="1"/>
  <c r="BE310" i="1" s="1"/>
  <c r="BG310" i="1" s="1"/>
  <c r="Z312" i="1"/>
  <c r="AB312" i="1" s="1"/>
  <c r="Y312" i="1"/>
  <c r="AA312" i="1" s="1"/>
  <c r="AC312" i="1" s="1"/>
  <c r="BS309" i="1"/>
  <c r="BU309" i="1" s="1"/>
  <c r="BR309" i="1"/>
  <c r="BT309" i="1" s="1"/>
  <c r="BV309" i="1" s="1"/>
  <c r="BX309" i="1" l="1"/>
  <c r="BZ309" i="1" s="1"/>
  <c r="BW309" i="1"/>
  <c r="BY309" i="1" s="1"/>
  <c r="CA309" i="1" s="1"/>
  <c r="AT311" i="1"/>
  <c r="AV311" i="1" s="1"/>
  <c r="AS311" i="1"/>
  <c r="AU311" i="1" s="1"/>
  <c r="AW311" i="1" s="1"/>
  <c r="AD312" i="1"/>
  <c r="AF312" i="1" s="1"/>
  <c r="AH312" i="1" s="1"/>
  <c r="AE312" i="1"/>
  <c r="AG312" i="1" s="1"/>
  <c r="BI310" i="1"/>
  <c r="BK310" i="1" s="1"/>
  <c r="BH310" i="1"/>
  <c r="BJ310" i="1" s="1"/>
  <c r="BL310" i="1" s="1"/>
  <c r="G313" i="1"/>
  <c r="I313" i="1" s="1"/>
  <c r="Q313" i="1"/>
  <c r="S313" i="1" s="1"/>
  <c r="CL308" i="1"/>
  <c r="CN308" i="1" s="1"/>
  <c r="CP308" i="1" s="1"/>
  <c r="CM308" i="1"/>
  <c r="CO308" i="1" s="1"/>
  <c r="CZ307" i="1"/>
  <c r="AJ312" i="1" l="1"/>
  <c r="AL312" i="1" s="1"/>
  <c r="AI312" i="1"/>
  <c r="AK312" i="1" s="1"/>
  <c r="AM312" i="1" s="1"/>
  <c r="BN310" i="1"/>
  <c r="BP310" i="1" s="1"/>
  <c r="BM310" i="1"/>
  <c r="BO310" i="1" s="1"/>
  <c r="BQ310" i="1" s="1"/>
  <c r="CQ308" i="1"/>
  <c r="CS308" i="1" s="1"/>
  <c r="CU308" i="1" s="1"/>
  <c r="CR308" i="1"/>
  <c r="CT308" i="1" s="1"/>
  <c r="AY311" i="1"/>
  <c r="BA311" i="1" s="1"/>
  <c r="AX311" i="1"/>
  <c r="AZ311" i="1" s="1"/>
  <c r="BB311" i="1" s="1"/>
  <c r="T313" i="1"/>
  <c r="V313" i="1" s="1"/>
  <c r="X313" i="1" s="1"/>
  <c r="U313" i="1"/>
  <c r="W313" i="1" s="1"/>
  <c r="DB307" i="1"/>
  <c r="DD307" i="1" s="1"/>
  <c r="DA307" i="1"/>
  <c r="DC307" i="1" s="1"/>
  <c r="CC309" i="1"/>
  <c r="CE309" i="1" s="1"/>
  <c r="CB309" i="1"/>
  <c r="CD309" i="1" s="1"/>
  <c r="CF309" i="1" s="1"/>
  <c r="K313" i="1"/>
  <c r="M313" i="1" s="1"/>
  <c r="J313" i="1"/>
  <c r="L313" i="1" s="1"/>
  <c r="N313" i="1" s="1"/>
  <c r="D314" i="1"/>
  <c r="BC311" i="1" l="1"/>
  <c r="BE311" i="1" s="1"/>
  <c r="BG311" i="1" s="1"/>
  <c r="BD311" i="1"/>
  <c r="BF311" i="1" s="1"/>
  <c r="CV308" i="1"/>
  <c r="CX308" i="1" s="1"/>
  <c r="CW308" i="1"/>
  <c r="CY308" i="1" s="1"/>
  <c r="BS310" i="1"/>
  <c r="BU310" i="1" s="1"/>
  <c r="BR310" i="1"/>
  <c r="BT310" i="1" s="1"/>
  <c r="BV310" i="1" s="1"/>
  <c r="CH309" i="1"/>
  <c r="CJ309" i="1" s="1"/>
  <c r="CG309" i="1"/>
  <c r="CI309" i="1" s="1"/>
  <c r="CK309" i="1" s="1"/>
  <c r="P313" i="1"/>
  <c r="R313" i="1" s="1"/>
  <c r="O313" i="1"/>
  <c r="AO312" i="1"/>
  <c r="AQ312" i="1" s="1"/>
  <c r="AN312" i="1"/>
  <c r="AP312" i="1" s="1"/>
  <c r="AR312" i="1" s="1"/>
  <c r="F314" i="1"/>
  <c r="H314" i="1" s="1"/>
  <c r="E314" i="1"/>
  <c r="Z313" i="1"/>
  <c r="AB313" i="1" s="1"/>
  <c r="Y313" i="1"/>
  <c r="AA313" i="1" s="1"/>
  <c r="AC313" i="1" s="1"/>
  <c r="CM309" i="1" l="1"/>
  <c r="CO309" i="1" s="1"/>
  <c r="CL309" i="1"/>
  <c r="CN309" i="1" s="1"/>
  <c r="CP309" i="1" s="1"/>
  <c r="BX310" i="1"/>
  <c r="BZ310" i="1" s="1"/>
  <c r="BW310" i="1"/>
  <c r="BY310" i="1" s="1"/>
  <c r="CA310" i="1" s="1"/>
  <c r="AE313" i="1"/>
  <c r="AG313" i="1" s="1"/>
  <c r="AD313" i="1"/>
  <c r="AF313" i="1" s="1"/>
  <c r="AH313" i="1" s="1"/>
  <c r="G314" i="1"/>
  <c r="I314" i="1" s="1"/>
  <c r="Q314" i="1"/>
  <c r="S314" i="1" s="1"/>
  <c r="AT312" i="1"/>
  <c r="AV312" i="1" s="1"/>
  <c r="AS312" i="1"/>
  <c r="AU312" i="1" s="1"/>
  <c r="AW312" i="1" s="1"/>
  <c r="BI311" i="1"/>
  <c r="BK311" i="1" s="1"/>
  <c r="BH311" i="1"/>
  <c r="BJ311" i="1" s="1"/>
  <c r="BL311" i="1" s="1"/>
  <c r="CZ308" i="1"/>
  <c r="DB308" i="1" l="1"/>
  <c r="DD308" i="1" s="1"/>
  <c r="DA308" i="1"/>
  <c r="DC308" i="1" s="1"/>
  <c r="U314" i="1"/>
  <c r="W314" i="1" s="1"/>
  <c r="T314" i="1"/>
  <c r="V314" i="1" s="1"/>
  <c r="X314" i="1" s="1"/>
  <c r="J314" i="1"/>
  <c r="L314" i="1" s="1"/>
  <c r="N314" i="1" s="1"/>
  <c r="K314" i="1"/>
  <c r="M314" i="1" s="1"/>
  <c r="D315" i="1"/>
  <c r="CC310" i="1"/>
  <c r="CE310" i="1" s="1"/>
  <c r="CB310" i="1"/>
  <c r="CD310" i="1" s="1"/>
  <c r="CF310" i="1" s="1"/>
  <c r="CR309" i="1"/>
  <c r="CT309" i="1" s="1"/>
  <c r="CQ309" i="1"/>
  <c r="CS309" i="1" s="1"/>
  <c r="CU309" i="1" s="1"/>
  <c r="AJ313" i="1"/>
  <c r="AL313" i="1" s="1"/>
  <c r="AI313" i="1"/>
  <c r="AK313" i="1" s="1"/>
  <c r="AM313" i="1" s="1"/>
  <c r="BN311" i="1"/>
  <c r="BP311" i="1" s="1"/>
  <c r="BM311" i="1"/>
  <c r="BO311" i="1" s="1"/>
  <c r="BQ311" i="1" s="1"/>
  <c r="AY312" i="1"/>
  <c r="BA312" i="1" s="1"/>
  <c r="AX312" i="1"/>
  <c r="AZ312" i="1" s="1"/>
  <c r="BB312" i="1" s="1"/>
  <c r="BD312" i="1" l="1"/>
  <c r="BF312" i="1" s="1"/>
  <c r="BC312" i="1"/>
  <c r="BE312" i="1" s="1"/>
  <c r="BG312" i="1" s="1"/>
  <c r="F315" i="1"/>
  <c r="H315" i="1" s="1"/>
  <c r="E315" i="1"/>
  <c r="CH310" i="1"/>
  <c r="CJ310" i="1" s="1"/>
  <c r="CG310" i="1"/>
  <c r="CI310" i="1" s="1"/>
  <c r="CK310" i="1" s="1"/>
  <c r="AO313" i="1"/>
  <c r="AQ313" i="1" s="1"/>
  <c r="AN313" i="1"/>
  <c r="AP313" i="1" s="1"/>
  <c r="AR313" i="1" s="1"/>
  <c r="P314" i="1"/>
  <c r="R314" i="1" s="1"/>
  <c r="O314" i="1"/>
  <c r="BS311" i="1"/>
  <c r="BU311" i="1" s="1"/>
  <c r="BR311" i="1"/>
  <c r="BT311" i="1" s="1"/>
  <c r="BV311" i="1" s="1"/>
  <c r="CW309" i="1"/>
  <c r="CY309" i="1" s="1"/>
  <c r="CV309" i="1"/>
  <c r="CX309" i="1" s="1"/>
  <c r="CZ309" i="1" s="1"/>
  <c r="Y314" i="1"/>
  <c r="AA314" i="1" s="1"/>
  <c r="AC314" i="1" s="1"/>
  <c r="Z314" i="1"/>
  <c r="AB314" i="1" s="1"/>
  <c r="AE314" i="1" l="1"/>
  <c r="AG314" i="1" s="1"/>
  <c r="AD314" i="1"/>
  <c r="AF314" i="1" s="1"/>
  <c r="AH314" i="1" s="1"/>
  <c r="DB309" i="1"/>
  <c r="DD309" i="1" s="1"/>
  <c r="DA309" i="1"/>
  <c r="DC309" i="1" s="1"/>
  <c r="G315" i="1"/>
  <c r="I315" i="1" s="1"/>
  <c r="Q315" i="1"/>
  <c r="S315" i="1" s="1"/>
  <c r="CM310" i="1"/>
  <c r="CO310" i="1" s="1"/>
  <c r="CL310" i="1"/>
  <c r="CN310" i="1" s="1"/>
  <c r="CP310" i="1" s="1"/>
  <c r="AT313" i="1"/>
  <c r="AV313" i="1" s="1"/>
  <c r="AS313" i="1"/>
  <c r="AU313" i="1" s="1"/>
  <c r="AW313" i="1" s="1"/>
  <c r="BX311" i="1"/>
  <c r="BZ311" i="1" s="1"/>
  <c r="BW311" i="1"/>
  <c r="BY311" i="1" s="1"/>
  <c r="CA311" i="1" s="1"/>
  <c r="BI312" i="1"/>
  <c r="BK312" i="1" s="1"/>
  <c r="BH312" i="1"/>
  <c r="BJ312" i="1" s="1"/>
  <c r="BL312" i="1" s="1"/>
  <c r="CR310" i="1" l="1"/>
  <c r="CT310" i="1" s="1"/>
  <c r="CQ310" i="1"/>
  <c r="CS310" i="1" s="1"/>
  <c r="CU310" i="1" s="1"/>
  <c r="BN312" i="1"/>
  <c r="BP312" i="1" s="1"/>
  <c r="BM312" i="1"/>
  <c r="BO312" i="1" s="1"/>
  <c r="BQ312" i="1" s="1"/>
  <c r="U315" i="1"/>
  <c r="W315" i="1" s="1"/>
  <c r="T315" i="1"/>
  <c r="V315" i="1" s="1"/>
  <c r="X315" i="1" s="1"/>
  <c r="CC311" i="1"/>
  <c r="CE311" i="1" s="1"/>
  <c r="CB311" i="1"/>
  <c r="CD311" i="1" s="1"/>
  <c r="CF311" i="1" s="1"/>
  <c r="AJ314" i="1"/>
  <c r="AL314" i="1" s="1"/>
  <c r="AI314" i="1"/>
  <c r="AK314" i="1" s="1"/>
  <c r="AM314" i="1" s="1"/>
  <c r="K315" i="1"/>
  <c r="M315" i="1" s="1"/>
  <c r="J315" i="1"/>
  <c r="L315" i="1" s="1"/>
  <c r="N315" i="1" s="1"/>
  <c r="D316" i="1"/>
  <c r="AY313" i="1"/>
  <c r="BA313" i="1" s="1"/>
  <c r="AX313" i="1"/>
  <c r="AZ313" i="1" s="1"/>
  <c r="BB313" i="1" s="1"/>
  <c r="F316" i="1" l="1"/>
  <c r="H316" i="1" s="1"/>
  <c r="E316" i="1"/>
  <c r="Z315" i="1"/>
  <c r="AB315" i="1" s="1"/>
  <c r="Y315" i="1"/>
  <c r="AA315" i="1" s="1"/>
  <c r="AC315" i="1" s="1"/>
  <c r="CH311" i="1"/>
  <c r="CJ311" i="1" s="1"/>
  <c r="CG311" i="1"/>
  <c r="CI311" i="1" s="1"/>
  <c r="CK311" i="1" s="1"/>
  <c r="P315" i="1"/>
  <c r="R315" i="1" s="1"/>
  <c r="O315" i="1"/>
  <c r="AO314" i="1"/>
  <c r="AQ314" i="1" s="1"/>
  <c r="AN314" i="1"/>
  <c r="AP314" i="1" s="1"/>
  <c r="AR314" i="1" s="1"/>
  <c r="CW310" i="1"/>
  <c r="CY310" i="1" s="1"/>
  <c r="CV310" i="1"/>
  <c r="CX310" i="1" s="1"/>
  <c r="CZ310" i="1" s="1"/>
  <c r="BD313" i="1"/>
  <c r="BF313" i="1" s="1"/>
  <c r="BC313" i="1"/>
  <c r="BE313" i="1" s="1"/>
  <c r="BG313" i="1" s="1"/>
  <c r="BS312" i="1"/>
  <c r="BU312" i="1" s="1"/>
  <c r="BR312" i="1"/>
  <c r="BT312" i="1" s="1"/>
  <c r="BV312" i="1" s="1"/>
  <c r="BX312" i="1" l="1"/>
  <c r="BZ312" i="1" s="1"/>
  <c r="BW312" i="1"/>
  <c r="BY312" i="1" s="1"/>
  <c r="CA312" i="1" s="1"/>
  <c r="BI313" i="1"/>
  <c r="BK313" i="1" s="1"/>
  <c r="BH313" i="1"/>
  <c r="BJ313" i="1" s="1"/>
  <c r="BL313" i="1" s="1"/>
  <c r="CL311" i="1"/>
  <c r="CN311" i="1" s="1"/>
  <c r="CP311" i="1" s="1"/>
  <c r="CM311" i="1"/>
  <c r="CO311" i="1" s="1"/>
  <c r="AE315" i="1"/>
  <c r="AG315" i="1" s="1"/>
  <c r="AD315" i="1"/>
  <c r="AF315" i="1" s="1"/>
  <c r="AH315" i="1" s="1"/>
  <c r="G316" i="1"/>
  <c r="I316" i="1" s="1"/>
  <c r="Q316" i="1"/>
  <c r="S316" i="1" s="1"/>
  <c r="DB310" i="1"/>
  <c r="DD310" i="1" s="1"/>
  <c r="DA310" i="1"/>
  <c r="DC310" i="1" s="1"/>
  <c r="AT314" i="1"/>
  <c r="AV314" i="1" s="1"/>
  <c r="AS314" i="1"/>
  <c r="AU314" i="1" s="1"/>
  <c r="AW314" i="1" s="1"/>
  <c r="AJ315" i="1" l="1"/>
  <c r="AL315" i="1" s="1"/>
  <c r="AI315" i="1"/>
  <c r="AK315" i="1" s="1"/>
  <c r="AM315" i="1" s="1"/>
  <c r="BN313" i="1"/>
  <c r="BP313" i="1" s="1"/>
  <c r="BM313" i="1"/>
  <c r="BO313" i="1" s="1"/>
  <c r="BQ313" i="1" s="1"/>
  <c r="AY314" i="1"/>
  <c r="BA314" i="1" s="1"/>
  <c r="AX314" i="1"/>
  <c r="AZ314" i="1" s="1"/>
  <c r="BB314" i="1" s="1"/>
  <c r="CC312" i="1"/>
  <c r="CE312" i="1" s="1"/>
  <c r="CB312" i="1"/>
  <c r="CD312" i="1" s="1"/>
  <c r="CF312" i="1" s="1"/>
  <c r="CR311" i="1"/>
  <c r="CT311" i="1" s="1"/>
  <c r="CQ311" i="1"/>
  <c r="CS311" i="1" s="1"/>
  <c r="CU311" i="1" s="1"/>
  <c r="U316" i="1"/>
  <c r="W316" i="1" s="1"/>
  <c r="T316" i="1"/>
  <c r="V316" i="1" s="1"/>
  <c r="X316" i="1" s="1"/>
  <c r="K316" i="1"/>
  <c r="M316" i="1" s="1"/>
  <c r="J316" i="1"/>
  <c r="L316" i="1" s="1"/>
  <c r="N316" i="1" s="1"/>
  <c r="D317" i="1"/>
  <c r="CH312" i="1" l="1"/>
  <c r="CJ312" i="1" s="1"/>
  <c r="CG312" i="1"/>
  <c r="CI312" i="1" s="1"/>
  <c r="CK312" i="1" s="1"/>
  <c r="F317" i="1"/>
  <c r="H317" i="1" s="1"/>
  <c r="E317" i="1"/>
  <c r="P316" i="1"/>
  <c r="R316" i="1" s="1"/>
  <c r="O316" i="1"/>
  <c r="Z316" i="1"/>
  <c r="AB316" i="1" s="1"/>
  <c r="Y316" i="1"/>
  <c r="AA316" i="1" s="1"/>
  <c r="AC316" i="1" s="1"/>
  <c r="AO315" i="1"/>
  <c r="AQ315" i="1" s="1"/>
  <c r="AN315" i="1"/>
  <c r="AP315" i="1" s="1"/>
  <c r="AR315" i="1" s="1"/>
  <c r="BD314" i="1"/>
  <c r="BF314" i="1" s="1"/>
  <c r="BC314" i="1"/>
  <c r="BE314" i="1" s="1"/>
  <c r="BG314" i="1" s="1"/>
  <c r="BS313" i="1"/>
  <c r="BU313" i="1" s="1"/>
  <c r="BR313" i="1"/>
  <c r="BT313" i="1" s="1"/>
  <c r="BV313" i="1" s="1"/>
  <c r="CV311" i="1"/>
  <c r="CX311" i="1" s="1"/>
  <c r="CW311" i="1"/>
  <c r="CY311" i="1" s="1"/>
  <c r="AE316" i="1" l="1"/>
  <c r="AG316" i="1" s="1"/>
  <c r="AD316" i="1"/>
  <c r="AF316" i="1" s="1"/>
  <c r="AH316" i="1" s="1"/>
  <c r="CZ311" i="1"/>
  <c r="Q317" i="1"/>
  <c r="S317" i="1" s="1"/>
  <c r="G317" i="1"/>
  <c r="I317" i="1" s="1"/>
  <c r="BX313" i="1"/>
  <c r="BZ313" i="1" s="1"/>
  <c r="BW313" i="1"/>
  <c r="BY313" i="1" s="1"/>
  <c r="CA313" i="1" s="1"/>
  <c r="BH314" i="1"/>
  <c r="BJ314" i="1" s="1"/>
  <c r="BL314" i="1" s="1"/>
  <c r="BI314" i="1"/>
  <c r="BK314" i="1" s="1"/>
  <c r="AT315" i="1"/>
  <c r="AV315" i="1" s="1"/>
  <c r="AS315" i="1"/>
  <c r="AU315" i="1" s="1"/>
  <c r="AW315" i="1" s="1"/>
  <c r="CL312" i="1"/>
  <c r="CN312" i="1" s="1"/>
  <c r="CP312" i="1" s="1"/>
  <c r="CM312" i="1"/>
  <c r="CO312" i="1" s="1"/>
  <c r="BN314" i="1" l="1"/>
  <c r="BP314" i="1" s="1"/>
  <c r="BM314" i="1"/>
  <c r="BO314" i="1" s="1"/>
  <c r="BQ314" i="1" s="1"/>
  <c r="CB313" i="1"/>
  <c r="CD313" i="1" s="1"/>
  <c r="CF313" i="1" s="1"/>
  <c r="CC313" i="1"/>
  <c r="CE313" i="1" s="1"/>
  <c r="K317" i="1"/>
  <c r="M317" i="1" s="1"/>
  <c r="J317" i="1"/>
  <c r="L317" i="1" s="1"/>
  <c r="N317" i="1" s="1"/>
  <c r="D318" i="1"/>
  <c r="CR312" i="1"/>
  <c r="CT312" i="1" s="1"/>
  <c r="CQ312" i="1"/>
  <c r="CS312" i="1" s="1"/>
  <c r="CU312" i="1" s="1"/>
  <c r="U317" i="1"/>
  <c r="W317" i="1" s="1"/>
  <c r="T317" i="1"/>
  <c r="V317" i="1" s="1"/>
  <c r="X317" i="1" s="1"/>
  <c r="DB311" i="1"/>
  <c r="DD311" i="1" s="1"/>
  <c r="DA311" i="1"/>
  <c r="DC311" i="1" s="1"/>
  <c r="AY315" i="1"/>
  <c r="BA315" i="1" s="1"/>
  <c r="AX315" i="1"/>
  <c r="AZ315" i="1" s="1"/>
  <c r="BB315" i="1" s="1"/>
  <c r="AJ316" i="1"/>
  <c r="AL316" i="1" s="1"/>
  <c r="AI316" i="1"/>
  <c r="AK316" i="1" s="1"/>
  <c r="AM316" i="1" s="1"/>
  <c r="AO316" i="1" l="1"/>
  <c r="AQ316" i="1" s="1"/>
  <c r="AN316" i="1"/>
  <c r="AP316" i="1" s="1"/>
  <c r="AR316" i="1" s="1"/>
  <c r="P317" i="1"/>
  <c r="R317" i="1" s="1"/>
  <c r="O317" i="1"/>
  <c r="BD315" i="1"/>
  <c r="BF315" i="1" s="1"/>
  <c r="BC315" i="1"/>
  <c r="BE315" i="1" s="1"/>
  <c r="BG315" i="1" s="1"/>
  <c r="F318" i="1"/>
  <c r="H318" i="1" s="1"/>
  <c r="E318" i="1"/>
  <c r="CH313" i="1"/>
  <c r="CJ313" i="1" s="1"/>
  <c r="CG313" i="1"/>
  <c r="CI313" i="1" s="1"/>
  <c r="CK313" i="1" s="1"/>
  <c r="BR314" i="1"/>
  <c r="BT314" i="1" s="1"/>
  <c r="BV314" i="1" s="1"/>
  <c r="BS314" i="1"/>
  <c r="BU314" i="1" s="1"/>
  <c r="Z317" i="1"/>
  <c r="AB317" i="1" s="1"/>
  <c r="Y317" i="1"/>
  <c r="AA317" i="1" s="1"/>
  <c r="AC317" i="1" s="1"/>
  <c r="CW312" i="1"/>
  <c r="CY312" i="1" s="1"/>
  <c r="CV312" i="1"/>
  <c r="CX312" i="1" s="1"/>
  <c r="CZ312" i="1" s="1"/>
  <c r="DB312" i="1" l="1"/>
  <c r="DD312" i="1" s="1"/>
  <c r="DA312" i="1"/>
  <c r="DC312" i="1" s="1"/>
  <c r="AD317" i="1"/>
  <c r="AF317" i="1" s="1"/>
  <c r="AH317" i="1" s="1"/>
  <c r="AE317" i="1"/>
  <c r="AG317" i="1" s="1"/>
  <c r="Q318" i="1"/>
  <c r="S318" i="1" s="1"/>
  <c r="G318" i="1"/>
  <c r="I318" i="1" s="1"/>
  <c r="BH315" i="1"/>
  <c r="BJ315" i="1" s="1"/>
  <c r="BL315" i="1" s="1"/>
  <c r="BI315" i="1"/>
  <c r="BK315" i="1" s="1"/>
  <c r="BX314" i="1"/>
  <c r="BZ314" i="1" s="1"/>
  <c r="BW314" i="1"/>
  <c r="BY314" i="1" s="1"/>
  <c r="CA314" i="1" s="1"/>
  <c r="CM313" i="1"/>
  <c r="CO313" i="1" s="1"/>
  <c r="CL313" i="1"/>
  <c r="CN313" i="1" s="1"/>
  <c r="CP313" i="1" s="1"/>
  <c r="AT316" i="1"/>
  <c r="AV316" i="1" s="1"/>
  <c r="AS316" i="1"/>
  <c r="AU316" i="1" s="1"/>
  <c r="AW316" i="1" s="1"/>
  <c r="BN315" i="1" l="1"/>
  <c r="BP315" i="1" s="1"/>
  <c r="BM315" i="1"/>
  <c r="BO315" i="1" s="1"/>
  <c r="BQ315" i="1" s="1"/>
  <c r="U318" i="1"/>
  <c r="W318" i="1" s="1"/>
  <c r="T318" i="1"/>
  <c r="V318" i="1" s="1"/>
  <c r="X318" i="1" s="1"/>
  <c r="K318" i="1"/>
  <c r="M318" i="1" s="1"/>
  <c r="J318" i="1"/>
  <c r="L318" i="1" s="1"/>
  <c r="N318" i="1" s="1"/>
  <c r="D319" i="1"/>
  <c r="CR313" i="1"/>
  <c r="CT313" i="1" s="1"/>
  <c r="CQ313" i="1"/>
  <c r="CS313" i="1" s="1"/>
  <c r="CU313" i="1" s="1"/>
  <c r="AX316" i="1"/>
  <c r="AZ316" i="1" s="1"/>
  <c r="BB316" i="1" s="1"/>
  <c r="AY316" i="1"/>
  <c r="BA316" i="1" s="1"/>
  <c r="AJ317" i="1"/>
  <c r="AL317" i="1" s="1"/>
  <c r="AI317" i="1"/>
  <c r="AK317" i="1" s="1"/>
  <c r="AM317" i="1" s="1"/>
  <c r="CC314" i="1"/>
  <c r="CE314" i="1" s="1"/>
  <c r="CB314" i="1"/>
  <c r="CD314" i="1" s="1"/>
  <c r="CF314" i="1" s="1"/>
  <c r="CH314" i="1" l="1"/>
  <c r="CJ314" i="1" s="1"/>
  <c r="CG314" i="1"/>
  <c r="CI314" i="1" s="1"/>
  <c r="CK314" i="1" s="1"/>
  <c r="F319" i="1"/>
  <c r="H319" i="1" s="1"/>
  <c r="E319" i="1"/>
  <c r="BS315" i="1"/>
  <c r="BU315" i="1" s="1"/>
  <c r="BR315" i="1"/>
  <c r="BT315" i="1" s="1"/>
  <c r="BV315" i="1" s="1"/>
  <c r="AN317" i="1"/>
  <c r="AP317" i="1" s="1"/>
  <c r="AR317" i="1" s="1"/>
  <c r="AO317" i="1"/>
  <c r="AQ317" i="1" s="1"/>
  <c r="BD316" i="1"/>
  <c r="BF316" i="1" s="1"/>
  <c r="BC316" i="1"/>
  <c r="BE316" i="1" s="1"/>
  <c r="BG316" i="1" s="1"/>
  <c r="P318" i="1"/>
  <c r="R318" i="1" s="1"/>
  <c r="O318" i="1"/>
  <c r="Z318" i="1"/>
  <c r="AB318" i="1" s="1"/>
  <c r="Y318" i="1"/>
  <c r="AA318" i="1" s="1"/>
  <c r="AC318" i="1" s="1"/>
  <c r="CW313" i="1"/>
  <c r="CY313" i="1" s="1"/>
  <c r="CV313" i="1"/>
  <c r="CX313" i="1" s="1"/>
  <c r="CZ313" i="1" s="1"/>
  <c r="DA313" i="1" l="1"/>
  <c r="DC313" i="1" s="1"/>
  <c r="DB313" i="1"/>
  <c r="DD313" i="1" s="1"/>
  <c r="AD318" i="1"/>
  <c r="AF318" i="1" s="1"/>
  <c r="AH318" i="1" s="1"/>
  <c r="AE318" i="1"/>
  <c r="AG318" i="1" s="1"/>
  <c r="BX315" i="1"/>
  <c r="BZ315" i="1" s="1"/>
  <c r="BW315" i="1"/>
  <c r="BY315" i="1" s="1"/>
  <c r="CA315" i="1" s="1"/>
  <c r="BI316" i="1"/>
  <c r="BK316" i="1" s="1"/>
  <c r="BH316" i="1"/>
  <c r="BJ316" i="1" s="1"/>
  <c r="BL316" i="1" s="1"/>
  <c r="AT317" i="1"/>
  <c r="AV317" i="1" s="1"/>
  <c r="AS317" i="1"/>
  <c r="AU317" i="1" s="1"/>
  <c r="AW317" i="1" s="1"/>
  <c r="G319" i="1"/>
  <c r="I319" i="1" s="1"/>
  <c r="Q319" i="1"/>
  <c r="S319" i="1" s="1"/>
  <c r="CM314" i="1"/>
  <c r="CO314" i="1" s="1"/>
  <c r="CL314" i="1"/>
  <c r="CN314" i="1" s="1"/>
  <c r="CP314" i="1" s="1"/>
  <c r="BN316" i="1" l="1"/>
  <c r="BP316" i="1" s="1"/>
  <c r="BM316" i="1"/>
  <c r="BO316" i="1" s="1"/>
  <c r="BQ316" i="1" s="1"/>
  <c r="CC315" i="1"/>
  <c r="CE315" i="1" s="1"/>
  <c r="CB315" i="1"/>
  <c r="CD315" i="1" s="1"/>
  <c r="CF315" i="1" s="1"/>
  <c r="AJ318" i="1"/>
  <c r="AL318" i="1" s="1"/>
  <c r="AI318" i="1"/>
  <c r="AK318" i="1" s="1"/>
  <c r="AM318" i="1" s="1"/>
  <c r="CR314" i="1"/>
  <c r="CT314" i="1" s="1"/>
  <c r="CQ314" i="1"/>
  <c r="CS314" i="1" s="1"/>
  <c r="CU314" i="1" s="1"/>
  <c r="T319" i="1"/>
  <c r="V319" i="1" s="1"/>
  <c r="X319" i="1" s="1"/>
  <c r="U319" i="1"/>
  <c r="W319" i="1" s="1"/>
  <c r="K319" i="1"/>
  <c r="M319" i="1" s="1"/>
  <c r="J319" i="1"/>
  <c r="L319" i="1" s="1"/>
  <c r="N319" i="1" s="1"/>
  <c r="D320" i="1"/>
  <c r="AY317" i="1"/>
  <c r="BA317" i="1" s="1"/>
  <c r="AX317" i="1"/>
  <c r="AZ317" i="1" s="1"/>
  <c r="BB317" i="1" s="1"/>
  <c r="CW314" i="1" l="1"/>
  <c r="CY314" i="1" s="1"/>
  <c r="CV314" i="1"/>
  <c r="CX314" i="1" s="1"/>
  <c r="CZ314" i="1" s="1"/>
  <c r="F320" i="1"/>
  <c r="H320" i="1" s="1"/>
  <c r="E320" i="1"/>
  <c r="AO318" i="1"/>
  <c r="AQ318" i="1" s="1"/>
  <c r="AN318" i="1"/>
  <c r="AP318" i="1" s="1"/>
  <c r="AR318" i="1" s="1"/>
  <c r="CH315" i="1"/>
  <c r="CJ315" i="1" s="1"/>
  <c r="CG315" i="1"/>
  <c r="CI315" i="1" s="1"/>
  <c r="CK315" i="1" s="1"/>
  <c r="BD317" i="1"/>
  <c r="BF317" i="1" s="1"/>
  <c r="BC317" i="1"/>
  <c r="BE317" i="1" s="1"/>
  <c r="BG317" i="1" s="1"/>
  <c r="P319" i="1"/>
  <c r="R319" i="1" s="1"/>
  <c r="O319" i="1"/>
  <c r="BS316" i="1"/>
  <c r="BU316" i="1" s="1"/>
  <c r="BR316" i="1"/>
  <c r="BT316" i="1" s="1"/>
  <c r="BV316" i="1" s="1"/>
  <c r="Z319" i="1"/>
  <c r="AB319" i="1" s="1"/>
  <c r="Y319" i="1"/>
  <c r="AA319" i="1" s="1"/>
  <c r="AC319" i="1" s="1"/>
  <c r="CM315" i="1" l="1"/>
  <c r="CO315" i="1" s="1"/>
  <c r="CL315" i="1"/>
  <c r="CN315" i="1" s="1"/>
  <c r="CP315" i="1" s="1"/>
  <c r="G320" i="1"/>
  <c r="I320" i="1" s="1"/>
  <c r="Q320" i="1"/>
  <c r="S320" i="1" s="1"/>
  <c r="AE319" i="1"/>
  <c r="AG319" i="1" s="1"/>
  <c r="AD319" i="1"/>
  <c r="AF319" i="1" s="1"/>
  <c r="AH319" i="1" s="1"/>
  <c r="BW316" i="1"/>
  <c r="BY316" i="1" s="1"/>
  <c r="CA316" i="1" s="1"/>
  <c r="BX316" i="1"/>
  <c r="BZ316" i="1" s="1"/>
  <c r="DB314" i="1"/>
  <c r="DD314" i="1" s="1"/>
  <c r="DA314" i="1"/>
  <c r="DC314" i="1" s="1"/>
  <c r="AT318" i="1"/>
  <c r="AV318" i="1" s="1"/>
  <c r="AS318" i="1"/>
  <c r="AU318" i="1" s="1"/>
  <c r="AW318" i="1" s="1"/>
  <c r="BI317" i="1"/>
  <c r="BK317" i="1" s="1"/>
  <c r="BH317" i="1"/>
  <c r="BJ317" i="1" s="1"/>
  <c r="BL317" i="1" s="1"/>
  <c r="BN317" i="1" l="1"/>
  <c r="BP317" i="1" s="1"/>
  <c r="BM317" i="1"/>
  <c r="BO317" i="1" s="1"/>
  <c r="BQ317" i="1" s="1"/>
  <c r="AJ319" i="1"/>
  <c r="AL319" i="1" s="1"/>
  <c r="AI319" i="1"/>
  <c r="AK319" i="1" s="1"/>
  <c r="AM319" i="1" s="1"/>
  <c r="U320" i="1"/>
  <c r="W320" i="1" s="1"/>
  <c r="T320" i="1"/>
  <c r="V320" i="1" s="1"/>
  <c r="X320" i="1" s="1"/>
  <c r="CR315" i="1"/>
  <c r="CT315" i="1" s="1"/>
  <c r="CQ315" i="1"/>
  <c r="CS315" i="1" s="1"/>
  <c r="CU315" i="1" s="1"/>
  <c r="CC316" i="1"/>
  <c r="CE316" i="1" s="1"/>
  <c r="CB316" i="1"/>
  <c r="CD316" i="1" s="1"/>
  <c r="CF316" i="1" s="1"/>
  <c r="AY318" i="1"/>
  <c r="BA318" i="1" s="1"/>
  <c r="AX318" i="1"/>
  <c r="AZ318" i="1" s="1"/>
  <c r="BB318" i="1" s="1"/>
  <c r="J320" i="1"/>
  <c r="L320" i="1" s="1"/>
  <c r="N320" i="1" s="1"/>
  <c r="K320" i="1"/>
  <c r="M320" i="1" s="1"/>
  <c r="D321" i="1"/>
  <c r="F321" i="1" l="1"/>
  <c r="H321" i="1" s="1"/>
  <c r="E321" i="1"/>
  <c r="Z320" i="1"/>
  <c r="AB320" i="1" s="1"/>
  <c r="Y320" i="1"/>
  <c r="AA320" i="1" s="1"/>
  <c r="AC320" i="1" s="1"/>
  <c r="AO319" i="1"/>
  <c r="AQ319" i="1" s="1"/>
  <c r="AN319" i="1"/>
  <c r="AP319" i="1" s="1"/>
  <c r="AR319" i="1" s="1"/>
  <c r="CW315" i="1"/>
  <c r="CY315" i="1" s="1"/>
  <c r="CV315" i="1"/>
  <c r="CX315" i="1" s="1"/>
  <c r="CZ315" i="1" s="1"/>
  <c r="P320" i="1"/>
  <c r="R320" i="1" s="1"/>
  <c r="O320" i="1"/>
  <c r="BD318" i="1"/>
  <c r="BF318" i="1" s="1"/>
  <c r="BC318" i="1"/>
  <c r="BE318" i="1" s="1"/>
  <c r="BG318" i="1" s="1"/>
  <c r="BS317" i="1"/>
  <c r="BU317" i="1" s="1"/>
  <c r="BR317" i="1"/>
  <c r="BT317" i="1" s="1"/>
  <c r="BV317" i="1" s="1"/>
  <c r="CH316" i="1"/>
  <c r="CJ316" i="1" s="1"/>
  <c r="CG316" i="1"/>
  <c r="CI316" i="1" s="1"/>
  <c r="CK316" i="1" s="1"/>
  <c r="DB315" i="1" l="1"/>
  <c r="DD315" i="1" s="1"/>
  <c r="DA315" i="1"/>
  <c r="DC315" i="1" s="1"/>
  <c r="BX317" i="1"/>
  <c r="BZ317" i="1" s="1"/>
  <c r="BW317" i="1"/>
  <c r="BY317" i="1" s="1"/>
  <c r="CA317" i="1" s="1"/>
  <c r="AS319" i="1"/>
  <c r="AU319" i="1" s="1"/>
  <c r="AW319" i="1" s="1"/>
  <c r="AT319" i="1"/>
  <c r="AV319" i="1" s="1"/>
  <c r="BI318" i="1"/>
  <c r="BK318" i="1" s="1"/>
  <c r="BH318" i="1"/>
  <c r="BJ318" i="1" s="1"/>
  <c r="BL318" i="1" s="1"/>
  <c r="CM316" i="1"/>
  <c r="CO316" i="1" s="1"/>
  <c r="CL316" i="1"/>
  <c r="CN316" i="1" s="1"/>
  <c r="CP316" i="1" s="1"/>
  <c r="AE320" i="1"/>
  <c r="AG320" i="1" s="1"/>
  <c r="AD320" i="1"/>
  <c r="AF320" i="1" s="1"/>
  <c r="AH320" i="1" s="1"/>
  <c r="G321" i="1"/>
  <c r="I321" i="1" s="1"/>
  <c r="Q321" i="1"/>
  <c r="S321" i="1" s="1"/>
  <c r="BN318" i="1" l="1"/>
  <c r="BP318" i="1" s="1"/>
  <c r="BM318" i="1"/>
  <c r="BO318" i="1" s="1"/>
  <c r="BQ318" i="1" s="1"/>
  <c r="K321" i="1"/>
  <c r="M321" i="1" s="1"/>
  <c r="J321" i="1"/>
  <c r="L321" i="1" s="1"/>
  <c r="N321" i="1" s="1"/>
  <c r="D322" i="1"/>
  <c r="U321" i="1"/>
  <c r="W321" i="1" s="1"/>
  <c r="T321" i="1"/>
  <c r="V321" i="1" s="1"/>
  <c r="X321" i="1" s="1"/>
  <c r="AY319" i="1"/>
  <c r="BA319" i="1" s="1"/>
  <c r="AX319" i="1"/>
  <c r="AZ319" i="1" s="1"/>
  <c r="BB319" i="1" s="1"/>
  <c r="CB317" i="1"/>
  <c r="CD317" i="1" s="1"/>
  <c r="CF317" i="1" s="1"/>
  <c r="CC317" i="1"/>
  <c r="CE317" i="1" s="1"/>
  <c r="AJ320" i="1"/>
  <c r="AL320" i="1" s="1"/>
  <c r="AI320" i="1"/>
  <c r="AK320" i="1" s="1"/>
  <c r="AM320" i="1" s="1"/>
  <c r="CR316" i="1"/>
  <c r="CT316" i="1" s="1"/>
  <c r="CQ316" i="1"/>
  <c r="CS316" i="1" s="1"/>
  <c r="CU316" i="1" s="1"/>
  <c r="BD319" i="1" l="1"/>
  <c r="BF319" i="1" s="1"/>
  <c r="BC319" i="1"/>
  <c r="BE319" i="1" s="1"/>
  <c r="BG319" i="1" s="1"/>
  <c r="CW316" i="1"/>
  <c r="CY316" i="1" s="1"/>
  <c r="CV316" i="1"/>
  <c r="CX316" i="1" s="1"/>
  <c r="CZ316" i="1" s="1"/>
  <c r="AO320" i="1"/>
  <c r="AQ320" i="1" s="1"/>
  <c r="AN320" i="1"/>
  <c r="AP320" i="1" s="1"/>
  <c r="AR320" i="1" s="1"/>
  <c r="P321" i="1"/>
  <c r="R321" i="1" s="1"/>
  <c r="O321" i="1"/>
  <c r="Z321" i="1"/>
  <c r="AB321" i="1" s="1"/>
  <c r="Y321" i="1"/>
  <c r="AA321" i="1" s="1"/>
  <c r="AC321" i="1" s="1"/>
  <c r="CH317" i="1"/>
  <c r="CJ317" i="1" s="1"/>
  <c r="CG317" i="1"/>
  <c r="CI317" i="1" s="1"/>
  <c r="CK317" i="1" s="1"/>
  <c r="F322" i="1"/>
  <c r="H322" i="1" s="1"/>
  <c r="E322" i="1"/>
  <c r="BS318" i="1"/>
  <c r="BU318" i="1" s="1"/>
  <c r="BR318" i="1"/>
  <c r="BT318" i="1" s="1"/>
  <c r="BV318" i="1" s="1"/>
  <c r="DB316" i="1" l="1"/>
  <c r="DD316" i="1" s="1"/>
  <c r="DA316" i="1"/>
  <c r="DC316" i="1" s="1"/>
  <c r="BX318" i="1"/>
  <c r="BZ318" i="1" s="1"/>
  <c r="BW318" i="1"/>
  <c r="BY318" i="1" s="1"/>
  <c r="CA318" i="1" s="1"/>
  <c r="G322" i="1"/>
  <c r="I322" i="1" s="1"/>
  <c r="Q322" i="1"/>
  <c r="S322" i="1" s="1"/>
  <c r="CM317" i="1"/>
  <c r="CO317" i="1" s="1"/>
  <c r="CL317" i="1"/>
  <c r="CN317" i="1" s="1"/>
  <c r="CP317" i="1" s="1"/>
  <c r="AT320" i="1"/>
  <c r="AV320" i="1" s="1"/>
  <c r="AS320" i="1"/>
  <c r="AU320" i="1" s="1"/>
  <c r="AW320" i="1" s="1"/>
  <c r="AE321" i="1"/>
  <c r="AG321" i="1" s="1"/>
  <c r="AD321" i="1"/>
  <c r="AF321" i="1" s="1"/>
  <c r="AH321" i="1" s="1"/>
  <c r="BI319" i="1"/>
  <c r="BK319" i="1" s="1"/>
  <c r="BH319" i="1"/>
  <c r="BJ319" i="1" s="1"/>
  <c r="BL319" i="1" s="1"/>
  <c r="AJ321" i="1" l="1"/>
  <c r="AL321" i="1" s="1"/>
  <c r="AI321" i="1"/>
  <c r="AK321" i="1" s="1"/>
  <c r="AM321" i="1" s="1"/>
  <c r="K322" i="1"/>
  <c r="M322" i="1" s="1"/>
  <c r="J322" i="1"/>
  <c r="L322" i="1" s="1"/>
  <c r="N322" i="1" s="1"/>
  <c r="D323" i="1"/>
  <c r="CR317" i="1"/>
  <c r="CT317" i="1" s="1"/>
  <c r="CQ317" i="1"/>
  <c r="CS317" i="1" s="1"/>
  <c r="CU317" i="1" s="1"/>
  <c r="BN319" i="1"/>
  <c r="BP319" i="1" s="1"/>
  <c r="BM319" i="1"/>
  <c r="BO319" i="1" s="1"/>
  <c r="BQ319" i="1" s="1"/>
  <c r="U322" i="1"/>
  <c r="W322" i="1" s="1"/>
  <c r="T322" i="1"/>
  <c r="V322" i="1" s="1"/>
  <c r="X322" i="1" s="1"/>
  <c r="CC318" i="1"/>
  <c r="CE318" i="1" s="1"/>
  <c r="CB318" i="1"/>
  <c r="CD318" i="1" s="1"/>
  <c r="CF318" i="1" s="1"/>
  <c r="AX320" i="1"/>
  <c r="AZ320" i="1" s="1"/>
  <c r="BB320" i="1" s="1"/>
  <c r="AY320" i="1"/>
  <c r="BA320" i="1" s="1"/>
  <c r="CV317" i="1" l="1"/>
  <c r="CX317" i="1" s="1"/>
  <c r="CW317" i="1"/>
  <c r="CY317" i="1" s="1"/>
  <c r="BS319" i="1"/>
  <c r="BU319" i="1" s="1"/>
  <c r="BR319" i="1"/>
  <c r="BT319" i="1" s="1"/>
  <c r="BV319" i="1" s="1"/>
  <c r="CH318" i="1"/>
  <c r="CJ318" i="1" s="1"/>
  <c r="CG318" i="1"/>
  <c r="CI318" i="1" s="1"/>
  <c r="CK318" i="1" s="1"/>
  <c r="F323" i="1"/>
  <c r="H323" i="1" s="1"/>
  <c r="E323" i="1"/>
  <c r="BD320" i="1"/>
  <c r="BF320" i="1" s="1"/>
  <c r="BC320" i="1"/>
  <c r="BE320" i="1" s="1"/>
  <c r="BG320" i="1" s="1"/>
  <c r="O322" i="1"/>
  <c r="P322" i="1"/>
  <c r="R322" i="1" s="1"/>
  <c r="Z322" i="1"/>
  <c r="AB322" i="1" s="1"/>
  <c r="Y322" i="1"/>
  <c r="AA322" i="1" s="1"/>
  <c r="AC322" i="1" s="1"/>
  <c r="AO321" i="1"/>
  <c r="AQ321" i="1" s="1"/>
  <c r="AN321" i="1"/>
  <c r="AP321" i="1" s="1"/>
  <c r="AR321" i="1" s="1"/>
  <c r="Q323" i="1" l="1"/>
  <c r="S323" i="1" s="1"/>
  <c r="G323" i="1"/>
  <c r="I323" i="1" s="1"/>
  <c r="AT321" i="1"/>
  <c r="AV321" i="1" s="1"/>
  <c r="AS321" i="1"/>
  <c r="AU321" i="1" s="1"/>
  <c r="AW321" i="1" s="1"/>
  <c r="CL318" i="1"/>
  <c r="CN318" i="1" s="1"/>
  <c r="CP318" i="1" s="1"/>
  <c r="CM318" i="1"/>
  <c r="CO318" i="1" s="1"/>
  <c r="BX319" i="1"/>
  <c r="BZ319" i="1" s="1"/>
  <c r="BW319" i="1"/>
  <c r="BY319" i="1" s="1"/>
  <c r="CA319" i="1" s="1"/>
  <c r="BI320" i="1"/>
  <c r="BK320" i="1" s="1"/>
  <c r="BH320" i="1"/>
  <c r="BJ320" i="1" s="1"/>
  <c r="BL320" i="1" s="1"/>
  <c r="AE322" i="1"/>
  <c r="AG322" i="1" s="1"/>
  <c r="AD322" i="1"/>
  <c r="AF322" i="1" s="1"/>
  <c r="AH322" i="1" s="1"/>
  <c r="CZ317" i="1"/>
  <c r="AJ322" i="1" l="1"/>
  <c r="AL322" i="1" s="1"/>
  <c r="AI322" i="1"/>
  <c r="AK322" i="1" s="1"/>
  <c r="AM322" i="1" s="1"/>
  <c r="CB319" i="1"/>
  <c r="CD319" i="1" s="1"/>
  <c r="CF319" i="1" s="1"/>
  <c r="CC319" i="1"/>
  <c r="CE319" i="1" s="1"/>
  <c r="DB317" i="1"/>
  <c r="DD317" i="1" s="1"/>
  <c r="DA317" i="1"/>
  <c r="DC317" i="1" s="1"/>
  <c r="AY321" i="1"/>
  <c r="BA321" i="1" s="1"/>
  <c r="AX321" i="1"/>
  <c r="AZ321" i="1" s="1"/>
  <c r="BB321" i="1" s="1"/>
  <c r="BN320" i="1"/>
  <c r="BP320" i="1" s="1"/>
  <c r="BM320" i="1"/>
  <c r="BO320" i="1" s="1"/>
  <c r="BQ320" i="1" s="1"/>
  <c r="K323" i="1"/>
  <c r="M323" i="1" s="1"/>
  <c r="J323" i="1"/>
  <c r="L323" i="1" s="1"/>
  <c r="N323" i="1" s="1"/>
  <c r="D324" i="1"/>
  <c r="CR318" i="1"/>
  <c r="CT318" i="1" s="1"/>
  <c r="CQ318" i="1"/>
  <c r="CS318" i="1" s="1"/>
  <c r="CU318" i="1" s="1"/>
  <c r="T323" i="1"/>
  <c r="V323" i="1" s="1"/>
  <c r="X323" i="1" s="1"/>
  <c r="U323" i="1"/>
  <c r="W323" i="1" s="1"/>
  <c r="CW318" i="1" l="1"/>
  <c r="CY318" i="1" s="1"/>
  <c r="CV318" i="1"/>
  <c r="CX318" i="1" s="1"/>
  <c r="CZ318" i="1" s="1"/>
  <c r="CH319" i="1"/>
  <c r="CJ319" i="1" s="1"/>
  <c r="CG319" i="1"/>
  <c r="CI319" i="1" s="1"/>
  <c r="CK319" i="1" s="1"/>
  <c r="Z323" i="1"/>
  <c r="AB323" i="1" s="1"/>
  <c r="Y323" i="1"/>
  <c r="AA323" i="1" s="1"/>
  <c r="AC323" i="1" s="1"/>
  <c r="P323" i="1"/>
  <c r="R323" i="1" s="1"/>
  <c r="O323" i="1"/>
  <c r="BR320" i="1"/>
  <c r="BT320" i="1" s="1"/>
  <c r="BV320" i="1" s="1"/>
  <c r="BS320" i="1"/>
  <c r="BU320" i="1" s="1"/>
  <c r="AO322" i="1"/>
  <c r="AQ322" i="1" s="1"/>
  <c r="AN322" i="1"/>
  <c r="AP322" i="1" s="1"/>
  <c r="AR322" i="1" s="1"/>
  <c r="BD321" i="1"/>
  <c r="BF321" i="1" s="1"/>
  <c r="BC321" i="1"/>
  <c r="BE321" i="1" s="1"/>
  <c r="BG321" i="1" s="1"/>
  <c r="F324" i="1"/>
  <c r="H324" i="1" s="1"/>
  <c r="E324" i="1"/>
  <c r="BH321" i="1" l="1"/>
  <c r="BJ321" i="1" s="1"/>
  <c r="BL321" i="1" s="1"/>
  <c r="BI321" i="1"/>
  <c r="BK321" i="1" s="1"/>
  <c r="AE323" i="1"/>
  <c r="AG323" i="1" s="1"/>
  <c r="AD323" i="1"/>
  <c r="AF323" i="1" s="1"/>
  <c r="AH323" i="1" s="1"/>
  <c r="Q324" i="1"/>
  <c r="S324" i="1" s="1"/>
  <c r="G324" i="1"/>
  <c r="I324" i="1" s="1"/>
  <c r="AT322" i="1"/>
  <c r="AV322" i="1" s="1"/>
  <c r="AS322" i="1"/>
  <c r="AU322" i="1" s="1"/>
  <c r="AW322" i="1" s="1"/>
  <c r="DB318" i="1"/>
  <c r="DD318" i="1" s="1"/>
  <c r="DA318" i="1"/>
  <c r="DC318" i="1" s="1"/>
  <c r="CM319" i="1"/>
  <c r="CO319" i="1" s="1"/>
  <c r="CL319" i="1"/>
  <c r="CN319" i="1" s="1"/>
  <c r="CP319" i="1" s="1"/>
  <c r="BX320" i="1"/>
  <c r="BZ320" i="1" s="1"/>
  <c r="BW320" i="1"/>
  <c r="BY320" i="1" s="1"/>
  <c r="CA320" i="1" s="1"/>
  <c r="K324" i="1" l="1"/>
  <c r="M324" i="1" s="1"/>
  <c r="J324" i="1"/>
  <c r="L324" i="1" s="1"/>
  <c r="N324" i="1" s="1"/>
  <c r="D325" i="1"/>
  <c r="CR319" i="1"/>
  <c r="CT319" i="1" s="1"/>
  <c r="CQ319" i="1"/>
  <c r="CS319" i="1" s="1"/>
  <c r="CU319" i="1" s="1"/>
  <c r="U324" i="1"/>
  <c r="W324" i="1" s="1"/>
  <c r="T324" i="1"/>
  <c r="V324" i="1" s="1"/>
  <c r="X324" i="1" s="1"/>
  <c r="AX322" i="1"/>
  <c r="AZ322" i="1" s="1"/>
  <c r="BB322" i="1" s="1"/>
  <c r="AY322" i="1"/>
  <c r="BA322" i="1" s="1"/>
  <c r="CC320" i="1"/>
  <c r="CE320" i="1" s="1"/>
  <c r="CB320" i="1"/>
  <c r="CD320" i="1" s="1"/>
  <c r="CF320" i="1" s="1"/>
  <c r="AJ323" i="1"/>
  <c r="AL323" i="1" s="1"/>
  <c r="AI323" i="1"/>
  <c r="AK323" i="1" s="1"/>
  <c r="AM323" i="1" s="1"/>
  <c r="BN321" i="1"/>
  <c r="BP321" i="1" s="1"/>
  <c r="BM321" i="1"/>
  <c r="BO321" i="1" s="1"/>
  <c r="BQ321" i="1" s="1"/>
  <c r="BS321" i="1" l="1"/>
  <c r="BU321" i="1" s="1"/>
  <c r="BR321" i="1"/>
  <c r="BT321" i="1" s="1"/>
  <c r="BV321" i="1" s="1"/>
  <c r="Z324" i="1"/>
  <c r="AB324" i="1" s="1"/>
  <c r="Y324" i="1"/>
  <c r="AA324" i="1" s="1"/>
  <c r="AC324" i="1" s="1"/>
  <c r="CG320" i="1"/>
  <c r="CI320" i="1" s="1"/>
  <c r="CK320" i="1" s="1"/>
  <c r="CH320" i="1"/>
  <c r="CJ320" i="1" s="1"/>
  <c r="CW319" i="1"/>
  <c r="CY319" i="1" s="1"/>
  <c r="CV319" i="1"/>
  <c r="CX319" i="1" s="1"/>
  <c r="CZ319" i="1" s="1"/>
  <c r="F325" i="1"/>
  <c r="H325" i="1" s="1"/>
  <c r="E325" i="1"/>
  <c r="BD322" i="1"/>
  <c r="BF322" i="1" s="1"/>
  <c r="BC322" i="1"/>
  <c r="BE322" i="1" s="1"/>
  <c r="BG322" i="1" s="1"/>
  <c r="AN323" i="1"/>
  <c r="AP323" i="1" s="1"/>
  <c r="AR323" i="1" s="1"/>
  <c r="AO323" i="1"/>
  <c r="AQ323" i="1" s="1"/>
  <c r="P324" i="1"/>
  <c r="R324" i="1" s="1"/>
  <c r="O324" i="1"/>
  <c r="DB319" i="1" l="1"/>
  <c r="DD319" i="1" s="1"/>
  <c r="DA319" i="1"/>
  <c r="DC319" i="1" s="1"/>
  <c r="AT323" i="1"/>
  <c r="AV323" i="1" s="1"/>
  <c r="AS323" i="1"/>
  <c r="AU323" i="1" s="1"/>
  <c r="AW323" i="1" s="1"/>
  <c r="BI322" i="1"/>
  <c r="BK322" i="1" s="1"/>
  <c r="BH322" i="1"/>
  <c r="BJ322" i="1" s="1"/>
  <c r="BL322" i="1" s="1"/>
  <c r="CM320" i="1"/>
  <c r="CO320" i="1" s="1"/>
  <c r="CL320" i="1"/>
  <c r="CN320" i="1" s="1"/>
  <c r="CP320" i="1" s="1"/>
  <c r="BX321" i="1"/>
  <c r="BZ321" i="1" s="1"/>
  <c r="BW321" i="1"/>
  <c r="BY321" i="1" s="1"/>
  <c r="CA321" i="1" s="1"/>
  <c r="AD324" i="1"/>
  <c r="AF324" i="1" s="1"/>
  <c r="AH324" i="1" s="1"/>
  <c r="AE324" i="1"/>
  <c r="AG324" i="1" s="1"/>
  <c r="G325" i="1"/>
  <c r="I325" i="1" s="1"/>
  <c r="Q325" i="1"/>
  <c r="S325" i="1" s="1"/>
  <c r="BN322" i="1" l="1"/>
  <c r="BP322" i="1" s="1"/>
  <c r="BM322" i="1"/>
  <c r="BO322" i="1" s="1"/>
  <c r="BQ322" i="1" s="1"/>
  <c r="K325" i="1"/>
  <c r="M325" i="1" s="1"/>
  <c r="J325" i="1"/>
  <c r="L325" i="1" s="1"/>
  <c r="N325" i="1" s="1"/>
  <c r="D326" i="1"/>
  <c r="CC321" i="1"/>
  <c r="CE321" i="1" s="1"/>
  <c r="CB321" i="1"/>
  <c r="CD321" i="1" s="1"/>
  <c r="CF321" i="1" s="1"/>
  <c r="T325" i="1"/>
  <c r="V325" i="1" s="1"/>
  <c r="X325" i="1" s="1"/>
  <c r="U325" i="1"/>
  <c r="W325" i="1" s="1"/>
  <c r="AJ324" i="1"/>
  <c r="AL324" i="1" s="1"/>
  <c r="AI324" i="1"/>
  <c r="AK324" i="1" s="1"/>
  <c r="AM324" i="1" s="1"/>
  <c r="CR320" i="1"/>
  <c r="CT320" i="1" s="1"/>
  <c r="CQ320" i="1"/>
  <c r="CS320" i="1" s="1"/>
  <c r="CU320" i="1" s="1"/>
  <c r="AY323" i="1"/>
  <c r="BA323" i="1" s="1"/>
  <c r="AX323" i="1"/>
  <c r="AZ323" i="1" s="1"/>
  <c r="BB323" i="1" s="1"/>
  <c r="BC323" i="1" l="1"/>
  <c r="BE323" i="1" s="1"/>
  <c r="BG323" i="1" s="1"/>
  <c r="BD323" i="1"/>
  <c r="BF323" i="1" s="1"/>
  <c r="CH321" i="1"/>
  <c r="CJ321" i="1" s="1"/>
  <c r="CG321" i="1"/>
  <c r="CI321" i="1" s="1"/>
  <c r="CK321" i="1" s="1"/>
  <c r="CW320" i="1"/>
  <c r="CY320" i="1" s="1"/>
  <c r="CV320" i="1"/>
  <c r="CX320" i="1" s="1"/>
  <c r="CZ320" i="1" s="1"/>
  <c r="Z325" i="1"/>
  <c r="AB325" i="1" s="1"/>
  <c r="Y325" i="1"/>
  <c r="AA325" i="1" s="1"/>
  <c r="AC325" i="1" s="1"/>
  <c r="P325" i="1"/>
  <c r="R325" i="1" s="1"/>
  <c r="O325" i="1"/>
  <c r="BS322" i="1"/>
  <c r="BU322" i="1" s="1"/>
  <c r="BR322" i="1"/>
  <c r="BT322" i="1" s="1"/>
  <c r="BV322" i="1" s="1"/>
  <c r="F326" i="1"/>
  <c r="H326" i="1" s="1"/>
  <c r="E326" i="1"/>
  <c r="AO324" i="1"/>
  <c r="AQ324" i="1" s="1"/>
  <c r="AN324" i="1"/>
  <c r="AP324" i="1" s="1"/>
  <c r="AR324" i="1" s="1"/>
  <c r="AT324" i="1" l="1"/>
  <c r="AV324" i="1" s="1"/>
  <c r="AS324" i="1"/>
  <c r="AU324" i="1" s="1"/>
  <c r="AW324" i="1" s="1"/>
  <c r="DB320" i="1"/>
  <c r="DD320" i="1" s="1"/>
  <c r="DA320" i="1"/>
  <c r="DC320" i="1" s="1"/>
  <c r="G326" i="1"/>
  <c r="I326" i="1" s="1"/>
  <c r="Q326" i="1"/>
  <c r="S326" i="1" s="1"/>
  <c r="CM321" i="1"/>
  <c r="CO321" i="1" s="1"/>
  <c r="CL321" i="1"/>
  <c r="CN321" i="1" s="1"/>
  <c r="CP321" i="1" s="1"/>
  <c r="BI323" i="1"/>
  <c r="BK323" i="1" s="1"/>
  <c r="BH323" i="1"/>
  <c r="BJ323" i="1" s="1"/>
  <c r="BL323" i="1" s="1"/>
  <c r="AE325" i="1"/>
  <c r="AG325" i="1" s="1"/>
  <c r="AD325" i="1"/>
  <c r="AF325" i="1" s="1"/>
  <c r="AH325" i="1" s="1"/>
  <c r="BX322" i="1"/>
  <c r="BZ322" i="1" s="1"/>
  <c r="BW322" i="1"/>
  <c r="BY322" i="1" s="1"/>
  <c r="CA322" i="1" s="1"/>
  <c r="CR321" i="1" l="1"/>
  <c r="CT321" i="1" s="1"/>
  <c r="CQ321" i="1"/>
  <c r="CS321" i="1" s="1"/>
  <c r="CU321" i="1" s="1"/>
  <c r="J326" i="1"/>
  <c r="L326" i="1" s="1"/>
  <c r="N326" i="1" s="1"/>
  <c r="K326" i="1"/>
  <c r="M326" i="1" s="1"/>
  <c r="D327" i="1"/>
  <c r="CC322" i="1"/>
  <c r="CE322" i="1" s="1"/>
  <c r="CB322" i="1"/>
  <c r="CD322" i="1" s="1"/>
  <c r="CF322" i="1" s="1"/>
  <c r="U326" i="1"/>
  <c r="W326" i="1" s="1"/>
  <c r="T326" i="1"/>
  <c r="V326" i="1" s="1"/>
  <c r="X326" i="1" s="1"/>
  <c r="AJ325" i="1"/>
  <c r="AL325" i="1" s="1"/>
  <c r="AI325" i="1"/>
  <c r="AK325" i="1" s="1"/>
  <c r="AM325" i="1" s="1"/>
  <c r="AY324" i="1"/>
  <c r="BA324" i="1" s="1"/>
  <c r="AX324" i="1"/>
  <c r="AZ324" i="1" s="1"/>
  <c r="BB324" i="1" s="1"/>
  <c r="BN323" i="1"/>
  <c r="BP323" i="1" s="1"/>
  <c r="BM323" i="1"/>
  <c r="BO323" i="1" s="1"/>
  <c r="BQ323" i="1" s="1"/>
  <c r="Y326" i="1" l="1"/>
  <c r="AA326" i="1" s="1"/>
  <c r="AC326" i="1" s="1"/>
  <c r="Z326" i="1"/>
  <c r="AB326" i="1" s="1"/>
  <c r="F327" i="1"/>
  <c r="H327" i="1" s="1"/>
  <c r="E327" i="1"/>
  <c r="BS323" i="1"/>
  <c r="BU323" i="1" s="1"/>
  <c r="BR323" i="1"/>
  <c r="BT323" i="1" s="1"/>
  <c r="BV323" i="1" s="1"/>
  <c r="CH322" i="1"/>
  <c r="CJ322" i="1" s="1"/>
  <c r="CG322" i="1"/>
  <c r="CI322" i="1" s="1"/>
  <c r="CK322" i="1" s="1"/>
  <c r="P326" i="1"/>
  <c r="R326" i="1" s="1"/>
  <c r="O326" i="1"/>
  <c r="CW321" i="1"/>
  <c r="CY321" i="1" s="1"/>
  <c r="CV321" i="1"/>
  <c r="CX321" i="1" s="1"/>
  <c r="CZ321" i="1" s="1"/>
  <c r="BD324" i="1"/>
  <c r="BF324" i="1" s="1"/>
  <c r="BC324" i="1"/>
  <c r="BE324" i="1" s="1"/>
  <c r="BG324" i="1" s="1"/>
  <c r="AO325" i="1"/>
  <c r="AQ325" i="1" s="1"/>
  <c r="AN325" i="1"/>
  <c r="AP325" i="1" s="1"/>
  <c r="AR325" i="1" s="1"/>
  <c r="CM322" i="1" l="1"/>
  <c r="CO322" i="1" s="1"/>
  <c r="CL322" i="1"/>
  <c r="CN322" i="1" s="1"/>
  <c r="CP322" i="1" s="1"/>
  <c r="BX323" i="1"/>
  <c r="BZ323" i="1" s="1"/>
  <c r="BW323" i="1"/>
  <c r="BY323" i="1" s="1"/>
  <c r="CA323" i="1" s="1"/>
  <c r="G327" i="1"/>
  <c r="I327" i="1" s="1"/>
  <c r="Q327" i="1"/>
  <c r="S327" i="1" s="1"/>
  <c r="BI324" i="1"/>
  <c r="BK324" i="1" s="1"/>
  <c r="BH324" i="1"/>
  <c r="BJ324" i="1" s="1"/>
  <c r="BL324" i="1" s="1"/>
  <c r="AE326" i="1"/>
  <c r="AG326" i="1" s="1"/>
  <c r="AD326" i="1"/>
  <c r="AF326" i="1" s="1"/>
  <c r="AH326" i="1" s="1"/>
  <c r="AT325" i="1"/>
  <c r="AV325" i="1" s="1"/>
  <c r="AS325" i="1"/>
  <c r="AU325" i="1" s="1"/>
  <c r="AW325" i="1" s="1"/>
  <c r="DB321" i="1"/>
  <c r="DD321" i="1" s="1"/>
  <c r="DA321" i="1"/>
  <c r="DC321" i="1" s="1"/>
  <c r="K327" i="1" l="1"/>
  <c r="M327" i="1" s="1"/>
  <c r="J327" i="1"/>
  <c r="L327" i="1" s="1"/>
  <c r="N327" i="1" s="1"/>
  <c r="D328" i="1"/>
  <c r="U327" i="1"/>
  <c r="W327" i="1" s="1"/>
  <c r="T327" i="1"/>
  <c r="V327" i="1" s="1"/>
  <c r="X327" i="1" s="1"/>
  <c r="AY325" i="1"/>
  <c r="BA325" i="1" s="1"/>
  <c r="AX325" i="1"/>
  <c r="AZ325" i="1" s="1"/>
  <c r="BB325" i="1" s="1"/>
  <c r="CR322" i="1"/>
  <c r="CT322" i="1" s="1"/>
  <c r="CQ322" i="1"/>
  <c r="CS322" i="1" s="1"/>
  <c r="CU322" i="1" s="1"/>
  <c r="BN324" i="1"/>
  <c r="BP324" i="1" s="1"/>
  <c r="BM324" i="1"/>
  <c r="BO324" i="1" s="1"/>
  <c r="BQ324" i="1" s="1"/>
  <c r="CC323" i="1"/>
  <c r="CE323" i="1" s="1"/>
  <c r="CB323" i="1"/>
  <c r="CD323" i="1" s="1"/>
  <c r="CF323" i="1" s="1"/>
  <c r="AJ326" i="1"/>
  <c r="AL326" i="1" s="1"/>
  <c r="AI326" i="1"/>
  <c r="AK326" i="1" s="1"/>
  <c r="AM326" i="1" s="1"/>
  <c r="BD325" i="1" l="1"/>
  <c r="BF325" i="1" s="1"/>
  <c r="BC325" i="1"/>
  <c r="BE325" i="1" s="1"/>
  <c r="BG325" i="1" s="1"/>
  <c r="AO326" i="1"/>
  <c r="AQ326" i="1" s="1"/>
  <c r="AN326" i="1"/>
  <c r="AP326" i="1" s="1"/>
  <c r="AR326" i="1" s="1"/>
  <c r="CH323" i="1"/>
  <c r="CJ323" i="1" s="1"/>
  <c r="CG323" i="1"/>
  <c r="CI323" i="1" s="1"/>
  <c r="CK323" i="1" s="1"/>
  <c r="Z327" i="1"/>
  <c r="AB327" i="1" s="1"/>
  <c r="Y327" i="1"/>
  <c r="AA327" i="1" s="1"/>
  <c r="AC327" i="1" s="1"/>
  <c r="F328" i="1"/>
  <c r="H328" i="1" s="1"/>
  <c r="E328" i="1"/>
  <c r="P327" i="1"/>
  <c r="R327" i="1" s="1"/>
  <c r="O327" i="1"/>
  <c r="CV322" i="1"/>
  <c r="CX322" i="1" s="1"/>
  <c r="CW322" i="1"/>
  <c r="CY322" i="1" s="1"/>
  <c r="BS324" i="1"/>
  <c r="BU324" i="1" s="1"/>
  <c r="BR324" i="1"/>
  <c r="BT324" i="1" s="1"/>
  <c r="BV324" i="1" s="1"/>
  <c r="BX324" i="1" l="1"/>
  <c r="BZ324" i="1" s="1"/>
  <c r="BW324" i="1"/>
  <c r="BY324" i="1" s="1"/>
  <c r="CA324" i="1" s="1"/>
  <c r="AE327" i="1"/>
  <c r="AG327" i="1" s="1"/>
  <c r="AD327" i="1"/>
  <c r="AF327" i="1" s="1"/>
  <c r="AH327" i="1" s="1"/>
  <c r="CM323" i="1"/>
  <c r="CO323" i="1" s="1"/>
  <c r="CL323" i="1"/>
  <c r="CN323" i="1" s="1"/>
  <c r="CP323" i="1" s="1"/>
  <c r="CZ322" i="1"/>
  <c r="BI325" i="1"/>
  <c r="BK325" i="1" s="1"/>
  <c r="BH325" i="1"/>
  <c r="BJ325" i="1" s="1"/>
  <c r="BL325" i="1" s="1"/>
  <c r="AT326" i="1"/>
  <c r="AV326" i="1" s="1"/>
  <c r="AS326" i="1"/>
  <c r="AU326" i="1" s="1"/>
  <c r="AW326" i="1" s="1"/>
  <c r="G328" i="1"/>
  <c r="I328" i="1" s="1"/>
  <c r="Q328" i="1"/>
  <c r="S328" i="1" s="1"/>
  <c r="BN325" i="1" l="1"/>
  <c r="BP325" i="1" s="1"/>
  <c r="BM325" i="1"/>
  <c r="BO325" i="1" s="1"/>
  <c r="BQ325" i="1" s="1"/>
  <c r="DB322" i="1"/>
  <c r="DD322" i="1" s="1"/>
  <c r="DA322" i="1"/>
  <c r="DC322" i="1" s="1"/>
  <c r="K328" i="1"/>
  <c r="M328" i="1" s="1"/>
  <c r="J328" i="1"/>
  <c r="L328" i="1" s="1"/>
  <c r="N328" i="1" s="1"/>
  <c r="D329" i="1"/>
  <c r="CR323" i="1"/>
  <c r="CT323" i="1" s="1"/>
  <c r="CQ323" i="1"/>
  <c r="CS323" i="1" s="1"/>
  <c r="CU323" i="1" s="1"/>
  <c r="AJ327" i="1"/>
  <c r="AL327" i="1" s="1"/>
  <c r="AI327" i="1"/>
  <c r="AK327" i="1" s="1"/>
  <c r="AM327" i="1" s="1"/>
  <c r="CC324" i="1"/>
  <c r="CE324" i="1" s="1"/>
  <c r="CB324" i="1"/>
  <c r="CD324" i="1" s="1"/>
  <c r="CF324" i="1" s="1"/>
  <c r="U328" i="1"/>
  <c r="W328" i="1" s="1"/>
  <c r="T328" i="1"/>
  <c r="V328" i="1" s="1"/>
  <c r="X328" i="1" s="1"/>
  <c r="AY326" i="1"/>
  <c r="BA326" i="1" s="1"/>
  <c r="AX326" i="1"/>
  <c r="AZ326" i="1" s="1"/>
  <c r="BB326" i="1" s="1"/>
  <c r="Z328" i="1" l="1"/>
  <c r="AB328" i="1" s="1"/>
  <c r="Y328" i="1"/>
  <c r="AA328" i="1" s="1"/>
  <c r="AC328" i="1" s="1"/>
  <c r="CV323" i="1"/>
  <c r="CX323" i="1" s="1"/>
  <c r="CW323" i="1"/>
  <c r="CY323" i="1" s="1"/>
  <c r="P328" i="1"/>
  <c r="R328" i="1" s="1"/>
  <c r="O328" i="1"/>
  <c r="AO327" i="1"/>
  <c r="AQ327" i="1" s="1"/>
  <c r="AN327" i="1"/>
  <c r="AP327" i="1" s="1"/>
  <c r="AR327" i="1" s="1"/>
  <c r="CH324" i="1"/>
  <c r="CJ324" i="1" s="1"/>
  <c r="CG324" i="1"/>
  <c r="CI324" i="1" s="1"/>
  <c r="CK324" i="1" s="1"/>
  <c r="BR325" i="1"/>
  <c r="BT325" i="1" s="1"/>
  <c r="BV325" i="1" s="1"/>
  <c r="BS325" i="1"/>
  <c r="BU325" i="1" s="1"/>
  <c r="F329" i="1"/>
  <c r="H329" i="1" s="1"/>
  <c r="E329" i="1"/>
  <c r="BD326" i="1"/>
  <c r="BF326" i="1" s="1"/>
  <c r="BC326" i="1"/>
  <c r="BE326" i="1" s="1"/>
  <c r="BG326" i="1" s="1"/>
  <c r="AT327" i="1" l="1"/>
  <c r="AV327" i="1" s="1"/>
  <c r="AS327" i="1"/>
  <c r="AU327" i="1" s="1"/>
  <c r="AW327" i="1" s="1"/>
  <c r="Q329" i="1"/>
  <c r="S329" i="1" s="1"/>
  <c r="G329" i="1"/>
  <c r="I329" i="1" s="1"/>
  <c r="CZ323" i="1"/>
  <c r="BI326" i="1"/>
  <c r="BK326" i="1" s="1"/>
  <c r="BH326" i="1"/>
  <c r="BJ326" i="1" s="1"/>
  <c r="BL326" i="1" s="1"/>
  <c r="BX325" i="1"/>
  <c r="BZ325" i="1" s="1"/>
  <c r="BW325" i="1"/>
  <c r="BY325" i="1" s="1"/>
  <c r="CA325" i="1" s="1"/>
  <c r="AE328" i="1"/>
  <c r="AG328" i="1" s="1"/>
  <c r="AD328" i="1"/>
  <c r="AF328" i="1" s="1"/>
  <c r="AH328" i="1" s="1"/>
  <c r="CL324" i="1"/>
  <c r="CN324" i="1" s="1"/>
  <c r="CP324" i="1" s="1"/>
  <c r="CM324" i="1"/>
  <c r="CO324" i="1" s="1"/>
  <c r="CB325" i="1" l="1"/>
  <c r="CD325" i="1" s="1"/>
  <c r="CF325" i="1" s="1"/>
  <c r="CC325" i="1"/>
  <c r="CE325" i="1" s="1"/>
  <c r="BN326" i="1"/>
  <c r="BP326" i="1" s="1"/>
  <c r="BM326" i="1"/>
  <c r="BO326" i="1" s="1"/>
  <c r="BQ326" i="1" s="1"/>
  <c r="DB323" i="1"/>
  <c r="DD323" i="1" s="1"/>
  <c r="DA323" i="1"/>
  <c r="DC323" i="1" s="1"/>
  <c r="CR324" i="1"/>
  <c r="CT324" i="1" s="1"/>
  <c r="CQ324" i="1"/>
  <c r="CS324" i="1" s="1"/>
  <c r="CU324" i="1" s="1"/>
  <c r="AY327" i="1"/>
  <c r="BA327" i="1" s="1"/>
  <c r="AX327" i="1"/>
  <c r="AZ327" i="1" s="1"/>
  <c r="BB327" i="1" s="1"/>
  <c r="K329" i="1"/>
  <c r="M329" i="1" s="1"/>
  <c r="J329" i="1"/>
  <c r="L329" i="1" s="1"/>
  <c r="N329" i="1" s="1"/>
  <c r="D330" i="1"/>
  <c r="U329" i="1"/>
  <c r="W329" i="1" s="1"/>
  <c r="T329" i="1"/>
  <c r="V329" i="1" s="1"/>
  <c r="X329" i="1" s="1"/>
  <c r="AJ328" i="1"/>
  <c r="AL328" i="1" s="1"/>
  <c r="AI328" i="1"/>
  <c r="AK328" i="1" s="1"/>
  <c r="AM328" i="1" s="1"/>
  <c r="CW324" i="1" l="1"/>
  <c r="CY324" i="1" s="1"/>
  <c r="CV324" i="1"/>
  <c r="CX324" i="1" s="1"/>
  <c r="CZ324" i="1" s="1"/>
  <c r="F330" i="1"/>
  <c r="H330" i="1" s="1"/>
  <c r="E330" i="1"/>
  <c r="AN328" i="1"/>
  <c r="AP328" i="1" s="1"/>
  <c r="AR328" i="1" s="1"/>
  <c r="AO328" i="1"/>
  <c r="AQ328" i="1" s="1"/>
  <c r="P329" i="1"/>
  <c r="R329" i="1" s="1"/>
  <c r="O329" i="1"/>
  <c r="Z329" i="1"/>
  <c r="AB329" i="1" s="1"/>
  <c r="Y329" i="1"/>
  <c r="AA329" i="1" s="1"/>
  <c r="AC329" i="1" s="1"/>
  <c r="BR326" i="1"/>
  <c r="BT326" i="1" s="1"/>
  <c r="BV326" i="1" s="1"/>
  <c r="BS326" i="1"/>
  <c r="BU326" i="1" s="1"/>
  <c r="BD327" i="1"/>
  <c r="BF327" i="1" s="1"/>
  <c r="BC327" i="1"/>
  <c r="BE327" i="1" s="1"/>
  <c r="BG327" i="1" s="1"/>
  <c r="CH325" i="1"/>
  <c r="CJ325" i="1" s="1"/>
  <c r="CG325" i="1"/>
  <c r="CI325" i="1" s="1"/>
  <c r="CK325" i="1" s="1"/>
  <c r="BX326" i="1" l="1"/>
  <c r="BZ326" i="1" s="1"/>
  <c r="BW326" i="1"/>
  <c r="BY326" i="1" s="1"/>
  <c r="CA326" i="1" s="1"/>
  <c r="AT328" i="1"/>
  <c r="AV328" i="1" s="1"/>
  <c r="AS328" i="1"/>
  <c r="AU328" i="1" s="1"/>
  <c r="AW328" i="1" s="1"/>
  <c r="CM325" i="1"/>
  <c r="CO325" i="1" s="1"/>
  <c r="CL325" i="1"/>
  <c r="CN325" i="1" s="1"/>
  <c r="CP325" i="1" s="1"/>
  <c r="DB324" i="1"/>
  <c r="DD324" i="1" s="1"/>
  <c r="DA324" i="1"/>
  <c r="DC324" i="1" s="1"/>
  <c r="BH327" i="1"/>
  <c r="BJ327" i="1" s="1"/>
  <c r="BL327" i="1" s="1"/>
  <c r="BI327" i="1"/>
  <c r="BK327" i="1" s="1"/>
  <c r="Q330" i="1"/>
  <c r="S330" i="1" s="1"/>
  <c r="G330" i="1"/>
  <c r="I330" i="1" s="1"/>
  <c r="AE329" i="1"/>
  <c r="AG329" i="1" s="1"/>
  <c r="AD329" i="1"/>
  <c r="AF329" i="1" s="1"/>
  <c r="AH329" i="1" s="1"/>
  <c r="AJ329" i="1" l="1"/>
  <c r="AL329" i="1" s="1"/>
  <c r="AI329" i="1"/>
  <c r="AK329" i="1" s="1"/>
  <c r="AM329" i="1" s="1"/>
  <c r="T330" i="1"/>
  <c r="V330" i="1" s="1"/>
  <c r="X330" i="1" s="1"/>
  <c r="U330" i="1"/>
  <c r="W330" i="1" s="1"/>
  <c r="CR325" i="1"/>
  <c r="CT325" i="1" s="1"/>
  <c r="CQ325" i="1"/>
  <c r="CS325" i="1" s="1"/>
  <c r="CU325" i="1" s="1"/>
  <c r="AX328" i="1"/>
  <c r="AZ328" i="1" s="1"/>
  <c r="BB328" i="1" s="1"/>
  <c r="AY328" i="1"/>
  <c r="BA328" i="1" s="1"/>
  <c r="CC326" i="1"/>
  <c r="CE326" i="1" s="1"/>
  <c r="CB326" i="1"/>
  <c r="CD326" i="1" s="1"/>
  <c r="CF326" i="1" s="1"/>
  <c r="K330" i="1"/>
  <c r="M330" i="1" s="1"/>
  <c r="J330" i="1"/>
  <c r="L330" i="1" s="1"/>
  <c r="N330" i="1" s="1"/>
  <c r="D331" i="1"/>
  <c r="BN327" i="1"/>
  <c r="BP327" i="1" s="1"/>
  <c r="BM327" i="1"/>
  <c r="BO327" i="1" s="1"/>
  <c r="BQ327" i="1" s="1"/>
  <c r="CW325" i="1" l="1"/>
  <c r="CY325" i="1" s="1"/>
  <c r="CV325" i="1"/>
  <c r="CX325" i="1" s="1"/>
  <c r="CZ325" i="1" s="1"/>
  <c r="BS327" i="1"/>
  <c r="BU327" i="1" s="1"/>
  <c r="BR327" i="1"/>
  <c r="BT327" i="1" s="1"/>
  <c r="BV327" i="1" s="1"/>
  <c r="P330" i="1"/>
  <c r="R330" i="1" s="1"/>
  <c r="O330" i="1"/>
  <c r="BD328" i="1"/>
  <c r="BF328" i="1" s="1"/>
  <c r="BC328" i="1"/>
  <c r="BE328" i="1" s="1"/>
  <c r="BG328" i="1" s="1"/>
  <c r="F331" i="1"/>
  <c r="H331" i="1" s="1"/>
  <c r="E331" i="1"/>
  <c r="CH326" i="1"/>
  <c r="CJ326" i="1" s="1"/>
  <c r="CG326" i="1"/>
  <c r="CI326" i="1" s="1"/>
  <c r="CK326" i="1" s="1"/>
  <c r="AN329" i="1"/>
  <c r="AP329" i="1" s="1"/>
  <c r="AR329" i="1" s="1"/>
  <c r="AO329" i="1"/>
  <c r="AQ329" i="1" s="1"/>
  <c r="Z330" i="1"/>
  <c r="AB330" i="1" s="1"/>
  <c r="Y330" i="1"/>
  <c r="AA330" i="1" s="1"/>
  <c r="AC330" i="1" s="1"/>
  <c r="AD330" i="1" l="1"/>
  <c r="AF330" i="1" s="1"/>
  <c r="AH330" i="1" s="1"/>
  <c r="AE330" i="1"/>
  <c r="AG330" i="1" s="1"/>
  <c r="BI328" i="1"/>
  <c r="BK328" i="1" s="1"/>
  <c r="BH328" i="1"/>
  <c r="BJ328" i="1" s="1"/>
  <c r="BL328" i="1" s="1"/>
  <c r="AT329" i="1"/>
  <c r="AV329" i="1" s="1"/>
  <c r="AS329" i="1"/>
  <c r="AU329" i="1" s="1"/>
  <c r="AW329" i="1" s="1"/>
  <c r="BX327" i="1"/>
  <c r="BZ327" i="1" s="1"/>
  <c r="BW327" i="1"/>
  <c r="BY327" i="1" s="1"/>
  <c r="CA327" i="1" s="1"/>
  <c r="G331" i="1"/>
  <c r="I331" i="1" s="1"/>
  <c r="Q331" i="1"/>
  <c r="S331" i="1" s="1"/>
  <c r="CM326" i="1"/>
  <c r="CO326" i="1" s="1"/>
  <c r="CL326" i="1"/>
  <c r="CN326" i="1" s="1"/>
  <c r="CP326" i="1" s="1"/>
  <c r="DA325" i="1"/>
  <c r="DC325" i="1" s="1"/>
  <c r="DB325" i="1"/>
  <c r="DD325" i="1" s="1"/>
  <c r="AY329" i="1" l="1"/>
  <c r="BA329" i="1" s="1"/>
  <c r="AX329" i="1"/>
  <c r="AZ329" i="1" s="1"/>
  <c r="BB329" i="1" s="1"/>
  <c r="CR326" i="1"/>
  <c r="CT326" i="1" s="1"/>
  <c r="CQ326" i="1"/>
  <c r="CS326" i="1" s="1"/>
  <c r="CU326" i="1" s="1"/>
  <c r="T331" i="1"/>
  <c r="V331" i="1" s="1"/>
  <c r="X331" i="1" s="1"/>
  <c r="U331" i="1"/>
  <c r="W331" i="1" s="1"/>
  <c r="CC327" i="1"/>
  <c r="CE327" i="1" s="1"/>
  <c r="CB327" i="1"/>
  <c r="CD327" i="1" s="1"/>
  <c r="CF327" i="1" s="1"/>
  <c r="BN328" i="1"/>
  <c r="BP328" i="1" s="1"/>
  <c r="BM328" i="1"/>
  <c r="BO328" i="1" s="1"/>
  <c r="BQ328" i="1" s="1"/>
  <c r="K331" i="1"/>
  <c r="M331" i="1" s="1"/>
  <c r="J331" i="1"/>
  <c r="L331" i="1" s="1"/>
  <c r="N331" i="1" s="1"/>
  <c r="D332" i="1"/>
  <c r="AJ330" i="1"/>
  <c r="AL330" i="1" s="1"/>
  <c r="AI330" i="1"/>
  <c r="AK330" i="1" s="1"/>
  <c r="AM330" i="1" s="1"/>
  <c r="Z331" i="1" l="1"/>
  <c r="AB331" i="1" s="1"/>
  <c r="Y331" i="1"/>
  <c r="AA331" i="1" s="1"/>
  <c r="AC331" i="1" s="1"/>
  <c r="AO330" i="1"/>
  <c r="AQ330" i="1" s="1"/>
  <c r="AN330" i="1"/>
  <c r="AP330" i="1" s="1"/>
  <c r="AR330" i="1" s="1"/>
  <c r="F332" i="1"/>
  <c r="H332" i="1" s="1"/>
  <c r="E332" i="1"/>
  <c r="BS328" i="1"/>
  <c r="BU328" i="1" s="1"/>
  <c r="BR328" i="1"/>
  <c r="BT328" i="1" s="1"/>
  <c r="BV328" i="1" s="1"/>
  <c r="CH327" i="1"/>
  <c r="CJ327" i="1" s="1"/>
  <c r="CG327" i="1"/>
  <c r="CI327" i="1" s="1"/>
  <c r="CK327" i="1" s="1"/>
  <c r="P331" i="1"/>
  <c r="R331" i="1" s="1"/>
  <c r="O331" i="1"/>
  <c r="BD329" i="1"/>
  <c r="BF329" i="1" s="1"/>
  <c r="BC329" i="1"/>
  <c r="BE329" i="1" s="1"/>
  <c r="BG329" i="1" s="1"/>
  <c r="CW326" i="1"/>
  <c r="CY326" i="1" s="1"/>
  <c r="CV326" i="1"/>
  <c r="CX326" i="1" s="1"/>
  <c r="CZ326" i="1" s="1"/>
  <c r="BW328" i="1" l="1"/>
  <c r="BY328" i="1" s="1"/>
  <c r="CA328" i="1" s="1"/>
  <c r="BX328" i="1"/>
  <c r="BZ328" i="1" s="1"/>
  <c r="DB326" i="1"/>
  <c r="DD326" i="1" s="1"/>
  <c r="DA326" i="1"/>
  <c r="DC326" i="1" s="1"/>
  <c r="AT330" i="1"/>
  <c r="AV330" i="1" s="1"/>
  <c r="AS330" i="1"/>
  <c r="AU330" i="1" s="1"/>
  <c r="AW330" i="1" s="1"/>
  <c r="G332" i="1"/>
  <c r="I332" i="1" s="1"/>
  <c r="Q332" i="1"/>
  <c r="S332" i="1" s="1"/>
  <c r="AE331" i="1"/>
  <c r="AG331" i="1" s="1"/>
  <c r="AD331" i="1"/>
  <c r="AF331" i="1" s="1"/>
  <c r="AH331" i="1" s="1"/>
  <c r="BI329" i="1"/>
  <c r="BK329" i="1" s="1"/>
  <c r="BH329" i="1"/>
  <c r="BJ329" i="1" s="1"/>
  <c r="BL329" i="1" s="1"/>
  <c r="CM327" i="1"/>
  <c r="CO327" i="1" s="1"/>
  <c r="CL327" i="1"/>
  <c r="CN327" i="1" s="1"/>
  <c r="CP327" i="1" s="1"/>
  <c r="J332" i="1" l="1"/>
  <c r="L332" i="1" s="1"/>
  <c r="N332" i="1" s="1"/>
  <c r="K332" i="1"/>
  <c r="M332" i="1" s="1"/>
  <c r="D333" i="1"/>
  <c r="U332" i="1"/>
  <c r="W332" i="1" s="1"/>
  <c r="T332" i="1"/>
  <c r="V332" i="1" s="1"/>
  <c r="X332" i="1" s="1"/>
  <c r="CR327" i="1"/>
  <c r="CT327" i="1" s="1"/>
  <c r="CQ327" i="1"/>
  <c r="CS327" i="1" s="1"/>
  <c r="CU327" i="1" s="1"/>
  <c r="AY330" i="1"/>
  <c r="BA330" i="1" s="1"/>
  <c r="AX330" i="1"/>
  <c r="AZ330" i="1" s="1"/>
  <c r="BB330" i="1" s="1"/>
  <c r="CC328" i="1"/>
  <c r="CE328" i="1" s="1"/>
  <c r="CB328" i="1"/>
  <c r="CD328" i="1" s="1"/>
  <c r="CF328" i="1" s="1"/>
  <c r="BN329" i="1"/>
  <c r="BP329" i="1" s="1"/>
  <c r="BM329" i="1"/>
  <c r="BO329" i="1" s="1"/>
  <c r="BQ329" i="1" s="1"/>
  <c r="AJ331" i="1"/>
  <c r="AL331" i="1" s="1"/>
  <c r="AI331" i="1"/>
  <c r="AK331" i="1" s="1"/>
  <c r="AM331" i="1" s="1"/>
  <c r="BD330" i="1" l="1"/>
  <c r="BF330" i="1" s="1"/>
  <c r="BC330" i="1"/>
  <c r="BE330" i="1" s="1"/>
  <c r="BG330" i="1" s="1"/>
  <c r="CW327" i="1"/>
  <c r="CY327" i="1" s="1"/>
  <c r="CV327" i="1"/>
  <c r="CX327" i="1" s="1"/>
  <c r="CZ327" i="1" s="1"/>
  <c r="AO331" i="1"/>
  <c r="AQ331" i="1" s="1"/>
  <c r="AN331" i="1"/>
  <c r="AP331" i="1" s="1"/>
  <c r="AR331" i="1" s="1"/>
  <c r="Z332" i="1"/>
  <c r="AB332" i="1" s="1"/>
  <c r="Y332" i="1"/>
  <c r="AA332" i="1" s="1"/>
  <c r="AC332" i="1" s="1"/>
  <c r="F333" i="1"/>
  <c r="H333" i="1" s="1"/>
  <c r="E333" i="1"/>
  <c r="BS329" i="1"/>
  <c r="BU329" i="1" s="1"/>
  <c r="BR329" i="1"/>
  <c r="BT329" i="1" s="1"/>
  <c r="BV329" i="1" s="1"/>
  <c r="CH328" i="1"/>
  <c r="CJ328" i="1" s="1"/>
  <c r="CG328" i="1"/>
  <c r="CI328" i="1" s="1"/>
  <c r="CK328" i="1" s="1"/>
  <c r="P332" i="1"/>
  <c r="R332" i="1" s="1"/>
  <c r="O332" i="1"/>
  <c r="AE332" i="1" l="1"/>
  <c r="AG332" i="1" s="1"/>
  <c r="AD332" i="1"/>
  <c r="AF332" i="1" s="1"/>
  <c r="AH332" i="1" s="1"/>
  <c r="DB327" i="1"/>
  <c r="DD327" i="1" s="1"/>
  <c r="DA327" i="1"/>
  <c r="DC327" i="1" s="1"/>
  <c r="CM328" i="1"/>
  <c r="CO328" i="1" s="1"/>
  <c r="CL328" i="1"/>
  <c r="CN328" i="1" s="1"/>
  <c r="CP328" i="1" s="1"/>
  <c r="G333" i="1"/>
  <c r="I333" i="1" s="1"/>
  <c r="Q333" i="1"/>
  <c r="S333" i="1" s="1"/>
  <c r="AT331" i="1"/>
  <c r="AV331" i="1" s="1"/>
  <c r="AS331" i="1"/>
  <c r="AU331" i="1" s="1"/>
  <c r="AW331" i="1" s="1"/>
  <c r="BX329" i="1"/>
  <c r="BZ329" i="1" s="1"/>
  <c r="BW329" i="1"/>
  <c r="BY329" i="1" s="1"/>
  <c r="CA329" i="1" s="1"/>
  <c r="BI330" i="1"/>
  <c r="BK330" i="1" s="1"/>
  <c r="BH330" i="1"/>
  <c r="BJ330" i="1" s="1"/>
  <c r="BL330" i="1" s="1"/>
  <c r="CR328" i="1" l="1"/>
  <c r="CT328" i="1" s="1"/>
  <c r="CQ328" i="1"/>
  <c r="CS328" i="1" s="1"/>
  <c r="CU328" i="1" s="1"/>
  <c r="BN330" i="1"/>
  <c r="BP330" i="1" s="1"/>
  <c r="BM330" i="1"/>
  <c r="BO330" i="1" s="1"/>
  <c r="BQ330" i="1" s="1"/>
  <c r="U333" i="1"/>
  <c r="W333" i="1" s="1"/>
  <c r="T333" i="1"/>
  <c r="V333" i="1" s="1"/>
  <c r="X333" i="1" s="1"/>
  <c r="AY331" i="1"/>
  <c r="BA331" i="1" s="1"/>
  <c r="AX331" i="1"/>
  <c r="AZ331" i="1" s="1"/>
  <c r="BB331" i="1" s="1"/>
  <c r="J333" i="1"/>
  <c r="L333" i="1" s="1"/>
  <c r="N333" i="1" s="1"/>
  <c r="K333" i="1"/>
  <c r="M333" i="1" s="1"/>
  <c r="D334" i="1"/>
  <c r="CC329" i="1"/>
  <c r="CE329" i="1" s="1"/>
  <c r="CB329" i="1"/>
  <c r="CD329" i="1" s="1"/>
  <c r="CF329" i="1" s="1"/>
  <c r="AJ332" i="1"/>
  <c r="AL332" i="1" s="1"/>
  <c r="AI332" i="1"/>
  <c r="AK332" i="1" s="1"/>
  <c r="AM332" i="1" s="1"/>
  <c r="Z333" i="1" l="1"/>
  <c r="AB333" i="1" s="1"/>
  <c r="Y333" i="1"/>
  <c r="AA333" i="1" s="1"/>
  <c r="AC333" i="1" s="1"/>
  <c r="BD331" i="1"/>
  <c r="BF331" i="1" s="1"/>
  <c r="BC331" i="1"/>
  <c r="BE331" i="1" s="1"/>
  <c r="BG331" i="1" s="1"/>
  <c r="BS330" i="1"/>
  <c r="BU330" i="1" s="1"/>
  <c r="BR330" i="1"/>
  <c r="BT330" i="1" s="1"/>
  <c r="BV330" i="1" s="1"/>
  <c r="AO332" i="1"/>
  <c r="AQ332" i="1" s="1"/>
  <c r="AN332" i="1"/>
  <c r="AP332" i="1" s="1"/>
  <c r="AR332" i="1" s="1"/>
  <c r="CH329" i="1"/>
  <c r="CJ329" i="1" s="1"/>
  <c r="CG329" i="1"/>
  <c r="CI329" i="1" s="1"/>
  <c r="CK329" i="1" s="1"/>
  <c r="F334" i="1"/>
  <c r="H334" i="1" s="1"/>
  <c r="E334" i="1"/>
  <c r="CW328" i="1"/>
  <c r="CY328" i="1" s="1"/>
  <c r="CV328" i="1"/>
  <c r="CX328" i="1" s="1"/>
  <c r="CZ328" i="1" s="1"/>
  <c r="P333" i="1"/>
  <c r="R333" i="1" s="1"/>
  <c r="O333" i="1"/>
  <c r="AT332" i="1" l="1"/>
  <c r="AV332" i="1" s="1"/>
  <c r="AS332" i="1"/>
  <c r="AU332" i="1" s="1"/>
  <c r="AW332" i="1" s="1"/>
  <c r="BX330" i="1"/>
  <c r="BZ330" i="1" s="1"/>
  <c r="BW330" i="1"/>
  <c r="BY330" i="1" s="1"/>
  <c r="CA330" i="1" s="1"/>
  <c r="DB328" i="1"/>
  <c r="DD328" i="1" s="1"/>
  <c r="DA328" i="1"/>
  <c r="DC328" i="1" s="1"/>
  <c r="G334" i="1"/>
  <c r="I334" i="1" s="1"/>
  <c r="Q334" i="1"/>
  <c r="S334" i="1" s="1"/>
  <c r="BI331" i="1"/>
  <c r="BK331" i="1" s="1"/>
  <c r="BH331" i="1"/>
  <c r="BJ331" i="1" s="1"/>
  <c r="BL331" i="1" s="1"/>
  <c r="AE333" i="1"/>
  <c r="AG333" i="1" s="1"/>
  <c r="AD333" i="1"/>
  <c r="AF333" i="1" s="1"/>
  <c r="AH333" i="1" s="1"/>
  <c r="CL329" i="1"/>
  <c r="CN329" i="1" s="1"/>
  <c r="CP329" i="1" s="1"/>
  <c r="CM329" i="1"/>
  <c r="CO329" i="1" s="1"/>
  <c r="CR329" i="1" l="1"/>
  <c r="CT329" i="1" s="1"/>
  <c r="CQ329" i="1"/>
  <c r="CS329" i="1" s="1"/>
  <c r="CU329" i="1" s="1"/>
  <c r="U334" i="1"/>
  <c r="W334" i="1" s="1"/>
  <c r="T334" i="1"/>
  <c r="V334" i="1" s="1"/>
  <c r="X334" i="1" s="1"/>
  <c r="AJ333" i="1"/>
  <c r="AL333" i="1" s="1"/>
  <c r="AI333" i="1"/>
  <c r="AK333" i="1" s="1"/>
  <c r="AM333" i="1" s="1"/>
  <c r="K334" i="1"/>
  <c r="M334" i="1" s="1"/>
  <c r="J334" i="1"/>
  <c r="L334" i="1" s="1"/>
  <c r="N334" i="1" s="1"/>
  <c r="D335" i="1"/>
  <c r="CC330" i="1"/>
  <c r="CE330" i="1" s="1"/>
  <c r="CB330" i="1"/>
  <c r="CD330" i="1" s="1"/>
  <c r="CF330" i="1" s="1"/>
  <c r="BN331" i="1"/>
  <c r="BP331" i="1" s="1"/>
  <c r="BM331" i="1"/>
  <c r="BO331" i="1" s="1"/>
  <c r="BQ331" i="1" s="1"/>
  <c r="AY332" i="1"/>
  <c r="BA332" i="1" s="1"/>
  <c r="AX332" i="1"/>
  <c r="AZ332" i="1" s="1"/>
  <c r="BB332" i="1" s="1"/>
  <c r="AO333" i="1" l="1"/>
  <c r="AQ333" i="1" s="1"/>
  <c r="AN333" i="1"/>
  <c r="AP333" i="1" s="1"/>
  <c r="AR333" i="1" s="1"/>
  <c r="BD332" i="1"/>
  <c r="BF332" i="1" s="1"/>
  <c r="BC332" i="1"/>
  <c r="BE332" i="1" s="1"/>
  <c r="BG332" i="1" s="1"/>
  <c r="BS331" i="1"/>
  <c r="BU331" i="1" s="1"/>
  <c r="BR331" i="1"/>
  <c r="BT331" i="1" s="1"/>
  <c r="BV331" i="1" s="1"/>
  <c r="Z334" i="1"/>
  <c r="AB334" i="1" s="1"/>
  <c r="Y334" i="1"/>
  <c r="AA334" i="1" s="1"/>
  <c r="AC334" i="1" s="1"/>
  <c r="P334" i="1"/>
  <c r="R334" i="1" s="1"/>
  <c r="O334" i="1"/>
  <c r="CH330" i="1"/>
  <c r="CJ330" i="1" s="1"/>
  <c r="CG330" i="1"/>
  <c r="CI330" i="1" s="1"/>
  <c r="CK330" i="1" s="1"/>
  <c r="CV329" i="1"/>
  <c r="CX329" i="1" s="1"/>
  <c r="CW329" i="1"/>
  <c r="CY329" i="1" s="1"/>
  <c r="F335" i="1"/>
  <c r="H335" i="1" s="1"/>
  <c r="E335" i="1"/>
  <c r="CZ329" i="1" l="1"/>
  <c r="AE334" i="1"/>
  <c r="AG334" i="1" s="1"/>
  <c r="AD334" i="1"/>
  <c r="AF334" i="1" s="1"/>
  <c r="AH334" i="1" s="1"/>
  <c r="CL330" i="1"/>
  <c r="CN330" i="1" s="1"/>
  <c r="CP330" i="1" s="1"/>
  <c r="CM330" i="1"/>
  <c r="CO330" i="1" s="1"/>
  <c r="AT333" i="1"/>
  <c r="AV333" i="1" s="1"/>
  <c r="AS333" i="1"/>
  <c r="AU333" i="1" s="1"/>
  <c r="AW333" i="1" s="1"/>
  <c r="G335" i="1"/>
  <c r="I335" i="1" s="1"/>
  <c r="Q335" i="1"/>
  <c r="S335" i="1" s="1"/>
  <c r="BX331" i="1"/>
  <c r="BZ331" i="1" s="1"/>
  <c r="BW331" i="1"/>
  <c r="BY331" i="1" s="1"/>
  <c r="CA331" i="1" s="1"/>
  <c r="BH332" i="1"/>
  <c r="BJ332" i="1" s="1"/>
  <c r="BL332" i="1" s="1"/>
  <c r="BI332" i="1"/>
  <c r="BK332" i="1" s="1"/>
  <c r="AX333" i="1" l="1"/>
  <c r="AZ333" i="1" s="1"/>
  <c r="BB333" i="1" s="1"/>
  <c r="AY333" i="1"/>
  <c r="BA333" i="1" s="1"/>
  <c r="U335" i="1"/>
  <c r="W335" i="1" s="1"/>
  <c r="T335" i="1"/>
  <c r="V335" i="1" s="1"/>
  <c r="X335" i="1" s="1"/>
  <c r="CR330" i="1"/>
  <c r="CT330" i="1" s="1"/>
  <c r="CQ330" i="1"/>
  <c r="CS330" i="1" s="1"/>
  <c r="CU330" i="1" s="1"/>
  <c r="K335" i="1"/>
  <c r="M335" i="1" s="1"/>
  <c r="J335" i="1"/>
  <c r="L335" i="1" s="1"/>
  <c r="N335" i="1" s="1"/>
  <c r="D336" i="1"/>
  <c r="AJ334" i="1"/>
  <c r="AL334" i="1" s="1"/>
  <c r="AI334" i="1"/>
  <c r="AK334" i="1" s="1"/>
  <c r="AM334" i="1" s="1"/>
  <c r="BN332" i="1"/>
  <c r="BP332" i="1" s="1"/>
  <c r="BM332" i="1"/>
  <c r="BO332" i="1" s="1"/>
  <c r="BQ332" i="1" s="1"/>
  <c r="CB331" i="1"/>
  <c r="CD331" i="1" s="1"/>
  <c r="CF331" i="1" s="1"/>
  <c r="CC331" i="1"/>
  <c r="CE331" i="1" s="1"/>
  <c r="DB329" i="1"/>
  <c r="DD329" i="1" s="1"/>
  <c r="DA329" i="1"/>
  <c r="DC329" i="1" s="1"/>
  <c r="CH331" i="1" l="1"/>
  <c r="CJ331" i="1" s="1"/>
  <c r="CG331" i="1"/>
  <c r="CI331" i="1" s="1"/>
  <c r="CK331" i="1" s="1"/>
  <c r="Z335" i="1"/>
  <c r="AB335" i="1" s="1"/>
  <c r="Y335" i="1"/>
  <c r="AA335" i="1" s="1"/>
  <c r="AC335" i="1" s="1"/>
  <c r="P335" i="1"/>
  <c r="R335" i="1" s="1"/>
  <c r="O335" i="1"/>
  <c r="BS332" i="1"/>
  <c r="BU332" i="1" s="1"/>
  <c r="BR332" i="1"/>
  <c r="BT332" i="1" s="1"/>
  <c r="BV332" i="1" s="1"/>
  <c r="AN334" i="1"/>
  <c r="AP334" i="1" s="1"/>
  <c r="AR334" i="1" s="1"/>
  <c r="AO334" i="1"/>
  <c r="AQ334" i="1" s="1"/>
  <c r="CW330" i="1"/>
  <c r="CY330" i="1" s="1"/>
  <c r="CV330" i="1"/>
  <c r="CX330" i="1" s="1"/>
  <c r="CZ330" i="1" s="1"/>
  <c r="F336" i="1"/>
  <c r="H336" i="1" s="1"/>
  <c r="E336" i="1"/>
  <c r="BC333" i="1"/>
  <c r="BE333" i="1" s="1"/>
  <c r="BG333" i="1" s="1"/>
  <c r="BD333" i="1"/>
  <c r="BF333" i="1" s="1"/>
  <c r="BI333" i="1" l="1"/>
  <c r="BK333" i="1" s="1"/>
  <c r="BH333" i="1"/>
  <c r="BJ333" i="1" s="1"/>
  <c r="BL333" i="1" s="1"/>
  <c r="DB330" i="1"/>
  <c r="DD330" i="1" s="1"/>
  <c r="DA330" i="1"/>
  <c r="DC330" i="1" s="1"/>
  <c r="BW332" i="1"/>
  <c r="BY332" i="1" s="1"/>
  <c r="CA332" i="1" s="1"/>
  <c r="BX332" i="1"/>
  <c r="BZ332" i="1" s="1"/>
  <c r="G336" i="1"/>
  <c r="I336" i="1" s="1"/>
  <c r="Q336" i="1"/>
  <c r="S336" i="1" s="1"/>
  <c r="AD335" i="1"/>
  <c r="AF335" i="1" s="1"/>
  <c r="AH335" i="1" s="1"/>
  <c r="AE335" i="1"/>
  <c r="AG335" i="1" s="1"/>
  <c r="CM331" i="1"/>
  <c r="CO331" i="1" s="1"/>
  <c r="CL331" i="1"/>
  <c r="CN331" i="1" s="1"/>
  <c r="CP331" i="1" s="1"/>
  <c r="AT334" i="1"/>
  <c r="AV334" i="1" s="1"/>
  <c r="AS334" i="1"/>
  <c r="AU334" i="1" s="1"/>
  <c r="AW334" i="1" s="1"/>
  <c r="AJ335" i="1" l="1"/>
  <c r="AL335" i="1" s="1"/>
  <c r="AI335" i="1"/>
  <c r="AK335" i="1" s="1"/>
  <c r="AM335" i="1" s="1"/>
  <c r="CB332" i="1"/>
  <c r="CD332" i="1" s="1"/>
  <c r="CF332" i="1" s="1"/>
  <c r="CC332" i="1"/>
  <c r="CE332" i="1" s="1"/>
  <c r="K336" i="1"/>
  <c r="M336" i="1" s="1"/>
  <c r="J336" i="1"/>
  <c r="L336" i="1" s="1"/>
  <c r="N336" i="1" s="1"/>
  <c r="D337" i="1"/>
  <c r="T336" i="1"/>
  <c r="V336" i="1" s="1"/>
  <c r="X336" i="1" s="1"/>
  <c r="U336" i="1"/>
  <c r="W336" i="1" s="1"/>
  <c r="AX334" i="1"/>
  <c r="AZ334" i="1" s="1"/>
  <c r="BB334" i="1" s="1"/>
  <c r="AY334" i="1"/>
  <c r="BA334" i="1" s="1"/>
  <c r="CR331" i="1"/>
  <c r="CT331" i="1" s="1"/>
  <c r="CQ331" i="1"/>
  <c r="CS331" i="1" s="1"/>
  <c r="CU331" i="1" s="1"/>
  <c r="BN333" i="1"/>
  <c r="BP333" i="1" s="1"/>
  <c r="BM333" i="1"/>
  <c r="BO333" i="1" s="1"/>
  <c r="BQ333" i="1" s="1"/>
  <c r="F337" i="1" l="1"/>
  <c r="H337" i="1" s="1"/>
  <c r="E337" i="1"/>
  <c r="BR333" i="1"/>
  <c r="BT333" i="1" s="1"/>
  <c r="BV333" i="1" s="1"/>
  <c r="BS333" i="1"/>
  <c r="BU333" i="1" s="1"/>
  <c r="AO335" i="1"/>
  <c r="AQ335" i="1" s="1"/>
  <c r="AN335" i="1"/>
  <c r="AP335" i="1" s="1"/>
  <c r="AR335" i="1" s="1"/>
  <c r="P336" i="1"/>
  <c r="R336" i="1" s="1"/>
  <c r="O336" i="1"/>
  <c r="BD334" i="1"/>
  <c r="BF334" i="1" s="1"/>
  <c r="BC334" i="1"/>
  <c r="BE334" i="1" s="1"/>
  <c r="BG334" i="1" s="1"/>
  <c r="Y336" i="1"/>
  <c r="AA336" i="1" s="1"/>
  <c r="AC336" i="1" s="1"/>
  <c r="Z336" i="1"/>
  <c r="AB336" i="1" s="1"/>
  <c r="CW331" i="1"/>
  <c r="CY331" i="1" s="1"/>
  <c r="CV331" i="1"/>
  <c r="CX331" i="1" s="1"/>
  <c r="CZ331" i="1" s="1"/>
  <c r="CH332" i="1"/>
  <c r="CJ332" i="1" s="1"/>
  <c r="CG332" i="1"/>
  <c r="CI332" i="1" s="1"/>
  <c r="CK332" i="1" s="1"/>
  <c r="DB331" i="1" l="1"/>
  <c r="DD331" i="1" s="1"/>
  <c r="DA331" i="1"/>
  <c r="DC331" i="1" s="1"/>
  <c r="AS335" i="1"/>
  <c r="AU335" i="1" s="1"/>
  <c r="AW335" i="1" s="1"/>
  <c r="AT335" i="1"/>
  <c r="AV335" i="1" s="1"/>
  <c r="BX333" i="1"/>
  <c r="BZ333" i="1" s="1"/>
  <c r="BW333" i="1"/>
  <c r="BY333" i="1" s="1"/>
  <c r="CA333" i="1" s="1"/>
  <c r="CM332" i="1"/>
  <c r="CO332" i="1" s="1"/>
  <c r="CL332" i="1"/>
  <c r="CN332" i="1" s="1"/>
  <c r="CP332" i="1" s="1"/>
  <c r="AE336" i="1"/>
  <c r="AG336" i="1" s="1"/>
  <c r="AD336" i="1"/>
  <c r="AF336" i="1" s="1"/>
  <c r="AH336" i="1" s="1"/>
  <c r="BH334" i="1"/>
  <c r="BJ334" i="1" s="1"/>
  <c r="BL334" i="1" s="1"/>
  <c r="BI334" i="1"/>
  <c r="BK334" i="1" s="1"/>
  <c r="G337" i="1"/>
  <c r="I337" i="1" s="1"/>
  <c r="Q337" i="1"/>
  <c r="S337" i="1" s="1"/>
  <c r="CC333" i="1" l="1"/>
  <c r="CE333" i="1" s="1"/>
  <c r="CB333" i="1"/>
  <c r="CD333" i="1" s="1"/>
  <c r="CF333" i="1" s="1"/>
  <c r="BM334" i="1"/>
  <c r="BO334" i="1" s="1"/>
  <c r="BQ334" i="1" s="1"/>
  <c r="BN334" i="1"/>
  <c r="BP334" i="1" s="1"/>
  <c r="T337" i="1"/>
  <c r="V337" i="1" s="1"/>
  <c r="X337" i="1" s="1"/>
  <c r="U337" i="1"/>
  <c r="W337" i="1" s="1"/>
  <c r="AJ336" i="1"/>
  <c r="AL336" i="1" s="1"/>
  <c r="AI336" i="1"/>
  <c r="AK336" i="1" s="1"/>
  <c r="AM336" i="1" s="1"/>
  <c r="CR332" i="1"/>
  <c r="CT332" i="1" s="1"/>
  <c r="CQ332" i="1"/>
  <c r="CS332" i="1" s="1"/>
  <c r="CU332" i="1" s="1"/>
  <c r="J337" i="1"/>
  <c r="L337" i="1" s="1"/>
  <c r="N337" i="1" s="1"/>
  <c r="K337" i="1"/>
  <c r="M337" i="1" s="1"/>
  <c r="D338" i="1"/>
  <c r="AX335" i="1"/>
  <c r="AZ335" i="1" s="1"/>
  <c r="BB335" i="1" s="1"/>
  <c r="AY335" i="1"/>
  <c r="BA335" i="1" s="1"/>
  <c r="E338" i="1" l="1"/>
  <c r="F338" i="1"/>
  <c r="H338" i="1" s="1"/>
  <c r="AN336" i="1"/>
  <c r="AP336" i="1" s="1"/>
  <c r="AR336" i="1" s="1"/>
  <c r="AO336" i="1"/>
  <c r="AQ336" i="1" s="1"/>
  <c r="Z337" i="1"/>
  <c r="AB337" i="1" s="1"/>
  <c r="Y337" i="1"/>
  <c r="AA337" i="1" s="1"/>
  <c r="AC337" i="1" s="1"/>
  <c r="P337" i="1"/>
  <c r="R337" i="1" s="1"/>
  <c r="O337" i="1"/>
  <c r="CW332" i="1"/>
  <c r="CY332" i="1" s="1"/>
  <c r="CV332" i="1"/>
  <c r="CX332" i="1" s="1"/>
  <c r="BD335" i="1"/>
  <c r="BF335" i="1" s="1"/>
  <c r="BC335" i="1"/>
  <c r="BE335" i="1" s="1"/>
  <c r="BG335" i="1" s="1"/>
  <c r="BS334" i="1"/>
  <c r="BU334" i="1" s="1"/>
  <c r="BR334" i="1"/>
  <c r="BT334" i="1" s="1"/>
  <c r="BV334" i="1" s="1"/>
  <c r="CH333" i="1"/>
  <c r="CJ333" i="1" s="1"/>
  <c r="CG333" i="1"/>
  <c r="CI333" i="1" s="1"/>
  <c r="CK333" i="1" s="1"/>
  <c r="BX334" i="1" l="1"/>
  <c r="BZ334" i="1" s="1"/>
  <c r="BW334" i="1"/>
  <c r="BY334" i="1" s="1"/>
  <c r="CA334" i="1" s="1"/>
  <c r="AE337" i="1"/>
  <c r="AG337" i="1" s="1"/>
  <c r="AD337" i="1"/>
  <c r="AF337" i="1" s="1"/>
  <c r="AH337" i="1" s="1"/>
  <c r="CM333" i="1"/>
  <c r="CO333" i="1" s="1"/>
  <c r="CL333" i="1"/>
  <c r="CN333" i="1" s="1"/>
  <c r="CP333" i="1" s="1"/>
  <c r="BI335" i="1"/>
  <c r="BK335" i="1" s="1"/>
  <c r="BH335" i="1"/>
  <c r="BJ335" i="1" s="1"/>
  <c r="BL335" i="1" s="1"/>
  <c r="AT336" i="1"/>
  <c r="AV336" i="1" s="1"/>
  <c r="AS336" i="1"/>
  <c r="AU336" i="1" s="1"/>
  <c r="AW336" i="1" s="1"/>
  <c r="CZ332" i="1"/>
  <c r="Q338" i="1"/>
  <c r="S338" i="1" s="1"/>
  <c r="G338" i="1"/>
  <c r="I338" i="1" s="1"/>
  <c r="U338" i="1" l="1"/>
  <c r="W338" i="1" s="1"/>
  <c r="T338" i="1"/>
  <c r="V338" i="1" s="1"/>
  <c r="X338" i="1" s="1"/>
  <c r="AY336" i="1"/>
  <c r="BA336" i="1" s="1"/>
  <c r="AX336" i="1"/>
  <c r="AZ336" i="1" s="1"/>
  <c r="BB336" i="1" s="1"/>
  <c r="CR333" i="1"/>
  <c r="CT333" i="1" s="1"/>
  <c r="CQ333" i="1"/>
  <c r="CS333" i="1" s="1"/>
  <c r="CU333" i="1" s="1"/>
  <c r="DB332" i="1"/>
  <c r="DD332" i="1" s="1"/>
  <c r="DA332" i="1"/>
  <c r="DC332" i="1" s="1"/>
  <c r="BN335" i="1"/>
  <c r="BP335" i="1" s="1"/>
  <c r="BM335" i="1"/>
  <c r="BO335" i="1" s="1"/>
  <c r="BQ335" i="1" s="1"/>
  <c r="J338" i="1"/>
  <c r="L338" i="1" s="1"/>
  <c r="N338" i="1" s="1"/>
  <c r="K338" i="1"/>
  <c r="M338" i="1" s="1"/>
  <c r="D339" i="1"/>
  <c r="AJ337" i="1"/>
  <c r="AL337" i="1" s="1"/>
  <c r="AI337" i="1"/>
  <c r="AK337" i="1" s="1"/>
  <c r="AM337" i="1" s="1"/>
  <c r="CC334" i="1"/>
  <c r="CE334" i="1" s="1"/>
  <c r="CB334" i="1"/>
  <c r="CD334" i="1" s="1"/>
  <c r="CF334" i="1" s="1"/>
  <c r="AO337" i="1" l="1"/>
  <c r="AQ337" i="1" s="1"/>
  <c r="AN337" i="1"/>
  <c r="AP337" i="1" s="1"/>
  <c r="AR337" i="1" s="1"/>
  <c r="F339" i="1"/>
  <c r="H339" i="1" s="1"/>
  <c r="E339" i="1"/>
  <c r="P338" i="1"/>
  <c r="R338" i="1" s="1"/>
  <c r="O338" i="1"/>
  <c r="CW333" i="1"/>
  <c r="CY333" i="1" s="1"/>
  <c r="CV333" i="1"/>
  <c r="CX333" i="1" s="1"/>
  <c r="CZ333" i="1" s="1"/>
  <c r="BS335" i="1"/>
  <c r="BU335" i="1" s="1"/>
  <c r="BR335" i="1"/>
  <c r="BT335" i="1" s="1"/>
  <c r="BV335" i="1" s="1"/>
  <c r="Z338" i="1"/>
  <c r="AB338" i="1" s="1"/>
  <c r="Y338" i="1"/>
  <c r="AA338" i="1" s="1"/>
  <c r="AC338" i="1" s="1"/>
  <c r="BD336" i="1"/>
  <c r="BF336" i="1" s="1"/>
  <c r="BC336" i="1"/>
  <c r="BE336" i="1" s="1"/>
  <c r="BG336" i="1" s="1"/>
  <c r="CH334" i="1"/>
  <c r="CJ334" i="1" s="1"/>
  <c r="CG334" i="1"/>
  <c r="CI334" i="1" s="1"/>
  <c r="CK334" i="1" s="1"/>
  <c r="CM334" i="1" l="1"/>
  <c r="CO334" i="1" s="1"/>
  <c r="CL334" i="1"/>
  <c r="CN334" i="1" s="1"/>
  <c r="CP334" i="1" s="1"/>
  <c r="Q339" i="1"/>
  <c r="S339" i="1" s="1"/>
  <c r="G339" i="1"/>
  <c r="I339" i="1" s="1"/>
  <c r="BX335" i="1"/>
  <c r="BZ335" i="1" s="1"/>
  <c r="BW335" i="1"/>
  <c r="BY335" i="1" s="1"/>
  <c r="CA335" i="1" s="1"/>
  <c r="BI336" i="1"/>
  <c r="BK336" i="1" s="1"/>
  <c r="BH336" i="1"/>
  <c r="BJ336" i="1" s="1"/>
  <c r="BL336" i="1" s="1"/>
  <c r="DB333" i="1"/>
  <c r="DD333" i="1" s="1"/>
  <c r="DA333" i="1"/>
  <c r="DC333" i="1" s="1"/>
  <c r="AE338" i="1"/>
  <c r="AG338" i="1" s="1"/>
  <c r="AD338" i="1"/>
  <c r="AF338" i="1" s="1"/>
  <c r="AH338" i="1" s="1"/>
  <c r="AT337" i="1"/>
  <c r="AV337" i="1" s="1"/>
  <c r="AS337" i="1"/>
  <c r="AU337" i="1" s="1"/>
  <c r="AW337" i="1" s="1"/>
  <c r="AX337" i="1" l="1"/>
  <c r="AZ337" i="1" s="1"/>
  <c r="BB337" i="1" s="1"/>
  <c r="AY337" i="1"/>
  <c r="BA337" i="1" s="1"/>
  <c r="BN336" i="1"/>
  <c r="BP336" i="1" s="1"/>
  <c r="BM336" i="1"/>
  <c r="BO336" i="1" s="1"/>
  <c r="BQ336" i="1" s="1"/>
  <c r="AJ338" i="1"/>
  <c r="AL338" i="1" s="1"/>
  <c r="AI338" i="1"/>
  <c r="AK338" i="1" s="1"/>
  <c r="AM338" i="1" s="1"/>
  <c r="CC335" i="1"/>
  <c r="CE335" i="1" s="1"/>
  <c r="CB335" i="1"/>
  <c r="CD335" i="1" s="1"/>
  <c r="CF335" i="1" s="1"/>
  <c r="U339" i="1"/>
  <c r="W339" i="1" s="1"/>
  <c r="T339" i="1"/>
  <c r="V339" i="1" s="1"/>
  <c r="X339" i="1" s="1"/>
  <c r="CR334" i="1"/>
  <c r="CT334" i="1" s="1"/>
  <c r="CQ334" i="1"/>
  <c r="CS334" i="1" s="1"/>
  <c r="CU334" i="1" s="1"/>
  <c r="K339" i="1"/>
  <c r="M339" i="1" s="1"/>
  <c r="J339" i="1"/>
  <c r="L339" i="1" s="1"/>
  <c r="N339" i="1" s="1"/>
  <c r="D340" i="1"/>
  <c r="CV334" i="1" l="1"/>
  <c r="CX334" i="1" s="1"/>
  <c r="CW334" i="1"/>
  <c r="CY334" i="1" s="1"/>
  <c r="CH335" i="1"/>
  <c r="CJ335" i="1" s="1"/>
  <c r="CG335" i="1"/>
  <c r="CI335" i="1" s="1"/>
  <c r="CK335" i="1" s="1"/>
  <c r="F340" i="1"/>
  <c r="H340" i="1" s="1"/>
  <c r="E340" i="1"/>
  <c r="AN338" i="1"/>
  <c r="AP338" i="1" s="1"/>
  <c r="AR338" i="1" s="1"/>
  <c r="AO338" i="1"/>
  <c r="AQ338" i="1" s="1"/>
  <c r="P339" i="1"/>
  <c r="R339" i="1" s="1"/>
  <c r="O339" i="1"/>
  <c r="BS336" i="1"/>
  <c r="BU336" i="1" s="1"/>
  <c r="BR336" i="1"/>
  <c r="BT336" i="1" s="1"/>
  <c r="BV336" i="1" s="1"/>
  <c r="Z339" i="1"/>
  <c r="AB339" i="1" s="1"/>
  <c r="Y339" i="1"/>
  <c r="AA339" i="1" s="1"/>
  <c r="AC339" i="1" s="1"/>
  <c r="BD337" i="1"/>
  <c r="BF337" i="1" s="1"/>
  <c r="BC337" i="1"/>
  <c r="BE337" i="1" s="1"/>
  <c r="BG337" i="1" s="1"/>
  <c r="Q340" i="1" l="1"/>
  <c r="S340" i="1" s="1"/>
  <c r="G340" i="1"/>
  <c r="I340" i="1" s="1"/>
  <c r="AD339" i="1"/>
  <c r="AF339" i="1" s="1"/>
  <c r="AH339" i="1" s="1"/>
  <c r="AE339" i="1"/>
  <c r="AG339" i="1" s="1"/>
  <c r="BX336" i="1"/>
  <c r="BZ336" i="1" s="1"/>
  <c r="BW336" i="1"/>
  <c r="BY336" i="1" s="1"/>
  <c r="CA336" i="1" s="1"/>
  <c r="AT338" i="1"/>
  <c r="AV338" i="1" s="1"/>
  <c r="AS338" i="1"/>
  <c r="AU338" i="1" s="1"/>
  <c r="AW338" i="1" s="1"/>
  <c r="BI337" i="1"/>
  <c r="BK337" i="1" s="1"/>
  <c r="BH337" i="1"/>
  <c r="BJ337" i="1" s="1"/>
  <c r="BL337" i="1" s="1"/>
  <c r="CL335" i="1"/>
  <c r="CN335" i="1" s="1"/>
  <c r="CP335" i="1" s="1"/>
  <c r="CM335" i="1"/>
  <c r="CO335" i="1" s="1"/>
  <c r="CZ334" i="1"/>
  <c r="AY338" i="1" l="1"/>
  <c r="BA338" i="1" s="1"/>
  <c r="AX338" i="1"/>
  <c r="AZ338" i="1" s="1"/>
  <c r="BB338" i="1" s="1"/>
  <c r="CB336" i="1"/>
  <c r="CD336" i="1" s="1"/>
  <c r="CF336" i="1" s="1"/>
  <c r="CC336" i="1"/>
  <c r="CE336" i="1" s="1"/>
  <c r="AJ339" i="1"/>
  <c r="AL339" i="1" s="1"/>
  <c r="AI339" i="1"/>
  <c r="AK339" i="1" s="1"/>
  <c r="AM339" i="1" s="1"/>
  <c r="DB334" i="1"/>
  <c r="DD334" i="1" s="1"/>
  <c r="DA334" i="1"/>
  <c r="DC334" i="1" s="1"/>
  <c r="CR335" i="1"/>
  <c r="CT335" i="1" s="1"/>
  <c r="CQ335" i="1"/>
  <c r="CS335" i="1" s="1"/>
  <c r="CU335" i="1" s="1"/>
  <c r="BN337" i="1"/>
  <c r="BP337" i="1" s="1"/>
  <c r="BM337" i="1"/>
  <c r="BO337" i="1" s="1"/>
  <c r="BQ337" i="1" s="1"/>
  <c r="K340" i="1"/>
  <c r="M340" i="1" s="1"/>
  <c r="J340" i="1"/>
  <c r="L340" i="1" s="1"/>
  <c r="N340" i="1" s="1"/>
  <c r="D341" i="1"/>
  <c r="T340" i="1"/>
  <c r="V340" i="1" s="1"/>
  <c r="X340" i="1" s="1"/>
  <c r="U340" i="1"/>
  <c r="W340" i="1" s="1"/>
  <c r="CG336" i="1" l="1"/>
  <c r="CI336" i="1" s="1"/>
  <c r="CK336" i="1" s="1"/>
  <c r="CH336" i="1"/>
  <c r="CJ336" i="1" s="1"/>
  <c r="Z340" i="1"/>
  <c r="AB340" i="1" s="1"/>
  <c r="Y340" i="1"/>
  <c r="AA340" i="1" s="1"/>
  <c r="AC340" i="1" s="1"/>
  <c r="F341" i="1"/>
  <c r="H341" i="1" s="1"/>
  <c r="E341" i="1"/>
  <c r="P340" i="1"/>
  <c r="R340" i="1" s="1"/>
  <c r="O340" i="1"/>
  <c r="BR337" i="1"/>
  <c r="BT337" i="1" s="1"/>
  <c r="BV337" i="1" s="1"/>
  <c r="BS337" i="1"/>
  <c r="BU337" i="1" s="1"/>
  <c r="BD338" i="1"/>
  <c r="BF338" i="1" s="1"/>
  <c r="BC338" i="1"/>
  <c r="BE338" i="1" s="1"/>
  <c r="BG338" i="1" s="1"/>
  <c r="AN339" i="1"/>
  <c r="AP339" i="1" s="1"/>
  <c r="AR339" i="1" s="1"/>
  <c r="AO339" i="1"/>
  <c r="AQ339" i="1" s="1"/>
  <c r="CW335" i="1"/>
  <c r="CY335" i="1" s="1"/>
  <c r="CV335" i="1"/>
  <c r="CX335" i="1" s="1"/>
  <c r="CZ335" i="1" s="1"/>
  <c r="AT339" i="1" l="1"/>
  <c r="AV339" i="1" s="1"/>
  <c r="AS339" i="1"/>
  <c r="AU339" i="1" s="1"/>
  <c r="AW339" i="1" s="1"/>
  <c r="DB335" i="1"/>
  <c r="DD335" i="1" s="1"/>
  <c r="DA335" i="1"/>
  <c r="DC335" i="1" s="1"/>
  <c r="BH338" i="1"/>
  <c r="BJ338" i="1" s="1"/>
  <c r="BL338" i="1" s="1"/>
  <c r="BI338" i="1"/>
  <c r="BK338" i="1" s="1"/>
  <c r="AE340" i="1"/>
  <c r="AG340" i="1" s="1"/>
  <c r="AD340" i="1"/>
  <c r="AF340" i="1" s="1"/>
  <c r="AH340" i="1" s="1"/>
  <c r="CL336" i="1"/>
  <c r="CN336" i="1" s="1"/>
  <c r="CP336" i="1" s="1"/>
  <c r="CM336" i="1"/>
  <c r="CO336" i="1" s="1"/>
  <c r="Q341" i="1"/>
  <c r="S341" i="1" s="1"/>
  <c r="G341" i="1"/>
  <c r="I341" i="1" s="1"/>
  <c r="BX337" i="1"/>
  <c r="BZ337" i="1" s="1"/>
  <c r="BW337" i="1"/>
  <c r="BY337" i="1" s="1"/>
  <c r="CA337" i="1" s="1"/>
  <c r="AJ340" i="1" l="1"/>
  <c r="AL340" i="1" s="1"/>
  <c r="AI340" i="1"/>
  <c r="AK340" i="1" s="1"/>
  <c r="AM340" i="1" s="1"/>
  <c r="BN338" i="1"/>
  <c r="BP338" i="1" s="1"/>
  <c r="BM338" i="1"/>
  <c r="BO338" i="1" s="1"/>
  <c r="BQ338" i="1" s="1"/>
  <c r="CB337" i="1"/>
  <c r="CD337" i="1" s="1"/>
  <c r="CF337" i="1" s="1"/>
  <c r="CC337" i="1"/>
  <c r="CE337" i="1" s="1"/>
  <c r="AX339" i="1"/>
  <c r="AZ339" i="1" s="1"/>
  <c r="BB339" i="1" s="1"/>
  <c r="AY339" i="1"/>
  <c r="BA339" i="1" s="1"/>
  <c r="J341" i="1"/>
  <c r="L341" i="1" s="1"/>
  <c r="N341" i="1" s="1"/>
  <c r="K341" i="1"/>
  <c r="M341" i="1" s="1"/>
  <c r="D342" i="1"/>
  <c r="U341" i="1"/>
  <c r="W341" i="1" s="1"/>
  <c r="T341" i="1"/>
  <c r="V341" i="1" s="1"/>
  <c r="X341" i="1" s="1"/>
  <c r="CR336" i="1"/>
  <c r="CT336" i="1" s="1"/>
  <c r="CQ336" i="1"/>
  <c r="CS336" i="1" s="1"/>
  <c r="CU336" i="1" s="1"/>
  <c r="CH337" i="1" l="1"/>
  <c r="CJ337" i="1" s="1"/>
  <c r="CG337" i="1"/>
  <c r="CI337" i="1" s="1"/>
  <c r="CK337" i="1" s="1"/>
  <c r="BD339" i="1"/>
  <c r="BF339" i="1" s="1"/>
  <c r="BC339" i="1"/>
  <c r="BE339" i="1" s="1"/>
  <c r="BG339" i="1" s="1"/>
  <c r="Z341" i="1"/>
  <c r="AB341" i="1" s="1"/>
  <c r="Y341" i="1"/>
  <c r="AA341" i="1" s="1"/>
  <c r="AC341" i="1" s="1"/>
  <c r="CV336" i="1"/>
  <c r="CX336" i="1" s="1"/>
  <c r="CZ336" i="1" s="1"/>
  <c r="CW336" i="1"/>
  <c r="CY336" i="1" s="1"/>
  <c r="BR338" i="1"/>
  <c r="BT338" i="1" s="1"/>
  <c r="BV338" i="1" s="1"/>
  <c r="BS338" i="1"/>
  <c r="BU338" i="1" s="1"/>
  <c r="F342" i="1"/>
  <c r="H342" i="1" s="1"/>
  <c r="E342" i="1"/>
  <c r="AN340" i="1"/>
  <c r="AP340" i="1" s="1"/>
  <c r="AR340" i="1" s="1"/>
  <c r="AO340" i="1"/>
  <c r="AQ340" i="1" s="1"/>
  <c r="P341" i="1"/>
  <c r="R341" i="1" s="1"/>
  <c r="O341" i="1"/>
  <c r="DB336" i="1" l="1"/>
  <c r="DD336" i="1" s="1"/>
  <c r="DA336" i="1"/>
  <c r="DC336" i="1" s="1"/>
  <c r="AT340" i="1"/>
  <c r="AV340" i="1" s="1"/>
  <c r="AS340" i="1"/>
  <c r="AU340" i="1" s="1"/>
  <c r="AW340" i="1" s="1"/>
  <c r="Q342" i="1"/>
  <c r="S342" i="1" s="1"/>
  <c r="G342" i="1"/>
  <c r="I342" i="1" s="1"/>
  <c r="CM337" i="1"/>
  <c r="CO337" i="1" s="1"/>
  <c r="CL337" i="1"/>
  <c r="CN337" i="1" s="1"/>
  <c r="CP337" i="1" s="1"/>
  <c r="AD341" i="1"/>
  <c r="AF341" i="1" s="1"/>
  <c r="AH341" i="1" s="1"/>
  <c r="AE341" i="1"/>
  <c r="AG341" i="1" s="1"/>
  <c r="BH339" i="1"/>
  <c r="BJ339" i="1" s="1"/>
  <c r="BL339" i="1" s="1"/>
  <c r="BI339" i="1"/>
  <c r="BK339" i="1" s="1"/>
  <c r="BX338" i="1"/>
  <c r="BZ338" i="1" s="1"/>
  <c r="BW338" i="1"/>
  <c r="BY338" i="1" s="1"/>
  <c r="CA338" i="1" s="1"/>
  <c r="CR337" i="1" l="1"/>
  <c r="CT337" i="1" s="1"/>
  <c r="CQ337" i="1"/>
  <c r="CS337" i="1" s="1"/>
  <c r="CU337" i="1" s="1"/>
  <c r="T342" i="1"/>
  <c r="V342" i="1" s="1"/>
  <c r="X342" i="1" s="1"/>
  <c r="U342" i="1"/>
  <c r="W342" i="1" s="1"/>
  <c r="J342" i="1"/>
  <c r="L342" i="1" s="1"/>
  <c r="N342" i="1" s="1"/>
  <c r="K342" i="1"/>
  <c r="M342" i="1" s="1"/>
  <c r="D343" i="1"/>
  <c r="AJ341" i="1"/>
  <c r="AL341" i="1" s="1"/>
  <c r="AI341" i="1"/>
  <c r="AK341" i="1" s="1"/>
  <c r="AM341" i="1" s="1"/>
  <c r="CC338" i="1"/>
  <c r="CE338" i="1" s="1"/>
  <c r="CB338" i="1"/>
  <c r="CD338" i="1" s="1"/>
  <c r="CF338" i="1" s="1"/>
  <c r="AX340" i="1"/>
  <c r="AZ340" i="1" s="1"/>
  <c r="BB340" i="1" s="1"/>
  <c r="AY340" i="1"/>
  <c r="BA340" i="1" s="1"/>
  <c r="BN339" i="1"/>
  <c r="BP339" i="1" s="1"/>
  <c r="BM339" i="1"/>
  <c r="BO339" i="1" s="1"/>
  <c r="BQ339" i="1" s="1"/>
  <c r="Z342" i="1" l="1"/>
  <c r="AB342" i="1" s="1"/>
  <c r="Y342" i="1"/>
  <c r="AA342" i="1" s="1"/>
  <c r="AC342" i="1" s="1"/>
  <c r="BS339" i="1"/>
  <c r="BU339" i="1" s="1"/>
  <c r="BR339" i="1"/>
  <c r="BT339" i="1" s="1"/>
  <c r="BV339" i="1" s="1"/>
  <c r="P342" i="1"/>
  <c r="R342" i="1" s="1"/>
  <c r="O342" i="1"/>
  <c r="CW337" i="1"/>
  <c r="CY337" i="1" s="1"/>
  <c r="CV337" i="1"/>
  <c r="CX337" i="1" s="1"/>
  <c r="CZ337" i="1" s="1"/>
  <c r="CG338" i="1"/>
  <c r="CI338" i="1" s="1"/>
  <c r="CK338" i="1" s="1"/>
  <c r="CH338" i="1"/>
  <c r="CJ338" i="1" s="1"/>
  <c r="F343" i="1"/>
  <c r="H343" i="1" s="1"/>
  <c r="E343" i="1"/>
  <c r="BD340" i="1"/>
  <c r="BF340" i="1" s="1"/>
  <c r="BC340" i="1"/>
  <c r="BE340" i="1" s="1"/>
  <c r="BG340" i="1" s="1"/>
  <c r="AN341" i="1"/>
  <c r="AP341" i="1" s="1"/>
  <c r="AR341" i="1" s="1"/>
  <c r="AO341" i="1"/>
  <c r="AQ341" i="1" s="1"/>
  <c r="AT341" i="1" l="1"/>
  <c r="AV341" i="1" s="1"/>
  <c r="AS341" i="1"/>
  <c r="AU341" i="1" s="1"/>
  <c r="AW341" i="1" s="1"/>
  <c r="DB337" i="1"/>
  <c r="DD337" i="1" s="1"/>
  <c r="DA337" i="1"/>
  <c r="DC337" i="1" s="1"/>
  <c r="G343" i="1"/>
  <c r="I343" i="1" s="1"/>
  <c r="Q343" i="1"/>
  <c r="S343" i="1" s="1"/>
  <c r="AD342" i="1"/>
  <c r="AF342" i="1" s="1"/>
  <c r="AH342" i="1" s="1"/>
  <c r="AE342" i="1"/>
  <c r="AG342" i="1" s="1"/>
  <c r="BI340" i="1"/>
  <c r="BK340" i="1" s="1"/>
  <c r="BH340" i="1"/>
  <c r="BJ340" i="1" s="1"/>
  <c r="BL340" i="1" s="1"/>
  <c r="BW339" i="1"/>
  <c r="BY339" i="1" s="1"/>
  <c r="CA339" i="1" s="1"/>
  <c r="BX339" i="1"/>
  <c r="BZ339" i="1" s="1"/>
  <c r="CM338" i="1"/>
  <c r="CO338" i="1" s="1"/>
  <c r="CL338" i="1"/>
  <c r="CN338" i="1" s="1"/>
  <c r="CP338" i="1" s="1"/>
  <c r="U343" i="1" l="1"/>
  <c r="W343" i="1" s="1"/>
  <c r="T343" i="1"/>
  <c r="V343" i="1" s="1"/>
  <c r="X343" i="1" s="1"/>
  <c r="AY341" i="1"/>
  <c r="BA341" i="1" s="1"/>
  <c r="AX341" i="1"/>
  <c r="AZ341" i="1" s="1"/>
  <c r="BB341" i="1" s="1"/>
  <c r="AJ342" i="1"/>
  <c r="AL342" i="1" s="1"/>
  <c r="AI342" i="1"/>
  <c r="AK342" i="1" s="1"/>
  <c r="AM342" i="1" s="1"/>
  <c r="J343" i="1"/>
  <c r="L343" i="1" s="1"/>
  <c r="N343" i="1" s="1"/>
  <c r="K343" i="1"/>
  <c r="M343" i="1" s="1"/>
  <c r="D344" i="1"/>
  <c r="CR338" i="1"/>
  <c r="CT338" i="1" s="1"/>
  <c r="CQ338" i="1"/>
  <c r="CS338" i="1" s="1"/>
  <c r="CU338" i="1" s="1"/>
  <c r="CC339" i="1"/>
  <c r="CE339" i="1" s="1"/>
  <c r="CB339" i="1"/>
  <c r="CD339" i="1" s="1"/>
  <c r="CF339" i="1" s="1"/>
  <c r="BN340" i="1"/>
  <c r="BP340" i="1" s="1"/>
  <c r="BM340" i="1"/>
  <c r="BO340" i="1" s="1"/>
  <c r="BQ340" i="1" s="1"/>
  <c r="O343" i="1" l="1"/>
  <c r="P343" i="1"/>
  <c r="R343" i="1" s="1"/>
  <c r="BD341" i="1"/>
  <c r="BF341" i="1" s="1"/>
  <c r="BC341" i="1"/>
  <c r="BE341" i="1" s="1"/>
  <c r="BG341" i="1" s="1"/>
  <c r="BS340" i="1"/>
  <c r="BU340" i="1" s="1"/>
  <c r="BR340" i="1"/>
  <c r="BT340" i="1" s="1"/>
  <c r="BV340" i="1" s="1"/>
  <c r="CV338" i="1"/>
  <c r="CX338" i="1" s="1"/>
  <c r="CW338" i="1"/>
  <c r="CY338" i="1" s="1"/>
  <c r="AO342" i="1"/>
  <c r="AQ342" i="1" s="1"/>
  <c r="AN342" i="1"/>
  <c r="AP342" i="1" s="1"/>
  <c r="AR342" i="1" s="1"/>
  <c r="CH339" i="1"/>
  <c r="CJ339" i="1" s="1"/>
  <c r="CG339" i="1"/>
  <c r="CI339" i="1" s="1"/>
  <c r="CK339" i="1" s="1"/>
  <c r="Y343" i="1"/>
  <c r="AA343" i="1" s="1"/>
  <c r="AC343" i="1" s="1"/>
  <c r="Z343" i="1"/>
  <c r="AB343" i="1" s="1"/>
  <c r="E344" i="1"/>
  <c r="F344" i="1"/>
  <c r="H344" i="1" s="1"/>
  <c r="Q344" i="1" l="1"/>
  <c r="S344" i="1" s="1"/>
  <c r="G344" i="1"/>
  <c r="I344" i="1" s="1"/>
  <c r="BX340" i="1"/>
  <c r="BZ340" i="1" s="1"/>
  <c r="BW340" i="1"/>
  <c r="BY340" i="1" s="1"/>
  <c r="CA340" i="1" s="1"/>
  <c r="CZ338" i="1"/>
  <c r="CL339" i="1"/>
  <c r="CN339" i="1" s="1"/>
  <c r="CP339" i="1" s="1"/>
  <c r="CM339" i="1"/>
  <c r="CO339" i="1" s="1"/>
  <c r="AE343" i="1"/>
  <c r="AG343" i="1" s="1"/>
  <c r="AD343" i="1"/>
  <c r="AF343" i="1" s="1"/>
  <c r="AH343" i="1" s="1"/>
  <c r="BI341" i="1"/>
  <c r="BK341" i="1" s="1"/>
  <c r="BH341" i="1"/>
  <c r="BJ341" i="1" s="1"/>
  <c r="BL341" i="1" s="1"/>
  <c r="AS342" i="1"/>
  <c r="AU342" i="1" s="1"/>
  <c r="AW342" i="1" s="1"/>
  <c r="AT342" i="1"/>
  <c r="AV342" i="1" s="1"/>
  <c r="CR339" i="1" l="1"/>
  <c r="CT339" i="1" s="1"/>
  <c r="CQ339" i="1"/>
  <c r="CS339" i="1" s="1"/>
  <c r="CU339" i="1" s="1"/>
  <c r="AY342" i="1"/>
  <c r="BA342" i="1" s="1"/>
  <c r="AX342" i="1"/>
  <c r="AZ342" i="1" s="1"/>
  <c r="BB342" i="1" s="1"/>
  <c r="BN341" i="1"/>
  <c r="BP341" i="1" s="1"/>
  <c r="BM341" i="1"/>
  <c r="BO341" i="1" s="1"/>
  <c r="BQ341" i="1" s="1"/>
  <c r="AJ343" i="1"/>
  <c r="AL343" i="1" s="1"/>
  <c r="AI343" i="1"/>
  <c r="AK343" i="1" s="1"/>
  <c r="AM343" i="1" s="1"/>
  <c r="DB338" i="1"/>
  <c r="DD338" i="1" s="1"/>
  <c r="DA338" i="1"/>
  <c r="DC338" i="1" s="1"/>
  <c r="CB340" i="1"/>
  <c r="CD340" i="1" s="1"/>
  <c r="CF340" i="1" s="1"/>
  <c r="CC340" i="1"/>
  <c r="CE340" i="1" s="1"/>
  <c r="J344" i="1"/>
  <c r="L344" i="1" s="1"/>
  <c r="N344" i="1" s="1"/>
  <c r="K344" i="1"/>
  <c r="M344" i="1" s="1"/>
  <c r="D345" i="1"/>
  <c r="T344" i="1"/>
  <c r="V344" i="1" s="1"/>
  <c r="X344" i="1" s="1"/>
  <c r="U344" i="1"/>
  <c r="W344" i="1" s="1"/>
  <c r="Z344" i="1" l="1"/>
  <c r="AB344" i="1" s="1"/>
  <c r="Y344" i="1"/>
  <c r="AA344" i="1" s="1"/>
  <c r="AC344" i="1" s="1"/>
  <c r="E345" i="1"/>
  <c r="F345" i="1"/>
  <c r="H345" i="1" s="1"/>
  <c r="AO343" i="1"/>
  <c r="AQ343" i="1" s="1"/>
  <c r="AN343" i="1"/>
  <c r="AP343" i="1" s="1"/>
  <c r="AR343" i="1" s="1"/>
  <c r="P344" i="1"/>
  <c r="R344" i="1" s="1"/>
  <c r="O344" i="1"/>
  <c r="CH340" i="1"/>
  <c r="CJ340" i="1" s="1"/>
  <c r="CG340" i="1"/>
  <c r="CI340" i="1" s="1"/>
  <c r="CK340" i="1" s="1"/>
  <c r="BR341" i="1"/>
  <c r="BT341" i="1" s="1"/>
  <c r="BV341" i="1" s="1"/>
  <c r="BS341" i="1"/>
  <c r="BU341" i="1" s="1"/>
  <c r="BD342" i="1"/>
  <c r="BF342" i="1" s="1"/>
  <c r="BC342" i="1"/>
  <c r="BE342" i="1" s="1"/>
  <c r="BG342" i="1" s="1"/>
  <c r="CW339" i="1"/>
  <c r="CY339" i="1" s="1"/>
  <c r="CV339" i="1"/>
  <c r="CX339" i="1" s="1"/>
  <c r="CZ339" i="1" s="1"/>
  <c r="AT343" i="1" l="1"/>
  <c r="AV343" i="1" s="1"/>
  <c r="AS343" i="1"/>
  <c r="AU343" i="1" s="1"/>
  <c r="AW343" i="1" s="1"/>
  <c r="BH342" i="1"/>
  <c r="BJ342" i="1" s="1"/>
  <c r="BL342" i="1" s="1"/>
  <c r="BI342" i="1"/>
  <c r="BK342" i="1" s="1"/>
  <c r="AE344" i="1"/>
  <c r="AG344" i="1" s="1"/>
  <c r="AD344" i="1"/>
  <c r="AF344" i="1" s="1"/>
  <c r="AH344" i="1" s="1"/>
  <c r="DB339" i="1"/>
  <c r="DD339" i="1" s="1"/>
  <c r="DA339" i="1"/>
  <c r="DC339" i="1" s="1"/>
  <c r="BX341" i="1"/>
  <c r="BZ341" i="1" s="1"/>
  <c r="BW341" i="1"/>
  <c r="BY341" i="1" s="1"/>
  <c r="CA341" i="1" s="1"/>
  <c r="CM340" i="1"/>
  <c r="CO340" i="1" s="1"/>
  <c r="CL340" i="1"/>
  <c r="CN340" i="1" s="1"/>
  <c r="CP340" i="1" s="1"/>
  <c r="G345" i="1"/>
  <c r="I345" i="1" s="1"/>
  <c r="Q345" i="1"/>
  <c r="S345" i="1" s="1"/>
  <c r="U345" i="1" l="1"/>
  <c r="W345" i="1" s="1"/>
  <c r="T345" i="1"/>
  <c r="V345" i="1" s="1"/>
  <c r="X345" i="1" s="1"/>
  <c r="AI344" i="1"/>
  <c r="AK344" i="1" s="1"/>
  <c r="AM344" i="1" s="1"/>
  <c r="AJ344" i="1"/>
  <c r="AL344" i="1" s="1"/>
  <c r="K345" i="1"/>
  <c r="M345" i="1" s="1"/>
  <c r="J345" i="1"/>
  <c r="L345" i="1" s="1"/>
  <c r="N345" i="1" s="1"/>
  <c r="D346" i="1"/>
  <c r="AY343" i="1"/>
  <c r="BA343" i="1" s="1"/>
  <c r="AX343" i="1"/>
  <c r="AZ343" i="1" s="1"/>
  <c r="BB343" i="1" s="1"/>
  <c r="CR340" i="1"/>
  <c r="CT340" i="1" s="1"/>
  <c r="CQ340" i="1"/>
  <c r="CS340" i="1" s="1"/>
  <c r="CU340" i="1" s="1"/>
  <c r="BN342" i="1"/>
  <c r="BP342" i="1" s="1"/>
  <c r="BM342" i="1"/>
  <c r="BO342" i="1" s="1"/>
  <c r="BQ342" i="1" s="1"/>
  <c r="CC341" i="1"/>
  <c r="CE341" i="1" s="1"/>
  <c r="CB341" i="1"/>
  <c r="CD341" i="1" s="1"/>
  <c r="CF341" i="1" s="1"/>
  <c r="F346" i="1" l="1"/>
  <c r="H346" i="1" s="1"/>
  <c r="E346" i="1"/>
  <c r="CH341" i="1"/>
  <c r="CJ341" i="1" s="1"/>
  <c r="CG341" i="1"/>
  <c r="CI341" i="1" s="1"/>
  <c r="CK341" i="1" s="1"/>
  <c r="CV340" i="1"/>
  <c r="CX340" i="1" s="1"/>
  <c r="CW340" i="1"/>
  <c r="CY340" i="1" s="1"/>
  <c r="P345" i="1"/>
  <c r="R345" i="1" s="1"/>
  <c r="O345" i="1"/>
  <c r="BD343" i="1"/>
  <c r="BF343" i="1" s="1"/>
  <c r="BC343" i="1"/>
  <c r="BE343" i="1" s="1"/>
  <c r="BG343" i="1" s="1"/>
  <c r="BS342" i="1"/>
  <c r="BU342" i="1" s="1"/>
  <c r="BR342" i="1"/>
  <c r="BT342" i="1" s="1"/>
  <c r="BV342" i="1" s="1"/>
  <c r="AO344" i="1"/>
  <c r="AQ344" i="1" s="1"/>
  <c r="AN344" i="1"/>
  <c r="AP344" i="1" s="1"/>
  <c r="AR344" i="1" s="1"/>
  <c r="Y345" i="1"/>
  <c r="AA345" i="1" s="1"/>
  <c r="AC345" i="1" s="1"/>
  <c r="Z345" i="1"/>
  <c r="AB345" i="1" s="1"/>
  <c r="CZ340" i="1" l="1"/>
  <c r="AT344" i="1"/>
  <c r="AV344" i="1" s="1"/>
  <c r="AS344" i="1"/>
  <c r="AU344" i="1" s="1"/>
  <c r="AW344" i="1" s="1"/>
  <c r="BX342" i="1"/>
  <c r="BZ342" i="1" s="1"/>
  <c r="BW342" i="1"/>
  <c r="BY342" i="1" s="1"/>
  <c r="CA342" i="1" s="1"/>
  <c r="AE345" i="1"/>
  <c r="AG345" i="1" s="1"/>
  <c r="AD345" i="1"/>
  <c r="AF345" i="1" s="1"/>
  <c r="AH345" i="1" s="1"/>
  <c r="CL341" i="1"/>
  <c r="CN341" i="1" s="1"/>
  <c r="CP341" i="1" s="1"/>
  <c r="CM341" i="1"/>
  <c r="CO341" i="1" s="1"/>
  <c r="BH343" i="1"/>
  <c r="BJ343" i="1" s="1"/>
  <c r="BL343" i="1" s="1"/>
  <c r="BI343" i="1"/>
  <c r="BK343" i="1" s="1"/>
  <c r="Q346" i="1"/>
  <c r="S346" i="1" s="1"/>
  <c r="G346" i="1"/>
  <c r="I346" i="1" s="1"/>
  <c r="AI345" i="1" l="1"/>
  <c r="AK345" i="1" s="1"/>
  <c r="AM345" i="1" s="1"/>
  <c r="AJ345" i="1"/>
  <c r="AL345" i="1" s="1"/>
  <c r="K346" i="1"/>
  <c r="M346" i="1" s="1"/>
  <c r="J346" i="1"/>
  <c r="L346" i="1" s="1"/>
  <c r="N346" i="1" s="1"/>
  <c r="D347" i="1"/>
  <c r="U346" i="1"/>
  <c r="W346" i="1" s="1"/>
  <c r="T346" i="1"/>
  <c r="V346" i="1" s="1"/>
  <c r="X346" i="1" s="1"/>
  <c r="BN343" i="1"/>
  <c r="BP343" i="1" s="1"/>
  <c r="BM343" i="1"/>
  <c r="BO343" i="1" s="1"/>
  <c r="BQ343" i="1" s="1"/>
  <c r="CR341" i="1"/>
  <c r="CT341" i="1" s="1"/>
  <c r="CQ341" i="1"/>
  <c r="CS341" i="1" s="1"/>
  <c r="CU341" i="1" s="1"/>
  <c r="CB342" i="1"/>
  <c r="CD342" i="1" s="1"/>
  <c r="CF342" i="1" s="1"/>
  <c r="CC342" i="1"/>
  <c r="CE342" i="1" s="1"/>
  <c r="AY344" i="1"/>
  <c r="BA344" i="1" s="1"/>
  <c r="AX344" i="1"/>
  <c r="AZ344" i="1" s="1"/>
  <c r="BB344" i="1" s="1"/>
  <c r="DB340" i="1"/>
  <c r="DD340" i="1" s="1"/>
  <c r="DA340" i="1"/>
  <c r="DC340" i="1" s="1"/>
  <c r="CV341" i="1" l="1"/>
  <c r="CX341" i="1" s="1"/>
  <c r="CW341" i="1"/>
  <c r="CY341" i="1" s="1"/>
  <c r="BD344" i="1"/>
  <c r="BF344" i="1" s="1"/>
  <c r="BC344" i="1"/>
  <c r="BE344" i="1" s="1"/>
  <c r="BG344" i="1" s="1"/>
  <c r="E347" i="1"/>
  <c r="F347" i="1"/>
  <c r="H347" i="1" s="1"/>
  <c r="CH342" i="1"/>
  <c r="CJ342" i="1" s="1"/>
  <c r="CG342" i="1"/>
  <c r="CI342" i="1" s="1"/>
  <c r="CK342" i="1" s="1"/>
  <c r="AO345" i="1"/>
  <c r="AQ345" i="1" s="1"/>
  <c r="AN345" i="1"/>
  <c r="AP345" i="1" s="1"/>
  <c r="AR345" i="1" s="1"/>
  <c r="Z346" i="1"/>
  <c r="AB346" i="1" s="1"/>
  <c r="Y346" i="1"/>
  <c r="AA346" i="1" s="1"/>
  <c r="AC346" i="1" s="1"/>
  <c r="P346" i="1"/>
  <c r="R346" i="1" s="1"/>
  <c r="O346" i="1"/>
  <c r="BS343" i="1"/>
  <c r="BU343" i="1" s="1"/>
  <c r="BR343" i="1"/>
  <c r="BT343" i="1" s="1"/>
  <c r="BV343" i="1" s="1"/>
  <c r="CL342" i="1" l="1"/>
  <c r="CN342" i="1" s="1"/>
  <c r="CP342" i="1" s="1"/>
  <c r="CM342" i="1"/>
  <c r="CO342" i="1" s="1"/>
  <c r="BW343" i="1"/>
  <c r="BY343" i="1" s="1"/>
  <c r="CA343" i="1" s="1"/>
  <c r="BX343" i="1"/>
  <c r="BZ343" i="1" s="1"/>
  <c r="AD346" i="1"/>
  <c r="AF346" i="1" s="1"/>
  <c r="AH346" i="1" s="1"/>
  <c r="AE346" i="1"/>
  <c r="AG346" i="1" s="1"/>
  <c r="Q347" i="1"/>
  <c r="S347" i="1" s="1"/>
  <c r="G347" i="1"/>
  <c r="I347" i="1" s="1"/>
  <c r="BI344" i="1"/>
  <c r="BK344" i="1" s="1"/>
  <c r="BH344" i="1"/>
  <c r="BJ344" i="1" s="1"/>
  <c r="BL344" i="1" s="1"/>
  <c r="AS345" i="1"/>
  <c r="AU345" i="1" s="1"/>
  <c r="AW345" i="1" s="1"/>
  <c r="AT345" i="1"/>
  <c r="AV345" i="1" s="1"/>
  <c r="CZ341" i="1"/>
  <c r="K347" i="1" l="1"/>
  <c r="M347" i="1" s="1"/>
  <c r="J347" i="1"/>
  <c r="L347" i="1" s="1"/>
  <c r="N347" i="1" s="1"/>
  <c r="D348" i="1"/>
  <c r="DB341" i="1"/>
  <c r="DD341" i="1" s="1"/>
  <c r="DA341" i="1"/>
  <c r="DC341" i="1" s="1"/>
  <c r="AJ346" i="1"/>
  <c r="AL346" i="1" s="1"/>
  <c r="AI346" i="1"/>
  <c r="AK346" i="1" s="1"/>
  <c r="AM346" i="1" s="1"/>
  <c r="CB343" i="1"/>
  <c r="CD343" i="1" s="1"/>
  <c r="CF343" i="1" s="1"/>
  <c r="CC343" i="1"/>
  <c r="CE343" i="1" s="1"/>
  <c r="CR342" i="1"/>
  <c r="CT342" i="1" s="1"/>
  <c r="CQ342" i="1"/>
  <c r="CS342" i="1" s="1"/>
  <c r="CU342" i="1" s="1"/>
  <c r="U347" i="1"/>
  <c r="W347" i="1" s="1"/>
  <c r="T347" i="1"/>
  <c r="V347" i="1" s="1"/>
  <c r="X347" i="1" s="1"/>
  <c r="AY345" i="1"/>
  <c r="BA345" i="1" s="1"/>
  <c r="AX345" i="1"/>
  <c r="AZ345" i="1" s="1"/>
  <c r="BB345" i="1" s="1"/>
  <c r="BM344" i="1"/>
  <c r="BO344" i="1" s="1"/>
  <c r="BQ344" i="1" s="1"/>
  <c r="BN344" i="1"/>
  <c r="BP344" i="1" s="1"/>
  <c r="BS344" i="1" l="1"/>
  <c r="BU344" i="1" s="1"/>
  <c r="BR344" i="1"/>
  <c r="BT344" i="1" s="1"/>
  <c r="BV344" i="1" s="1"/>
  <c r="AO346" i="1"/>
  <c r="AQ346" i="1" s="1"/>
  <c r="AN346" i="1"/>
  <c r="AP346" i="1" s="1"/>
  <c r="AR346" i="1" s="1"/>
  <c r="BC345" i="1"/>
  <c r="BE345" i="1" s="1"/>
  <c r="BG345" i="1" s="1"/>
  <c r="BD345" i="1"/>
  <c r="BF345" i="1" s="1"/>
  <c r="CW342" i="1"/>
  <c r="CY342" i="1" s="1"/>
  <c r="CV342" i="1"/>
  <c r="CX342" i="1" s="1"/>
  <c r="CZ342" i="1" s="1"/>
  <c r="CH343" i="1"/>
  <c r="CJ343" i="1" s="1"/>
  <c r="CG343" i="1"/>
  <c r="CI343" i="1" s="1"/>
  <c r="CK343" i="1" s="1"/>
  <c r="Z347" i="1"/>
  <c r="AB347" i="1" s="1"/>
  <c r="Y347" i="1"/>
  <c r="AA347" i="1" s="1"/>
  <c r="AC347" i="1" s="1"/>
  <c r="F348" i="1"/>
  <c r="H348" i="1" s="1"/>
  <c r="E348" i="1"/>
  <c r="P347" i="1"/>
  <c r="R347" i="1" s="1"/>
  <c r="O347" i="1"/>
  <c r="DB342" i="1" l="1"/>
  <c r="DD342" i="1" s="1"/>
  <c r="DA342" i="1"/>
  <c r="DC342" i="1" s="1"/>
  <c r="Q348" i="1"/>
  <c r="S348" i="1" s="1"/>
  <c r="G348" i="1"/>
  <c r="I348" i="1" s="1"/>
  <c r="AE347" i="1"/>
  <c r="AG347" i="1" s="1"/>
  <c r="AD347" i="1"/>
  <c r="AF347" i="1" s="1"/>
  <c r="AH347" i="1" s="1"/>
  <c r="BH345" i="1"/>
  <c r="BJ345" i="1" s="1"/>
  <c r="BL345" i="1" s="1"/>
  <c r="BI345" i="1"/>
  <c r="BK345" i="1" s="1"/>
  <c r="AS346" i="1"/>
  <c r="AU346" i="1" s="1"/>
  <c r="AW346" i="1" s="1"/>
  <c r="AT346" i="1"/>
  <c r="AV346" i="1" s="1"/>
  <c r="CL343" i="1"/>
  <c r="CN343" i="1" s="1"/>
  <c r="CP343" i="1" s="1"/>
  <c r="CM343" i="1"/>
  <c r="CO343" i="1" s="1"/>
  <c r="BX344" i="1"/>
  <c r="BZ344" i="1" s="1"/>
  <c r="BW344" i="1"/>
  <c r="BY344" i="1" s="1"/>
  <c r="CA344" i="1" s="1"/>
  <c r="CC344" i="1" l="1"/>
  <c r="CE344" i="1" s="1"/>
  <c r="CB344" i="1"/>
  <c r="CD344" i="1" s="1"/>
  <c r="CF344" i="1" s="1"/>
  <c r="BN345" i="1"/>
  <c r="BP345" i="1" s="1"/>
  <c r="BM345" i="1"/>
  <c r="BO345" i="1" s="1"/>
  <c r="BQ345" i="1" s="1"/>
  <c r="AX346" i="1"/>
  <c r="AZ346" i="1" s="1"/>
  <c r="BB346" i="1" s="1"/>
  <c r="AY346" i="1"/>
  <c r="BA346" i="1" s="1"/>
  <c r="AI347" i="1"/>
  <c r="AK347" i="1" s="1"/>
  <c r="AM347" i="1" s="1"/>
  <c r="AJ347" i="1"/>
  <c r="AL347" i="1" s="1"/>
  <c r="K348" i="1"/>
  <c r="M348" i="1" s="1"/>
  <c r="J348" i="1"/>
  <c r="L348" i="1" s="1"/>
  <c r="N348" i="1" s="1"/>
  <c r="D349" i="1"/>
  <c r="U348" i="1"/>
  <c r="W348" i="1" s="1"/>
  <c r="T348" i="1"/>
  <c r="V348" i="1" s="1"/>
  <c r="X348" i="1" s="1"/>
  <c r="CR343" i="1"/>
  <c r="CT343" i="1" s="1"/>
  <c r="CQ343" i="1"/>
  <c r="CS343" i="1" s="1"/>
  <c r="CU343" i="1" s="1"/>
  <c r="CV343" i="1" l="1"/>
  <c r="CX343" i="1" s="1"/>
  <c r="CW343" i="1"/>
  <c r="CY343" i="1" s="1"/>
  <c r="Y348" i="1"/>
  <c r="AA348" i="1" s="1"/>
  <c r="AC348" i="1" s="1"/>
  <c r="Z348" i="1"/>
  <c r="AB348" i="1" s="1"/>
  <c r="F349" i="1"/>
  <c r="H349" i="1" s="1"/>
  <c r="E349" i="1"/>
  <c r="BD346" i="1"/>
  <c r="BF346" i="1" s="1"/>
  <c r="BC346" i="1"/>
  <c r="BE346" i="1" s="1"/>
  <c r="BG346" i="1" s="1"/>
  <c r="O348" i="1"/>
  <c r="P348" i="1"/>
  <c r="R348" i="1" s="1"/>
  <c r="AO347" i="1"/>
  <c r="AQ347" i="1" s="1"/>
  <c r="AN347" i="1"/>
  <c r="AP347" i="1" s="1"/>
  <c r="AR347" i="1" s="1"/>
  <c r="BS345" i="1"/>
  <c r="BU345" i="1" s="1"/>
  <c r="BR345" i="1"/>
  <c r="BT345" i="1" s="1"/>
  <c r="BV345" i="1" s="1"/>
  <c r="CG344" i="1"/>
  <c r="CI344" i="1" s="1"/>
  <c r="CK344" i="1" s="1"/>
  <c r="CH344" i="1"/>
  <c r="CJ344" i="1" s="1"/>
  <c r="BI346" i="1" l="1"/>
  <c r="BK346" i="1" s="1"/>
  <c r="BH346" i="1"/>
  <c r="BJ346" i="1" s="1"/>
  <c r="BL346" i="1" s="1"/>
  <c r="AT347" i="1"/>
  <c r="AV347" i="1" s="1"/>
  <c r="AS347" i="1"/>
  <c r="AU347" i="1" s="1"/>
  <c r="AW347" i="1" s="1"/>
  <c r="BX345" i="1"/>
  <c r="BZ345" i="1" s="1"/>
  <c r="BW345" i="1"/>
  <c r="BY345" i="1" s="1"/>
  <c r="CA345" i="1" s="1"/>
  <c r="AD348" i="1"/>
  <c r="AF348" i="1" s="1"/>
  <c r="AH348" i="1" s="1"/>
  <c r="AE348" i="1"/>
  <c r="AG348" i="1" s="1"/>
  <c r="CM344" i="1"/>
  <c r="CO344" i="1" s="1"/>
  <c r="CL344" i="1"/>
  <c r="CN344" i="1" s="1"/>
  <c r="CP344" i="1" s="1"/>
  <c r="G349" i="1"/>
  <c r="I349" i="1" s="1"/>
  <c r="Q349" i="1"/>
  <c r="S349" i="1" s="1"/>
  <c r="CZ343" i="1"/>
  <c r="CC345" i="1" l="1"/>
  <c r="CE345" i="1" s="1"/>
  <c r="CB345" i="1"/>
  <c r="CD345" i="1" s="1"/>
  <c r="CF345" i="1" s="1"/>
  <c r="AJ348" i="1"/>
  <c r="AL348" i="1" s="1"/>
  <c r="AI348" i="1"/>
  <c r="AK348" i="1" s="1"/>
  <c r="AM348" i="1" s="1"/>
  <c r="AY347" i="1"/>
  <c r="BA347" i="1" s="1"/>
  <c r="AX347" i="1"/>
  <c r="AZ347" i="1" s="1"/>
  <c r="BB347" i="1" s="1"/>
  <c r="K349" i="1"/>
  <c r="M349" i="1" s="1"/>
  <c r="J349" i="1"/>
  <c r="L349" i="1" s="1"/>
  <c r="N349" i="1" s="1"/>
  <c r="D350" i="1"/>
  <c r="DB343" i="1"/>
  <c r="DD343" i="1" s="1"/>
  <c r="DA343" i="1"/>
  <c r="DC343" i="1" s="1"/>
  <c r="T349" i="1"/>
  <c r="V349" i="1" s="1"/>
  <c r="X349" i="1" s="1"/>
  <c r="U349" i="1"/>
  <c r="W349" i="1" s="1"/>
  <c r="CR344" i="1"/>
  <c r="CT344" i="1" s="1"/>
  <c r="CQ344" i="1"/>
  <c r="CS344" i="1" s="1"/>
  <c r="CU344" i="1" s="1"/>
  <c r="BN346" i="1"/>
  <c r="BP346" i="1" s="1"/>
  <c r="BM346" i="1"/>
  <c r="BO346" i="1" s="1"/>
  <c r="BQ346" i="1" s="1"/>
  <c r="O349" i="1" l="1"/>
  <c r="P349" i="1"/>
  <c r="R349" i="1" s="1"/>
  <c r="CW344" i="1"/>
  <c r="CY344" i="1" s="1"/>
  <c r="CV344" i="1"/>
  <c r="CX344" i="1" s="1"/>
  <c r="CZ344" i="1" s="1"/>
  <c r="AO348" i="1"/>
  <c r="AQ348" i="1" s="1"/>
  <c r="AN348" i="1"/>
  <c r="AP348" i="1" s="1"/>
  <c r="AR348" i="1" s="1"/>
  <c r="BC347" i="1"/>
  <c r="BE347" i="1" s="1"/>
  <c r="BG347" i="1" s="1"/>
  <c r="BD347" i="1"/>
  <c r="BF347" i="1" s="1"/>
  <c r="Z349" i="1"/>
  <c r="AB349" i="1" s="1"/>
  <c r="Y349" i="1"/>
  <c r="AA349" i="1" s="1"/>
  <c r="AC349" i="1" s="1"/>
  <c r="CH345" i="1"/>
  <c r="CJ345" i="1" s="1"/>
  <c r="CG345" i="1"/>
  <c r="CI345" i="1" s="1"/>
  <c r="CK345" i="1" s="1"/>
  <c r="BR346" i="1"/>
  <c r="BT346" i="1" s="1"/>
  <c r="BV346" i="1" s="1"/>
  <c r="BS346" i="1"/>
  <c r="BU346" i="1" s="1"/>
  <c r="E350" i="1"/>
  <c r="F350" i="1"/>
  <c r="H350" i="1" s="1"/>
  <c r="AT348" i="1" l="1"/>
  <c r="AV348" i="1" s="1"/>
  <c r="AS348" i="1"/>
  <c r="AU348" i="1" s="1"/>
  <c r="AW348" i="1" s="1"/>
  <c r="BI347" i="1"/>
  <c r="BK347" i="1" s="1"/>
  <c r="BH347" i="1"/>
  <c r="BJ347" i="1" s="1"/>
  <c r="BL347" i="1" s="1"/>
  <c r="Q350" i="1"/>
  <c r="S350" i="1" s="1"/>
  <c r="G350" i="1"/>
  <c r="I350" i="1" s="1"/>
  <c r="BX346" i="1"/>
  <c r="BZ346" i="1" s="1"/>
  <c r="BW346" i="1"/>
  <c r="BY346" i="1" s="1"/>
  <c r="CA346" i="1" s="1"/>
  <c r="CM345" i="1"/>
  <c r="CO345" i="1" s="1"/>
  <c r="CL345" i="1"/>
  <c r="CN345" i="1" s="1"/>
  <c r="CP345" i="1" s="1"/>
  <c r="DA344" i="1"/>
  <c r="DC344" i="1" s="1"/>
  <c r="DB344" i="1"/>
  <c r="DD344" i="1" s="1"/>
  <c r="AE349" i="1"/>
  <c r="AG349" i="1" s="1"/>
  <c r="AD349" i="1"/>
  <c r="AF349" i="1" s="1"/>
  <c r="AH349" i="1" s="1"/>
  <c r="K350" i="1" l="1"/>
  <c r="M350" i="1" s="1"/>
  <c r="J350" i="1"/>
  <c r="L350" i="1" s="1"/>
  <c r="N350" i="1" s="1"/>
  <c r="D351" i="1"/>
  <c r="CC346" i="1"/>
  <c r="CE346" i="1" s="1"/>
  <c r="CB346" i="1"/>
  <c r="CD346" i="1" s="1"/>
  <c r="CF346" i="1" s="1"/>
  <c r="U350" i="1"/>
  <c r="W350" i="1" s="1"/>
  <c r="T350" i="1"/>
  <c r="V350" i="1" s="1"/>
  <c r="X350" i="1" s="1"/>
  <c r="BN347" i="1"/>
  <c r="BP347" i="1" s="1"/>
  <c r="BM347" i="1"/>
  <c r="BO347" i="1" s="1"/>
  <c r="BQ347" i="1" s="1"/>
  <c r="AY348" i="1"/>
  <c r="BA348" i="1" s="1"/>
  <c r="AX348" i="1"/>
  <c r="AZ348" i="1" s="1"/>
  <c r="BB348" i="1" s="1"/>
  <c r="CR345" i="1"/>
  <c r="CT345" i="1" s="1"/>
  <c r="CQ345" i="1"/>
  <c r="CS345" i="1" s="1"/>
  <c r="CU345" i="1" s="1"/>
  <c r="AJ349" i="1"/>
  <c r="AL349" i="1" s="1"/>
  <c r="AI349" i="1"/>
  <c r="AK349" i="1" s="1"/>
  <c r="AM349" i="1" s="1"/>
  <c r="Z350" i="1" l="1"/>
  <c r="AB350" i="1" s="1"/>
  <c r="Y350" i="1"/>
  <c r="AA350" i="1" s="1"/>
  <c r="AC350" i="1" s="1"/>
  <c r="AN349" i="1"/>
  <c r="AP349" i="1" s="1"/>
  <c r="AR349" i="1" s="1"/>
  <c r="AO349" i="1"/>
  <c r="AQ349" i="1" s="1"/>
  <c r="CG346" i="1"/>
  <c r="CI346" i="1" s="1"/>
  <c r="CK346" i="1" s="1"/>
  <c r="CH346" i="1"/>
  <c r="CJ346" i="1" s="1"/>
  <c r="F351" i="1"/>
  <c r="H351" i="1" s="1"/>
  <c r="E351" i="1"/>
  <c r="CW345" i="1"/>
  <c r="CY345" i="1" s="1"/>
  <c r="CV345" i="1"/>
  <c r="CX345" i="1" s="1"/>
  <c r="CZ345" i="1" s="1"/>
  <c r="BD348" i="1"/>
  <c r="BF348" i="1" s="1"/>
  <c r="BC348" i="1"/>
  <c r="BE348" i="1" s="1"/>
  <c r="BG348" i="1" s="1"/>
  <c r="P350" i="1"/>
  <c r="R350" i="1" s="1"/>
  <c r="O350" i="1"/>
  <c r="BS347" i="1"/>
  <c r="BU347" i="1" s="1"/>
  <c r="BR347" i="1"/>
  <c r="BT347" i="1" s="1"/>
  <c r="BV347" i="1" s="1"/>
  <c r="BW347" i="1" l="1"/>
  <c r="BY347" i="1" s="1"/>
  <c r="CA347" i="1" s="1"/>
  <c r="BX347" i="1"/>
  <c r="BZ347" i="1" s="1"/>
  <c r="G351" i="1"/>
  <c r="I351" i="1" s="1"/>
  <c r="Q351" i="1"/>
  <c r="S351" i="1" s="1"/>
  <c r="CM346" i="1"/>
  <c r="CO346" i="1" s="1"/>
  <c r="CL346" i="1"/>
  <c r="CN346" i="1" s="1"/>
  <c r="CP346" i="1" s="1"/>
  <c r="DB345" i="1"/>
  <c r="DD345" i="1" s="1"/>
  <c r="DA345" i="1"/>
  <c r="DC345" i="1" s="1"/>
  <c r="BI348" i="1"/>
  <c r="BK348" i="1" s="1"/>
  <c r="BH348" i="1"/>
  <c r="BJ348" i="1" s="1"/>
  <c r="BL348" i="1" s="1"/>
  <c r="AT349" i="1"/>
  <c r="AV349" i="1" s="1"/>
  <c r="AS349" i="1"/>
  <c r="AU349" i="1" s="1"/>
  <c r="AW349" i="1" s="1"/>
  <c r="AE350" i="1"/>
  <c r="AG350" i="1" s="1"/>
  <c r="AD350" i="1"/>
  <c r="AF350" i="1" s="1"/>
  <c r="AH350" i="1" s="1"/>
  <c r="CR346" i="1" l="1"/>
  <c r="CT346" i="1" s="1"/>
  <c r="CQ346" i="1"/>
  <c r="CS346" i="1" s="1"/>
  <c r="CU346" i="1" s="1"/>
  <c r="AJ350" i="1"/>
  <c r="AL350" i="1" s="1"/>
  <c r="AI350" i="1"/>
  <c r="AK350" i="1" s="1"/>
  <c r="AM350" i="1" s="1"/>
  <c r="AY349" i="1"/>
  <c r="BA349" i="1" s="1"/>
  <c r="AX349" i="1"/>
  <c r="AZ349" i="1" s="1"/>
  <c r="BB349" i="1" s="1"/>
  <c r="BN348" i="1"/>
  <c r="BP348" i="1" s="1"/>
  <c r="BM348" i="1"/>
  <c r="BO348" i="1" s="1"/>
  <c r="BQ348" i="1" s="1"/>
  <c r="T351" i="1"/>
  <c r="V351" i="1" s="1"/>
  <c r="X351" i="1" s="1"/>
  <c r="U351" i="1"/>
  <c r="W351" i="1" s="1"/>
  <c r="K351" i="1"/>
  <c r="M351" i="1" s="1"/>
  <c r="J351" i="1"/>
  <c r="L351" i="1" s="1"/>
  <c r="N351" i="1" s="1"/>
  <c r="D352" i="1"/>
  <c r="CC347" i="1"/>
  <c r="CE347" i="1" s="1"/>
  <c r="CB347" i="1"/>
  <c r="CD347" i="1" s="1"/>
  <c r="CF347" i="1" s="1"/>
  <c r="BC349" i="1" l="1"/>
  <c r="BE349" i="1" s="1"/>
  <c r="BG349" i="1" s="1"/>
  <c r="BD349" i="1"/>
  <c r="BF349" i="1" s="1"/>
  <c r="BS348" i="1"/>
  <c r="BU348" i="1" s="1"/>
  <c r="BR348" i="1"/>
  <c r="BT348" i="1" s="1"/>
  <c r="BV348" i="1" s="1"/>
  <c r="CH347" i="1"/>
  <c r="CJ347" i="1" s="1"/>
  <c r="CG347" i="1"/>
  <c r="CI347" i="1" s="1"/>
  <c r="CK347" i="1" s="1"/>
  <c r="F352" i="1"/>
  <c r="H352" i="1" s="1"/>
  <c r="E352" i="1"/>
  <c r="AO350" i="1"/>
  <c r="AQ350" i="1" s="1"/>
  <c r="AN350" i="1"/>
  <c r="AP350" i="1" s="1"/>
  <c r="AR350" i="1" s="1"/>
  <c r="CW346" i="1"/>
  <c r="CY346" i="1" s="1"/>
  <c r="CV346" i="1"/>
  <c r="CX346" i="1" s="1"/>
  <c r="CZ346" i="1" s="1"/>
  <c r="P351" i="1"/>
  <c r="R351" i="1" s="1"/>
  <c r="O351" i="1"/>
  <c r="Y351" i="1"/>
  <c r="AA351" i="1" s="1"/>
  <c r="AC351" i="1" s="1"/>
  <c r="Z351" i="1"/>
  <c r="AB351" i="1" s="1"/>
  <c r="G352" i="1" l="1"/>
  <c r="I352" i="1" s="1"/>
  <c r="Q352" i="1"/>
  <c r="S352" i="1" s="1"/>
  <c r="CM347" i="1"/>
  <c r="CO347" i="1" s="1"/>
  <c r="CL347" i="1"/>
  <c r="CN347" i="1" s="1"/>
  <c r="CP347" i="1" s="1"/>
  <c r="DA346" i="1"/>
  <c r="DC346" i="1" s="1"/>
  <c r="DB346" i="1"/>
  <c r="DD346" i="1" s="1"/>
  <c r="BI349" i="1"/>
  <c r="BK349" i="1" s="1"/>
  <c r="BH349" i="1"/>
  <c r="BJ349" i="1" s="1"/>
  <c r="BL349" i="1" s="1"/>
  <c r="AE351" i="1"/>
  <c r="AG351" i="1" s="1"/>
  <c r="AD351" i="1"/>
  <c r="AF351" i="1" s="1"/>
  <c r="AH351" i="1" s="1"/>
  <c r="BX348" i="1"/>
  <c r="BZ348" i="1" s="1"/>
  <c r="BW348" i="1"/>
  <c r="BY348" i="1" s="1"/>
  <c r="CA348" i="1" s="1"/>
  <c r="AS350" i="1"/>
  <c r="AU350" i="1" s="1"/>
  <c r="AW350" i="1" s="1"/>
  <c r="AT350" i="1"/>
  <c r="AV350" i="1" s="1"/>
  <c r="BN349" i="1" l="1"/>
  <c r="BP349" i="1" s="1"/>
  <c r="BM349" i="1"/>
  <c r="BO349" i="1" s="1"/>
  <c r="BQ349" i="1" s="1"/>
  <c r="AY350" i="1"/>
  <c r="BA350" i="1" s="1"/>
  <c r="AX350" i="1"/>
  <c r="AZ350" i="1" s="1"/>
  <c r="BB350" i="1" s="1"/>
  <c r="CB348" i="1"/>
  <c r="CD348" i="1" s="1"/>
  <c r="CF348" i="1" s="1"/>
  <c r="CC348" i="1"/>
  <c r="CE348" i="1" s="1"/>
  <c r="U352" i="1"/>
  <c r="W352" i="1" s="1"/>
  <c r="T352" i="1"/>
  <c r="V352" i="1" s="1"/>
  <c r="X352" i="1" s="1"/>
  <c r="CQ347" i="1"/>
  <c r="CS347" i="1" s="1"/>
  <c r="CU347" i="1" s="1"/>
  <c r="CR347" i="1"/>
  <c r="CT347" i="1" s="1"/>
  <c r="AI351" i="1"/>
  <c r="AK351" i="1" s="1"/>
  <c r="AM351" i="1" s="1"/>
  <c r="AJ351" i="1"/>
  <c r="AL351" i="1" s="1"/>
  <c r="J352" i="1"/>
  <c r="L352" i="1" s="1"/>
  <c r="N352" i="1" s="1"/>
  <c r="K352" i="1"/>
  <c r="M352" i="1" s="1"/>
  <c r="D353" i="1"/>
  <c r="Y352" i="1" l="1"/>
  <c r="AA352" i="1" s="1"/>
  <c r="AC352" i="1" s="1"/>
  <c r="Z352" i="1"/>
  <c r="AB352" i="1" s="1"/>
  <c r="CG348" i="1"/>
  <c r="CI348" i="1" s="1"/>
  <c r="CK348" i="1" s="1"/>
  <c r="CH348" i="1"/>
  <c r="CJ348" i="1" s="1"/>
  <c r="F353" i="1"/>
  <c r="H353" i="1" s="1"/>
  <c r="E353" i="1"/>
  <c r="P352" i="1"/>
  <c r="R352" i="1" s="1"/>
  <c r="O352" i="1"/>
  <c r="BD350" i="1"/>
  <c r="BF350" i="1" s="1"/>
  <c r="BC350" i="1"/>
  <c r="BE350" i="1" s="1"/>
  <c r="BG350" i="1" s="1"/>
  <c r="AO351" i="1"/>
  <c r="AQ351" i="1" s="1"/>
  <c r="AN351" i="1"/>
  <c r="AP351" i="1" s="1"/>
  <c r="AR351" i="1" s="1"/>
  <c r="BS349" i="1"/>
  <c r="BU349" i="1" s="1"/>
  <c r="BR349" i="1"/>
  <c r="BT349" i="1" s="1"/>
  <c r="BV349" i="1" s="1"/>
  <c r="CW347" i="1"/>
  <c r="CY347" i="1" s="1"/>
  <c r="CV347" i="1"/>
  <c r="CX347" i="1" s="1"/>
  <c r="CZ347" i="1" s="1"/>
  <c r="BW349" i="1" l="1"/>
  <c r="BY349" i="1" s="1"/>
  <c r="CA349" i="1" s="1"/>
  <c r="BX349" i="1"/>
  <c r="BZ349" i="1" s="1"/>
  <c r="DB347" i="1"/>
  <c r="DD347" i="1" s="1"/>
  <c r="DA347" i="1"/>
  <c r="DC347" i="1" s="1"/>
  <c r="Q353" i="1"/>
  <c r="S353" i="1" s="1"/>
  <c r="G353" i="1"/>
  <c r="I353" i="1" s="1"/>
  <c r="BI350" i="1"/>
  <c r="BK350" i="1" s="1"/>
  <c r="BH350" i="1"/>
  <c r="BJ350" i="1" s="1"/>
  <c r="BL350" i="1" s="1"/>
  <c r="AT351" i="1"/>
  <c r="AV351" i="1" s="1"/>
  <c r="AS351" i="1"/>
  <c r="AU351" i="1" s="1"/>
  <c r="AW351" i="1" s="1"/>
  <c r="CM348" i="1"/>
  <c r="CO348" i="1" s="1"/>
  <c r="CL348" i="1"/>
  <c r="CN348" i="1" s="1"/>
  <c r="CP348" i="1" s="1"/>
  <c r="AE352" i="1"/>
  <c r="AG352" i="1" s="1"/>
  <c r="AD352" i="1"/>
  <c r="AF352" i="1" s="1"/>
  <c r="AH352" i="1" s="1"/>
  <c r="AJ352" i="1" l="1"/>
  <c r="AL352" i="1" s="1"/>
  <c r="AI352" i="1"/>
  <c r="AK352" i="1" s="1"/>
  <c r="AM352" i="1" s="1"/>
  <c r="CQ348" i="1"/>
  <c r="CS348" i="1" s="1"/>
  <c r="CU348" i="1" s="1"/>
  <c r="CR348" i="1"/>
  <c r="CT348" i="1" s="1"/>
  <c r="U353" i="1"/>
  <c r="W353" i="1" s="1"/>
  <c r="T353" i="1"/>
  <c r="V353" i="1" s="1"/>
  <c r="X353" i="1" s="1"/>
  <c r="BN350" i="1"/>
  <c r="BP350" i="1" s="1"/>
  <c r="BM350" i="1"/>
  <c r="BO350" i="1" s="1"/>
  <c r="BQ350" i="1" s="1"/>
  <c r="K353" i="1"/>
  <c r="M353" i="1" s="1"/>
  <c r="J353" i="1"/>
  <c r="L353" i="1" s="1"/>
  <c r="N353" i="1" s="1"/>
  <c r="D354" i="1"/>
  <c r="AY351" i="1"/>
  <c r="BA351" i="1" s="1"/>
  <c r="AX351" i="1"/>
  <c r="AZ351" i="1" s="1"/>
  <c r="BB351" i="1" s="1"/>
  <c r="CC349" i="1"/>
  <c r="CE349" i="1" s="1"/>
  <c r="CB349" i="1"/>
  <c r="CD349" i="1" s="1"/>
  <c r="CF349" i="1" s="1"/>
  <c r="Z353" i="1" l="1"/>
  <c r="AB353" i="1" s="1"/>
  <c r="Y353" i="1"/>
  <c r="AA353" i="1" s="1"/>
  <c r="AC353" i="1" s="1"/>
  <c r="CH349" i="1"/>
  <c r="CJ349" i="1" s="1"/>
  <c r="CG349" i="1"/>
  <c r="CI349" i="1" s="1"/>
  <c r="CK349" i="1" s="1"/>
  <c r="CV348" i="1"/>
  <c r="CX348" i="1" s="1"/>
  <c r="CW348" i="1"/>
  <c r="CY348" i="1" s="1"/>
  <c r="BS350" i="1"/>
  <c r="BU350" i="1" s="1"/>
  <c r="BR350" i="1"/>
  <c r="BT350" i="1" s="1"/>
  <c r="BV350" i="1" s="1"/>
  <c r="BD351" i="1"/>
  <c r="BF351" i="1" s="1"/>
  <c r="BC351" i="1"/>
  <c r="BE351" i="1" s="1"/>
  <c r="BG351" i="1" s="1"/>
  <c r="E354" i="1"/>
  <c r="F354" i="1"/>
  <c r="H354" i="1" s="1"/>
  <c r="AO352" i="1"/>
  <c r="AQ352" i="1" s="1"/>
  <c r="AN352" i="1"/>
  <c r="AP352" i="1" s="1"/>
  <c r="AR352" i="1" s="1"/>
  <c r="O353" i="1"/>
  <c r="P353" i="1"/>
  <c r="R353" i="1" s="1"/>
  <c r="AT352" i="1" l="1"/>
  <c r="AV352" i="1" s="1"/>
  <c r="AS352" i="1"/>
  <c r="AU352" i="1" s="1"/>
  <c r="AW352" i="1" s="1"/>
  <c r="BX350" i="1"/>
  <c r="BZ350" i="1" s="1"/>
  <c r="BW350" i="1"/>
  <c r="BY350" i="1" s="1"/>
  <c r="CA350" i="1" s="1"/>
  <c r="AE353" i="1"/>
  <c r="AG353" i="1" s="1"/>
  <c r="AD353" i="1"/>
  <c r="AF353" i="1" s="1"/>
  <c r="AH353" i="1" s="1"/>
  <c r="CM349" i="1"/>
  <c r="CO349" i="1" s="1"/>
  <c r="CL349" i="1"/>
  <c r="CN349" i="1" s="1"/>
  <c r="CP349" i="1" s="1"/>
  <c r="CZ348" i="1"/>
  <c r="Q354" i="1"/>
  <c r="S354" i="1" s="1"/>
  <c r="G354" i="1"/>
  <c r="I354" i="1" s="1"/>
  <c r="BI351" i="1"/>
  <c r="BK351" i="1" s="1"/>
  <c r="BH351" i="1"/>
  <c r="BJ351" i="1" s="1"/>
  <c r="BL351" i="1" s="1"/>
  <c r="CR349" i="1" l="1"/>
  <c r="CT349" i="1" s="1"/>
  <c r="CQ349" i="1"/>
  <c r="CS349" i="1" s="1"/>
  <c r="CU349" i="1" s="1"/>
  <c r="BN351" i="1"/>
  <c r="BP351" i="1" s="1"/>
  <c r="BM351" i="1"/>
  <c r="BO351" i="1" s="1"/>
  <c r="BQ351" i="1" s="1"/>
  <c r="K354" i="1"/>
  <c r="M354" i="1" s="1"/>
  <c r="J354" i="1"/>
  <c r="L354" i="1" s="1"/>
  <c r="N354" i="1" s="1"/>
  <c r="D355" i="1"/>
  <c r="AJ353" i="1"/>
  <c r="AL353" i="1" s="1"/>
  <c r="AI353" i="1"/>
  <c r="AK353" i="1" s="1"/>
  <c r="AM353" i="1" s="1"/>
  <c r="CC350" i="1"/>
  <c r="CE350" i="1" s="1"/>
  <c r="CB350" i="1"/>
  <c r="CD350" i="1" s="1"/>
  <c r="CF350" i="1" s="1"/>
  <c r="AY352" i="1"/>
  <c r="BA352" i="1" s="1"/>
  <c r="AX352" i="1"/>
  <c r="AZ352" i="1" s="1"/>
  <c r="BB352" i="1" s="1"/>
  <c r="T354" i="1"/>
  <c r="V354" i="1" s="1"/>
  <c r="X354" i="1" s="1"/>
  <c r="U354" i="1"/>
  <c r="W354" i="1" s="1"/>
  <c r="DB348" i="1"/>
  <c r="DD348" i="1" s="1"/>
  <c r="DA348" i="1"/>
  <c r="DC348" i="1" s="1"/>
  <c r="F355" i="1" l="1"/>
  <c r="H355" i="1" s="1"/>
  <c r="E355" i="1"/>
  <c r="BD352" i="1"/>
  <c r="BF352" i="1" s="1"/>
  <c r="BC352" i="1"/>
  <c r="BE352" i="1" s="1"/>
  <c r="BG352" i="1" s="1"/>
  <c r="AN353" i="1"/>
  <c r="AP353" i="1" s="1"/>
  <c r="AR353" i="1" s="1"/>
  <c r="AO353" i="1"/>
  <c r="AQ353" i="1" s="1"/>
  <c r="Z354" i="1"/>
  <c r="AB354" i="1" s="1"/>
  <c r="Y354" i="1"/>
  <c r="AA354" i="1" s="1"/>
  <c r="AC354" i="1" s="1"/>
  <c r="CH350" i="1"/>
  <c r="CJ350" i="1" s="1"/>
  <c r="CG350" i="1"/>
  <c r="CI350" i="1" s="1"/>
  <c r="CK350" i="1" s="1"/>
  <c r="P354" i="1"/>
  <c r="R354" i="1" s="1"/>
  <c r="O354" i="1"/>
  <c r="BS351" i="1"/>
  <c r="BU351" i="1" s="1"/>
  <c r="BR351" i="1"/>
  <c r="BT351" i="1" s="1"/>
  <c r="BV351" i="1" s="1"/>
  <c r="CW349" i="1"/>
  <c r="CY349" i="1" s="1"/>
  <c r="CV349" i="1"/>
  <c r="CX349" i="1" s="1"/>
  <c r="CZ349" i="1" s="1"/>
  <c r="DB349" i="1" l="1"/>
  <c r="DD349" i="1" s="1"/>
  <c r="DA349" i="1"/>
  <c r="DC349" i="1" s="1"/>
  <c r="BW351" i="1"/>
  <c r="BY351" i="1" s="1"/>
  <c r="CA351" i="1" s="1"/>
  <c r="BX351" i="1"/>
  <c r="BZ351" i="1" s="1"/>
  <c r="AE354" i="1"/>
  <c r="AG354" i="1" s="1"/>
  <c r="AD354" i="1"/>
  <c r="AF354" i="1" s="1"/>
  <c r="AH354" i="1" s="1"/>
  <c r="AT353" i="1"/>
  <c r="AV353" i="1" s="1"/>
  <c r="AS353" i="1"/>
  <c r="AU353" i="1" s="1"/>
  <c r="AW353" i="1" s="1"/>
  <c r="CL350" i="1"/>
  <c r="CN350" i="1" s="1"/>
  <c r="CP350" i="1" s="1"/>
  <c r="CM350" i="1"/>
  <c r="CO350" i="1" s="1"/>
  <c r="G355" i="1"/>
  <c r="I355" i="1" s="1"/>
  <c r="Q355" i="1"/>
  <c r="S355" i="1" s="1"/>
  <c r="BI352" i="1"/>
  <c r="BK352" i="1" s="1"/>
  <c r="BH352" i="1"/>
  <c r="BJ352" i="1" s="1"/>
  <c r="BL352" i="1" s="1"/>
  <c r="AJ354" i="1" l="1"/>
  <c r="AL354" i="1" s="1"/>
  <c r="AI354" i="1"/>
  <c r="AK354" i="1" s="1"/>
  <c r="AM354" i="1" s="1"/>
  <c r="BM352" i="1"/>
  <c r="BO352" i="1" s="1"/>
  <c r="BQ352" i="1" s="1"/>
  <c r="BN352" i="1"/>
  <c r="BP352" i="1" s="1"/>
  <c r="AY353" i="1"/>
  <c r="BA353" i="1" s="1"/>
  <c r="AX353" i="1"/>
  <c r="AZ353" i="1" s="1"/>
  <c r="BB353" i="1" s="1"/>
  <c r="CB351" i="1"/>
  <c r="CD351" i="1" s="1"/>
  <c r="CF351" i="1" s="1"/>
  <c r="CC351" i="1"/>
  <c r="CE351" i="1" s="1"/>
  <c r="T355" i="1"/>
  <c r="V355" i="1" s="1"/>
  <c r="X355" i="1" s="1"/>
  <c r="U355" i="1"/>
  <c r="W355" i="1" s="1"/>
  <c r="K355" i="1"/>
  <c r="M355" i="1" s="1"/>
  <c r="J355" i="1"/>
  <c r="L355" i="1" s="1"/>
  <c r="N355" i="1" s="1"/>
  <c r="D356" i="1"/>
  <c r="CR350" i="1"/>
  <c r="CT350" i="1" s="1"/>
  <c r="CQ350" i="1"/>
  <c r="CS350" i="1" s="1"/>
  <c r="CU350" i="1" s="1"/>
  <c r="BD353" i="1" l="1"/>
  <c r="BF353" i="1" s="1"/>
  <c r="BC353" i="1"/>
  <c r="BE353" i="1" s="1"/>
  <c r="BG353" i="1" s="1"/>
  <c r="CH351" i="1"/>
  <c r="CJ351" i="1" s="1"/>
  <c r="CG351" i="1"/>
  <c r="CI351" i="1" s="1"/>
  <c r="CK351" i="1" s="1"/>
  <c r="P355" i="1"/>
  <c r="R355" i="1" s="1"/>
  <c r="O355" i="1"/>
  <c r="CW350" i="1"/>
  <c r="CY350" i="1" s="1"/>
  <c r="CV350" i="1"/>
  <c r="CX350" i="1" s="1"/>
  <c r="CZ350" i="1" s="1"/>
  <c r="F356" i="1"/>
  <c r="H356" i="1" s="1"/>
  <c r="E356" i="1"/>
  <c r="BR352" i="1"/>
  <c r="BT352" i="1" s="1"/>
  <c r="BV352" i="1" s="1"/>
  <c r="BS352" i="1"/>
  <c r="BU352" i="1" s="1"/>
  <c r="Z355" i="1"/>
  <c r="AB355" i="1" s="1"/>
  <c r="Y355" i="1"/>
  <c r="AA355" i="1" s="1"/>
  <c r="AC355" i="1" s="1"/>
  <c r="AO354" i="1"/>
  <c r="AQ354" i="1" s="1"/>
  <c r="AN354" i="1"/>
  <c r="AP354" i="1" s="1"/>
  <c r="AR354" i="1" s="1"/>
  <c r="AS354" i="1" l="1"/>
  <c r="AU354" i="1" s="1"/>
  <c r="AW354" i="1" s="1"/>
  <c r="AT354" i="1"/>
  <c r="AV354" i="1" s="1"/>
  <c r="DA350" i="1"/>
  <c r="DC350" i="1" s="1"/>
  <c r="DB350" i="1"/>
  <c r="DD350" i="1" s="1"/>
  <c r="BX352" i="1"/>
  <c r="BZ352" i="1" s="1"/>
  <c r="BW352" i="1"/>
  <c r="BY352" i="1" s="1"/>
  <c r="CA352" i="1" s="1"/>
  <c r="BH353" i="1"/>
  <c r="BJ353" i="1" s="1"/>
  <c r="BL353" i="1" s="1"/>
  <c r="BI353" i="1"/>
  <c r="BK353" i="1" s="1"/>
  <c r="AE355" i="1"/>
  <c r="AG355" i="1" s="1"/>
  <c r="AD355" i="1"/>
  <c r="AF355" i="1" s="1"/>
  <c r="AH355" i="1" s="1"/>
  <c r="CM351" i="1"/>
  <c r="CO351" i="1" s="1"/>
  <c r="CL351" i="1"/>
  <c r="CN351" i="1" s="1"/>
  <c r="CP351" i="1" s="1"/>
  <c r="Q356" i="1"/>
  <c r="S356" i="1" s="1"/>
  <c r="G356" i="1"/>
  <c r="I356" i="1" s="1"/>
  <c r="BN353" i="1" l="1"/>
  <c r="BP353" i="1" s="1"/>
  <c r="BM353" i="1"/>
  <c r="BO353" i="1" s="1"/>
  <c r="BQ353" i="1" s="1"/>
  <c r="U356" i="1"/>
  <c r="W356" i="1" s="1"/>
  <c r="T356" i="1"/>
  <c r="V356" i="1" s="1"/>
  <c r="X356" i="1" s="1"/>
  <c r="J356" i="1"/>
  <c r="L356" i="1" s="1"/>
  <c r="N356" i="1" s="1"/>
  <c r="K356" i="1"/>
  <c r="M356" i="1" s="1"/>
  <c r="D357" i="1"/>
  <c r="AI355" i="1"/>
  <c r="AK355" i="1" s="1"/>
  <c r="AM355" i="1" s="1"/>
  <c r="AJ355" i="1"/>
  <c r="AL355" i="1" s="1"/>
  <c r="CC352" i="1"/>
  <c r="CE352" i="1" s="1"/>
  <c r="CB352" i="1"/>
  <c r="CD352" i="1" s="1"/>
  <c r="CF352" i="1" s="1"/>
  <c r="CQ351" i="1"/>
  <c r="CS351" i="1" s="1"/>
  <c r="CU351" i="1" s="1"/>
  <c r="CR351" i="1"/>
  <c r="CT351" i="1" s="1"/>
  <c r="AX354" i="1"/>
  <c r="AZ354" i="1" s="1"/>
  <c r="BB354" i="1" s="1"/>
  <c r="AY354" i="1"/>
  <c r="BA354" i="1" s="1"/>
  <c r="P356" i="1" l="1"/>
  <c r="R356" i="1" s="1"/>
  <c r="O356" i="1"/>
  <c r="F357" i="1"/>
  <c r="H357" i="1" s="1"/>
  <c r="E357" i="1"/>
  <c r="CW351" i="1"/>
  <c r="CY351" i="1" s="1"/>
  <c r="CV351" i="1"/>
  <c r="CX351" i="1" s="1"/>
  <c r="CZ351" i="1" s="1"/>
  <c r="AN355" i="1"/>
  <c r="AP355" i="1" s="1"/>
  <c r="AR355" i="1" s="1"/>
  <c r="AO355" i="1"/>
  <c r="AQ355" i="1" s="1"/>
  <c r="BD354" i="1"/>
  <c r="BF354" i="1" s="1"/>
  <c r="BC354" i="1"/>
  <c r="BE354" i="1" s="1"/>
  <c r="BG354" i="1" s="1"/>
  <c r="CG352" i="1"/>
  <c r="CI352" i="1" s="1"/>
  <c r="CK352" i="1" s="1"/>
  <c r="CH352" i="1"/>
  <c r="CJ352" i="1" s="1"/>
  <c r="Y356" i="1"/>
  <c r="AA356" i="1" s="1"/>
  <c r="AC356" i="1" s="1"/>
  <c r="Z356" i="1"/>
  <c r="AB356" i="1" s="1"/>
  <c r="BS353" i="1"/>
  <c r="BU353" i="1" s="1"/>
  <c r="BR353" i="1"/>
  <c r="BT353" i="1" s="1"/>
  <c r="BV353" i="1" s="1"/>
  <c r="BW353" i="1" l="1"/>
  <c r="BY353" i="1" s="1"/>
  <c r="CA353" i="1" s="1"/>
  <c r="BX353" i="1"/>
  <c r="BZ353" i="1" s="1"/>
  <c r="AE356" i="1"/>
  <c r="AG356" i="1" s="1"/>
  <c r="AD356" i="1"/>
  <c r="AF356" i="1" s="1"/>
  <c r="AH356" i="1" s="1"/>
  <c r="AT355" i="1"/>
  <c r="AV355" i="1" s="1"/>
  <c r="AS355" i="1"/>
  <c r="AU355" i="1" s="1"/>
  <c r="AW355" i="1" s="1"/>
  <c r="G357" i="1"/>
  <c r="I357" i="1" s="1"/>
  <c r="Q357" i="1"/>
  <c r="S357" i="1" s="1"/>
  <c r="BI354" i="1"/>
  <c r="BK354" i="1" s="1"/>
  <c r="BH354" i="1"/>
  <c r="BJ354" i="1" s="1"/>
  <c r="BL354" i="1" s="1"/>
  <c r="DB351" i="1"/>
  <c r="DD351" i="1" s="1"/>
  <c r="DA351" i="1"/>
  <c r="DC351" i="1" s="1"/>
  <c r="CM352" i="1"/>
  <c r="CO352" i="1" s="1"/>
  <c r="CL352" i="1"/>
  <c r="CN352" i="1" s="1"/>
  <c r="CP352" i="1" s="1"/>
  <c r="CQ352" i="1" l="1"/>
  <c r="CS352" i="1" s="1"/>
  <c r="CU352" i="1" s="1"/>
  <c r="CR352" i="1"/>
  <c r="CT352" i="1" s="1"/>
  <c r="AY355" i="1"/>
  <c r="BA355" i="1" s="1"/>
  <c r="AX355" i="1"/>
  <c r="AZ355" i="1" s="1"/>
  <c r="BB355" i="1" s="1"/>
  <c r="U357" i="1"/>
  <c r="W357" i="1" s="1"/>
  <c r="T357" i="1"/>
  <c r="V357" i="1" s="1"/>
  <c r="X357" i="1" s="1"/>
  <c r="AJ356" i="1"/>
  <c r="AL356" i="1" s="1"/>
  <c r="AI356" i="1"/>
  <c r="AK356" i="1" s="1"/>
  <c r="AM356" i="1" s="1"/>
  <c r="CC353" i="1"/>
  <c r="CE353" i="1" s="1"/>
  <c r="CB353" i="1"/>
  <c r="CD353" i="1" s="1"/>
  <c r="CF353" i="1" s="1"/>
  <c r="K357" i="1"/>
  <c r="M357" i="1" s="1"/>
  <c r="J357" i="1"/>
  <c r="L357" i="1" s="1"/>
  <c r="N357" i="1" s="1"/>
  <c r="D358" i="1"/>
  <c r="BM354" i="1"/>
  <c r="BO354" i="1" s="1"/>
  <c r="BQ354" i="1" s="1"/>
  <c r="BN354" i="1"/>
  <c r="BP354" i="1" s="1"/>
  <c r="AO356" i="1" l="1"/>
  <c r="AQ356" i="1" s="1"/>
  <c r="AN356" i="1"/>
  <c r="AP356" i="1" s="1"/>
  <c r="AR356" i="1" s="1"/>
  <c r="BS354" i="1"/>
  <c r="BU354" i="1" s="1"/>
  <c r="BR354" i="1"/>
  <c r="BT354" i="1" s="1"/>
  <c r="BV354" i="1" s="1"/>
  <c r="BC355" i="1"/>
  <c r="BE355" i="1" s="1"/>
  <c r="BG355" i="1" s="1"/>
  <c r="BD355" i="1"/>
  <c r="BF355" i="1" s="1"/>
  <c r="Z357" i="1"/>
  <c r="AB357" i="1" s="1"/>
  <c r="Y357" i="1"/>
  <c r="AA357" i="1" s="1"/>
  <c r="AC357" i="1" s="1"/>
  <c r="O357" i="1"/>
  <c r="P357" i="1"/>
  <c r="R357" i="1" s="1"/>
  <c r="CG353" i="1"/>
  <c r="CI353" i="1" s="1"/>
  <c r="CK353" i="1" s="1"/>
  <c r="CH353" i="1"/>
  <c r="CJ353" i="1" s="1"/>
  <c r="CW352" i="1"/>
  <c r="CY352" i="1" s="1"/>
  <c r="CV352" i="1"/>
  <c r="CX352" i="1" s="1"/>
  <c r="CZ352" i="1" s="1"/>
  <c r="E358" i="1"/>
  <c r="F358" i="1"/>
  <c r="H358" i="1" s="1"/>
  <c r="AE357" i="1" l="1"/>
  <c r="AG357" i="1" s="1"/>
  <c r="AD357" i="1"/>
  <c r="AF357" i="1" s="1"/>
  <c r="AH357" i="1" s="1"/>
  <c r="Q358" i="1"/>
  <c r="S358" i="1" s="1"/>
  <c r="G358" i="1"/>
  <c r="I358" i="1" s="1"/>
  <c r="DB352" i="1"/>
  <c r="DD352" i="1" s="1"/>
  <c r="DA352" i="1"/>
  <c r="DC352" i="1" s="1"/>
  <c r="BX354" i="1"/>
  <c r="BZ354" i="1" s="1"/>
  <c r="BW354" i="1"/>
  <c r="BY354" i="1" s="1"/>
  <c r="CA354" i="1" s="1"/>
  <c r="AS356" i="1"/>
  <c r="AU356" i="1" s="1"/>
  <c r="AW356" i="1" s="1"/>
  <c r="AT356" i="1"/>
  <c r="AV356" i="1" s="1"/>
  <c r="BI355" i="1"/>
  <c r="BK355" i="1" s="1"/>
  <c r="BH355" i="1"/>
  <c r="BJ355" i="1" s="1"/>
  <c r="BL355" i="1" s="1"/>
  <c r="CL353" i="1"/>
  <c r="CN353" i="1" s="1"/>
  <c r="CP353" i="1" s="1"/>
  <c r="CM353" i="1"/>
  <c r="CO353" i="1" s="1"/>
  <c r="U358" i="1" l="1"/>
  <c r="W358" i="1" s="1"/>
  <c r="T358" i="1"/>
  <c r="V358" i="1" s="1"/>
  <c r="X358" i="1" s="1"/>
  <c r="CC354" i="1"/>
  <c r="CE354" i="1" s="1"/>
  <c r="CB354" i="1"/>
  <c r="CD354" i="1" s="1"/>
  <c r="CF354" i="1" s="1"/>
  <c r="K358" i="1"/>
  <c r="M358" i="1" s="1"/>
  <c r="J358" i="1"/>
  <c r="L358" i="1" s="1"/>
  <c r="N358" i="1" s="1"/>
  <c r="D359" i="1"/>
  <c r="CR353" i="1"/>
  <c r="CT353" i="1" s="1"/>
  <c r="CQ353" i="1"/>
  <c r="CS353" i="1" s="1"/>
  <c r="CU353" i="1" s="1"/>
  <c r="BN355" i="1"/>
  <c r="BP355" i="1" s="1"/>
  <c r="BM355" i="1"/>
  <c r="BO355" i="1" s="1"/>
  <c r="BQ355" i="1" s="1"/>
  <c r="AI357" i="1"/>
  <c r="AK357" i="1" s="1"/>
  <c r="AM357" i="1" s="1"/>
  <c r="AJ357" i="1"/>
  <c r="AL357" i="1" s="1"/>
  <c r="AY356" i="1"/>
  <c r="BA356" i="1" s="1"/>
  <c r="AX356" i="1"/>
  <c r="AZ356" i="1" s="1"/>
  <c r="BB356" i="1" s="1"/>
  <c r="BC356" i="1" l="1"/>
  <c r="BE356" i="1" s="1"/>
  <c r="BG356" i="1" s="1"/>
  <c r="BD356" i="1"/>
  <c r="BF356" i="1" s="1"/>
  <c r="CW353" i="1"/>
  <c r="CY353" i="1" s="1"/>
  <c r="CV353" i="1"/>
  <c r="CX353" i="1" s="1"/>
  <c r="CZ353" i="1" s="1"/>
  <c r="F359" i="1"/>
  <c r="H359" i="1" s="1"/>
  <c r="E359" i="1"/>
  <c r="AO357" i="1"/>
  <c r="AQ357" i="1" s="1"/>
  <c r="AN357" i="1"/>
  <c r="AP357" i="1" s="1"/>
  <c r="AR357" i="1" s="1"/>
  <c r="BS355" i="1"/>
  <c r="BU355" i="1" s="1"/>
  <c r="BR355" i="1"/>
  <c r="BT355" i="1" s="1"/>
  <c r="BV355" i="1" s="1"/>
  <c r="P358" i="1"/>
  <c r="R358" i="1" s="1"/>
  <c r="O358" i="1"/>
  <c r="CH354" i="1"/>
  <c r="CJ354" i="1" s="1"/>
  <c r="CG354" i="1"/>
  <c r="CI354" i="1" s="1"/>
  <c r="CK354" i="1" s="1"/>
  <c r="Y358" i="1"/>
  <c r="AA358" i="1" s="1"/>
  <c r="AC358" i="1" s="1"/>
  <c r="Z358" i="1"/>
  <c r="AB358" i="1" s="1"/>
  <c r="AS357" i="1" l="1"/>
  <c r="AU357" i="1" s="1"/>
  <c r="AW357" i="1" s="1"/>
  <c r="AT357" i="1"/>
  <c r="AV357" i="1" s="1"/>
  <c r="CM354" i="1"/>
  <c r="CO354" i="1" s="1"/>
  <c r="CL354" i="1"/>
  <c r="CN354" i="1" s="1"/>
  <c r="CP354" i="1" s="1"/>
  <c r="AE358" i="1"/>
  <c r="AG358" i="1" s="1"/>
  <c r="AD358" i="1"/>
  <c r="AF358" i="1" s="1"/>
  <c r="AH358" i="1" s="1"/>
  <c r="G359" i="1"/>
  <c r="I359" i="1" s="1"/>
  <c r="Q359" i="1"/>
  <c r="S359" i="1" s="1"/>
  <c r="DB353" i="1"/>
  <c r="DD353" i="1" s="1"/>
  <c r="DA353" i="1"/>
  <c r="DC353" i="1" s="1"/>
  <c r="BX355" i="1"/>
  <c r="BZ355" i="1" s="1"/>
  <c r="BW355" i="1"/>
  <c r="BY355" i="1" s="1"/>
  <c r="CA355" i="1" s="1"/>
  <c r="BI356" i="1"/>
  <c r="BK356" i="1" s="1"/>
  <c r="BH356" i="1"/>
  <c r="BJ356" i="1" s="1"/>
  <c r="BL356" i="1" s="1"/>
  <c r="AI358" i="1" l="1"/>
  <c r="AK358" i="1" s="1"/>
  <c r="AM358" i="1" s="1"/>
  <c r="AJ358" i="1"/>
  <c r="AL358" i="1" s="1"/>
  <c r="CC355" i="1"/>
  <c r="CE355" i="1" s="1"/>
  <c r="CB355" i="1"/>
  <c r="CD355" i="1" s="1"/>
  <c r="CF355" i="1" s="1"/>
  <c r="U359" i="1"/>
  <c r="W359" i="1" s="1"/>
  <c r="T359" i="1"/>
  <c r="V359" i="1" s="1"/>
  <c r="X359" i="1" s="1"/>
  <c r="BN356" i="1"/>
  <c r="BP356" i="1" s="1"/>
  <c r="BM356" i="1"/>
  <c r="BO356" i="1" s="1"/>
  <c r="BQ356" i="1" s="1"/>
  <c r="K359" i="1"/>
  <c r="M359" i="1" s="1"/>
  <c r="J359" i="1"/>
  <c r="L359" i="1" s="1"/>
  <c r="N359" i="1" s="1"/>
  <c r="D360" i="1"/>
  <c r="CR354" i="1"/>
  <c r="CT354" i="1" s="1"/>
  <c r="CQ354" i="1"/>
  <c r="CS354" i="1" s="1"/>
  <c r="CU354" i="1" s="1"/>
  <c r="AY357" i="1"/>
  <c r="BA357" i="1" s="1"/>
  <c r="AX357" i="1"/>
  <c r="AZ357" i="1" s="1"/>
  <c r="BB357" i="1" s="1"/>
  <c r="BD357" i="1" l="1"/>
  <c r="BF357" i="1" s="1"/>
  <c r="BC357" i="1"/>
  <c r="BE357" i="1" s="1"/>
  <c r="BG357" i="1" s="1"/>
  <c r="BR356" i="1"/>
  <c r="BT356" i="1" s="1"/>
  <c r="BV356" i="1" s="1"/>
  <c r="BS356" i="1"/>
  <c r="BU356" i="1" s="1"/>
  <c r="Y359" i="1"/>
  <c r="AA359" i="1" s="1"/>
  <c r="AC359" i="1" s="1"/>
  <c r="Z359" i="1"/>
  <c r="AB359" i="1" s="1"/>
  <c r="O359" i="1"/>
  <c r="P359" i="1"/>
  <c r="R359" i="1" s="1"/>
  <c r="CW354" i="1"/>
  <c r="CY354" i="1" s="1"/>
  <c r="CV354" i="1"/>
  <c r="CX354" i="1" s="1"/>
  <c r="CZ354" i="1" s="1"/>
  <c r="E360" i="1"/>
  <c r="F360" i="1"/>
  <c r="H360" i="1" s="1"/>
  <c r="AO358" i="1"/>
  <c r="AQ358" i="1" s="1"/>
  <c r="AN358" i="1"/>
  <c r="AP358" i="1" s="1"/>
  <c r="AR358" i="1" s="1"/>
  <c r="CH355" i="1"/>
  <c r="CJ355" i="1" s="1"/>
  <c r="CG355" i="1"/>
  <c r="CI355" i="1" s="1"/>
  <c r="CK355" i="1" s="1"/>
  <c r="AS358" i="1" l="1"/>
  <c r="AU358" i="1" s="1"/>
  <c r="AW358" i="1" s="1"/>
  <c r="AT358" i="1"/>
  <c r="AV358" i="1" s="1"/>
  <c r="CM355" i="1"/>
  <c r="CO355" i="1" s="1"/>
  <c r="CL355" i="1"/>
  <c r="CN355" i="1" s="1"/>
  <c r="CP355" i="1" s="1"/>
  <c r="AD359" i="1"/>
  <c r="AF359" i="1" s="1"/>
  <c r="AH359" i="1" s="1"/>
  <c r="AE359" i="1"/>
  <c r="AG359" i="1" s="1"/>
  <c r="BX356" i="1"/>
  <c r="BZ356" i="1" s="1"/>
  <c r="BW356" i="1"/>
  <c r="BY356" i="1" s="1"/>
  <c r="CA356" i="1" s="1"/>
  <c r="Q360" i="1"/>
  <c r="S360" i="1" s="1"/>
  <c r="G360" i="1"/>
  <c r="I360" i="1" s="1"/>
  <c r="DA354" i="1"/>
  <c r="DC354" i="1" s="1"/>
  <c r="DB354" i="1"/>
  <c r="DD354" i="1" s="1"/>
  <c r="BI357" i="1"/>
  <c r="BK357" i="1" s="1"/>
  <c r="BH357" i="1"/>
  <c r="BJ357" i="1" s="1"/>
  <c r="BL357" i="1" s="1"/>
  <c r="BN357" i="1" l="1"/>
  <c r="BP357" i="1" s="1"/>
  <c r="BM357" i="1"/>
  <c r="BO357" i="1" s="1"/>
  <c r="BQ357" i="1" s="1"/>
  <c r="CC356" i="1"/>
  <c r="CE356" i="1" s="1"/>
  <c r="CB356" i="1"/>
  <c r="CD356" i="1" s="1"/>
  <c r="CF356" i="1" s="1"/>
  <c r="CQ355" i="1"/>
  <c r="CS355" i="1" s="1"/>
  <c r="CU355" i="1" s="1"/>
  <c r="CR355" i="1"/>
  <c r="CT355" i="1" s="1"/>
  <c r="J360" i="1"/>
  <c r="L360" i="1" s="1"/>
  <c r="N360" i="1" s="1"/>
  <c r="K360" i="1"/>
  <c r="M360" i="1" s="1"/>
  <c r="D361" i="1"/>
  <c r="AI359" i="1"/>
  <c r="AK359" i="1" s="1"/>
  <c r="AM359" i="1" s="1"/>
  <c r="AJ359" i="1"/>
  <c r="AL359" i="1" s="1"/>
  <c r="T360" i="1"/>
  <c r="V360" i="1" s="1"/>
  <c r="X360" i="1" s="1"/>
  <c r="U360" i="1"/>
  <c r="W360" i="1" s="1"/>
  <c r="AX358" i="1"/>
  <c r="AZ358" i="1" s="1"/>
  <c r="BB358" i="1" s="1"/>
  <c r="AY358" i="1"/>
  <c r="BA358" i="1" s="1"/>
  <c r="CV355" i="1" l="1"/>
  <c r="CX355" i="1" s="1"/>
  <c r="CW355" i="1"/>
  <c r="CY355" i="1" s="1"/>
  <c r="BD358" i="1"/>
  <c r="BF358" i="1" s="1"/>
  <c r="BC358" i="1"/>
  <c r="BE358" i="1" s="1"/>
  <c r="BG358" i="1" s="1"/>
  <c r="CG356" i="1"/>
  <c r="CI356" i="1" s="1"/>
  <c r="CK356" i="1" s="1"/>
  <c r="CH356" i="1"/>
  <c r="CJ356" i="1" s="1"/>
  <c r="BS357" i="1"/>
  <c r="BU357" i="1" s="1"/>
  <c r="BR357" i="1"/>
  <c r="BT357" i="1" s="1"/>
  <c r="BV357" i="1" s="1"/>
  <c r="P360" i="1"/>
  <c r="R360" i="1" s="1"/>
  <c r="O360" i="1"/>
  <c r="Y360" i="1"/>
  <c r="AA360" i="1" s="1"/>
  <c r="AC360" i="1" s="1"/>
  <c r="Z360" i="1"/>
  <c r="AB360" i="1" s="1"/>
  <c r="AN359" i="1"/>
  <c r="AP359" i="1" s="1"/>
  <c r="AR359" i="1" s="1"/>
  <c r="AO359" i="1"/>
  <c r="AQ359" i="1" s="1"/>
  <c r="E361" i="1"/>
  <c r="F361" i="1"/>
  <c r="H361" i="1" s="1"/>
  <c r="BX357" i="1" l="1"/>
  <c r="BZ357" i="1" s="1"/>
  <c r="BW357" i="1"/>
  <c r="BY357" i="1" s="1"/>
  <c r="CA357" i="1" s="1"/>
  <c r="CM356" i="1"/>
  <c r="CO356" i="1" s="1"/>
  <c r="CL356" i="1"/>
  <c r="CN356" i="1" s="1"/>
  <c r="CP356" i="1" s="1"/>
  <c r="G361" i="1"/>
  <c r="I361" i="1" s="1"/>
  <c r="Q361" i="1"/>
  <c r="S361" i="1" s="1"/>
  <c r="AT359" i="1"/>
  <c r="AV359" i="1" s="1"/>
  <c r="AS359" i="1"/>
  <c r="AU359" i="1" s="1"/>
  <c r="AW359" i="1" s="1"/>
  <c r="BI358" i="1"/>
  <c r="BK358" i="1" s="1"/>
  <c r="BH358" i="1"/>
  <c r="BJ358" i="1" s="1"/>
  <c r="BL358" i="1" s="1"/>
  <c r="AE360" i="1"/>
  <c r="AG360" i="1" s="1"/>
  <c r="AD360" i="1"/>
  <c r="AF360" i="1" s="1"/>
  <c r="AH360" i="1" s="1"/>
  <c r="CZ355" i="1"/>
  <c r="AY359" i="1" l="1"/>
  <c r="BA359" i="1" s="1"/>
  <c r="AX359" i="1"/>
  <c r="AZ359" i="1" s="1"/>
  <c r="BB359" i="1" s="1"/>
  <c r="K361" i="1"/>
  <c r="M361" i="1" s="1"/>
  <c r="J361" i="1"/>
  <c r="L361" i="1" s="1"/>
  <c r="N361" i="1" s="1"/>
  <c r="D362" i="1"/>
  <c r="T361" i="1"/>
  <c r="V361" i="1" s="1"/>
  <c r="X361" i="1" s="1"/>
  <c r="U361" i="1"/>
  <c r="W361" i="1" s="1"/>
  <c r="CR356" i="1"/>
  <c r="CT356" i="1" s="1"/>
  <c r="CQ356" i="1"/>
  <c r="CS356" i="1" s="1"/>
  <c r="CU356" i="1" s="1"/>
  <c r="DB355" i="1"/>
  <c r="DD355" i="1" s="1"/>
  <c r="DA355" i="1"/>
  <c r="DC355" i="1" s="1"/>
  <c r="AJ360" i="1"/>
  <c r="AL360" i="1" s="1"/>
  <c r="AI360" i="1"/>
  <c r="AK360" i="1" s="1"/>
  <c r="AM360" i="1" s="1"/>
  <c r="BN358" i="1"/>
  <c r="BP358" i="1" s="1"/>
  <c r="BM358" i="1"/>
  <c r="BO358" i="1" s="1"/>
  <c r="BQ358" i="1" s="1"/>
  <c r="CC357" i="1"/>
  <c r="CE357" i="1" s="1"/>
  <c r="CB357" i="1"/>
  <c r="CD357" i="1" s="1"/>
  <c r="CF357" i="1" s="1"/>
  <c r="Z361" i="1" l="1"/>
  <c r="AB361" i="1" s="1"/>
  <c r="Y361" i="1"/>
  <c r="AA361" i="1" s="1"/>
  <c r="AC361" i="1" s="1"/>
  <c r="E362" i="1"/>
  <c r="F362" i="1"/>
  <c r="H362" i="1" s="1"/>
  <c r="BS358" i="1"/>
  <c r="BU358" i="1" s="1"/>
  <c r="BR358" i="1"/>
  <c r="BT358" i="1" s="1"/>
  <c r="BV358" i="1" s="1"/>
  <c r="O361" i="1"/>
  <c r="P361" i="1"/>
  <c r="R361" i="1" s="1"/>
  <c r="CG357" i="1"/>
  <c r="CI357" i="1" s="1"/>
  <c r="CK357" i="1" s="1"/>
  <c r="CH357" i="1"/>
  <c r="CJ357" i="1" s="1"/>
  <c r="AO360" i="1"/>
  <c r="AQ360" i="1" s="1"/>
  <c r="AN360" i="1"/>
  <c r="AP360" i="1" s="1"/>
  <c r="AR360" i="1" s="1"/>
  <c r="BD359" i="1"/>
  <c r="BF359" i="1" s="1"/>
  <c r="BC359" i="1"/>
  <c r="BE359" i="1" s="1"/>
  <c r="BG359" i="1" s="1"/>
  <c r="CW356" i="1"/>
  <c r="CY356" i="1" s="1"/>
  <c r="CV356" i="1"/>
  <c r="CX356" i="1" s="1"/>
  <c r="CZ356" i="1" s="1"/>
  <c r="BI359" i="1" l="1"/>
  <c r="BK359" i="1" s="1"/>
  <c r="BH359" i="1"/>
  <c r="BJ359" i="1" s="1"/>
  <c r="BL359" i="1" s="1"/>
  <c r="DA356" i="1"/>
  <c r="DC356" i="1" s="1"/>
  <c r="DB356" i="1"/>
  <c r="DD356" i="1" s="1"/>
  <c r="BX358" i="1"/>
  <c r="BZ358" i="1" s="1"/>
  <c r="BW358" i="1"/>
  <c r="BY358" i="1" s="1"/>
  <c r="CA358" i="1" s="1"/>
  <c r="Q362" i="1"/>
  <c r="S362" i="1" s="1"/>
  <c r="G362" i="1"/>
  <c r="I362" i="1" s="1"/>
  <c r="AE361" i="1"/>
  <c r="AG361" i="1" s="1"/>
  <c r="AD361" i="1"/>
  <c r="AF361" i="1" s="1"/>
  <c r="AH361" i="1" s="1"/>
  <c r="AT360" i="1"/>
  <c r="AV360" i="1" s="1"/>
  <c r="AS360" i="1"/>
  <c r="AU360" i="1" s="1"/>
  <c r="AW360" i="1" s="1"/>
  <c r="CM357" i="1"/>
  <c r="CO357" i="1" s="1"/>
  <c r="CL357" i="1"/>
  <c r="CN357" i="1" s="1"/>
  <c r="CP357" i="1" s="1"/>
  <c r="CC358" i="1" l="1"/>
  <c r="CE358" i="1" s="1"/>
  <c r="CB358" i="1"/>
  <c r="CD358" i="1" s="1"/>
  <c r="CF358" i="1" s="1"/>
  <c r="J362" i="1"/>
  <c r="L362" i="1" s="1"/>
  <c r="N362" i="1" s="1"/>
  <c r="K362" i="1"/>
  <c r="M362" i="1" s="1"/>
  <c r="D363" i="1"/>
  <c r="U362" i="1"/>
  <c r="W362" i="1" s="1"/>
  <c r="T362" i="1"/>
  <c r="V362" i="1" s="1"/>
  <c r="X362" i="1" s="1"/>
  <c r="CQ357" i="1"/>
  <c r="CS357" i="1" s="1"/>
  <c r="CU357" i="1" s="1"/>
  <c r="CR357" i="1"/>
  <c r="CT357" i="1" s="1"/>
  <c r="AX360" i="1"/>
  <c r="AZ360" i="1" s="1"/>
  <c r="BB360" i="1" s="1"/>
  <c r="AY360" i="1"/>
  <c r="BA360" i="1" s="1"/>
  <c r="AJ361" i="1"/>
  <c r="AL361" i="1" s="1"/>
  <c r="AI361" i="1"/>
  <c r="AK361" i="1" s="1"/>
  <c r="AM361" i="1" s="1"/>
  <c r="BN359" i="1"/>
  <c r="BP359" i="1" s="1"/>
  <c r="BM359" i="1"/>
  <c r="BO359" i="1" s="1"/>
  <c r="BQ359" i="1" s="1"/>
  <c r="CW357" i="1" l="1"/>
  <c r="CY357" i="1" s="1"/>
  <c r="CV357" i="1"/>
  <c r="CX357" i="1" s="1"/>
  <c r="CZ357" i="1" s="1"/>
  <c r="AO361" i="1"/>
  <c r="AQ361" i="1" s="1"/>
  <c r="AN361" i="1"/>
  <c r="AP361" i="1" s="1"/>
  <c r="AR361" i="1" s="1"/>
  <c r="BS359" i="1"/>
  <c r="BU359" i="1" s="1"/>
  <c r="BR359" i="1"/>
  <c r="BT359" i="1" s="1"/>
  <c r="BV359" i="1" s="1"/>
  <c r="E363" i="1"/>
  <c r="F363" i="1"/>
  <c r="H363" i="1" s="1"/>
  <c r="P362" i="1"/>
  <c r="R362" i="1" s="1"/>
  <c r="O362" i="1"/>
  <c r="BD360" i="1"/>
  <c r="BF360" i="1" s="1"/>
  <c r="BC360" i="1"/>
  <c r="BE360" i="1" s="1"/>
  <c r="BG360" i="1" s="1"/>
  <c r="Y362" i="1"/>
  <c r="AA362" i="1" s="1"/>
  <c r="AC362" i="1" s="1"/>
  <c r="Z362" i="1"/>
  <c r="AB362" i="1" s="1"/>
  <c r="CG358" i="1"/>
  <c r="CI358" i="1" s="1"/>
  <c r="CK358" i="1" s="1"/>
  <c r="CH358" i="1"/>
  <c r="CJ358" i="1" s="1"/>
  <c r="G363" i="1" l="1"/>
  <c r="I363" i="1" s="1"/>
  <c r="Q363" i="1"/>
  <c r="S363" i="1" s="1"/>
  <c r="BW359" i="1"/>
  <c r="BY359" i="1" s="1"/>
  <c r="CA359" i="1" s="1"/>
  <c r="BX359" i="1"/>
  <c r="BZ359" i="1" s="1"/>
  <c r="AE362" i="1"/>
  <c r="AG362" i="1" s="1"/>
  <c r="AD362" i="1"/>
  <c r="AF362" i="1" s="1"/>
  <c r="AH362" i="1" s="1"/>
  <c r="DB357" i="1"/>
  <c r="DD357" i="1" s="1"/>
  <c r="DA357" i="1"/>
  <c r="DC357" i="1" s="1"/>
  <c r="AS361" i="1"/>
  <c r="AU361" i="1" s="1"/>
  <c r="AW361" i="1" s="1"/>
  <c r="AT361" i="1"/>
  <c r="AV361" i="1" s="1"/>
  <c r="CM358" i="1"/>
  <c r="CO358" i="1" s="1"/>
  <c r="CL358" i="1"/>
  <c r="CN358" i="1" s="1"/>
  <c r="CP358" i="1" s="1"/>
  <c r="BI360" i="1"/>
  <c r="BK360" i="1" s="1"/>
  <c r="BH360" i="1"/>
  <c r="BJ360" i="1" s="1"/>
  <c r="BL360" i="1" s="1"/>
  <c r="BM360" i="1" l="1"/>
  <c r="BO360" i="1" s="1"/>
  <c r="BQ360" i="1" s="1"/>
  <c r="BN360" i="1"/>
  <c r="BP360" i="1" s="1"/>
  <c r="CB359" i="1"/>
  <c r="CD359" i="1" s="1"/>
  <c r="CF359" i="1" s="1"/>
  <c r="CC359" i="1"/>
  <c r="CE359" i="1" s="1"/>
  <c r="AJ362" i="1"/>
  <c r="AL362" i="1" s="1"/>
  <c r="AI362" i="1"/>
  <c r="AK362" i="1" s="1"/>
  <c r="AM362" i="1" s="1"/>
  <c r="CR358" i="1"/>
  <c r="CT358" i="1" s="1"/>
  <c r="CQ358" i="1"/>
  <c r="CS358" i="1" s="1"/>
  <c r="CU358" i="1" s="1"/>
  <c r="U363" i="1"/>
  <c r="W363" i="1" s="1"/>
  <c r="T363" i="1"/>
  <c r="V363" i="1" s="1"/>
  <c r="X363" i="1" s="1"/>
  <c r="AY361" i="1"/>
  <c r="BA361" i="1" s="1"/>
  <c r="AX361" i="1"/>
  <c r="AZ361" i="1" s="1"/>
  <c r="BB361" i="1" s="1"/>
  <c r="K363" i="1"/>
  <c r="M363" i="1" s="1"/>
  <c r="J363" i="1"/>
  <c r="L363" i="1" s="1"/>
  <c r="N363" i="1" s="1"/>
  <c r="D364" i="1"/>
  <c r="CV358" i="1" l="1"/>
  <c r="CX358" i="1" s="1"/>
  <c r="CW358" i="1"/>
  <c r="CY358" i="1" s="1"/>
  <c r="P363" i="1"/>
  <c r="R363" i="1" s="1"/>
  <c r="O363" i="1"/>
  <c r="F364" i="1"/>
  <c r="H364" i="1" s="1"/>
  <c r="E364" i="1"/>
  <c r="BC361" i="1"/>
  <c r="BE361" i="1" s="1"/>
  <c r="BG361" i="1" s="1"/>
  <c r="BD361" i="1"/>
  <c r="BF361" i="1" s="1"/>
  <c r="CH359" i="1"/>
  <c r="CJ359" i="1" s="1"/>
  <c r="CG359" i="1"/>
  <c r="CI359" i="1" s="1"/>
  <c r="CK359" i="1" s="1"/>
  <c r="Z363" i="1"/>
  <c r="AB363" i="1" s="1"/>
  <c r="Y363" i="1"/>
  <c r="AA363" i="1" s="1"/>
  <c r="AC363" i="1" s="1"/>
  <c r="AO362" i="1"/>
  <c r="AQ362" i="1" s="1"/>
  <c r="AN362" i="1"/>
  <c r="AP362" i="1" s="1"/>
  <c r="AR362" i="1" s="1"/>
  <c r="BS360" i="1"/>
  <c r="BU360" i="1" s="1"/>
  <c r="BR360" i="1"/>
  <c r="BT360" i="1" s="1"/>
  <c r="BV360" i="1" s="1"/>
  <c r="BW360" i="1" l="1"/>
  <c r="BY360" i="1" s="1"/>
  <c r="CA360" i="1" s="1"/>
  <c r="BX360" i="1"/>
  <c r="BZ360" i="1" s="1"/>
  <c r="BI361" i="1"/>
  <c r="BK361" i="1" s="1"/>
  <c r="BH361" i="1"/>
  <c r="BJ361" i="1" s="1"/>
  <c r="BL361" i="1" s="1"/>
  <c r="G364" i="1"/>
  <c r="I364" i="1" s="1"/>
  <c r="Q364" i="1"/>
  <c r="S364" i="1" s="1"/>
  <c r="AE363" i="1"/>
  <c r="AG363" i="1" s="1"/>
  <c r="AD363" i="1"/>
  <c r="AF363" i="1" s="1"/>
  <c r="AH363" i="1" s="1"/>
  <c r="AS362" i="1"/>
  <c r="AU362" i="1" s="1"/>
  <c r="AW362" i="1" s="1"/>
  <c r="AT362" i="1"/>
  <c r="AV362" i="1" s="1"/>
  <c r="CM359" i="1"/>
  <c r="CO359" i="1" s="1"/>
  <c r="CL359" i="1"/>
  <c r="CN359" i="1" s="1"/>
  <c r="CP359" i="1" s="1"/>
  <c r="CZ358" i="1"/>
  <c r="AX362" i="1" l="1"/>
  <c r="AZ362" i="1" s="1"/>
  <c r="BB362" i="1" s="1"/>
  <c r="AY362" i="1"/>
  <c r="BA362" i="1" s="1"/>
  <c r="AI363" i="1"/>
  <c r="AK363" i="1" s="1"/>
  <c r="AM363" i="1" s="1"/>
  <c r="AJ363" i="1"/>
  <c r="AL363" i="1" s="1"/>
  <c r="K364" i="1"/>
  <c r="M364" i="1" s="1"/>
  <c r="J364" i="1"/>
  <c r="L364" i="1" s="1"/>
  <c r="N364" i="1" s="1"/>
  <c r="D365" i="1"/>
  <c r="DA358" i="1"/>
  <c r="DC358" i="1" s="1"/>
  <c r="DB358" i="1"/>
  <c r="DD358" i="1" s="1"/>
  <c r="BN361" i="1"/>
  <c r="BP361" i="1" s="1"/>
  <c r="BM361" i="1"/>
  <c r="BO361" i="1" s="1"/>
  <c r="BQ361" i="1" s="1"/>
  <c r="U364" i="1"/>
  <c r="W364" i="1" s="1"/>
  <c r="T364" i="1"/>
  <c r="V364" i="1" s="1"/>
  <c r="X364" i="1" s="1"/>
  <c r="CQ359" i="1"/>
  <c r="CS359" i="1" s="1"/>
  <c r="CU359" i="1" s="1"/>
  <c r="CR359" i="1"/>
  <c r="CT359" i="1" s="1"/>
  <c r="CC360" i="1"/>
  <c r="CE360" i="1" s="1"/>
  <c r="CB360" i="1"/>
  <c r="CD360" i="1" s="1"/>
  <c r="CF360" i="1" s="1"/>
  <c r="CW359" i="1" l="1"/>
  <c r="CY359" i="1" s="1"/>
  <c r="CV359" i="1"/>
  <c r="CX359" i="1" s="1"/>
  <c r="CZ359" i="1" s="1"/>
  <c r="O364" i="1"/>
  <c r="P364" i="1"/>
  <c r="R364" i="1" s="1"/>
  <c r="F365" i="1"/>
  <c r="H365" i="1" s="1"/>
  <c r="E365" i="1"/>
  <c r="Y364" i="1"/>
  <c r="AA364" i="1" s="1"/>
  <c r="AC364" i="1" s="1"/>
  <c r="Z364" i="1"/>
  <c r="AB364" i="1" s="1"/>
  <c r="BR361" i="1"/>
  <c r="BT361" i="1" s="1"/>
  <c r="BV361" i="1" s="1"/>
  <c r="BS361" i="1"/>
  <c r="BU361" i="1" s="1"/>
  <c r="AO363" i="1"/>
  <c r="AQ363" i="1" s="1"/>
  <c r="AN363" i="1"/>
  <c r="AP363" i="1" s="1"/>
  <c r="AR363" i="1" s="1"/>
  <c r="CG360" i="1"/>
  <c r="CI360" i="1" s="1"/>
  <c r="CK360" i="1" s="1"/>
  <c r="CH360" i="1"/>
  <c r="CJ360" i="1" s="1"/>
  <c r="BD362" i="1"/>
  <c r="BF362" i="1" s="1"/>
  <c r="BC362" i="1"/>
  <c r="BE362" i="1" s="1"/>
  <c r="BG362" i="1" s="1"/>
  <c r="BI362" i="1" l="1"/>
  <c r="BK362" i="1" s="1"/>
  <c r="BH362" i="1"/>
  <c r="BJ362" i="1" s="1"/>
  <c r="BL362" i="1" s="1"/>
  <c r="CL360" i="1"/>
  <c r="CN360" i="1" s="1"/>
  <c r="CP360" i="1" s="1"/>
  <c r="CM360" i="1"/>
  <c r="CO360" i="1" s="1"/>
  <c r="AS363" i="1"/>
  <c r="AU363" i="1" s="1"/>
  <c r="AW363" i="1" s="1"/>
  <c r="AT363" i="1"/>
  <c r="AV363" i="1" s="1"/>
  <c r="AE364" i="1"/>
  <c r="AG364" i="1" s="1"/>
  <c r="AD364" i="1"/>
  <c r="AF364" i="1" s="1"/>
  <c r="AH364" i="1" s="1"/>
  <c r="Q365" i="1"/>
  <c r="S365" i="1" s="1"/>
  <c r="G365" i="1"/>
  <c r="I365" i="1" s="1"/>
  <c r="DB359" i="1"/>
  <c r="DD359" i="1" s="1"/>
  <c r="DA359" i="1"/>
  <c r="DC359" i="1" s="1"/>
  <c r="BW361" i="1"/>
  <c r="BY361" i="1" s="1"/>
  <c r="CA361" i="1" s="1"/>
  <c r="BX361" i="1"/>
  <c r="BZ361" i="1" s="1"/>
  <c r="AJ364" i="1" l="1"/>
  <c r="AL364" i="1" s="1"/>
  <c r="AI364" i="1"/>
  <c r="AK364" i="1" s="1"/>
  <c r="AM364" i="1" s="1"/>
  <c r="CC361" i="1"/>
  <c r="CE361" i="1" s="1"/>
  <c r="CB361" i="1"/>
  <c r="CD361" i="1" s="1"/>
  <c r="CF361" i="1" s="1"/>
  <c r="AY363" i="1"/>
  <c r="BA363" i="1" s="1"/>
  <c r="AX363" i="1"/>
  <c r="AZ363" i="1" s="1"/>
  <c r="BB363" i="1" s="1"/>
  <c r="CR360" i="1"/>
  <c r="CT360" i="1" s="1"/>
  <c r="CQ360" i="1"/>
  <c r="CS360" i="1" s="1"/>
  <c r="CU360" i="1" s="1"/>
  <c r="K365" i="1"/>
  <c r="M365" i="1" s="1"/>
  <c r="J365" i="1"/>
  <c r="L365" i="1" s="1"/>
  <c r="N365" i="1" s="1"/>
  <c r="D366" i="1"/>
  <c r="BM362" i="1"/>
  <c r="BO362" i="1" s="1"/>
  <c r="BQ362" i="1" s="1"/>
  <c r="BN362" i="1"/>
  <c r="BP362" i="1" s="1"/>
  <c r="T365" i="1"/>
  <c r="V365" i="1" s="1"/>
  <c r="X365" i="1" s="1"/>
  <c r="U365" i="1"/>
  <c r="W365" i="1" s="1"/>
  <c r="CW360" i="1" l="1"/>
  <c r="CY360" i="1" s="1"/>
  <c r="CV360" i="1"/>
  <c r="CX360" i="1" s="1"/>
  <c r="CZ360" i="1" s="1"/>
  <c r="Z365" i="1"/>
  <c r="AB365" i="1" s="1"/>
  <c r="Y365" i="1"/>
  <c r="AA365" i="1" s="1"/>
  <c r="AC365" i="1" s="1"/>
  <c r="BS362" i="1"/>
  <c r="BU362" i="1" s="1"/>
  <c r="BR362" i="1"/>
  <c r="BT362" i="1" s="1"/>
  <c r="BV362" i="1" s="1"/>
  <c r="BC363" i="1"/>
  <c r="BE363" i="1" s="1"/>
  <c r="BG363" i="1" s="1"/>
  <c r="BD363" i="1"/>
  <c r="BF363" i="1" s="1"/>
  <c r="O365" i="1"/>
  <c r="P365" i="1"/>
  <c r="R365" i="1" s="1"/>
  <c r="CH361" i="1"/>
  <c r="CJ361" i="1" s="1"/>
  <c r="CG361" i="1"/>
  <c r="CI361" i="1" s="1"/>
  <c r="CK361" i="1" s="1"/>
  <c r="E366" i="1"/>
  <c r="F366" i="1"/>
  <c r="H366" i="1" s="1"/>
  <c r="AN364" i="1"/>
  <c r="AP364" i="1" s="1"/>
  <c r="AR364" i="1" s="1"/>
  <c r="AO364" i="1"/>
  <c r="AQ364" i="1" s="1"/>
  <c r="AS364" i="1" l="1"/>
  <c r="AU364" i="1" s="1"/>
  <c r="AW364" i="1" s="1"/>
  <c r="AT364" i="1"/>
  <c r="AV364" i="1" s="1"/>
  <c r="BH363" i="1"/>
  <c r="BJ363" i="1" s="1"/>
  <c r="BL363" i="1" s="1"/>
  <c r="BI363" i="1"/>
  <c r="BK363" i="1" s="1"/>
  <c r="Q366" i="1"/>
  <c r="S366" i="1" s="1"/>
  <c r="G366" i="1"/>
  <c r="I366" i="1" s="1"/>
  <c r="BX362" i="1"/>
  <c r="BZ362" i="1" s="1"/>
  <c r="BW362" i="1"/>
  <c r="BY362" i="1" s="1"/>
  <c r="CA362" i="1" s="1"/>
  <c r="AE365" i="1"/>
  <c r="AG365" i="1" s="1"/>
  <c r="AD365" i="1"/>
  <c r="AF365" i="1" s="1"/>
  <c r="AH365" i="1" s="1"/>
  <c r="CM361" i="1"/>
  <c r="CO361" i="1" s="1"/>
  <c r="CL361" i="1"/>
  <c r="CN361" i="1" s="1"/>
  <c r="CP361" i="1" s="1"/>
  <c r="DB360" i="1"/>
  <c r="DD360" i="1" s="1"/>
  <c r="DA360" i="1"/>
  <c r="DC360" i="1" s="1"/>
  <c r="CC362" i="1" l="1"/>
  <c r="CE362" i="1" s="1"/>
  <c r="CB362" i="1"/>
  <c r="CD362" i="1" s="1"/>
  <c r="CF362" i="1" s="1"/>
  <c r="U366" i="1"/>
  <c r="W366" i="1" s="1"/>
  <c r="T366" i="1"/>
  <c r="V366" i="1" s="1"/>
  <c r="X366" i="1" s="1"/>
  <c r="K366" i="1"/>
  <c r="M366" i="1" s="1"/>
  <c r="J366" i="1"/>
  <c r="L366" i="1" s="1"/>
  <c r="N366" i="1" s="1"/>
  <c r="D367" i="1"/>
  <c r="CR361" i="1"/>
  <c r="CT361" i="1" s="1"/>
  <c r="CQ361" i="1"/>
  <c r="CS361" i="1" s="1"/>
  <c r="CU361" i="1" s="1"/>
  <c r="AI365" i="1"/>
  <c r="AK365" i="1" s="1"/>
  <c r="AM365" i="1" s="1"/>
  <c r="AJ365" i="1"/>
  <c r="AL365" i="1" s="1"/>
  <c r="BN363" i="1"/>
  <c r="BP363" i="1" s="1"/>
  <c r="BM363" i="1"/>
  <c r="BO363" i="1" s="1"/>
  <c r="BQ363" i="1" s="1"/>
  <c r="AY364" i="1"/>
  <c r="BA364" i="1" s="1"/>
  <c r="AX364" i="1"/>
  <c r="AZ364" i="1" s="1"/>
  <c r="BB364" i="1" s="1"/>
  <c r="BD364" i="1" l="1"/>
  <c r="BF364" i="1" s="1"/>
  <c r="BC364" i="1"/>
  <c r="BE364" i="1" s="1"/>
  <c r="BG364" i="1" s="1"/>
  <c r="BS363" i="1"/>
  <c r="BU363" i="1" s="1"/>
  <c r="BR363" i="1"/>
  <c r="BT363" i="1" s="1"/>
  <c r="BV363" i="1" s="1"/>
  <c r="O366" i="1"/>
  <c r="P366" i="1"/>
  <c r="R366" i="1" s="1"/>
  <c r="Y366" i="1"/>
  <c r="AA366" i="1" s="1"/>
  <c r="AC366" i="1" s="1"/>
  <c r="Z366" i="1"/>
  <c r="AB366" i="1" s="1"/>
  <c r="CH362" i="1"/>
  <c r="CJ362" i="1" s="1"/>
  <c r="CG362" i="1"/>
  <c r="CI362" i="1" s="1"/>
  <c r="CK362" i="1" s="1"/>
  <c r="E367" i="1"/>
  <c r="F367" i="1"/>
  <c r="H367" i="1" s="1"/>
  <c r="AO365" i="1"/>
  <c r="AQ365" i="1" s="1"/>
  <c r="AN365" i="1"/>
  <c r="AP365" i="1" s="1"/>
  <c r="AR365" i="1" s="1"/>
  <c r="CW361" i="1"/>
  <c r="CY361" i="1" s="1"/>
  <c r="CV361" i="1"/>
  <c r="CX361" i="1" s="1"/>
  <c r="CZ361" i="1" s="1"/>
  <c r="AT365" i="1" l="1"/>
  <c r="AV365" i="1" s="1"/>
  <c r="AS365" i="1"/>
  <c r="AU365" i="1" s="1"/>
  <c r="AW365" i="1" s="1"/>
  <c r="AD366" i="1"/>
  <c r="AF366" i="1" s="1"/>
  <c r="AH366" i="1" s="1"/>
  <c r="AE366" i="1"/>
  <c r="AG366" i="1" s="1"/>
  <c r="CM362" i="1"/>
  <c r="CO362" i="1" s="1"/>
  <c r="CL362" i="1"/>
  <c r="CN362" i="1" s="1"/>
  <c r="CP362" i="1" s="1"/>
  <c r="BX363" i="1"/>
  <c r="BZ363" i="1" s="1"/>
  <c r="BW363" i="1"/>
  <c r="BY363" i="1" s="1"/>
  <c r="CA363" i="1" s="1"/>
  <c r="BI364" i="1"/>
  <c r="BK364" i="1" s="1"/>
  <c r="BH364" i="1"/>
  <c r="BJ364" i="1" s="1"/>
  <c r="BL364" i="1" s="1"/>
  <c r="DB361" i="1"/>
  <c r="DD361" i="1" s="1"/>
  <c r="DA361" i="1"/>
  <c r="DC361" i="1" s="1"/>
  <c r="G367" i="1"/>
  <c r="I367" i="1" s="1"/>
  <c r="Q367" i="1"/>
  <c r="S367" i="1" s="1"/>
  <c r="T367" i="1" l="1"/>
  <c r="V367" i="1" s="1"/>
  <c r="X367" i="1" s="1"/>
  <c r="U367" i="1"/>
  <c r="W367" i="1" s="1"/>
  <c r="BN364" i="1"/>
  <c r="BP364" i="1" s="1"/>
  <c r="BM364" i="1"/>
  <c r="BO364" i="1" s="1"/>
  <c r="BQ364" i="1" s="1"/>
  <c r="CR362" i="1"/>
  <c r="CT362" i="1" s="1"/>
  <c r="CQ362" i="1"/>
  <c r="CS362" i="1" s="1"/>
  <c r="CU362" i="1" s="1"/>
  <c r="AJ366" i="1"/>
  <c r="AL366" i="1" s="1"/>
  <c r="AI366" i="1"/>
  <c r="AK366" i="1" s="1"/>
  <c r="AM366" i="1" s="1"/>
  <c r="CC363" i="1"/>
  <c r="CE363" i="1" s="1"/>
  <c r="CB363" i="1"/>
  <c r="CD363" i="1" s="1"/>
  <c r="CF363" i="1" s="1"/>
  <c r="K367" i="1"/>
  <c r="M367" i="1" s="1"/>
  <c r="J367" i="1"/>
  <c r="L367" i="1" s="1"/>
  <c r="N367" i="1" s="1"/>
  <c r="D368" i="1"/>
  <c r="AY365" i="1"/>
  <c r="BA365" i="1" s="1"/>
  <c r="AX365" i="1"/>
  <c r="AZ365" i="1" s="1"/>
  <c r="BB365" i="1" s="1"/>
  <c r="BD365" i="1" l="1"/>
  <c r="BF365" i="1" s="1"/>
  <c r="BC365" i="1"/>
  <c r="BE365" i="1" s="1"/>
  <c r="BG365" i="1" s="1"/>
  <c r="E368" i="1"/>
  <c r="F368" i="1"/>
  <c r="H368" i="1" s="1"/>
  <c r="CW362" i="1"/>
  <c r="CY362" i="1" s="1"/>
  <c r="CV362" i="1"/>
  <c r="CX362" i="1" s="1"/>
  <c r="CZ362" i="1" s="1"/>
  <c r="BS364" i="1"/>
  <c r="BU364" i="1" s="1"/>
  <c r="BR364" i="1"/>
  <c r="BT364" i="1" s="1"/>
  <c r="BV364" i="1" s="1"/>
  <c r="AO366" i="1"/>
  <c r="AQ366" i="1" s="1"/>
  <c r="AN366" i="1"/>
  <c r="AP366" i="1" s="1"/>
  <c r="AR366" i="1" s="1"/>
  <c r="O367" i="1"/>
  <c r="P367" i="1"/>
  <c r="R367" i="1" s="1"/>
  <c r="CH363" i="1"/>
  <c r="CJ363" i="1" s="1"/>
  <c r="CG363" i="1"/>
  <c r="CI363" i="1" s="1"/>
  <c r="CK363" i="1" s="1"/>
  <c r="Z367" i="1"/>
  <c r="AB367" i="1" s="1"/>
  <c r="Y367" i="1"/>
  <c r="AA367" i="1" s="1"/>
  <c r="AC367" i="1" s="1"/>
  <c r="BX364" i="1" l="1"/>
  <c r="BZ364" i="1" s="1"/>
  <c r="BW364" i="1"/>
  <c r="BY364" i="1" s="1"/>
  <c r="CA364" i="1" s="1"/>
  <c r="CM363" i="1"/>
  <c r="CO363" i="1" s="1"/>
  <c r="CL363" i="1"/>
  <c r="CN363" i="1" s="1"/>
  <c r="CP363" i="1" s="1"/>
  <c r="Q368" i="1"/>
  <c r="S368" i="1" s="1"/>
  <c r="G368" i="1"/>
  <c r="I368" i="1" s="1"/>
  <c r="AE367" i="1"/>
  <c r="AG367" i="1" s="1"/>
  <c r="AD367" i="1"/>
  <c r="AF367" i="1" s="1"/>
  <c r="AH367" i="1" s="1"/>
  <c r="DA362" i="1"/>
  <c r="DC362" i="1" s="1"/>
  <c r="DB362" i="1"/>
  <c r="DD362" i="1" s="1"/>
  <c r="AT366" i="1"/>
  <c r="AV366" i="1" s="1"/>
  <c r="AS366" i="1"/>
  <c r="AU366" i="1" s="1"/>
  <c r="AW366" i="1" s="1"/>
  <c r="BI365" i="1"/>
  <c r="BK365" i="1" s="1"/>
  <c r="BH365" i="1"/>
  <c r="BJ365" i="1" s="1"/>
  <c r="BL365" i="1" s="1"/>
  <c r="AJ367" i="1" l="1"/>
  <c r="AL367" i="1" s="1"/>
  <c r="AI367" i="1"/>
  <c r="AK367" i="1" s="1"/>
  <c r="AM367" i="1" s="1"/>
  <c r="BN365" i="1"/>
  <c r="BP365" i="1" s="1"/>
  <c r="BM365" i="1"/>
  <c r="BO365" i="1" s="1"/>
  <c r="BQ365" i="1" s="1"/>
  <c r="U368" i="1"/>
  <c r="W368" i="1" s="1"/>
  <c r="T368" i="1"/>
  <c r="V368" i="1" s="1"/>
  <c r="X368" i="1" s="1"/>
  <c r="K368" i="1"/>
  <c r="M368" i="1" s="1"/>
  <c r="J368" i="1"/>
  <c r="L368" i="1" s="1"/>
  <c r="N368" i="1" s="1"/>
  <c r="D369" i="1"/>
  <c r="CQ363" i="1"/>
  <c r="CS363" i="1" s="1"/>
  <c r="CU363" i="1" s="1"/>
  <c r="CR363" i="1"/>
  <c r="CT363" i="1" s="1"/>
  <c r="AY366" i="1"/>
  <c r="BA366" i="1" s="1"/>
  <c r="AX366" i="1"/>
  <c r="AZ366" i="1" s="1"/>
  <c r="BB366" i="1" s="1"/>
  <c r="CC364" i="1"/>
  <c r="CE364" i="1" s="1"/>
  <c r="CB364" i="1"/>
  <c r="CD364" i="1" s="1"/>
  <c r="CF364" i="1" s="1"/>
  <c r="O368" i="1" l="1"/>
  <c r="P368" i="1"/>
  <c r="R368" i="1" s="1"/>
  <c r="CG364" i="1"/>
  <c r="CI364" i="1" s="1"/>
  <c r="CK364" i="1" s="1"/>
  <c r="CH364" i="1"/>
  <c r="CJ364" i="1" s="1"/>
  <c r="AO367" i="1"/>
  <c r="AQ367" i="1" s="1"/>
  <c r="AN367" i="1"/>
  <c r="AP367" i="1" s="1"/>
  <c r="AR367" i="1" s="1"/>
  <c r="BD366" i="1"/>
  <c r="BF366" i="1" s="1"/>
  <c r="BC366" i="1"/>
  <c r="BE366" i="1" s="1"/>
  <c r="BG366" i="1" s="1"/>
  <c r="CW363" i="1"/>
  <c r="CY363" i="1" s="1"/>
  <c r="CV363" i="1"/>
  <c r="CX363" i="1" s="1"/>
  <c r="CZ363" i="1" s="1"/>
  <c r="Z368" i="1"/>
  <c r="AB368" i="1" s="1"/>
  <c r="Y368" i="1"/>
  <c r="AA368" i="1" s="1"/>
  <c r="AC368" i="1" s="1"/>
  <c r="BS365" i="1"/>
  <c r="BU365" i="1" s="1"/>
  <c r="BR365" i="1"/>
  <c r="BT365" i="1" s="1"/>
  <c r="BV365" i="1" s="1"/>
  <c r="E369" i="1"/>
  <c r="F369" i="1"/>
  <c r="H369" i="1" s="1"/>
  <c r="BI366" i="1" l="1"/>
  <c r="BK366" i="1" s="1"/>
  <c r="BH366" i="1"/>
  <c r="BJ366" i="1" s="1"/>
  <c r="BL366" i="1" s="1"/>
  <c r="G369" i="1"/>
  <c r="I369" i="1" s="1"/>
  <c r="Q369" i="1"/>
  <c r="S369" i="1" s="1"/>
  <c r="AD368" i="1"/>
  <c r="AF368" i="1" s="1"/>
  <c r="AH368" i="1" s="1"/>
  <c r="AE368" i="1"/>
  <c r="AG368" i="1" s="1"/>
  <c r="AS367" i="1"/>
  <c r="AU367" i="1" s="1"/>
  <c r="AW367" i="1" s="1"/>
  <c r="AT367" i="1"/>
  <c r="AV367" i="1" s="1"/>
  <c r="DA363" i="1"/>
  <c r="DC363" i="1" s="1"/>
  <c r="DB363" i="1"/>
  <c r="DD363" i="1" s="1"/>
  <c r="BW365" i="1"/>
  <c r="BY365" i="1" s="1"/>
  <c r="CA365" i="1" s="1"/>
  <c r="BX365" i="1"/>
  <c r="BZ365" i="1" s="1"/>
  <c r="CL364" i="1"/>
  <c r="CN364" i="1" s="1"/>
  <c r="CP364" i="1" s="1"/>
  <c r="CM364" i="1"/>
  <c r="CO364" i="1" s="1"/>
  <c r="AY367" i="1" l="1"/>
  <c r="BA367" i="1" s="1"/>
  <c r="AX367" i="1"/>
  <c r="AZ367" i="1" s="1"/>
  <c r="BB367" i="1" s="1"/>
  <c r="CR364" i="1"/>
  <c r="CT364" i="1" s="1"/>
  <c r="CQ364" i="1"/>
  <c r="CS364" i="1" s="1"/>
  <c r="CU364" i="1" s="1"/>
  <c r="BN366" i="1"/>
  <c r="BP366" i="1" s="1"/>
  <c r="BM366" i="1"/>
  <c r="BO366" i="1" s="1"/>
  <c r="BQ366" i="1" s="1"/>
  <c r="K369" i="1"/>
  <c r="M369" i="1" s="1"/>
  <c r="J369" i="1"/>
  <c r="L369" i="1" s="1"/>
  <c r="N369" i="1" s="1"/>
  <c r="D370" i="1"/>
  <c r="AJ368" i="1"/>
  <c r="AL368" i="1" s="1"/>
  <c r="AI368" i="1"/>
  <c r="AK368" i="1" s="1"/>
  <c r="AM368" i="1" s="1"/>
  <c r="U369" i="1"/>
  <c r="W369" i="1" s="1"/>
  <c r="T369" i="1"/>
  <c r="V369" i="1" s="1"/>
  <c r="X369" i="1" s="1"/>
  <c r="CB365" i="1"/>
  <c r="CD365" i="1" s="1"/>
  <c r="CF365" i="1" s="1"/>
  <c r="CC365" i="1"/>
  <c r="CE365" i="1" s="1"/>
  <c r="CG365" i="1" l="1"/>
  <c r="CI365" i="1" s="1"/>
  <c r="CK365" i="1" s="1"/>
  <c r="CH365" i="1"/>
  <c r="CJ365" i="1" s="1"/>
  <c r="BS366" i="1"/>
  <c r="BU366" i="1" s="1"/>
  <c r="BR366" i="1"/>
  <c r="BT366" i="1" s="1"/>
  <c r="BV366" i="1" s="1"/>
  <c r="P369" i="1"/>
  <c r="R369" i="1" s="1"/>
  <c r="O369" i="1"/>
  <c r="Z369" i="1"/>
  <c r="AB369" i="1" s="1"/>
  <c r="Y369" i="1"/>
  <c r="AA369" i="1" s="1"/>
  <c r="AC369" i="1" s="1"/>
  <c r="CV364" i="1"/>
  <c r="CX364" i="1" s="1"/>
  <c r="CW364" i="1"/>
  <c r="CY364" i="1" s="1"/>
  <c r="AO368" i="1"/>
  <c r="AQ368" i="1" s="1"/>
  <c r="AN368" i="1"/>
  <c r="AP368" i="1" s="1"/>
  <c r="AR368" i="1" s="1"/>
  <c r="BD367" i="1"/>
  <c r="BF367" i="1" s="1"/>
  <c r="BC367" i="1"/>
  <c r="BE367" i="1" s="1"/>
  <c r="BG367" i="1" s="1"/>
  <c r="F370" i="1"/>
  <c r="H370" i="1" s="1"/>
  <c r="E370" i="1"/>
  <c r="AE369" i="1" l="1"/>
  <c r="AG369" i="1" s="1"/>
  <c r="AD369" i="1"/>
  <c r="AF369" i="1" s="1"/>
  <c r="AH369" i="1" s="1"/>
  <c r="BH367" i="1"/>
  <c r="BJ367" i="1" s="1"/>
  <c r="BL367" i="1" s="1"/>
  <c r="BI367" i="1"/>
  <c r="BK367" i="1" s="1"/>
  <c r="AT368" i="1"/>
  <c r="AV368" i="1" s="1"/>
  <c r="AS368" i="1"/>
  <c r="AU368" i="1" s="1"/>
  <c r="AW368" i="1" s="1"/>
  <c r="G370" i="1"/>
  <c r="I370" i="1" s="1"/>
  <c r="Q370" i="1"/>
  <c r="S370" i="1" s="1"/>
  <c r="BW366" i="1"/>
  <c r="BY366" i="1" s="1"/>
  <c r="CA366" i="1" s="1"/>
  <c r="BX366" i="1"/>
  <c r="BZ366" i="1" s="1"/>
  <c r="CZ364" i="1"/>
  <c r="CM365" i="1"/>
  <c r="CO365" i="1" s="1"/>
  <c r="CL365" i="1"/>
  <c r="CN365" i="1" s="1"/>
  <c r="CP365" i="1" s="1"/>
  <c r="K370" i="1" l="1"/>
  <c r="M370" i="1" s="1"/>
  <c r="J370" i="1"/>
  <c r="L370" i="1" s="1"/>
  <c r="N370" i="1" s="1"/>
  <c r="D371" i="1"/>
  <c r="BN367" i="1"/>
  <c r="BP367" i="1" s="1"/>
  <c r="BM367" i="1"/>
  <c r="BO367" i="1" s="1"/>
  <c r="BQ367" i="1" s="1"/>
  <c r="AX368" i="1"/>
  <c r="AZ368" i="1" s="1"/>
  <c r="BB368" i="1" s="1"/>
  <c r="AY368" i="1"/>
  <c r="BA368" i="1" s="1"/>
  <c r="AJ369" i="1"/>
  <c r="AL369" i="1" s="1"/>
  <c r="AI369" i="1"/>
  <c r="AK369" i="1" s="1"/>
  <c r="AM369" i="1" s="1"/>
  <c r="U370" i="1"/>
  <c r="W370" i="1" s="1"/>
  <c r="T370" i="1"/>
  <c r="V370" i="1" s="1"/>
  <c r="X370" i="1" s="1"/>
  <c r="DA364" i="1"/>
  <c r="DC364" i="1" s="1"/>
  <c r="DB364" i="1"/>
  <c r="DD364" i="1" s="1"/>
  <c r="CQ365" i="1"/>
  <c r="CS365" i="1" s="1"/>
  <c r="CU365" i="1" s="1"/>
  <c r="CR365" i="1"/>
  <c r="CT365" i="1" s="1"/>
  <c r="CC366" i="1"/>
  <c r="CE366" i="1" s="1"/>
  <c r="CB366" i="1"/>
  <c r="CD366" i="1" s="1"/>
  <c r="CF366" i="1" s="1"/>
  <c r="BS367" i="1" l="1"/>
  <c r="BU367" i="1" s="1"/>
  <c r="BR367" i="1"/>
  <c r="BT367" i="1" s="1"/>
  <c r="BV367" i="1" s="1"/>
  <c r="BC368" i="1"/>
  <c r="BE368" i="1" s="1"/>
  <c r="BG368" i="1" s="1"/>
  <c r="BD368" i="1"/>
  <c r="BF368" i="1" s="1"/>
  <c r="P370" i="1"/>
  <c r="R370" i="1" s="1"/>
  <c r="O370" i="1"/>
  <c r="CV365" i="1"/>
  <c r="CX365" i="1" s="1"/>
  <c r="CW365" i="1"/>
  <c r="CY365" i="1" s="1"/>
  <c r="Y370" i="1"/>
  <c r="AA370" i="1" s="1"/>
  <c r="AC370" i="1" s="1"/>
  <c r="Z370" i="1"/>
  <c r="AB370" i="1" s="1"/>
  <c r="E371" i="1"/>
  <c r="F371" i="1"/>
  <c r="H371" i="1" s="1"/>
  <c r="CG366" i="1"/>
  <c r="CI366" i="1" s="1"/>
  <c r="CK366" i="1" s="1"/>
  <c r="CH366" i="1"/>
  <c r="CJ366" i="1" s="1"/>
  <c r="AO369" i="1"/>
  <c r="AQ369" i="1" s="1"/>
  <c r="AN369" i="1"/>
  <c r="AP369" i="1" s="1"/>
  <c r="AR369" i="1" s="1"/>
  <c r="CL366" i="1" l="1"/>
  <c r="CN366" i="1" s="1"/>
  <c r="CP366" i="1" s="1"/>
  <c r="CM366" i="1"/>
  <c r="CO366" i="1" s="1"/>
  <c r="AT369" i="1"/>
  <c r="AV369" i="1" s="1"/>
  <c r="AS369" i="1"/>
  <c r="AU369" i="1" s="1"/>
  <c r="AW369" i="1" s="1"/>
  <c r="Q371" i="1"/>
  <c r="S371" i="1" s="1"/>
  <c r="G371" i="1"/>
  <c r="I371" i="1" s="1"/>
  <c r="CZ365" i="1"/>
  <c r="BI368" i="1"/>
  <c r="BK368" i="1" s="1"/>
  <c r="BH368" i="1"/>
  <c r="BJ368" i="1" s="1"/>
  <c r="BL368" i="1" s="1"/>
  <c r="BW367" i="1"/>
  <c r="BY367" i="1" s="1"/>
  <c r="CA367" i="1" s="1"/>
  <c r="BX367" i="1"/>
  <c r="BZ367" i="1" s="1"/>
  <c r="AE370" i="1"/>
  <c r="AG370" i="1" s="1"/>
  <c r="AD370" i="1"/>
  <c r="AF370" i="1" s="1"/>
  <c r="AH370" i="1" s="1"/>
  <c r="BM368" i="1" l="1"/>
  <c r="BO368" i="1" s="1"/>
  <c r="BQ368" i="1" s="1"/>
  <c r="BN368" i="1"/>
  <c r="BP368" i="1" s="1"/>
  <c r="DB365" i="1"/>
  <c r="DD365" i="1" s="1"/>
  <c r="DA365" i="1"/>
  <c r="DC365" i="1" s="1"/>
  <c r="AJ370" i="1"/>
  <c r="AL370" i="1" s="1"/>
  <c r="AI370" i="1"/>
  <c r="AK370" i="1" s="1"/>
  <c r="AM370" i="1" s="1"/>
  <c r="K371" i="1"/>
  <c r="M371" i="1" s="1"/>
  <c r="J371" i="1"/>
  <c r="L371" i="1" s="1"/>
  <c r="N371" i="1" s="1"/>
  <c r="D372" i="1"/>
  <c r="AY369" i="1"/>
  <c r="BA369" i="1" s="1"/>
  <c r="AX369" i="1"/>
  <c r="AZ369" i="1" s="1"/>
  <c r="BB369" i="1" s="1"/>
  <c r="U371" i="1"/>
  <c r="W371" i="1" s="1"/>
  <c r="T371" i="1"/>
  <c r="V371" i="1" s="1"/>
  <c r="X371" i="1" s="1"/>
  <c r="CC367" i="1"/>
  <c r="CE367" i="1" s="1"/>
  <c r="CB367" i="1"/>
  <c r="CD367" i="1" s="1"/>
  <c r="CF367" i="1" s="1"/>
  <c r="CQ366" i="1"/>
  <c r="CS366" i="1" s="1"/>
  <c r="CU366" i="1" s="1"/>
  <c r="CR366" i="1"/>
  <c r="CT366" i="1" s="1"/>
  <c r="O371" i="1" l="1"/>
  <c r="P371" i="1"/>
  <c r="R371" i="1" s="1"/>
  <c r="Z371" i="1"/>
  <c r="AB371" i="1" s="1"/>
  <c r="Y371" i="1"/>
  <c r="AA371" i="1" s="1"/>
  <c r="AC371" i="1" s="1"/>
  <c r="CH367" i="1"/>
  <c r="CJ367" i="1" s="1"/>
  <c r="CG367" i="1"/>
  <c r="CI367" i="1" s="1"/>
  <c r="CK367" i="1" s="1"/>
  <c r="CW366" i="1"/>
  <c r="CY366" i="1" s="1"/>
  <c r="CV366" i="1"/>
  <c r="CX366" i="1" s="1"/>
  <c r="CZ366" i="1" s="1"/>
  <c r="AO370" i="1"/>
  <c r="AQ370" i="1" s="1"/>
  <c r="AN370" i="1"/>
  <c r="AP370" i="1" s="1"/>
  <c r="AR370" i="1" s="1"/>
  <c r="BC369" i="1"/>
  <c r="BE369" i="1" s="1"/>
  <c r="BG369" i="1" s="1"/>
  <c r="BD369" i="1"/>
  <c r="BF369" i="1" s="1"/>
  <c r="E372" i="1"/>
  <c r="F372" i="1"/>
  <c r="H372" i="1" s="1"/>
  <c r="BS368" i="1"/>
  <c r="BU368" i="1" s="1"/>
  <c r="BR368" i="1"/>
  <c r="BT368" i="1" s="1"/>
  <c r="BV368" i="1" s="1"/>
  <c r="DB366" i="1" l="1"/>
  <c r="DD366" i="1" s="1"/>
  <c r="DA366" i="1"/>
  <c r="DC366" i="1" s="1"/>
  <c r="Q372" i="1"/>
  <c r="S372" i="1" s="1"/>
  <c r="G372" i="1"/>
  <c r="I372" i="1" s="1"/>
  <c r="BX368" i="1"/>
  <c r="BZ368" i="1" s="1"/>
  <c r="BW368" i="1"/>
  <c r="BY368" i="1" s="1"/>
  <c r="CA368" i="1" s="1"/>
  <c r="CM367" i="1"/>
  <c r="CO367" i="1" s="1"/>
  <c r="CL367" i="1"/>
  <c r="CN367" i="1" s="1"/>
  <c r="CP367" i="1" s="1"/>
  <c r="BH369" i="1"/>
  <c r="BJ369" i="1" s="1"/>
  <c r="BL369" i="1" s="1"/>
  <c r="BI369" i="1"/>
  <c r="BK369" i="1" s="1"/>
  <c r="AS370" i="1"/>
  <c r="AU370" i="1" s="1"/>
  <c r="AW370" i="1" s="1"/>
  <c r="AT370" i="1"/>
  <c r="AV370" i="1" s="1"/>
  <c r="AE371" i="1"/>
  <c r="AG371" i="1" s="1"/>
  <c r="AD371" i="1"/>
  <c r="AF371" i="1" s="1"/>
  <c r="AH371" i="1" s="1"/>
  <c r="CR367" i="1" l="1"/>
  <c r="CT367" i="1" s="1"/>
  <c r="CQ367" i="1"/>
  <c r="CS367" i="1" s="1"/>
  <c r="CU367" i="1" s="1"/>
  <c r="CC368" i="1"/>
  <c r="CE368" i="1" s="1"/>
  <c r="CB368" i="1"/>
  <c r="CD368" i="1" s="1"/>
  <c r="CF368" i="1" s="1"/>
  <c r="BM369" i="1"/>
  <c r="BO369" i="1" s="1"/>
  <c r="BQ369" i="1" s="1"/>
  <c r="BN369" i="1"/>
  <c r="BP369" i="1" s="1"/>
  <c r="U372" i="1"/>
  <c r="W372" i="1" s="1"/>
  <c r="T372" i="1"/>
  <c r="V372" i="1" s="1"/>
  <c r="X372" i="1" s="1"/>
  <c r="AI371" i="1"/>
  <c r="AK371" i="1" s="1"/>
  <c r="AM371" i="1" s="1"/>
  <c r="AJ371" i="1"/>
  <c r="AL371" i="1" s="1"/>
  <c r="K372" i="1"/>
  <c r="M372" i="1" s="1"/>
  <c r="J372" i="1"/>
  <c r="L372" i="1" s="1"/>
  <c r="N372" i="1" s="1"/>
  <c r="D373" i="1"/>
  <c r="AY370" i="1"/>
  <c r="BA370" i="1" s="1"/>
  <c r="AX370" i="1"/>
  <c r="AZ370" i="1" s="1"/>
  <c r="BB370" i="1" s="1"/>
  <c r="F373" i="1" l="1"/>
  <c r="H373" i="1" s="1"/>
  <c r="E373" i="1"/>
  <c r="BC370" i="1"/>
  <c r="BE370" i="1" s="1"/>
  <c r="BG370" i="1" s="1"/>
  <c r="BD370" i="1"/>
  <c r="BF370" i="1" s="1"/>
  <c r="BS369" i="1"/>
  <c r="BU369" i="1" s="1"/>
  <c r="BR369" i="1"/>
  <c r="BT369" i="1" s="1"/>
  <c r="BV369" i="1" s="1"/>
  <c r="P372" i="1"/>
  <c r="R372" i="1" s="1"/>
  <c r="O372" i="1"/>
  <c r="CW367" i="1"/>
  <c r="CY367" i="1" s="1"/>
  <c r="CV367" i="1"/>
  <c r="CX367" i="1" s="1"/>
  <c r="CZ367" i="1" s="1"/>
  <c r="Y372" i="1"/>
  <c r="AA372" i="1" s="1"/>
  <c r="AC372" i="1" s="1"/>
  <c r="Z372" i="1"/>
  <c r="AB372" i="1" s="1"/>
  <c r="CH368" i="1"/>
  <c r="CJ368" i="1" s="1"/>
  <c r="CG368" i="1"/>
  <c r="CI368" i="1" s="1"/>
  <c r="CK368" i="1" s="1"/>
  <c r="AO371" i="1"/>
  <c r="AQ371" i="1" s="1"/>
  <c r="AN371" i="1"/>
  <c r="AP371" i="1" s="1"/>
  <c r="AR371" i="1" s="1"/>
  <c r="AE372" i="1" l="1"/>
  <c r="AG372" i="1" s="1"/>
  <c r="AD372" i="1"/>
  <c r="AF372" i="1" s="1"/>
  <c r="AH372" i="1" s="1"/>
  <c r="AS371" i="1"/>
  <c r="AU371" i="1" s="1"/>
  <c r="AW371" i="1" s="1"/>
  <c r="AT371" i="1"/>
  <c r="AV371" i="1" s="1"/>
  <c r="CM368" i="1"/>
  <c r="CO368" i="1" s="1"/>
  <c r="CL368" i="1"/>
  <c r="CN368" i="1" s="1"/>
  <c r="CP368" i="1" s="1"/>
  <c r="G373" i="1"/>
  <c r="I373" i="1" s="1"/>
  <c r="Q373" i="1"/>
  <c r="S373" i="1" s="1"/>
  <c r="BX369" i="1"/>
  <c r="BZ369" i="1" s="1"/>
  <c r="BW369" i="1"/>
  <c r="BY369" i="1" s="1"/>
  <c r="CA369" i="1" s="1"/>
  <c r="DB367" i="1"/>
  <c r="DD367" i="1" s="1"/>
  <c r="DA367" i="1"/>
  <c r="DC367" i="1" s="1"/>
  <c r="BH370" i="1"/>
  <c r="BJ370" i="1" s="1"/>
  <c r="BL370" i="1" s="1"/>
  <c r="BI370" i="1"/>
  <c r="BK370" i="1" s="1"/>
  <c r="CQ368" i="1" l="1"/>
  <c r="CS368" i="1" s="1"/>
  <c r="CU368" i="1" s="1"/>
  <c r="CR368" i="1"/>
  <c r="CT368" i="1" s="1"/>
  <c r="T373" i="1"/>
  <c r="V373" i="1" s="1"/>
  <c r="X373" i="1" s="1"/>
  <c r="U373" i="1"/>
  <c r="W373" i="1" s="1"/>
  <c r="BN370" i="1"/>
  <c r="BP370" i="1" s="1"/>
  <c r="BM370" i="1"/>
  <c r="BO370" i="1" s="1"/>
  <c r="BQ370" i="1" s="1"/>
  <c r="AI372" i="1"/>
  <c r="AK372" i="1" s="1"/>
  <c r="AM372" i="1" s="1"/>
  <c r="AJ372" i="1"/>
  <c r="AL372" i="1" s="1"/>
  <c r="J373" i="1"/>
  <c r="L373" i="1" s="1"/>
  <c r="N373" i="1" s="1"/>
  <c r="K373" i="1"/>
  <c r="M373" i="1" s="1"/>
  <c r="D374" i="1"/>
  <c r="AX371" i="1"/>
  <c r="AZ371" i="1" s="1"/>
  <c r="BB371" i="1" s="1"/>
  <c r="AY371" i="1"/>
  <c r="BA371" i="1" s="1"/>
  <c r="CC369" i="1"/>
  <c r="CE369" i="1" s="1"/>
  <c r="CB369" i="1"/>
  <c r="CD369" i="1" s="1"/>
  <c r="CF369" i="1" s="1"/>
  <c r="CH369" i="1" l="1"/>
  <c r="CJ369" i="1" s="1"/>
  <c r="CG369" i="1"/>
  <c r="CI369" i="1" s="1"/>
  <c r="CK369" i="1" s="1"/>
  <c r="BD371" i="1"/>
  <c r="BF371" i="1" s="1"/>
  <c r="BC371" i="1"/>
  <c r="BE371" i="1" s="1"/>
  <c r="BG371" i="1" s="1"/>
  <c r="E374" i="1"/>
  <c r="F374" i="1"/>
  <c r="H374" i="1" s="1"/>
  <c r="AN372" i="1"/>
  <c r="AP372" i="1" s="1"/>
  <c r="AR372" i="1" s="1"/>
  <c r="AO372" i="1"/>
  <c r="AQ372" i="1" s="1"/>
  <c r="Y373" i="1"/>
  <c r="AA373" i="1" s="1"/>
  <c r="AC373" i="1" s="1"/>
  <c r="Z373" i="1"/>
  <c r="AB373" i="1" s="1"/>
  <c r="BS370" i="1"/>
  <c r="BU370" i="1" s="1"/>
  <c r="BR370" i="1"/>
  <c r="BT370" i="1" s="1"/>
  <c r="BV370" i="1" s="1"/>
  <c r="O373" i="1"/>
  <c r="P373" i="1"/>
  <c r="R373" i="1" s="1"/>
  <c r="CW368" i="1"/>
  <c r="CY368" i="1" s="1"/>
  <c r="CV368" i="1"/>
  <c r="CX368" i="1" s="1"/>
  <c r="CZ368" i="1" s="1"/>
  <c r="DB368" i="1" l="1"/>
  <c r="DD368" i="1" s="1"/>
  <c r="DA368" i="1"/>
  <c r="DC368" i="1" s="1"/>
  <c r="AT372" i="1"/>
  <c r="AV372" i="1" s="1"/>
  <c r="AS372" i="1"/>
  <c r="AU372" i="1" s="1"/>
  <c r="AW372" i="1" s="1"/>
  <c r="Q374" i="1"/>
  <c r="S374" i="1" s="1"/>
  <c r="G374" i="1"/>
  <c r="I374" i="1" s="1"/>
  <c r="BH371" i="1"/>
  <c r="BJ371" i="1" s="1"/>
  <c r="BL371" i="1" s="1"/>
  <c r="BI371" i="1"/>
  <c r="BK371" i="1" s="1"/>
  <c r="CM369" i="1"/>
  <c r="CO369" i="1" s="1"/>
  <c r="CL369" i="1"/>
  <c r="CN369" i="1" s="1"/>
  <c r="CP369" i="1" s="1"/>
  <c r="BX370" i="1"/>
  <c r="BZ370" i="1" s="1"/>
  <c r="BW370" i="1"/>
  <c r="BY370" i="1" s="1"/>
  <c r="CA370" i="1" s="1"/>
  <c r="AD373" i="1"/>
  <c r="AF373" i="1" s="1"/>
  <c r="AH373" i="1" s="1"/>
  <c r="AE373" i="1"/>
  <c r="AG373" i="1" s="1"/>
  <c r="T374" i="1" l="1"/>
  <c r="V374" i="1" s="1"/>
  <c r="X374" i="1" s="1"/>
  <c r="U374" i="1"/>
  <c r="W374" i="1" s="1"/>
  <c r="AJ373" i="1"/>
  <c r="AL373" i="1" s="1"/>
  <c r="AI373" i="1"/>
  <c r="AK373" i="1" s="1"/>
  <c r="AM373" i="1" s="1"/>
  <c r="K374" i="1"/>
  <c r="M374" i="1" s="1"/>
  <c r="J374" i="1"/>
  <c r="L374" i="1" s="1"/>
  <c r="N374" i="1" s="1"/>
  <c r="D375" i="1"/>
  <c r="CC370" i="1"/>
  <c r="CE370" i="1" s="1"/>
  <c r="CB370" i="1"/>
  <c r="CD370" i="1" s="1"/>
  <c r="CF370" i="1" s="1"/>
  <c r="BN371" i="1"/>
  <c r="BP371" i="1" s="1"/>
  <c r="BM371" i="1"/>
  <c r="BO371" i="1" s="1"/>
  <c r="BQ371" i="1" s="1"/>
  <c r="AY372" i="1"/>
  <c r="BA372" i="1" s="1"/>
  <c r="AX372" i="1"/>
  <c r="AZ372" i="1" s="1"/>
  <c r="BB372" i="1" s="1"/>
  <c r="CR369" i="1"/>
  <c r="CT369" i="1" s="1"/>
  <c r="CQ369" i="1"/>
  <c r="CS369" i="1" s="1"/>
  <c r="CU369" i="1" s="1"/>
  <c r="BD372" i="1" l="1"/>
  <c r="BF372" i="1" s="1"/>
  <c r="BC372" i="1"/>
  <c r="BE372" i="1" s="1"/>
  <c r="BG372" i="1" s="1"/>
  <c r="AO373" i="1"/>
  <c r="AQ373" i="1" s="1"/>
  <c r="AN373" i="1"/>
  <c r="AP373" i="1" s="1"/>
  <c r="AR373" i="1" s="1"/>
  <c r="CW369" i="1"/>
  <c r="CY369" i="1" s="1"/>
  <c r="CV369" i="1"/>
  <c r="CX369" i="1" s="1"/>
  <c r="CZ369" i="1" s="1"/>
  <c r="E375" i="1"/>
  <c r="F375" i="1"/>
  <c r="H375" i="1" s="1"/>
  <c r="BS371" i="1"/>
  <c r="BU371" i="1" s="1"/>
  <c r="BR371" i="1"/>
  <c r="BT371" i="1" s="1"/>
  <c r="BV371" i="1" s="1"/>
  <c r="Z374" i="1"/>
  <c r="AB374" i="1" s="1"/>
  <c r="Y374" i="1"/>
  <c r="AA374" i="1" s="1"/>
  <c r="AC374" i="1" s="1"/>
  <c r="O374" i="1"/>
  <c r="P374" i="1"/>
  <c r="R374" i="1" s="1"/>
  <c r="CG370" i="1"/>
  <c r="CI370" i="1" s="1"/>
  <c r="CK370" i="1" s="1"/>
  <c r="CH370" i="1"/>
  <c r="CJ370" i="1" s="1"/>
  <c r="CM370" i="1" l="1"/>
  <c r="CO370" i="1" s="1"/>
  <c r="CL370" i="1"/>
  <c r="CN370" i="1" s="1"/>
  <c r="CP370" i="1" s="1"/>
  <c r="AT373" i="1"/>
  <c r="AV373" i="1" s="1"/>
  <c r="AS373" i="1"/>
  <c r="AU373" i="1" s="1"/>
  <c r="AW373" i="1" s="1"/>
  <c r="DB369" i="1"/>
  <c r="DD369" i="1" s="1"/>
  <c r="DA369" i="1"/>
  <c r="DC369" i="1" s="1"/>
  <c r="BI372" i="1"/>
  <c r="BK372" i="1" s="1"/>
  <c r="BH372" i="1"/>
  <c r="BJ372" i="1" s="1"/>
  <c r="BL372" i="1" s="1"/>
  <c r="G375" i="1"/>
  <c r="I375" i="1" s="1"/>
  <c r="Q375" i="1"/>
  <c r="S375" i="1" s="1"/>
  <c r="BW371" i="1"/>
  <c r="BY371" i="1" s="1"/>
  <c r="CA371" i="1" s="1"/>
  <c r="BX371" i="1"/>
  <c r="BZ371" i="1" s="1"/>
  <c r="AE374" i="1"/>
  <c r="AG374" i="1" s="1"/>
  <c r="AD374" i="1"/>
  <c r="AF374" i="1" s="1"/>
  <c r="AH374" i="1" s="1"/>
  <c r="AY373" i="1" l="1"/>
  <c r="BA373" i="1" s="1"/>
  <c r="AX373" i="1"/>
  <c r="AZ373" i="1" s="1"/>
  <c r="BB373" i="1" s="1"/>
  <c r="CR370" i="1"/>
  <c r="CT370" i="1" s="1"/>
  <c r="CQ370" i="1"/>
  <c r="CS370" i="1" s="1"/>
  <c r="CU370" i="1" s="1"/>
  <c r="BM372" i="1"/>
  <c r="BO372" i="1" s="1"/>
  <c r="BQ372" i="1" s="1"/>
  <c r="BN372" i="1"/>
  <c r="BP372" i="1" s="1"/>
  <c r="AJ374" i="1"/>
  <c r="AL374" i="1" s="1"/>
  <c r="AI374" i="1"/>
  <c r="AK374" i="1" s="1"/>
  <c r="AM374" i="1" s="1"/>
  <c r="CC371" i="1"/>
  <c r="CE371" i="1" s="1"/>
  <c r="CB371" i="1"/>
  <c r="CD371" i="1" s="1"/>
  <c r="CF371" i="1" s="1"/>
  <c r="U375" i="1"/>
  <c r="W375" i="1" s="1"/>
  <c r="T375" i="1"/>
  <c r="V375" i="1" s="1"/>
  <c r="X375" i="1" s="1"/>
  <c r="J375" i="1"/>
  <c r="L375" i="1" s="1"/>
  <c r="N375" i="1" s="1"/>
  <c r="K375" i="1"/>
  <c r="M375" i="1" s="1"/>
  <c r="D376" i="1"/>
  <c r="AO374" i="1" l="1"/>
  <c r="AQ374" i="1" s="1"/>
  <c r="AN374" i="1"/>
  <c r="AP374" i="1" s="1"/>
  <c r="AR374" i="1" s="1"/>
  <c r="BS372" i="1"/>
  <c r="BU372" i="1" s="1"/>
  <c r="BR372" i="1"/>
  <c r="BT372" i="1" s="1"/>
  <c r="BV372" i="1" s="1"/>
  <c r="F376" i="1"/>
  <c r="H376" i="1" s="1"/>
  <c r="E376" i="1"/>
  <c r="P375" i="1"/>
  <c r="R375" i="1" s="1"/>
  <c r="O375" i="1"/>
  <c r="BD373" i="1"/>
  <c r="BF373" i="1" s="1"/>
  <c r="BC373" i="1"/>
  <c r="BE373" i="1" s="1"/>
  <c r="BG373" i="1" s="1"/>
  <c r="Z375" i="1"/>
  <c r="AB375" i="1" s="1"/>
  <c r="Y375" i="1"/>
  <c r="AA375" i="1" s="1"/>
  <c r="AC375" i="1" s="1"/>
  <c r="CH371" i="1"/>
  <c r="CJ371" i="1" s="1"/>
  <c r="CG371" i="1"/>
  <c r="CI371" i="1" s="1"/>
  <c r="CK371" i="1" s="1"/>
  <c r="CW370" i="1"/>
  <c r="CY370" i="1" s="1"/>
  <c r="CV370" i="1"/>
  <c r="CX370" i="1" s="1"/>
  <c r="CZ370" i="1" s="1"/>
  <c r="CM371" i="1" l="1"/>
  <c r="CO371" i="1" s="1"/>
  <c r="CL371" i="1"/>
  <c r="CN371" i="1" s="1"/>
  <c r="CP371" i="1" s="1"/>
  <c r="BX372" i="1"/>
  <c r="BZ372" i="1" s="1"/>
  <c r="BW372" i="1"/>
  <c r="BY372" i="1" s="1"/>
  <c r="CA372" i="1" s="1"/>
  <c r="AT374" i="1"/>
  <c r="AV374" i="1" s="1"/>
  <c r="AS374" i="1"/>
  <c r="AU374" i="1" s="1"/>
  <c r="AW374" i="1" s="1"/>
  <c r="DA370" i="1"/>
  <c r="DC370" i="1" s="1"/>
  <c r="DB370" i="1"/>
  <c r="DD370" i="1" s="1"/>
  <c r="G376" i="1"/>
  <c r="I376" i="1" s="1"/>
  <c r="Q376" i="1"/>
  <c r="S376" i="1" s="1"/>
  <c r="AE375" i="1"/>
  <c r="AG375" i="1" s="1"/>
  <c r="AD375" i="1"/>
  <c r="AF375" i="1" s="1"/>
  <c r="AH375" i="1" s="1"/>
  <c r="BI373" i="1"/>
  <c r="BK373" i="1" s="1"/>
  <c r="BH373" i="1"/>
  <c r="BJ373" i="1" s="1"/>
  <c r="BL373" i="1" s="1"/>
  <c r="BN373" i="1" l="1"/>
  <c r="BP373" i="1" s="1"/>
  <c r="BM373" i="1"/>
  <c r="BO373" i="1" s="1"/>
  <c r="BQ373" i="1" s="1"/>
  <c r="AJ375" i="1"/>
  <c r="AL375" i="1" s="1"/>
  <c r="AI375" i="1"/>
  <c r="AK375" i="1" s="1"/>
  <c r="AM375" i="1" s="1"/>
  <c r="U376" i="1"/>
  <c r="W376" i="1" s="1"/>
  <c r="T376" i="1"/>
  <c r="V376" i="1" s="1"/>
  <c r="X376" i="1" s="1"/>
  <c r="AY374" i="1"/>
  <c r="BA374" i="1" s="1"/>
  <c r="AX374" i="1"/>
  <c r="AZ374" i="1" s="1"/>
  <c r="BB374" i="1" s="1"/>
  <c r="CB372" i="1"/>
  <c r="CD372" i="1" s="1"/>
  <c r="CF372" i="1" s="1"/>
  <c r="CC372" i="1"/>
  <c r="CE372" i="1" s="1"/>
  <c r="CQ371" i="1"/>
  <c r="CS371" i="1" s="1"/>
  <c r="CU371" i="1" s="1"/>
  <c r="CR371" i="1"/>
  <c r="CT371" i="1" s="1"/>
  <c r="K376" i="1"/>
  <c r="M376" i="1" s="1"/>
  <c r="J376" i="1"/>
  <c r="L376" i="1" s="1"/>
  <c r="N376" i="1" s="1"/>
  <c r="D377" i="1"/>
  <c r="Z376" i="1" l="1"/>
  <c r="AB376" i="1" s="1"/>
  <c r="Y376" i="1"/>
  <c r="AA376" i="1" s="1"/>
  <c r="AC376" i="1" s="1"/>
  <c r="BR373" i="1"/>
  <c r="BT373" i="1" s="1"/>
  <c r="BV373" i="1" s="1"/>
  <c r="BS373" i="1"/>
  <c r="BU373" i="1" s="1"/>
  <c r="BD374" i="1"/>
  <c r="BF374" i="1" s="1"/>
  <c r="BC374" i="1"/>
  <c r="BE374" i="1" s="1"/>
  <c r="BG374" i="1" s="1"/>
  <c r="F377" i="1"/>
  <c r="H377" i="1" s="1"/>
  <c r="E377" i="1"/>
  <c r="AO375" i="1"/>
  <c r="AQ375" i="1" s="1"/>
  <c r="AN375" i="1"/>
  <c r="AP375" i="1" s="1"/>
  <c r="AR375" i="1" s="1"/>
  <c r="P376" i="1"/>
  <c r="R376" i="1" s="1"/>
  <c r="O376" i="1"/>
  <c r="CW371" i="1"/>
  <c r="CY371" i="1" s="1"/>
  <c r="CV371" i="1"/>
  <c r="CX371" i="1" s="1"/>
  <c r="CZ371" i="1" s="1"/>
  <c r="CG372" i="1"/>
  <c r="CI372" i="1" s="1"/>
  <c r="CK372" i="1" s="1"/>
  <c r="CH372" i="1"/>
  <c r="CJ372" i="1" s="1"/>
  <c r="BH374" i="1" l="1"/>
  <c r="BJ374" i="1" s="1"/>
  <c r="BL374" i="1" s="1"/>
  <c r="BI374" i="1"/>
  <c r="BK374" i="1" s="1"/>
  <c r="BW373" i="1"/>
  <c r="BY373" i="1" s="1"/>
  <c r="CA373" i="1" s="1"/>
  <c r="BX373" i="1"/>
  <c r="BZ373" i="1" s="1"/>
  <c r="Q377" i="1"/>
  <c r="S377" i="1" s="1"/>
  <c r="G377" i="1"/>
  <c r="I377" i="1" s="1"/>
  <c r="CM372" i="1"/>
  <c r="CO372" i="1" s="1"/>
  <c r="CL372" i="1"/>
  <c r="CN372" i="1" s="1"/>
  <c r="CP372" i="1" s="1"/>
  <c r="AE376" i="1"/>
  <c r="AG376" i="1" s="1"/>
  <c r="AD376" i="1"/>
  <c r="AF376" i="1" s="1"/>
  <c r="AH376" i="1" s="1"/>
  <c r="DA371" i="1"/>
  <c r="DC371" i="1" s="1"/>
  <c r="DB371" i="1"/>
  <c r="DD371" i="1" s="1"/>
  <c r="AT375" i="1"/>
  <c r="AV375" i="1" s="1"/>
  <c r="AS375" i="1"/>
  <c r="AU375" i="1" s="1"/>
  <c r="AW375" i="1" s="1"/>
  <c r="AX375" i="1" l="1"/>
  <c r="AZ375" i="1" s="1"/>
  <c r="BB375" i="1" s="1"/>
  <c r="AY375" i="1"/>
  <c r="BA375" i="1" s="1"/>
  <c r="K377" i="1"/>
  <c r="M377" i="1" s="1"/>
  <c r="J377" i="1"/>
  <c r="L377" i="1" s="1"/>
  <c r="N377" i="1" s="1"/>
  <c r="D378" i="1"/>
  <c r="CC373" i="1"/>
  <c r="CE373" i="1" s="1"/>
  <c r="CB373" i="1"/>
  <c r="CD373" i="1" s="1"/>
  <c r="CF373" i="1" s="1"/>
  <c r="CQ372" i="1"/>
  <c r="CS372" i="1" s="1"/>
  <c r="CU372" i="1" s="1"/>
  <c r="CR372" i="1"/>
  <c r="CT372" i="1" s="1"/>
  <c r="U377" i="1"/>
  <c r="W377" i="1" s="1"/>
  <c r="T377" i="1"/>
  <c r="V377" i="1" s="1"/>
  <c r="X377" i="1" s="1"/>
  <c r="AJ376" i="1"/>
  <c r="AL376" i="1" s="1"/>
  <c r="AI376" i="1"/>
  <c r="AK376" i="1" s="1"/>
  <c r="AM376" i="1" s="1"/>
  <c r="BM374" i="1"/>
  <c r="BO374" i="1" s="1"/>
  <c r="BQ374" i="1" s="1"/>
  <c r="BN374" i="1"/>
  <c r="BP374" i="1" s="1"/>
  <c r="CV372" i="1" l="1"/>
  <c r="CX372" i="1" s="1"/>
  <c r="CZ372" i="1" s="1"/>
  <c r="CW372" i="1"/>
  <c r="CY372" i="1" s="1"/>
  <c r="BS374" i="1"/>
  <c r="BU374" i="1" s="1"/>
  <c r="BR374" i="1"/>
  <c r="BT374" i="1" s="1"/>
  <c r="BV374" i="1" s="1"/>
  <c r="P377" i="1"/>
  <c r="R377" i="1" s="1"/>
  <c r="O377" i="1"/>
  <c r="CG373" i="1"/>
  <c r="CI373" i="1" s="1"/>
  <c r="CK373" i="1" s="1"/>
  <c r="CH373" i="1"/>
  <c r="CJ373" i="1" s="1"/>
  <c r="AN376" i="1"/>
  <c r="AP376" i="1" s="1"/>
  <c r="AR376" i="1" s="1"/>
  <c r="AO376" i="1"/>
  <c r="AQ376" i="1" s="1"/>
  <c r="F378" i="1"/>
  <c r="H378" i="1" s="1"/>
  <c r="E378" i="1"/>
  <c r="Z377" i="1"/>
  <c r="AB377" i="1" s="1"/>
  <c r="Y377" i="1"/>
  <c r="AA377" i="1" s="1"/>
  <c r="AC377" i="1" s="1"/>
  <c r="BC375" i="1"/>
  <c r="BE375" i="1" s="1"/>
  <c r="BG375" i="1" s="1"/>
  <c r="BD375" i="1"/>
  <c r="BF375" i="1" s="1"/>
  <c r="CL373" i="1" l="1"/>
  <c r="CN373" i="1" s="1"/>
  <c r="CP373" i="1" s="1"/>
  <c r="CM373" i="1"/>
  <c r="CO373" i="1" s="1"/>
  <c r="BW374" i="1"/>
  <c r="BY374" i="1" s="1"/>
  <c r="CA374" i="1" s="1"/>
  <c r="BX374" i="1"/>
  <c r="BZ374" i="1" s="1"/>
  <c r="AD377" i="1"/>
  <c r="AF377" i="1" s="1"/>
  <c r="AH377" i="1" s="1"/>
  <c r="AE377" i="1"/>
  <c r="AG377" i="1" s="1"/>
  <c r="DB372" i="1"/>
  <c r="DD372" i="1" s="1"/>
  <c r="DA372" i="1"/>
  <c r="DC372" i="1" s="1"/>
  <c r="BI375" i="1"/>
  <c r="BK375" i="1" s="1"/>
  <c r="BH375" i="1"/>
  <c r="BJ375" i="1" s="1"/>
  <c r="BL375" i="1" s="1"/>
  <c r="Q378" i="1"/>
  <c r="S378" i="1" s="1"/>
  <c r="G378" i="1"/>
  <c r="I378" i="1" s="1"/>
  <c r="AS376" i="1"/>
  <c r="AU376" i="1" s="1"/>
  <c r="AW376" i="1" s="1"/>
  <c r="AT376" i="1"/>
  <c r="AV376" i="1" s="1"/>
  <c r="K378" i="1" l="1"/>
  <c r="M378" i="1" s="1"/>
  <c r="J378" i="1"/>
  <c r="L378" i="1" s="1"/>
  <c r="N378" i="1" s="1"/>
  <c r="D379" i="1"/>
  <c r="T378" i="1"/>
  <c r="V378" i="1" s="1"/>
  <c r="X378" i="1" s="1"/>
  <c r="U378" i="1"/>
  <c r="W378" i="1" s="1"/>
  <c r="AI377" i="1"/>
  <c r="AK377" i="1" s="1"/>
  <c r="AM377" i="1" s="1"/>
  <c r="AJ377" i="1"/>
  <c r="AL377" i="1" s="1"/>
  <c r="AY376" i="1"/>
  <c r="BA376" i="1" s="1"/>
  <c r="AX376" i="1"/>
  <c r="AZ376" i="1" s="1"/>
  <c r="BB376" i="1" s="1"/>
  <c r="CB374" i="1"/>
  <c r="CD374" i="1" s="1"/>
  <c r="CF374" i="1" s="1"/>
  <c r="CC374" i="1"/>
  <c r="CE374" i="1" s="1"/>
  <c r="CR373" i="1"/>
  <c r="CT373" i="1" s="1"/>
  <c r="CQ373" i="1"/>
  <c r="CS373" i="1" s="1"/>
  <c r="CU373" i="1" s="1"/>
  <c r="BM375" i="1"/>
  <c r="BO375" i="1" s="1"/>
  <c r="BQ375" i="1" s="1"/>
  <c r="BN375" i="1"/>
  <c r="BP375" i="1" s="1"/>
  <c r="Y378" i="1" l="1"/>
  <c r="AA378" i="1" s="1"/>
  <c r="AC378" i="1" s="1"/>
  <c r="Z378" i="1"/>
  <c r="AB378" i="1" s="1"/>
  <c r="AO377" i="1"/>
  <c r="AQ377" i="1" s="1"/>
  <c r="AN377" i="1"/>
  <c r="AP377" i="1" s="1"/>
  <c r="AR377" i="1" s="1"/>
  <c r="F379" i="1"/>
  <c r="H379" i="1" s="1"/>
  <c r="E379" i="1"/>
  <c r="BR375" i="1"/>
  <c r="BT375" i="1" s="1"/>
  <c r="BV375" i="1" s="1"/>
  <c r="BS375" i="1"/>
  <c r="BU375" i="1" s="1"/>
  <c r="P378" i="1"/>
  <c r="R378" i="1" s="1"/>
  <c r="O378" i="1"/>
  <c r="CW373" i="1"/>
  <c r="CY373" i="1" s="1"/>
  <c r="CV373" i="1"/>
  <c r="CX373" i="1" s="1"/>
  <c r="CZ373" i="1" s="1"/>
  <c r="CH374" i="1"/>
  <c r="CJ374" i="1" s="1"/>
  <c r="CG374" i="1"/>
  <c r="CI374" i="1" s="1"/>
  <c r="CK374" i="1" s="1"/>
  <c r="BC376" i="1"/>
  <c r="BE376" i="1" s="1"/>
  <c r="BG376" i="1" s="1"/>
  <c r="BD376" i="1"/>
  <c r="BF376" i="1" s="1"/>
  <c r="BX375" i="1" l="1"/>
  <c r="BZ375" i="1" s="1"/>
  <c r="BW375" i="1"/>
  <c r="BY375" i="1" s="1"/>
  <c r="CA375" i="1" s="1"/>
  <c r="DB373" i="1"/>
  <c r="DD373" i="1" s="1"/>
  <c r="DA373" i="1"/>
  <c r="DC373" i="1" s="1"/>
  <c r="AS377" i="1"/>
  <c r="AU377" i="1" s="1"/>
  <c r="AW377" i="1" s="1"/>
  <c r="AT377" i="1"/>
  <c r="AV377" i="1" s="1"/>
  <c r="BH376" i="1"/>
  <c r="BJ376" i="1" s="1"/>
  <c r="BL376" i="1" s="1"/>
  <c r="BI376" i="1"/>
  <c r="BK376" i="1" s="1"/>
  <c r="CM374" i="1"/>
  <c r="CO374" i="1" s="1"/>
  <c r="CL374" i="1"/>
  <c r="CN374" i="1" s="1"/>
  <c r="CP374" i="1" s="1"/>
  <c r="Q379" i="1"/>
  <c r="S379" i="1" s="1"/>
  <c r="G379" i="1"/>
  <c r="I379" i="1" s="1"/>
  <c r="AE378" i="1"/>
  <c r="AG378" i="1" s="1"/>
  <c r="AD378" i="1"/>
  <c r="AF378" i="1" s="1"/>
  <c r="AH378" i="1" s="1"/>
  <c r="AX377" i="1" l="1"/>
  <c r="AZ377" i="1" s="1"/>
  <c r="BB377" i="1" s="1"/>
  <c r="AY377" i="1"/>
  <c r="BA377" i="1" s="1"/>
  <c r="CR374" i="1"/>
  <c r="CT374" i="1" s="1"/>
  <c r="CQ374" i="1"/>
  <c r="CS374" i="1" s="1"/>
  <c r="CU374" i="1" s="1"/>
  <c r="BN376" i="1"/>
  <c r="BP376" i="1" s="1"/>
  <c r="BM376" i="1"/>
  <c r="BO376" i="1" s="1"/>
  <c r="BQ376" i="1" s="1"/>
  <c r="J379" i="1"/>
  <c r="L379" i="1" s="1"/>
  <c r="N379" i="1" s="1"/>
  <c r="K379" i="1"/>
  <c r="M379" i="1" s="1"/>
  <c r="D380" i="1"/>
  <c r="AI378" i="1"/>
  <c r="AK378" i="1" s="1"/>
  <c r="AM378" i="1" s="1"/>
  <c r="AJ378" i="1"/>
  <c r="AL378" i="1" s="1"/>
  <c r="U379" i="1"/>
  <c r="W379" i="1" s="1"/>
  <c r="T379" i="1"/>
  <c r="V379" i="1" s="1"/>
  <c r="X379" i="1" s="1"/>
  <c r="CC375" i="1"/>
  <c r="CE375" i="1" s="1"/>
  <c r="CB375" i="1"/>
  <c r="CD375" i="1" s="1"/>
  <c r="CF375" i="1" s="1"/>
  <c r="O379" i="1" l="1"/>
  <c r="P379" i="1"/>
  <c r="R379" i="1" s="1"/>
  <c r="BS376" i="1"/>
  <c r="BU376" i="1" s="1"/>
  <c r="BR376" i="1"/>
  <c r="BT376" i="1" s="1"/>
  <c r="BV376" i="1" s="1"/>
  <c r="CW374" i="1"/>
  <c r="CY374" i="1" s="1"/>
  <c r="CV374" i="1"/>
  <c r="CX374" i="1" s="1"/>
  <c r="BD377" i="1"/>
  <c r="BF377" i="1" s="1"/>
  <c r="BC377" i="1"/>
  <c r="BE377" i="1" s="1"/>
  <c r="BG377" i="1" s="1"/>
  <c r="CH375" i="1"/>
  <c r="CJ375" i="1" s="1"/>
  <c r="CG375" i="1"/>
  <c r="CI375" i="1" s="1"/>
  <c r="CK375" i="1" s="1"/>
  <c r="Y379" i="1"/>
  <c r="AA379" i="1" s="1"/>
  <c r="AC379" i="1" s="1"/>
  <c r="Z379" i="1"/>
  <c r="AB379" i="1" s="1"/>
  <c r="AN378" i="1"/>
  <c r="AP378" i="1" s="1"/>
  <c r="AR378" i="1" s="1"/>
  <c r="AO378" i="1"/>
  <c r="AQ378" i="1" s="1"/>
  <c r="E380" i="1"/>
  <c r="F380" i="1"/>
  <c r="H380" i="1" s="1"/>
  <c r="AT378" i="1" l="1"/>
  <c r="AV378" i="1" s="1"/>
  <c r="AS378" i="1"/>
  <c r="AU378" i="1" s="1"/>
  <c r="AW378" i="1" s="1"/>
  <c r="BI377" i="1"/>
  <c r="BK377" i="1" s="1"/>
  <c r="BH377" i="1"/>
  <c r="BJ377" i="1" s="1"/>
  <c r="BL377" i="1" s="1"/>
  <c r="Q380" i="1"/>
  <c r="S380" i="1" s="1"/>
  <c r="G380" i="1"/>
  <c r="I380" i="1" s="1"/>
  <c r="CZ374" i="1"/>
  <c r="BX376" i="1"/>
  <c r="BZ376" i="1" s="1"/>
  <c r="BW376" i="1"/>
  <c r="BY376" i="1" s="1"/>
  <c r="CA376" i="1" s="1"/>
  <c r="AD379" i="1"/>
  <c r="AF379" i="1" s="1"/>
  <c r="AH379" i="1" s="1"/>
  <c r="AE379" i="1"/>
  <c r="AG379" i="1" s="1"/>
  <c r="CM375" i="1"/>
  <c r="CO375" i="1" s="1"/>
  <c r="CL375" i="1"/>
  <c r="CN375" i="1" s="1"/>
  <c r="CP375" i="1" s="1"/>
  <c r="T380" i="1" l="1"/>
  <c r="V380" i="1" s="1"/>
  <c r="X380" i="1" s="1"/>
  <c r="U380" i="1"/>
  <c r="W380" i="1" s="1"/>
  <c r="DB374" i="1"/>
  <c r="DD374" i="1" s="1"/>
  <c r="DA374" i="1"/>
  <c r="DC374" i="1" s="1"/>
  <c r="K380" i="1"/>
  <c r="M380" i="1" s="1"/>
  <c r="J380" i="1"/>
  <c r="L380" i="1" s="1"/>
  <c r="N380" i="1" s="1"/>
  <c r="D381" i="1"/>
  <c r="CR375" i="1"/>
  <c r="CT375" i="1" s="1"/>
  <c r="CQ375" i="1"/>
  <c r="CS375" i="1" s="1"/>
  <c r="CU375" i="1" s="1"/>
  <c r="AJ379" i="1"/>
  <c r="AL379" i="1" s="1"/>
  <c r="AI379" i="1"/>
  <c r="AK379" i="1" s="1"/>
  <c r="AM379" i="1" s="1"/>
  <c r="CC376" i="1"/>
  <c r="CE376" i="1" s="1"/>
  <c r="CB376" i="1"/>
  <c r="CD376" i="1" s="1"/>
  <c r="CF376" i="1" s="1"/>
  <c r="BN377" i="1"/>
  <c r="BP377" i="1" s="1"/>
  <c r="BM377" i="1"/>
  <c r="BO377" i="1" s="1"/>
  <c r="BQ377" i="1" s="1"/>
  <c r="AY378" i="1"/>
  <c r="BA378" i="1" s="1"/>
  <c r="AX378" i="1"/>
  <c r="AZ378" i="1" s="1"/>
  <c r="BB378" i="1" s="1"/>
  <c r="CH376" i="1" l="1"/>
  <c r="CJ376" i="1" s="1"/>
  <c r="CG376" i="1"/>
  <c r="CI376" i="1" s="1"/>
  <c r="CK376" i="1" s="1"/>
  <c r="BS377" i="1"/>
  <c r="BU377" i="1" s="1"/>
  <c r="BR377" i="1"/>
  <c r="BT377" i="1" s="1"/>
  <c r="BV377" i="1" s="1"/>
  <c r="O380" i="1"/>
  <c r="P380" i="1"/>
  <c r="R380" i="1" s="1"/>
  <c r="E381" i="1"/>
  <c r="F381" i="1"/>
  <c r="H381" i="1" s="1"/>
  <c r="AO379" i="1"/>
  <c r="AQ379" i="1" s="1"/>
  <c r="AN379" i="1"/>
  <c r="AP379" i="1" s="1"/>
  <c r="AR379" i="1" s="1"/>
  <c r="Z380" i="1"/>
  <c r="AB380" i="1" s="1"/>
  <c r="Y380" i="1"/>
  <c r="AA380" i="1" s="1"/>
  <c r="AC380" i="1" s="1"/>
  <c r="BD378" i="1"/>
  <c r="BF378" i="1" s="1"/>
  <c r="BC378" i="1"/>
  <c r="BE378" i="1" s="1"/>
  <c r="BG378" i="1" s="1"/>
  <c r="CW375" i="1"/>
  <c r="CY375" i="1" s="1"/>
  <c r="CV375" i="1"/>
  <c r="CX375" i="1" s="1"/>
  <c r="CZ375" i="1" s="1"/>
  <c r="AT379" i="1" l="1"/>
  <c r="AV379" i="1" s="1"/>
  <c r="AS379" i="1"/>
  <c r="AU379" i="1" s="1"/>
  <c r="AW379" i="1" s="1"/>
  <c r="BI378" i="1"/>
  <c r="BK378" i="1" s="1"/>
  <c r="BH378" i="1"/>
  <c r="BJ378" i="1" s="1"/>
  <c r="BL378" i="1" s="1"/>
  <c r="AE380" i="1"/>
  <c r="AG380" i="1" s="1"/>
  <c r="AD380" i="1"/>
  <c r="AF380" i="1" s="1"/>
  <c r="AH380" i="1" s="1"/>
  <c r="DB375" i="1"/>
  <c r="DD375" i="1" s="1"/>
  <c r="DA375" i="1"/>
  <c r="DC375" i="1" s="1"/>
  <c r="G381" i="1"/>
  <c r="I381" i="1" s="1"/>
  <c r="Q381" i="1"/>
  <c r="S381" i="1" s="1"/>
  <c r="BX377" i="1"/>
  <c r="BZ377" i="1" s="1"/>
  <c r="BW377" i="1"/>
  <c r="BY377" i="1" s="1"/>
  <c r="CA377" i="1" s="1"/>
  <c r="CM376" i="1"/>
  <c r="CO376" i="1" s="1"/>
  <c r="CL376" i="1"/>
  <c r="CN376" i="1" s="1"/>
  <c r="CP376" i="1" s="1"/>
  <c r="AJ380" i="1" l="1"/>
  <c r="AL380" i="1" s="1"/>
  <c r="AI380" i="1"/>
  <c r="AK380" i="1" s="1"/>
  <c r="AM380" i="1" s="1"/>
  <c r="BN378" i="1"/>
  <c r="BP378" i="1" s="1"/>
  <c r="BM378" i="1"/>
  <c r="BO378" i="1" s="1"/>
  <c r="BQ378" i="1" s="1"/>
  <c r="U381" i="1"/>
  <c r="W381" i="1" s="1"/>
  <c r="T381" i="1"/>
  <c r="V381" i="1" s="1"/>
  <c r="X381" i="1" s="1"/>
  <c r="CR376" i="1"/>
  <c r="CT376" i="1" s="1"/>
  <c r="CQ376" i="1"/>
  <c r="CS376" i="1" s="1"/>
  <c r="CU376" i="1" s="1"/>
  <c r="CC377" i="1"/>
  <c r="CE377" i="1" s="1"/>
  <c r="CB377" i="1"/>
  <c r="CD377" i="1" s="1"/>
  <c r="CF377" i="1" s="1"/>
  <c r="AY379" i="1"/>
  <c r="BA379" i="1" s="1"/>
  <c r="AX379" i="1"/>
  <c r="AZ379" i="1" s="1"/>
  <c r="BB379" i="1" s="1"/>
  <c r="J381" i="1"/>
  <c r="L381" i="1" s="1"/>
  <c r="N381" i="1" s="1"/>
  <c r="K381" i="1"/>
  <c r="M381" i="1" s="1"/>
  <c r="D382" i="1"/>
  <c r="CV376" i="1" l="1"/>
  <c r="CX376" i="1" s="1"/>
  <c r="CW376" i="1"/>
  <c r="CY376" i="1" s="1"/>
  <c r="Z381" i="1"/>
  <c r="AB381" i="1" s="1"/>
  <c r="Y381" i="1"/>
  <c r="AA381" i="1" s="1"/>
  <c r="AC381" i="1" s="1"/>
  <c r="P381" i="1"/>
  <c r="R381" i="1" s="1"/>
  <c r="O381" i="1"/>
  <c r="BD379" i="1"/>
  <c r="BF379" i="1" s="1"/>
  <c r="BC379" i="1"/>
  <c r="BE379" i="1" s="1"/>
  <c r="BG379" i="1" s="1"/>
  <c r="AO380" i="1"/>
  <c r="AQ380" i="1" s="1"/>
  <c r="AN380" i="1"/>
  <c r="AP380" i="1" s="1"/>
  <c r="AR380" i="1" s="1"/>
  <c r="CH377" i="1"/>
  <c r="CJ377" i="1" s="1"/>
  <c r="CG377" i="1"/>
  <c r="CI377" i="1" s="1"/>
  <c r="CK377" i="1" s="1"/>
  <c r="F382" i="1"/>
  <c r="H382" i="1" s="1"/>
  <c r="E382" i="1"/>
  <c r="BS378" i="1"/>
  <c r="BU378" i="1" s="1"/>
  <c r="BR378" i="1"/>
  <c r="BT378" i="1" s="1"/>
  <c r="BV378" i="1" s="1"/>
  <c r="AE381" i="1" l="1"/>
  <c r="AG381" i="1" s="1"/>
  <c r="AD381" i="1"/>
  <c r="AF381" i="1" s="1"/>
  <c r="AH381" i="1" s="1"/>
  <c r="BX378" i="1"/>
  <c r="BZ378" i="1" s="1"/>
  <c r="BW378" i="1"/>
  <c r="BY378" i="1" s="1"/>
  <c r="CA378" i="1" s="1"/>
  <c r="Q382" i="1"/>
  <c r="S382" i="1" s="1"/>
  <c r="G382" i="1"/>
  <c r="I382" i="1" s="1"/>
  <c r="CL377" i="1"/>
  <c r="CN377" i="1" s="1"/>
  <c r="CP377" i="1" s="1"/>
  <c r="CM377" i="1"/>
  <c r="CO377" i="1" s="1"/>
  <c r="AT380" i="1"/>
  <c r="AV380" i="1" s="1"/>
  <c r="AS380" i="1"/>
  <c r="AU380" i="1" s="1"/>
  <c r="AW380" i="1" s="1"/>
  <c r="BI379" i="1"/>
  <c r="BK379" i="1" s="1"/>
  <c r="BH379" i="1"/>
  <c r="BJ379" i="1" s="1"/>
  <c r="BL379" i="1" s="1"/>
  <c r="CZ376" i="1"/>
  <c r="BN379" i="1" l="1"/>
  <c r="BP379" i="1" s="1"/>
  <c r="BM379" i="1"/>
  <c r="BO379" i="1" s="1"/>
  <c r="BQ379" i="1" s="1"/>
  <c r="K382" i="1"/>
  <c r="M382" i="1" s="1"/>
  <c r="J382" i="1"/>
  <c r="L382" i="1" s="1"/>
  <c r="N382" i="1" s="1"/>
  <c r="D383" i="1"/>
  <c r="T382" i="1"/>
  <c r="V382" i="1" s="1"/>
  <c r="X382" i="1" s="1"/>
  <c r="U382" i="1"/>
  <c r="W382" i="1" s="1"/>
  <c r="AJ381" i="1"/>
  <c r="AL381" i="1" s="1"/>
  <c r="AI381" i="1"/>
  <c r="AK381" i="1" s="1"/>
  <c r="AM381" i="1" s="1"/>
  <c r="DA376" i="1"/>
  <c r="DC376" i="1" s="1"/>
  <c r="DB376" i="1"/>
  <c r="DD376" i="1" s="1"/>
  <c r="CQ377" i="1"/>
  <c r="CS377" i="1" s="1"/>
  <c r="CU377" i="1" s="1"/>
  <c r="CR377" i="1"/>
  <c r="CT377" i="1" s="1"/>
  <c r="CB378" i="1"/>
  <c r="CD378" i="1" s="1"/>
  <c r="CF378" i="1" s="1"/>
  <c r="CC378" i="1"/>
  <c r="CE378" i="1" s="1"/>
  <c r="AY380" i="1"/>
  <c r="BA380" i="1" s="1"/>
  <c r="AX380" i="1"/>
  <c r="AZ380" i="1" s="1"/>
  <c r="BB380" i="1" s="1"/>
  <c r="CW377" i="1" l="1"/>
  <c r="CY377" i="1" s="1"/>
  <c r="CV377" i="1"/>
  <c r="CX377" i="1" s="1"/>
  <c r="CZ377" i="1" s="1"/>
  <c r="CG378" i="1"/>
  <c r="CI378" i="1" s="1"/>
  <c r="CK378" i="1" s="1"/>
  <c r="CH378" i="1"/>
  <c r="CJ378" i="1" s="1"/>
  <c r="P382" i="1"/>
  <c r="R382" i="1" s="1"/>
  <c r="O382" i="1"/>
  <c r="BR379" i="1"/>
  <c r="BT379" i="1" s="1"/>
  <c r="BV379" i="1" s="1"/>
  <c r="BS379" i="1"/>
  <c r="BU379" i="1" s="1"/>
  <c r="BD380" i="1"/>
  <c r="BF380" i="1" s="1"/>
  <c r="BC380" i="1"/>
  <c r="BE380" i="1" s="1"/>
  <c r="BG380" i="1" s="1"/>
  <c r="Z382" i="1"/>
  <c r="AB382" i="1" s="1"/>
  <c r="Y382" i="1"/>
  <c r="AA382" i="1" s="1"/>
  <c r="AC382" i="1" s="1"/>
  <c r="F383" i="1"/>
  <c r="H383" i="1" s="1"/>
  <c r="E383" i="1"/>
  <c r="AO381" i="1"/>
  <c r="AQ381" i="1" s="1"/>
  <c r="AN381" i="1"/>
  <c r="AP381" i="1" s="1"/>
  <c r="AR381" i="1" s="1"/>
  <c r="BW379" i="1" l="1"/>
  <c r="BY379" i="1" s="1"/>
  <c r="CA379" i="1" s="1"/>
  <c r="BX379" i="1"/>
  <c r="BZ379" i="1" s="1"/>
  <c r="G383" i="1"/>
  <c r="I383" i="1" s="1"/>
  <c r="Q383" i="1"/>
  <c r="S383" i="1" s="1"/>
  <c r="DA377" i="1"/>
  <c r="DC377" i="1" s="1"/>
  <c r="DB377" i="1"/>
  <c r="DD377" i="1" s="1"/>
  <c r="AT381" i="1"/>
  <c r="AV381" i="1" s="1"/>
  <c r="AS381" i="1"/>
  <c r="AU381" i="1" s="1"/>
  <c r="AW381" i="1" s="1"/>
  <c r="AD382" i="1"/>
  <c r="AF382" i="1" s="1"/>
  <c r="AH382" i="1" s="1"/>
  <c r="AE382" i="1"/>
  <c r="AG382" i="1" s="1"/>
  <c r="CM378" i="1"/>
  <c r="CO378" i="1" s="1"/>
  <c r="CL378" i="1"/>
  <c r="CN378" i="1" s="1"/>
  <c r="CP378" i="1" s="1"/>
  <c r="BH380" i="1"/>
  <c r="BJ380" i="1" s="1"/>
  <c r="BL380" i="1" s="1"/>
  <c r="BI380" i="1"/>
  <c r="BK380" i="1" s="1"/>
  <c r="AJ382" i="1" l="1"/>
  <c r="AL382" i="1" s="1"/>
  <c r="AI382" i="1"/>
  <c r="AK382" i="1" s="1"/>
  <c r="AM382" i="1" s="1"/>
  <c r="CC379" i="1"/>
  <c r="CE379" i="1" s="1"/>
  <c r="CB379" i="1"/>
  <c r="CD379" i="1" s="1"/>
  <c r="CF379" i="1" s="1"/>
  <c r="J383" i="1"/>
  <c r="L383" i="1" s="1"/>
  <c r="N383" i="1" s="1"/>
  <c r="K383" i="1"/>
  <c r="M383" i="1" s="1"/>
  <c r="D384" i="1"/>
  <c r="AY381" i="1"/>
  <c r="BA381" i="1" s="1"/>
  <c r="AX381" i="1"/>
  <c r="AZ381" i="1" s="1"/>
  <c r="BB381" i="1" s="1"/>
  <c r="BM380" i="1"/>
  <c r="BO380" i="1" s="1"/>
  <c r="BQ380" i="1" s="1"/>
  <c r="BN380" i="1"/>
  <c r="BP380" i="1" s="1"/>
  <c r="U383" i="1"/>
  <c r="W383" i="1" s="1"/>
  <c r="T383" i="1"/>
  <c r="V383" i="1" s="1"/>
  <c r="X383" i="1" s="1"/>
  <c r="CQ378" i="1"/>
  <c r="CS378" i="1" s="1"/>
  <c r="CU378" i="1" s="1"/>
  <c r="CR378" i="1"/>
  <c r="CT378" i="1" s="1"/>
  <c r="CV378" i="1" l="1"/>
  <c r="CX378" i="1" s="1"/>
  <c r="CW378" i="1"/>
  <c r="CY378" i="1" s="1"/>
  <c r="F384" i="1"/>
  <c r="H384" i="1" s="1"/>
  <c r="E384" i="1"/>
  <c r="Z383" i="1"/>
  <c r="AB383" i="1" s="1"/>
  <c r="Y383" i="1"/>
  <c r="AA383" i="1" s="1"/>
  <c r="AC383" i="1" s="1"/>
  <c r="CG379" i="1"/>
  <c r="CI379" i="1" s="1"/>
  <c r="CK379" i="1" s="1"/>
  <c r="CH379" i="1"/>
  <c r="CJ379" i="1" s="1"/>
  <c r="BS380" i="1"/>
  <c r="BU380" i="1" s="1"/>
  <c r="BR380" i="1"/>
  <c r="BT380" i="1" s="1"/>
  <c r="BV380" i="1" s="1"/>
  <c r="P383" i="1"/>
  <c r="R383" i="1" s="1"/>
  <c r="O383" i="1"/>
  <c r="AO382" i="1"/>
  <c r="AQ382" i="1" s="1"/>
  <c r="AN382" i="1"/>
  <c r="AP382" i="1" s="1"/>
  <c r="AR382" i="1" s="1"/>
  <c r="BC381" i="1"/>
  <c r="BE381" i="1" s="1"/>
  <c r="BG381" i="1" s="1"/>
  <c r="BD381" i="1"/>
  <c r="BF381" i="1" s="1"/>
  <c r="AE383" i="1" l="1"/>
  <c r="AG383" i="1" s="1"/>
  <c r="AD383" i="1"/>
  <c r="AF383" i="1" s="1"/>
  <c r="AH383" i="1" s="1"/>
  <c r="G384" i="1"/>
  <c r="I384" i="1" s="1"/>
  <c r="Q384" i="1"/>
  <c r="S384" i="1" s="1"/>
  <c r="BH381" i="1"/>
  <c r="BJ381" i="1" s="1"/>
  <c r="BL381" i="1" s="1"/>
  <c r="BI381" i="1"/>
  <c r="BK381" i="1" s="1"/>
  <c r="AT382" i="1"/>
  <c r="AV382" i="1" s="1"/>
  <c r="AS382" i="1"/>
  <c r="AU382" i="1" s="1"/>
  <c r="AW382" i="1" s="1"/>
  <c r="BW380" i="1"/>
  <c r="BY380" i="1" s="1"/>
  <c r="CA380" i="1" s="1"/>
  <c r="BX380" i="1"/>
  <c r="BZ380" i="1" s="1"/>
  <c r="CL379" i="1"/>
  <c r="CN379" i="1" s="1"/>
  <c r="CP379" i="1" s="1"/>
  <c r="CM379" i="1"/>
  <c r="CO379" i="1" s="1"/>
  <c r="CZ378" i="1"/>
  <c r="AY382" i="1" l="1"/>
  <c r="BA382" i="1" s="1"/>
  <c r="AX382" i="1"/>
  <c r="AZ382" i="1" s="1"/>
  <c r="BB382" i="1" s="1"/>
  <c r="DB378" i="1"/>
  <c r="DD378" i="1" s="1"/>
  <c r="DA378" i="1"/>
  <c r="DC378" i="1" s="1"/>
  <c r="CR379" i="1"/>
  <c r="CT379" i="1" s="1"/>
  <c r="CQ379" i="1"/>
  <c r="CS379" i="1" s="1"/>
  <c r="CU379" i="1" s="1"/>
  <c r="CB380" i="1"/>
  <c r="CD380" i="1" s="1"/>
  <c r="CF380" i="1" s="1"/>
  <c r="CC380" i="1"/>
  <c r="CE380" i="1" s="1"/>
  <c r="BN381" i="1"/>
  <c r="BP381" i="1" s="1"/>
  <c r="BM381" i="1"/>
  <c r="BO381" i="1" s="1"/>
  <c r="BQ381" i="1" s="1"/>
  <c r="AJ383" i="1"/>
  <c r="AL383" i="1" s="1"/>
  <c r="AI383" i="1"/>
  <c r="AK383" i="1" s="1"/>
  <c r="AM383" i="1" s="1"/>
  <c r="U384" i="1"/>
  <c r="W384" i="1" s="1"/>
  <c r="T384" i="1"/>
  <c r="V384" i="1" s="1"/>
  <c r="X384" i="1" s="1"/>
  <c r="K384" i="1"/>
  <c r="M384" i="1" s="1"/>
  <c r="J384" i="1"/>
  <c r="L384" i="1" s="1"/>
  <c r="N384" i="1" s="1"/>
  <c r="D385" i="1"/>
  <c r="CH380" i="1" l="1"/>
  <c r="CJ380" i="1" s="1"/>
  <c r="CG380" i="1"/>
  <c r="CI380" i="1" s="1"/>
  <c r="CK380" i="1" s="1"/>
  <c r="P384" i="1"/>
  <c r="R384" i="1" s="1"/>
  <c r="O384" i="1"/>
  <c r="CV379" i="1"/>
  <c r="CX379" i="1" s="1"/>
  <c r="CW379" i="1"/>
  <c r="CY379" i="1" s="1"/>
  <c r="AO383" i="1"/>
  <c r="AQ383" i="1" s="1"/>
  <c r="AN383" i="1"/>
  <c r="AP383" i="1" s="1"/>
  <c r="AR383" i="1" s="1"/>
  <c r="BD382" i="1"/>
  <c r="BF382" i="1" s="1"/>
  <c r="BC382" i="1"/>
  <c r="BE382" i="1" s="1"/>
  <c r="BG382" i="1" s="1"/>
  <c r="Z384" i="1"/>
  <c r="AB384" i="1" s="1"/>
  <c r="Y384" i="1"/>
  <c r="AA384" i="1" s="1"/>
  <c r="AC384" i="1" s="1"/>
  <c r="BR381" i="1"/>
  <c r="BT381" i="1" s="1"/>
  <c r="BV381" i="1" s="1"/>
  <c r="BS381" i="1"/>
  <c r="BU381" i="1" s="1"/>
  <c r="F385" i="1"/>
  <c r="H385" i="1" s="1"/>
  <c r="E385" i="1"/>
  <c r="AT383" i="1" l="1"/>
  <c r="AV383" i="1" s="1"/>
  <c r="AS383" i="1"/>
  <c r="AU383" i="1" s="1"/>
  <c r="AW383" i="1" s="1"/>
  <c r="Q385" i="1"/>
  <c r="S385" i="1" s="1"/>
  <c r="G385" i="1"/>
  <c r="I385" i="1" s="1"/>
  <c r="CZ379" i="1"/>
  <c r="BW381" i="1"/>
  <c r="BY381" i="1" s="1"/>
  <c r="CA381" i="1" s="1"/>
  <c r="BX381" i="1"/>
  <c r="BZ381" i="1" s="1"/>
  <c r="AE384" i="1"/>
  <c r="AG384" i="1" s="1"/>
  <c r="AD384" i="1"/>
  <c r="AF384" i="1" s="1"/>
  <c r="AH384" i="1" s="1"/>
  <c r="CM380" i="1"/>
  <c r="CO380" i="1" s="1"/>
  <c r="CL380" i="1"/>
  <c r="CN380" i="1" s="1"/>
  <c r="CP380" i="1" s="1"/>
  <c r="BI382" i="1"/>
  <c r="BK382" i="1" s="1"/>
  <c r="BH382" i="1"/>
  <c r="BJ382" i="1" s="1"/>
  <c r="BL382" i="1" s="1"/>
  <c r="DB379" i="1" l="1"/>
  <c r="DD379" i="1" s="1"/>
  <c r="DA379" i="1"/>
  <c r="DC379" i="1" s="1"/>
  <c r="CC381" i="1"/>
  <c r="CE381" i="1" s="1"/>
  <c r="CB381" i="1"/>
  <c r="CD381" i="1" s="1"/>
  <c r="CF381" i="1" s="1"/>
  <c r="CR380" i="1"/>
  <c r="CT380" i="1" s="1"/>
  <c r="CQ380" i="1"/>
  <c r="CS380" i="1" s="1"/>
  <c r="CU380" i="1" s="1"/>
  <c r="AJ384" i="1"/>
  <c r="AL384" i="1" s="1"/>
  <c r="AI384" i="1"/>
  <c r="AK384" i="1" s="1"/>
  <c r="AM384" i="1" s="1"/>
  <c r="K385" i="1"/>
  <c r="M385" i="1" s="1"/>
  <c r="J385" i="1"/>
  <c r="L385" i="1" s="1"/>
  <c r="N385" i="1" s="1"/>
  <c r="D386" i="1"/>
  <c r="AY383" i="1"/>
  <c r="BA383" i="1" s="1"/>
  <c r="AX383" i="1"/>
  <c r="AZ383" i="1" s="1"/>
  <c r="BB383" i="1" s="1"/>
  <c r="BM382" i="1"/>
  <c r="BO382" i="1" s="1"/>
  <c r="BQ382" i="1" s="1"/>
  <c r="BN382" i="1"/>
  <c r="BP382" i="1" s="1"/>
  <c r="U385" i="1"/>
  <c r="W385" i="1" s="1"/>
  <c r="T385" i="1"/>
  <c r="V385" i="1" s="1"/>
  <c r="X385" i="1" s="1"/>
  <c r="Z385" i="1" l="1"/>
  <c r="AB385" i="1" s="1"/>
  <c r="Y385" i="1"/>
  <c r="AA385" i="1" s="1"/>
  <c r="AC385" i="1" s="1"/>
  <c r="CW380" i="1"/>
  <c r="CY380" i="1" s="1"/>
  <c r="CV380" i="1"/>
  <c r="CX380" i="1" s="1"/>
  <c r="CZ380" i="1" s="1"/>
  <c r="AN384" i="1"/>
  <c r="AP384" i="1" s="1"/>
  <c r="AR384" i="1" s="1"/>
  <c r="AO384" i="1"/>
  <c r="AQ384" i="1" s="1"/>
  <c r="BC383" i="1"/>
  <c r="BE383" i="1" s="1"/>
  <c r="BG383" i="1" s="1"/>
  <c r="BD383" i="1"/>
  <c r="BF383" i="1" s="1"/>
  <c r="CH381" i="1"/>
  <c r="CJ381" i="1" s="1"/>
  <c r="CG381" i="1"/>
  <c r="CI381" i="1" s="1"/>
  <c r="CK381" i="1" s="1"/>
  <c r="F386" i="1"/>
  <c r="H386" i="1" s="1"/>
  <c r="E386" i="1"/>
  <c r="BS382" i="1"/>
  <c r="BU382" i="1" s="1"/>
  <c r="BR382" i="1"/>
  <c r="BT382" i="1" s="1"/>
  <c r="BV382" i="1" s="1"/>
  <c r="P385" i="1"/>
  <c r="R385" i="1" s="1"/>
  <c r="O385" i="1"/>
  <c r="BX382" i="1" l="1"/>
  <c r="BZ382" i="1" s="1"/>
  <c r="BW382" i="1"/>
  <c r="BY382" i="1" s="1"/>
  <c r="CA382" i="1" s="1"/>
  <c r="Q386" i="1"/>
  <c r="S386" i="1" s="1"/>
  <c r="G386" i="1"/>
  <c r="I386" i="1" s="1"/>
  <c r="DB380" i="1"/>
  <c r="DD380" i="1" s="1"/>
  <c r="DA380" i="1"/>
  <c r="DC380" i="1" s="1"/>
  <c r="AD385" i="1"/>
  <c r="AF385" i="1" s="1"/>
  <c r="AH385" i="1" s="1"/>
  <c r="AE385" i="1"/>
  <c r="AG385" i="1" s="1"/>
  <c r="BI383" i="1"/>
  <c r="BK383" i="1" s="1"/>
  <c r="BH383" i="1"/>
  <c r="BJ383" i="1" s="1"/>
  <c r="BL383" i="1" s="1"/>
  <c r="AT384" i="1"/>
  <c r="AV384" i="1" s="1"/>
  <c r="AS384" i="1"/>
  <c r="AU384" i="1" s="1"/>
  <c r="AW384" i="1" s="1"/>
  <c r="CL381" i="1"/>
  <c r="CN381" i="1" s="1"/>
  <c r="CP381" i="1" s="1"/>
  <c r="CM381" i="1"/>
  <c r="CO381" i="1" s="1"/>
  <c r="AJ385" i="1" l="1"/>
  <c r="AL385" i="1" s="1"/>
  <c r="AI385" i="1"/>
  <c r="AK385" i="1" s="1"/>
  <c r="AM385" i="1" s="1"/>
  <c r="AY384" i="1"/>
  <c r="BA384" i="1" s="1"/>
  <c r="AX384" i="1"/>
  <c r="AZ384" i="1" s="1"/>
  <c r="BB384" i="1" s="1"/>
  <c r="CR381" i="1"/>
  <c r="CT381" i="1" s="1"/>
  <c r="CQ381" i="1"/>
  <c r="CS381" i="1" s="1"/>
  <c r="CU381" i="1" s="1"/>
  <c r="U386" i="1"/>
  <c r="W386" i="1" s="1"/>
  <c r="T386" i="1"/>
  <c r="V386" i="1" s="1"/>
  <c r="X386" i="1" s="1"/>
  <c r="K386" i="1"/>
  <c r="M386" i="1" s="1"/>
  <c r="J386" i="1"/>
  <c r="L386" i="1" s="1"/>
  <c r="N386" i="1" s="1"/>
  <c r="D387" i="1"/>
  <c r="CB382" i="1"/>
  <c r="CD382" i="1" s="1"/>
  <c r="CF382" i="1" s="1"/>
  <c r="CC382" i="1"/>
  <c r="CE382" i="1" s="1"/>
  <c r="BN383" i="1"/>
  <c r="BP383" i="1" s="1"/>
  <c r="BM383" i="1"/>
  <c r="BO383" i="1" s="1"/>
  <c r="BQ383" i="1" s="1"/>
  <c r="BR383" i="1" l="1"/>
  <c r="BT383" i="1" s="1"/>
  <c r="BV383" i="1" s="1"/>
  <c r="BS383" i="1"/>
  <c r="BU383" i="1" s="1"/>
  <c r="BC384" i="1"/>
  <c r="BE384" i="1" s="1"/>
  <c r="BG384" i="1" s="1"/>
  <c r="BD384" i="1"/>
  <c r="BF384" i="1" s="1"/>
  <c r="Z386" i="1"/>
  <c r="AB386" i="1" s="1"/>
  <c r="Y386" i="1"/>
  <c r="AA386" i="1" s="1"/>
  <c r="AC386" i="1" s="1"/>
  <c r="CW381" i="1"/>
  <c r="CY381" i="1" s="1"/>
  <c r="CV381" i="1"/>
  <c r="CX381" i="1" s="1"/>
  <c r="CZ381" i="1" s="1"/>
  <c r="AO385" i="1"/>
  <c r="AQ385" i="1" s="1"/>
  <c r="AN385" i="1"/>
  <c r="AP385" i="1" s="1"/>
  <c r="AR385" i="1" s="1"/>
  <c r="CH382" i="1"/>
  <c r="CJ382" i="1" s="1"/>
  <c r="CG382" i="1"/>
  <c r="CI382" i="1" s="1"/>
  <c r="CK382" i="1" s="1"/>
  <c r="F387" i="1"/>
  <c r="H387" i="1" s="1"/>
  <c r="E387" i="1"/>
  <c r="P386" i="1"/>
  <c r="R386" i="1" s="1"/>
  <c r="O386" i="1"/>
  <c r="DB381" i="1" l="1"/>
  <c r="DD381" i="1" s="1"/>
  <c r="DA381" i="1"/>
  <c r="DC381" i="1" s="1"/>
  <c r="Q387" i="1"/>
  <c r="S387" i="1" s="1"/>
  <c r="G387" i="1"/>
  <c r="I387" i="1" s="1"/>
  <c r="CM382" i="1"/>
  <c r="CO382" i="1" s="1"/>
  <c r="CL382" i="1"/>
  <c r="CN382" i="1" s="1"/>
  <c r="CP382" i="1" s="1"/>
  <c r="BH384" i="1"/>
  <c r="BJ384" i="1" s="1"/>
  <c r="BL384" i="1" s="1"/>
  <c r="BI384" i="1"/>
  <c r="BK384" i="1" s="1"/>
  <c r="AE386" i="1"/>
  <c r="AG386" i="1" s="1"/>
  <c r="AD386" i="1"/>
  <c r="AF386" i="1" s="1"/>
  <c r="AH386" i="1" s="1"/>
  <c r="AT385" i="1"/>
  <c r="AV385" i="1" s="1"/>
  <c r="AS385" i="1"/>
  <c r="AU385" i="1" s="1"/>
  <c r="AW385" i="1" s="1"/>
  <c r="BX383" i="1"/>
  <c r="BZ383" i="1" s="1"/>
  <c r="BW383" i="1"/>
  <c r="BY383" i="1" s="1"/>
  <c r="CA383" i="1" s="1"/>
  <c r="BN384" i="1" l="1"/>
  <c r="BP384" i="1" s="1"/>
  <c r="BM384" i="1"/>
  <c r="BO384" i="1" s="1"/>
  <c r="BQ384" i="1" s="1"/>
  <c r="K387" i="1"/>
  <c r="M387" i="1" s="1"/>
  <c r="J387" i="1"/>
  <c r="L387" i="1" s="1"/>
  <c r="N387" i="1" s="1"/>
  <c r="D388" i="1"/>
  <c r="CR382" i="1"/>
  <c r="CT382" i="1" s="1"/>
  <c r="CQ382" i="1"/>
  <c r="CS382" i="1" s="1"/>
  <c r="CU382" i="1" s="1"/>
  <c r="AX385" i="1"/>
  <c r="AZ385" i="1" s="1"/>
  <c r="BB385" i="1" s="1"/>
  <c r="AY385" i="1"/>
  <c r="BA385" i="1" s="1"/>
  <c r="AJ386" i="1"/>
  <c r="AL386" i="1" s="1"/>
  <c r="AI386" i="1"/>
  <c r="AK386" i="1" s="1"/>
  <c r="AM386" i="1" s="1"/>
  <c r="CC383" i="1"/>
  <c r="CE383" i="1" s="1"/>
  <c r="CB383" i="1"/>
  <c r="CD383" i="1" s="1"/>
  <c r="CF383" i="1" s="1"/>
  <c r="U387" i="1"/>
  <c r="W387" i="1" s="1"/>
  <c r="T387" i="1"/>
  <c r="V387" i="1" s="1"/>
  <c r="X387" i="1" s="1"/>
  <c r="Z387" i="1" l="1"/>
  <c r="AB387" i="1" s="1"/>
  <c r="Y387" i="1"/>
  <c r="AA387" i="1" s="1"/>
  <c r="AC387" i="1" s="1"/>
  <c r="CW382" i="1"/>
  <c r="CY382" i="1" s="1"/>
  <c r="CV382" i="1"/>
  <c r="CX382" i="1" s="1"/>
  <c r="CZ382" i="1" s="1"/>
  <c r="BD385" i="1"/>
  <c r="BF385" i="1" s="1"/>
  <c r="BC385" i="1"/>
  <c r="BE385" i="1" s="1"/>
  <c r="BG385" i="1" s="1"/>
  <c r="CH383" i="1"/>
  <c r="CJ383" i="1" s="1"/>
  <c r="CG383" i="1"/>
  <c r="CI383" i="1" s="1"/>
  <c r="CK383" i="1" s="1"/>
  <c r="BS384" i="1"/>
  <c r="BU384" i="1" s="1"/>
  <c r="BR384" i="1"/>
  <c r="BT384" i="1" s="1"/>
  <c r="BV384" i="1" s="1"/>
  <c r="F388" i="1"/>
  <c r="H388" i="1" s="1"/>
  <c r="E388" i="1"/>
  <c r="P387" i="1"/>
  <c r="R387" i="1" s="1"/>
  <c r="O387" i="1"/>
  <c r="AN386" i="1"/>
  <c r="AP386" i="1" s="1"/>
  <c r="AR386" i="1" s="1"/>
  <c r="AO386" i="1"/>
  <c r="AQ386" i="1" s="1"/>
  <c r="AT386" i="1" l="1"/>
  <c r="AV386" i="1" s="1"/>
  <c r="AS386" i="1"/>
  <c r="AU386" i="1" s="1"/>
  <c r="AW386" i="1" s="1"/>
  <c r="CM383" i="1"/>
  <c r="CO383" i="1" s="1"/>
  <c r="CL383" i="1"/>
  <c r="CN383" i="1" s="1"/>
  <c r="CP383" i="1" s="1"/>
  <c r="BI385" i="1"/>
  <c r="BK385" i="1" s="1"/>
  <c r="BH385" i="1"/>
  <c r="BJ385" i="1" s="1"/>
  <c r="BL385" i="1" s="1"/>
  <c r="DA382" i="1"/>
  <c r="DC382" i="1" s="1"/>
  <c r="DB382" i="1"/>
  <c r="DD382" i="1" s="1"/>
  <c r="BX384" i="1"/>
  <c r="BZ384" i="1" s="1"/>
  <c r="BW384" i="1"/>
  <c r="BY384" i="1" s="1"/>
  <c r="CA384" i="1" s="1"/>
  <c r="AD387" i="1"/>
  <c r="AF387" i="1" s="1"/>
  <c r="AH387" i="1" s="1"/>
  <c r="AE387" i="1"/>
  <c r="AG387" i="1" s="1"/>
  <c r="G388" i="1"/>
  <c r="I388" i="1" s="1"/>
  <c r="Q388" i="1"/>
  <c r="S388" i="1" s="1"/>
  <c r="K388" i="1" l="1"/>
  <c r="M388" i="1" s="1"/>
  <c r="J388" i="1"/>
  <c r="L388" i="1" s="1"/>
  <c r="N388" i="1" s="1"/>
  <c r="D389" i="1"/>
  <c r="BN385" i="1"/>
  <c r="BP385" i="1" s="1"/>
  <c r="BM385" i="1"/>
  <c r="BO385" i="1" s="1"/>
  <c r="BQ385" i="1" s="1"/>
  <c r="T388" i="1"/>
  <c r="V388" i="1" s="1"/>
  <c r="X388" i="1" s="1"/>
  <c r="U388" i="1"/>
  <c r="W388" i="1" s="1"/>
  <c r="CR383" i="1"/>
  <c r="CT383" i="1" s="1"/>
  <c r="CQ383" i="1"/>
  <c r="CS383" i="1" s="1"/>
  <c r="CU383" i="1" s="1"/>
  <c r="AJ387" i="1"/>
  <c r="AL387" i="1" s="1"/>
  <c r="AI387" i="1"/>
  <c r="AK387" i="1" s="1"/>
  <c r="AM387" i="1" s="1"/>
  <c r="CC384" i="1"/>
  <c r="CE384" i="1" s="1"/>
  <c r="CB384" i="1"/>
  <c r="CD384" i="1" s="1"/>
  <c r="CF384" i="1" s="1"/>
  <c r="AY386" i="1"/>
  <c r="BA386" i="1" s="1"/>
  <c r="AX386" i="1"/>
  <c r="AZ386" i="1" s="1"/>
  <c r="BB386" i="1" s="1"/>
  <c r="Z388" i="1" l="1"/>
  <c r="AB388" i="1" s="1"/>
  <c r="Y388" i="1"/>
  <c r="AA388" i="1" s="1"/>
  <c r="AC388" i="1" s="1"/>
  <c r="P388" i="1"/>
  <c r="R388" i="1" s="1"/>
  <c r="O388" i="1"/>
  <c r="BD386" i="1"/>
  <c r="BF386" i="1" s="1"/>
  <c r="BC386" i="1"/>
  <c r="BE386" i="1" s="1"/>
  <c r="BG386" i="1" s="1"/>
  <c r="BS385" i="1"/>
  <c r="BU385" i="1" s="1"/>
  <c r="BR385" i="1"/>
  <c r="BT385" i="1" s="1"/>
  <c r="BV385" i="1" s="1"/>
  <c r="AO387" i="1"/>
  <c r="AQ387" i="1" s="1"/>
  <c r="AN387" i="1"/>
  <c r="AP387" i="1" s="1"/>
  <c r="AR387" i="1" s="1"/>
  <c r="CH384" i="1"/>
  <c r="CJ384" i="1" s="1"/>
  <c r="CG384" i="1"/>
  <c r="CI384" i="1" s="1"/>
  <c r="CK384" i="1" s="1"/>
  <c r="F389" i="1"/>
  <c r="H389" i="1" s="1"/>
  <c r="E389" i="1"/>
  <c r="CW383" i="1"/>
  <c r="CY383" i="1" s="1"/>
  <c r="CV383" i="1"/>
  <c r="CX383" i="1" s="1"/>
  <c r="CZ383" i="1" s="1"/>
  <c r="BX385" i="1" l="1"/>
  <c r="BZ385" i="1" s="1"/>
  <c r="BW385" i="1"/>
  <c r="BY385" i="1" s="1"/>
  <c r="CA385" i="1" s="1"/>
  <c r="BI386" i="1"/>
  <c r="BK386" i="1" s="1"/>
  <c r="BH386" i="1"/>
  <c r="BJ386" i="1" s="1"/>
  <c r="BL386" i="1" s="1"/>
  <c r="G389" i="1"/>
  <c r="I389" i="1" s="1"/>
  <c r="Q389" i="1"/>
  <c r="S389" i="1" s="1"/>
  <c r="DB383" i="1"/>
  <c r="DD383" i="1" s="1"/>
  <c r="DA383" i="1"/>
  <c r="DC383" i="1" s="1"/>
  <c r="AE388" i="1"/>
  <c r="AG388" i="1" s="1"/>
  <c r="AD388" i="1"/>
  <c r="AF388" i="1" s="1"/>
  <c r="AH388" i="1" s="1"/>
  <c r="CM384" i="1"/>
  <c r="CO384" i="1" s="1"/>
  <c r="CL384" i="1"/>
  <c r="CN384" i="1" s="1"/>
  <c r="CP384" i="1" s="1"/>
  <c r="AT387" i="1"/>
  <c r="AV387" i="1" s="1"/>
  <c r="AS387" i="1"/>
  <c r="AU387" i="1" s="1"/>
  <c r="AW387" i="1" s="1"/>
  <c r="U389" i="1" l="1"/>
  <c r="W389" i="1" s="1"/>
  <c r="T389" i="1"/>
  <c r="V389" i="1" s="1"/>
  <c r="X389" i="1" s="1"/>
  <c r="AY387" i="1"/>
  <c r="BA387" i="1" s="1"/>
  <c r="AX387" i="1"/>
  <c r="AZ387" i="1" s="1"/>
  <c r="BB387" i="1" s="1"/>
  <c r="BN386" i="1"/>
  <c r="BP386" i="1" s="1"/>
  <c r="BM386" i="1"/>
  <c r="BO386" i="1" s="1"/>
  <c r="BQ386" i="1" s="1"/>
  <c r="J389" i="1"/>
  <c r="L389" i="1" s="1"/>
  <c r="N389" i="1" s="1"/>
  <c r="K389" i="1"/>
  <c r="M389" i="1" s="1"/>
  <c r="D390" i="1"/>
  <c r="CR384" i="1"/>
  <c r="CT384" i="1" s="1"/>
  <c r="CQ384" i="1"/>
  <c r="CS384" i="1" s="1"/>
  <c r="CU384" i="1" s="1"/>
  <c r="CC385" i="1"/>
  <c r="CE385" i="1" s="1"/>
  <c r="CB385" i="1"/>
  <c r="CD385" i="1" s="1"/>
  <c r="CF385" i="1" s="1"/>
  <c r="AJ388" i="1"/>
  <c r="AL388" i="1" s="1"/>
  <c r="AI388" i="1"/>
  <c r="AK388" i="1" s="1"/>
  <c r="AM388" i="1" s="1"/>
  <c r="AO388" i="1" l="1"/>
  <c r="AQ388" i="1" s="1"/>
  <c r="AN388" i="1"/>
  <c r="AP388" i="1" s="1"/>
  <c r="AR388" i="1" s="1"/>
  <c r="CH385" i="1"/>
  <c r="CJ385" i="1" s="1"/>
  <c r="CG385" i="1"/>
  <c r="CI385" i="1" s="1"/>
  <c r="CK385" i="1" s="1"/>
  <c r="BD387" i="1"/>
  <c r="BF387" i="1" s="1"/>
  <c r="BC387" i="1"/>
  <c r="BE387" i="1" s="1"/>
  <c r="BG387" i="1" s="1"/>
  <c r="BS386" i="1"/>
  <c r="BU386" i="1" s="1"/>
  <c r="BR386" i="1"/>
  <c r="BT386" i="1" s="1"/>
  <c r="BV386" i="1" s="1"/>
  <c r="Z389" i="1"/>
  <c r="AB389" i="1" s="1"/>
  <c r="Y389" i="1"/>
  <c r="AA389" i="1" s="1"/>
  <c r="AC389" i="1" s="1"/>
  <c r="P389" i="1"/>
  <c r="R389" i="1" s="1"/>
  <c r="O389" i="1"/>
  <c r="CV384" i="1"/>
  <c r="CX384" i="1" s="1"/>
  <c r="CW384" i="1"/>
  <c r="CY384" i="1" s="1"/>
  <c r="F390" i="1"/>
  <c r="H390" i="1" s="1"/>
  <c r="E390" i="1"/>
  <c r="G390" i="1" l="1"/>
  <c r="I390" i="1" s="1"/>
  <c r="Q390" i="1"/>
  <c r="S390" i="1" s="1"/>
  <c r="BI387" i="1"/>
  <c r="BK387" i="1" s="1"/>
  <c r="BH387" i="1"/>
  <c r="BJ387" i="1" s="1"/>
  <c r="BL387" i="1" s="1"/>
  <c r="BX386" i="1"/>
  <c r="BZ386" i="1" s="1"/>
  <c r="BW386" i="1"/>
  <c r="BY386" i="1" s="1"/>
  <c r="CA386" i="1" s="1"/>
  <c r="AE389" i="1"/>
  <c r="AG389" i="1" s="1"/>
  <c r="AD389" i="1"/>
  <c r="AF389" i="1" s="1"/>
  <c r="AH389" i="1" s="1"/>
  <c r="CZ384" i="1"/>
  <c r="CL385" i="1"/>
  <c r="CN385" i="1" s="1"/>
  <c r="CP385" i="1" s="1"/>
  <c r="CM385" i="1"/>
  <c r="CO385" i="1" s="1"/>
  <c r="AT388" i="1"/>
  <c r="AV388" i="1" s="1"/>
  <c r="AS388" i="1"/>
  <c r="AU388" i="1" s="1"/>
  <c r="AW388" i="1" s="1"/>
  <c r="CC386" i="1" l="1"/>
  <c r="CE386" i="1" s="1"/>
  <c r="CB386" i="1"/>
  <c r="CD386" i="1" s="1"/>
  <c r="CF386" i="1" s="1"/>
  <c r="AY388" i="1"/>
  <c r="BA388" i="1" s="1"/>
  <c r="AX388" i="1"/>
  <c r="AZ388" i="1" s="1"/>
  <c r="BB388" i="1" s="1"/>
  <c r="AJ389" i="1"/>
  <c r="AL389" i="1" s="1"/>
  <c r="AI389" i="1"/>
  <c r="AK389" i="1" s="1"/>
  <c r="AM389" i="1" s="1"/>
  <c r="U390" i="1"/>
  <c r="W390" i="1" s="1"/>
  <c r="T390" i="1"/>
  <c r="V390" i="1" s="1"/>
  <c r="X390" i="1" s="1"/>
  <c r="DB384" i="1"/>
  <c r="DD384" i="1" s="1"/>
  <c r="DA384" i="1"/>
  <c r="DC384" i="1" s="1"/>
  <c r="BN387" i="1"/>
  <c r="BP387" i="1" s="1"/>
  <c r="BM387" i="1"/>
  <c r="BO387" i="1" s="1"/>
  <c r="BQ387" i="1" s="1"/>
  <c r="CR385" i="1"/>
  <c r="CT385" i="1" s="1"/>
  <c r="CQ385" i="1"/>
  <c r="CS385" i="1" s="1"/>
  <c r="CU385" i="1" s="1"/>
  <c r="K390" i="1"/>
  <c r="M390" i="1" s="1"/>
  <c r="J390" i="1"/>
  <c r="L390" i="1" s="1"/>
  <c r="N390" i="1" s="1"/>
  <c r="D391" i="1"/>
  <c r="Y390" i="1" l="1"/>
  <c r="AA390" i="1" s="1"/>
  <c r="AC390" i="1" s="1"/>
  <c r="Z390" i="1"/>
  <c r="AB390" i="1" s="1"/>
  <c r="AO389" i="1"/>
  <c r="AQ389" i="1" s="1"/>
  <c r="AN389" i="1"/>
  <c r="AP389" i="1" s="1"/>
  <c r="AR389" i="1" s="1"/>
  <c r="P390" i="1"/>
  <c r="R390" i="1" s="1"/>
  <c r="O390" i="1"/>
  <c r="CV385" i="1"/>
  <c r="CX385" i="1" s="1"/>
  <c r="CW385" i="1"/>
  <c r="CY385" i="1" s="1"/>
  <c r="BS387" i="1"/>
  <c r="BU387" i="1" s="1"/>
  <c r="BR387" i="1"/>
  <c r="BT387" i="1" s="1"/>
  <c r="BV387" i="1" s="1"/>
  <c r="BD388" i="1"/>
  <c r="BF388" i="1" s="1"/>
  <c r="BC388" i="1"/>
  <c r="BE388" i="1" s="1"/>
  <c r="BG388" i="1" s="1"/>
  <c r="CH386" i="1"/>
  <c r="CJ386" i="1" s="1"/>
  <c r="CG386" i="1"/>
  <c r="CI386" i="1" s="1"/>
  <c r="CK386" i="1" s="1"/>
  <c r="F391" i="1"/>
  <c r="H391" i="1" s="1"/>
  <c r="E391" i="1"/>
  <c r="CL386" i="1" l="1"/>
  <c r="CN386" i="1" s="1"/>
  <c r="CP386" i="1" s="1"/>
  <c r="CM386" i="1"/>
  <c r="CO386" i="1" s="1"/>
  <c r="CZ385" i="1"/>
  <c r="BI388" i="1"/>
  <c r="BK388" i="1" s="1"/>
  <c r="BH388" i="1"/>
  <c r="BJ388" i="1" s="1"/>
  <c r="BL388" i="1" s="1"/>
  <c r="G391" i="1"/>
  <c r="I391" i="1" s="1"/>
  <c r="Q391" i="1"/>
  <c r="S391" i="1" s="1"/>
  <c r="AT389" i="1"/>
  <c r="AV389" i="1" s="1"/>
  <c r="AS389" i="1"/>
  <c r="AU389" i="1" s="1"/>
  <c r="AW389" i="1" s="1"/>
  <c r="BX387" i="1"/>
  <c r="BZ387" i="1" s="1"/>
  <c r="BW387" i="1"/>
  <c r="BY387" i="1" s="1"/>
  <c r="CA387" i="1" s="1"/>
  <c r="AE390" i="1"/>
  <c r="AG390" i="1" s="1"/>
  <c r="AD390" i="1"/>
  <c r="AF390" i="1" s="1"/>
  <c r="AH390" i="1" s="1"/>
  <c r="U391" i="1" l="1"/>
  <c r="W391" i="1" s="1"/>
  <c r="T391" i="1"/>
  <c r="V391" i="1" s="1"/>
  <c r="X391" i="1" s="1"/>
  <c r="AY389" i="1"/>
  <c r="BA389" i="1" s="1"/>
  <c r="AX389" i="1"/>
  <c r="AZ389" i="1" s="1"/>
  <c r="BB389" i="1" s="1"/>
  <c r="BN388" i="1"/>
  <c r="BP388" i="1" s="1"/>
  <c r="BM388" i="1"/>
  <c r="BO388" i="1" s="1"/>
  <c r="BQ388" i="1" s="1"/>
  <c r="AI390" i="1"/>
  <c r="AK390" i="1" s="1"/>
  <c r="AM390" i="1" s="1"/>
  <c r="AJ390" i="1"/>
  <c r="AL390" i="1" s="1"/>
  <c r="K391" i="1"/>
  <c r="M391" i="1" s="1"/>
  <c r="J391" i="1"/>
  <c r="L391" i="1" s="1"/>
  <c r="N391" i="1" s="1"/>
  <c r="D392" i="1"/>
  <c r="DB385" i="1"/>
  <c r="DD385" i="1" s="1"/>
  <c r="DA385" i="1"/>
  <c r="DC385" i="1" s="1"/>
  <c r="CB387" i="1"/>
  <c r="CD387" i="1" s="1"/>
  <c r="CF387" i="1" s="1"/>
  <c r="CC387" i="1"/>
  <c r="CE387" i="1" s="1"/>
  <c r="CR386" i="1"/>
  <c r="CT386" i="1" s="1"/>
  <c r="CQ386" i="1"/>
  <c r="CS386" i="1" s="1"/>
  <c r="CU386" i="1" s="1"/>
  <c r="CV386" i="1" l="1"/>
  <c r="CX386" i="1" s="1"/>
  <c r="CW386" i="1"/>
  <c r="CY386" i="1" s="1"/>
  <c r="AO390" i="1"/>
  <c r="AQ390" i="1" s="1"/>
  <c r="AN390" i="1"/>
  <c r="AP390" i="1" s="1"/>
  <c r="AR390" i="1" s="1"/>
  <c r="BR388" i="1"/>
  <c r="BT388" i="1" s="1"/>
  <c r="BV388" i="1" s="1"/>
  <c r="BS388" i="1"/>
  <c r="BU388" i="1" s="1"/>
  <c r="O391" i="1"/>
  <c r="P391" i="1"/>
  <c r="R391" i="1" s="1"/>
  <c r="CH387" i="1"/>
  <c r="CJ387" i="1" s="1"/>
  <c r="CG387" i="1"/>
  <c r="CI387" i="1" s="1"/>
  <c r="CK387" i="1" s="1"/>
  <c r="E392" i="1"/>
  <c r="F392" i="1"/>
  <c r="H392" i="1" s="1"/>
  <c r="Y391" i="1"/>
  <c r="AA391" i="1" s="1"/>
  <c r="AC391" i="1" s="1"/>
  <c r="Z391" i="1"/>
  <c r="AB391" i="1" s="1"/>
  <c r="BD389" i="1"/>
  <c r="BF389" i="1" s="1"/>
  <c r="BC389" i="1"/>
  <c r="BE389" i="1" s="1"/>
  <c r="BG389" i="1" s="1"/>
  <c r="BX388" i="1" l="1"/>
  <c r="BZ388" i="1" s="1"/>
  <c r="BW388" i="1"/>
  <c r="BY388" i="1" s="1"/>
  <c r="CA388" i="1" s="1"/>
  <c r="BH389" i="1"/>
  <c r="BJ389" i="1" s="1"/>
  <c r="BL389" i="1" s="1"/>
  <c r="BI389" i="1"/>
  <c r="BK389" i="1" s="1"/>
  <c r="AT390" i="1"/>
  <c r="AV390" i="1" s="1"/>
  <c r="AS390" i="1"/>
  <c r="AU390" i="1" s="1"/>
  <c r="AW390" i="1" s="1"/>
  <c r="CL387" i="1"/>
  <c r="CN387" i="1" s="1"/>
  <c r="CP387" i="1" s="1"/>
  <c r="CM387" i="1"/>
  <c r="CO387" i="1" s="1"/>
  <c r="AE391" i="1"/>
  <c r="AG391" i="1" s="1"/>
  <c r="AD391" i="1"/>
  <c r="AF391" i="1" s="1"/>
  <c r="AH391" i="1" s="1"/>
  <c r="Q392" i="1"/>
  <c r="S392" i="1" s="1"/>
  <c r="G392" i="1"/>
  <c r="I392" i="1" s="1"/>
  <c r="CZ386" i="1"/>
  <c r="CR387" i="1" l="1"/>
  <c r="CT387" i="1" s="1"/>
  <c r="CQ387" i="1"/>
  <c r="CS387" i="1" s="1"/>
  <c r="CU387" i="1" s="1"/>
  <c r="DB386" i="1"/>
  <c r="DD386" i="1" s="1"/>
  <c r="DA386" i="1"/>
  <c r="DC386" i="1" s="1"/>
  <c r="AY390" i="1"/>
  <c r="BA390" i="1" s="1"/>
  <c r="AX390" i="1"/>
  <c r="AZ390" i="1" s="1"/>
  <c r="BB390" i="1" s="1"/>
  <c r="BN389" i="1"/>
  <c r="BP389" i="1" s="1"/>
  <c r="BM389" i="1"/>
  <c r="BO389" i="1" s="1"/>
  <c r="BQ389" i="1" s="1"/>
  <c r="K392" i="1"/>
  <c r="M392" i="1" s="1"/>
  <c r="J392" i="1"/>
  <c r="L392" i="1" s="1"/>
  <c r="N392" i="1" s="1"/>
  <c r="D393" i="1"/>
  <c r="U392" i="1"/>
  <c r="W392" i="1" s="1"/>
  <c r="T392" i="1"/>
  <c r="V392" i="1" s="1"/>
  <c r="X392" i="1" s="1"/>
  <c r="AI391" i="1"/>
  <c r="AK391" i="1" s="1"/>
  <c r="AM391" i="1" s="1"/>
  <c r="AJ391" i="1"/>
  <c r="AL391" i="1" s="1"/>
  <c r="CB388" i="1"/>
  <c r="CD388" i="1" s="1"/>
  <c r="CF388" i="1" s="1"/>
  <c r="CC388" i="1"/>
  <c r="CE388" i="1" s="1"/>
  <c r="BC390" i="1" l="1"/>
  <c r="BE390" i="1" s="1"/>
  <c r="BG390" i="1" s="1"/>
  <c r="BD390" i="1"/>
  <c r="BF390" i="1" s="1"/>
  <c r="CH388" i="1"/>
  <c r="CJ388" i="1" s="1"/>
  <c r="CG388" i="1"/>
  <c r="CI388" i="1" s="1"/>
  <c r="CK388" i="1" s="1"/>
  <c r="BR389" i="1"/>
  <c r="BT389" i="1" s="1"/>
  <c r="BV389" i="1" s="1"/>
  <c r="BS389" i="1"/>
  <c r="BU389" i="1" s="1"/>
  <c r="Z392" i="1"/>
  <c r="AB392" i="1" s="1"/>
  <c r="Y392" i="1"/>
  <c r="AA392" i="1" s="1"/>
  <c r="AC392" i="1" s="1"/>
  <c r="AO391" i="1"/>
  <c r="AQ391" i="1" s="1"/>
  <c r="AN391" i="1"/>
  <c r="AP391" i="1" s="1"/>
  <c r="AR391" i="1" s="1"/>
  <c r="E393" i="1"/>
  <c r="F393" i="1"/>
  <c r="H393" i="1" s="1"/>
  <c r="CW387" i="1"/>
  <c r="CY387" i="1" s="1"/>
  <c r="CV387" i="1"/>
  <c r="CX387" i="1" s="1"/>
  <c r="CZ387" i="1" s="1"/>
  <c r="O392" i="1"/>
  <c r="P392" i="1"/>
  <c r="R392" i="1" s="1"/>
  <c r="AE392" i="1" l="1"/>
  <c r="AG392" i="1" s="1"/>
  <c r="AD392" i="1"/>
  <c r="AF392" i="1" s="1"/>
  <c r="AH392" i="1" s="1"/>
  <c r="DB387" i="1"/>
  <c r="DD387" i="1" s="1"/>
  <c r="DA387" i="1"/>
  <c r="DC387" i="1" s="1"/>
  <c r="CM388" i="1"/>
  <c r="CO388" i="1" s="1"/>
  <c r="CL388" i="1"/>
  <c r="CN388" i="1" s="1"/>
  <c r="CP388" i="1" s="1"/>
  <c r="AT391" i="1"/>
  <c r="AV391" i="1" s="1"/>
  <c r="AS391" i="1"/>
  <c r="AU391" i="1" s="1"/>
  <c r="AW391" i="1" s="1"/>
  <c r="BX389" i="1"/>
  <c r="BZ389" i="1" s="1"/>
  <c r="BW389" i="1"/>
  <c r="BY389" i="1" s="1"/>
  <c r="CA389" i="1" s="1"/>
  <c r="G393" i="1"/>
  <c r="I393" i="1" s="1"/>
  <c r="Q393" i="1"/>
  <c r="S393" i="1" s="1"/>
  <c r="BI390" i="1"/>
  <c r="BK390" i="1" s="1"/>
  <c r="BH390" i="1"/>
  <c r="BJ390" i="1" s="1"/>
  <c r="BL390" i="1" s="1"/>
  <c r="BN390" i="1" l="1"/>
  <c r="BP390" i="1" s="1"/>
  <c r="BM390" i="1"/>
  <c r="BO390" i="1" s="1"/>
  <c r="BQ390" i="1" s="1"/>
  <c r="U393" i="1"/>
  <c r="W393" i="1" s="1"/>
  <c r="T393" i="1"/>
  <c r="V393" i="1" s="1"/>
  <c r="X393" i="1" s="1"/>
  <c r="CR388" i="1"/>
  <c r="CT388" i="1" s="1"/>
  <c r="CQ388" i="1"/>
  <c r="CS388" i="1" s="1"/>
  <c r="CU388" i="1" s="1"/>
  <c r="AJ392" i="1"/>
  <c r="AL392" i="1" s="1"/>
  <c r="AI392" i="1"/>
  <c r="AK392" i="1" s="1"/>
  <c r="AM392" i="1" s="1"/>
  <c r="AY391" i="1"/>
  <c r="BA391" i="1" s="1"/>
  <c r="AX391" i="1"/>
  <c r="AZ391" i="1" s="1"/>
  <c r="BB391" i="1" s="1"/>
  <c r="K393" i="1"/>
  <c r="M393" i="1" s="1"/>
  <c r="J393" i="1"/>
  <c r="L393" i="1" s="1"/>
  <c r="N393" i="1" s="1"/>
  <c r="D394" i="1"/>
  <c r="CC389" i="1"/>
  <c r="CE389" i="1" s="1"/>
  <c r="CB389" i="1"/>
  <c r="CD389" i="1" s="1"/>
  <c r="CF389" i="1" s="1"/>
  <c r="AO392" i="1" l="1"/>
  <c r="AQ392" i="1" s="1"/>
  <c r="AN392" i="1"/>
  <c r="AP392" i="1" s="1"/>
  <c r="AR392" i="1" s="1"/>
  <c r="CH389" i="1"/>
  <c r="CJ389" i="1" s="1"/>
  <c r="CG389" i="1"/>
  <c r="CI389" i="1" s="1"/>
  <c r="CK389" i="1" s="1"/>
  <c r="P393" i="1"/>
  <c r="R393" i="1" s="1"/>
  <c r="O393" i="1"/>
  <c r="Y393" i="1"/>
  <c r="AA393" i="1" s="1"/>
  <c r="AC393" i="1" s="1"/>
  <c r="Z393" i="1"/>
  <c r="AB393" i="1" s="1"/>
  <c r="CW388" i="1"/>
  <c r="CY388" i="1" s="1"/>
  <c r="CV388" i="1"/>
  <c r="CX388" i="1" s="1"/>
  <c r="F394" i="1"/>
  <c r="H394" i="1" s="1"/>
  <c r="E394" i="1"/>
  <c r="BD391" i="1"/>
  <c r="BF391" i="1" s="1"/>
  <c r="BC391" i="1"/>
  <c r="BE391" i="1" s="1"/>
  <c r="BG391" i="1" s="1"/>
  <c r="BS390" i="1"/>
  <c r="BU390" i="1" s="1"/>
  <c r="BR390" i="1"/>
  <c r="BT390" i="1" s="1"/>
  <c r="BV390" i="1" s="1"/>
  <c r="AE393" i="1" l="1"/>
  <c r="AG393" i="1" s="1"/>
  <c r="AD393" i="1"/>
  <c r="AF393" i="1" s="1"/>
  <c r="AH393" i="1" s="1"/>
  <c r="CM389" i="1"/>
  <c r="CO389" i="1" s="1"/>
  <c r="CL389" i="1"/>
  <c r="CN389" i="1" s="1"/>
  <c r="CP389" i="1" s="1"/>
  <c r="BI391" i="1"/>
  <c r="BK391" i="1" s="1"/>
  <c r="BH391" i="1"/>
  <c r="BJ391" i="1" s="1"/>
  <c r="BL391" i="1" s="1"/>
  <c r="G394" i="1"/>
  <c r="I394" i="1" s="1"/>
  <c r="Q394" i="1"/>
  <c r="S394" i="1" s="1"/>
  <c r="AS392" i="1"/>
  <c r="AU392" i="1" s="1"/>
  <c r="AW392" i="1" s="1"/>
  <c r="AT392" i="1"/>
  <c r="AV392" i="1" s="1"/>
  <c r="CZ388" i="1"/>
  <c r="BX390" i="1"/>
  <c r="BZ390" i="1" s="1"/>
  <c r="BW390" i="1"/>
  <c r="BY390" i="1" s="1"/>
  <c r="CA390" i="1" s="1"/>
  <c r="U394" i="1" l="1"/>
  <c r="W394" i="1" s="1"/>
  <c r="T394" i="1"/>
  <c r="V394" i="1" s="1"/>
  <c r="X394" i="1" s="1"/>
  <c r="J394" i="1"/>
  <c r="L394" i="1" s="1"/>
  <c r="N394" i="1" s="1"/>
  <c r="K394" i="1"/>
  <c r="M394" i="1" s="1"/>
  <c r="D395" i="1"/>
  <c r="BM391" i="1"/>
  <c r="BO391" i="1" s="1"/>
  <c r="BQ391" i="1" s="1"/>
  <c r="BN391" i="1"/>
  <c r="BP391" i="1" s="1"/>
  <c r="AY392" i="1"/>
  <c r="BA392" i="1" s="1"/>
  <c r="AX392" i="1"/>
  <c r="AZ392" i="1" s="1"/>
  <c r="BB392" i="1" s="1"/>
  <c r="CC390" i="1"/>
  <c r="CE390" i="1" s="1"/>
  <c r="CB390" i="1"/>
  <c r="CD390" i="1" s="1"/>
  <c r="CF390" i="1" s="1"/>
  <c r="DB388" i="1"/>
  <c r="DD388" i="1" s="1"/>
  <c r="DA388" i="1"/>
  <c r="DC388" i="1" s="1"/>
  <c r="CR389" i="1"/>
  <c r="CT389" i="1" s="1"/>
  <c r="CQ389" i="1"/>
  <c r="CS389" i="1" s="1"/>
  <c r="CU389" i="1" s="1"/>
  <c r="AJ393" i="1"/>
  <c r="AL393" i="1" s="1"/>
  <c r="AI393" i="1"/>
  <c r="AK393" i="1" s="1"/>
  <c r="AM393" i="1" s="1"/>
  <c r="CW389" i="1" l="1"/>
  <c r="CY389" i="1" s="1"/>
  <c r="CV389" i="1"/>
  <c r="CX389" i="1" s="1"/>
  <c r="CZ389" i="1" s="1"/>
  <c r="AO393" i="1"/>
  <c r="AQ393" i="1" s="1"/>
  <c r="AN393" i="1"/>
  <c r="AP393" i="1" s="1"/>
  <c r="AR393" i="1" s="1"/>
  <c r="F395" i="1"/>
  <c r="H395" i="1" s="1"/>
  <c r="E395" i="1"/>
  <c r="BS391" i="1"/>
  <c r="BU391" i="1" s="1"/>
  <c r="BR391" i="1"/>
  <c r="BT391" i="1" s="1"/>
  <c r="BV391" i="1" s="1"/>
  <c r="CG390" i="1"/>
  <c r="CI390" i="1" s="1"/>
  <c r="CK390" i="1" s="1"/>
  <c r="CH390" i="1"/>
  <c r="CJ390" i="1" s="1"/>
  <c r="Y394" i="1"/>
  <c r="AA394" i="1" s="1"/>
  <c r="AC394" i="1" s="1"/>
  <c r="Z394" i="1"/>
  <c r="AB394" i="1" s="1"/>
  <c r="P394" i="1"/>
  <c r="R394" i="1" s="1"/>
  <c r="O394" i="1"/>
  <c r="BD392" i="1"/>
  <c r="BF392" i="1" s="1"/>
  <c r="BC392" i="1"/>
  <c r="BE392" i="1" s="1"/>
  <c r="BG392" i="1" s="1"/>
  <c r="BW391" i="1" l="1"/>
  <c r="BY391" i="1" s="1"/>
  <c r="CA391" i="1" s="1"/>
  <c r="BX391" i="1"/>
  <c r="BZ391" i="1" s="1"/>
  <c r="G395" i="1"/>
  <c r="I395" i="1" s="1"/>
  <c r="Q395" i="1"/>
  <c r="S395" i="1" s="1"/>
  <c r="AE394" i="1"/>
  <c r="AG394" i="1" s="1"/>
  <c r="AD394" i="1"/>
  <c r="AF394" i="1" s="1"/>
  <c r="AH394" i="1" s="1"/>
  <c r="BI392" i="1"/>
  <c r="BK392" i="1" s="1"/>
  <c r="BH392" i="1"/>
  <c r="BJ392" i="1" s="1"/>
  <c r="BL392" i="1" s="1"/>
  <c r="AT393" i="1"/>
  <c r="AV393" i="1" s="1"/>
  <c r="AS393" i="1"/>
  <c r="AU393" i="1" s="1"/>
  <c r="AW393" i="1" s="1"/>
  <c r="DB389" i="1"/>
  <c r="DD389" i="1" s="1"/>
  <c r="DA389" i="1"/>
  <c r="DC389" i="1" s="1"/>
  <c r="CM390" i="1"/>
  <c r="CO390" i="1" s="1"/>
  <c r="CL390" i="1"/>
  <c r="CN390" i="1" s="1"/>
  <c r="CP390" i="1" s="1"/>
  <c r="AJ394" i="1" l="1"/>
  <c r="AL394" i="1" s="1"/>
  <c r="AI394" i="1"/>
  <c r="AK394" i="1" s="1"/>
  <c r="AM394" i="1" s="1"/>
  <c r="BM392" i="1"/>
  <c r="BO392" i="1" s="1"/>
  <c r="BQ392" i="1" s="1"/>
  <c r="BN392" i="1"/>
  <c r="BP392" i="1" s="1"/>
  <c r="CQ390" i="1"/>
  <c r="CS390" i="1" s="1"/>
  <c r="CU390" i="1" s="1"/>
  <c r="CR390" i="1"/>
  <c r="CT390" i="1" s="1"/>
  <c r="U395" i="1"/>
  <c r="W395" i="1" s="1"/>
  <c r="T395" i="1"/>
  <c r="V395" i="1" s="1"/>
  <c r="X395" i="1" s="1"/>
  <c r="K395" i="1"/>
  <c r="M395" i="1" s="1"/>
  <c r="J395" i="1"/>
  <c r="L395" i="1" s="1"/>
  <c r="N395" i="1" s="1"/>
  <c r="D396" i="1"/>
  <c r="AY393" i="1"/>
  <c r="BA393" i="1" s="1"/>
  <c r="AX393" i="1"/>
  <c r="AZ393" i="1" s="1"/>
  <c r="BB393" i="1" s="1"/>
  <c r="CC391" i="1"/>
  <c r="CE391" i="1" s="1"/>
  <c r="CB391" i="1"/>
  <c r="CD391" i="1" s="1"/>
  <c r="CF391" i="1" s="1"/>
  <c r="Z395" i="1" l="1"/>
  <c r="AB395" i="1" s="1"/>
  <c r="Y395" i="1"/>
  <c r="AA395" i="1" s="1"/>
  <c r="AC395" i="1" s="1"/>
  <c r="BC393" i="1"/>
  <c r="BE393" i="1" s="1"/>
  <c r="BG393" i="1" s="1"/>
  <c r="BD393" i="1"/>
  <c r="BF393" i="1" s="1"/>
  <c r="BS392" i="1"/>
  <c r="BU392" i="1" s="1"/>
  <c r="BR392" i="1"/>
  <c r="BT392" i="1" s="1"/>
  <c r="BV392" i="1" s="1"/>
  <c r="CG391" i="1"/>
  <c r="CI391" i="1" s="1"/>
  <c r="CK391" i="1" s="1"/>
  <c r="CH391" i="1"/>
  <c r="CJ391" i="1" s="1"/>
  <c r="CW390" i="1"/>
  <c r="CY390" i="1" s="1"/>
  <c r="CV390" i="1"/>
  <c r="CX390" i="1" s="1"/>
  <c r="CZ390" i="1" s="1"/>
  <c r="E396" i="1"/>
  <c r="F396" i="1"/>
  <c r="H396" i="1" s="1"/>
  <c r="O395" i="1"/>
  <c r="P395" i="1"/>
  <c r="R395" i="1" s="1"/>
  <c r="AN394" i="1"/>
  <c r="AP394" i="1" s="1"/>
  <c r="AR394" i="1" s="1"/>
  <c r="AO394" i="1"/>
  <c r="AQ394" i="1" s="1"/>
  <c r="CM391" i="1" l="1"/>
  <c r="CO391" i="1" s="1"/>
  <c r="CL391" i="1"/>
  <c r="CN391" i="1" s="1"/>
  <c r="CP391" i="1" s="1"/>
  <c r="AS394" i="1"/>
  <c r="AU394" i="1" s="1"/>
  <c r="AW394" i="1" s="1"/>
  <c r="AT394" i="1"/>
  <c r="AV394" i="1" s="1"/>
  <c r="Q396" i="1"/>
  <c r="S396" i="1" s="1"/>
  <c r="G396" i="1"/>
  <c r="I396" i="1" s="1"/>
  <c r="BI393" i="1"/>
  <c r="BK393" i="1" s="1"/>
  <c r="BH393" i="1"/>
  <c r="BJ393" i="1" s="1"/>
  <c r="BL393" i="1" s="1"/>
  <c r="AD395" i="1"/>
  <c r="AF395" i="1" s="1"/>
  <c r="AH395" i="1" s="1"/>
  <c r="AE395" i="1"/>
  <c r="AG395" i="1" s="1"/>
  <c r="BW392" i="1"/>
  <c r="BY392" i="1" s="1"/>
  <c r="CA392" i="1" s="1"/>
  <c r="BX392" i="1"/>
  <c r="BZ392" i="1" s="1"/>
  <c r="DB390" i="1"/>
  <c r="DD390" i="1" s="1"/>
  <c r="DA390" i="1"/>
  <c r="DC390" i="1" s="1"/>
  <c r="AI395" i="1" l="1"/>
  <c r="AK395" i="1" s="1"/>
  <c r="AM395" i="1" s="1"/>
  <c r="AJ395" i="1"/>
  <c r="AL395" i="1" s="1"/>
  <c r="K396" i="1"/>
  <c r="M396" i="1" s="1"/>
  <c r="J396" i="1"/>
  <c r="L396" i="1" s="1"/>
  <c r="N396" i="1" s="1"/>
  <c r="D397" i="1"/>
  <c r="AY394" i="1"/>
  <c r="BA394" i="1" s="1"/>
  <c r="AX394" i="1"/>
  <c r="AZ394" i="1" s="1"/>
  <c r="BB394" i="1" s="1"/>
  <c r="CC392" i="1"/>
  <c r="CE392" i="1" s="1"/>
  <c r="CB392" i="1"/>
  <c r="CD392" i="1" s="1"/>
  <c r="CF392" i="1" s="1"/>
  <c r="BM393" i="1"/>
  <c r="BO393" i="1" s="1"/>
  <c r="BQ393" i="1" s="1"/>
  <c r="BN393" i="1"/>
  <c r="BP393" i="1" s="1"/>
  <c r="T396" i="1"/>
  <c r="V396" i="1" s="1"/>
  <c r="X396" i="1" s="1"/>
  <c r="U396" i="1"/>
  <c r="W396" i="1" s="1"/>
  <c r="CR391" i="1"/>
  <c r="CT391" i="1" s="1"/>
  <c r="CQ391" i="1"/>
  <c r="CS391" i="1" s="1"/>
  <c r="CU391" i="1" s="1"/>
  <c r="CW391" i="1" l="1"/>
  <c r="CY391" i="1" s="1"/>
  <c r="CV391" i="1"/>
  <c r="CX391" i="1" s="1"/>
  <c r="CZ391" i="1" s="1"/>
  <c r="F397" i="1"/>
  <c r="H397" i="1" s="1"/>
  <c r="E397" i="1"/>
  <c r="Y396" i="1"/>
  <c r="AA396" i="1" s="1"/>
  <c r="AC396" i="1" s="1"/>
  <c r="Z396" i="1"/>
  <c r="AB396" i="1" s="1"/>
  <c r="BS393" i="1"/>
  <c r="BU393" i="1" s="1"/>
  <c r="BR393" i="1"/>
  <c r="BT393" i="1" s="1"/>
  <c r="BV393" i="1" s="1"/>
  <c r="BC394" i="1"/>
  <c r="BE394" i="1" s="1"/>
  <c r="BG394" i="1" s="1"/>
  <c r="BD394" i="1"/>
  <c r="BF394" i="1" s="1"/>
  <c r="P396" i="1"/>
  <c r="R396" i="1" s="1"/>
  <c r="O396" i="1"/>
  <c r="CH392" i="1"/>
  <c r="CJ392" i="1" s="1"/>
  <c r="CG392" i="1"/>
  <c r="CI392" i="1" s="1"/>
  <c r="CK392" i="1" s="1"/>
  <c r="AO395" i="1"/>
  <c r="AQ395" i="1" s="1"/>
  <c r="AN395" i="1"/>
  <c r="AP395" i="1" s="1"/>
  <c r="AR395" i="1" s="1"/>
  <c r="AS395" i="1" l="1"/>
  <c r="AU395" i="1" s="1"/>
  <c r="AW395" i="1" s="1"/>
  <c r="AT395" i="1"/>
  <c r="AV395" i="1" s="1"/>
  <c r="BX393" i="1"/>
  <c r="BZ393" i="1" s="1"/>
  <c r="BW393" i="1"/>
  <c r="BY393" i="1" s="1"/>
  <c r="CA393" i="1" s="1"/>
  <c r="CM392" i="1"/>
  <c r="CO392" i="1" s="1"/>
  <c r="CL392" i="1"/>
  <c r="CN392" i="1" s="1"/>
  <c r="CP392" i="1" s="1"/>
  <c r="AE396" i="1"/>
  <c r="AG396" i="1" s="1"/>
  <c r="AD396" i="1"/>
  <c r="AF396" i="1" s="1"/>
  <c r="AH396" i="1" s="1"/>
  <c r="G397" i="1"/>
  <c r="I397" i="1" s="1"/>
  <c r="Q397" i="1"/>
  <c r="S397" i="1" s="1"/>
  <c r="DB391" i="1"/>
  <c r="DD391" i="1" s="1"/>
  <c r="DA391" i="1"/>
  <c r="DC391" i="1" s="1"/>
  <c r="BI394" i="1"/>
  <c r="BK394" i="1" s="1"/>
  <c r="BH394" i="1"/>
  <c r="BJ394" i="1" s="1"/>
  <c r="BL394" i="1" s="1"/>
  <c r="CR392" i="1" l="1"/>
  <c r="CT392" i="1" s="1"/>
  <c r="CQ392" i="1"/>
  <c r="CS392" i="1" s="1"/>
  <c r="CU392" i="1" s="1"/>
  <c r="AI396" i="1"/>
  <c r="AK396" i="1" s="1"/>
  <c r="AM396" i="1" s="1"/>
  <c r="AJ396" i="1"/>
  <c r="AL396" i="1" s="1"/>
  <c r="BN394" i="1"/>
  <c r="BP394" i="1" s="1"/>
  <c r="BM394" i="1"/>
  <c r="BO394" i="1" s="1"/>
  <c r="BQ394" i="1" s="1"/>
  <c r="CC393" i="1"/>
  <c r="CE393" i="1" s="1"/>
  <c r="CB393" i="1"/>
  <c r="CD393" i="1" s="1"/>
  <c r="CF393" i="1" s="1"/>
  <c r="U397" i="1"/>
  <c r="W397" i="1" s="1"/>
  <c r="T397" i="1"/>
  <c r="V397" i="1" s="1"/>
  <c r="X397" i="1" s="1"/>
  <c r="J397" i="1"/>
  <c r="L397" i="1" s="1"/>
  <c r="N397" i="1" s="1"/>
  <c r="K397" i="1"/>
  <c r="M397" i="1" s="1"/>
  <c r="D398" i="1"/>
  <c r="AY395" i="1"/>
  <c r="BA395" i="1" s="1"/>
  <c r="AX395" i="1"/>
  <c r="AZ395" i="1" s="1"/>
  <c r="BB395" i="1" s="1"/>
  <c r="CG393" i="1" l="1"/>
  <c r="CI393" i="1" s="1"/>
  <c r="CK393" i="1" s="1"/>
  <c r="CH393" i="1"/>
  <c r="CJ393" i="1" s="1"/>
  <c r="O397" i="1"/>
  <c r="P397" i="1"/>
  <c r="R397" i="1" s="1"/>
  <c r="E398" i="1"/>
  <c r="F398" i="1"/>
  <c r="H398" i="1" s="1"/>
  <c r="BS394" i="1"/>
  <c r="BU394" i="1" s="1"/>
  <c r="BR394" i="1"/>
  <c r="BT394" i="1" s="1"/>
  <c r="BV394" i="1" s="1"/>
  <c r="AO396" i="1"/>
  <c r="AQ396" i="1" s="1"/>
  <c r="AN396" i="1"/>
  <c r="AP396" i="1" s="1"/>
  <c r="AR396" i="1" s="1"/>
  <c r="BD395" i="1"/>
  <c r="BF395" i="1" s="1"/>
  <c r="BC395" i="1"/>
  <c r="BE395" i="1" s="1"/>
  <c r="BG395" i="1" s="1"/>
  <c r="CW392" i="1"/>
  <c r="CY392" i="1" s="1"/>
  <c r="CV392" i="1"/>
  <c r="CX392" i="1" s="1"/>
  <c r="CZ392" i="1" s="1"/>
  <c r="Y397" i="1"/>
  <c r="AA397" i="1" s="1"/>
  <c r="AC397" i="1" s="1"/>
  <c r="Z397" i="1"/>
  <c r="AB397" i="1" s="1"/>
  <c r="BX394" i="1" l="1"/>
  <c r="BZ394" i="1" s="1"/>
  <c r="BW394" i="1"/>
  <c r="BY394" i="1" s="1"/>
  <c r="CA394" i="1" s="1"/>
  <c r="AE397" i="1"/>
  <c r="AG397" i="1" s="1"/>
  <c r="AD397" i="1"/>
  <c r="AF397" i="1" s="1"/>
  <c r="AH397" i="1" s="1"/>
  <c r="Q398" i="1"/>
  <c r="S398" i="1" s="1"/>
  <c r="G398" i="1"/>
  <c r="I398" i="1" s="1"/>
  <c r="BI395" i="1"/>
  <c r="BK395" i="1" s="1"/>
  <c r="BH395" i="1"/>
  <c r="BJ395" i="1" s="1"/>
  <c r="BL395" i="1" s="1"/>
  <c r="AT396" i="1"/>
  <c r="AV396" i="1" s="1"/>
  <c r="AS396" i="1"/>
  <c r="AU396" i="1" s="1"/>
  <c r="AW396" i="1" s="1"/>
  <c r="CM393" i="1"/>
  <c r="CO393" i="1" s="1"/>
  <c r="CL393" i="1"/>
  <c r="CN393" i="1" s="1"/>
  <c r="CP393" i="1" s="1"/>
  <c r="DB392" i="1"/>
  <c r="DD392" i="1" s="1"/>
  <c r="DA392" i="1"/>
  <c r="DC392" i="1" s="1"/>
  <c r="K398" i="1" l="1"/>
  <c r="M398" i="1" s="1"/>
  <c r="J398" i="1"/>
  <c r="L398" i="1" s="1"/>
  <c r="N398" i="1" s="1"/>
  <c r="D399" i="1"/>
  <c r="BM395" i="1"/>
  <c r="BO395" i="1" s="1"/>
  <c r="BQ395" i="1" s="1"/>
  <c r="BN395" i="1"/>
  <c r="BP395" i="1" s="1"/>
  <c r="AJ397" i="1"/>
  <c r="AL397" i="1" s="1"/>
  <c r="AI397" i="1"/>
  <c r="AK397" i="1" s="1"/>
  <c r="AM397" i="1" s="1"/>
  <c r="U398" i="1"/>
  <c r="W398" i="1" s="1"/>
  <c r="T398" i="1"/>
  <c r="V398" i="1" s="1"/>
  <c r="X398" i="1" s="1"/>
  <c r="CC394" i="1"/>
  <c r="CE394" i="1" s="1"/>
  <c r="CB394" i="1"/>
  <c r="CD394" i="1" s="1"/>
  <c r="CF394" i="1" s="1"/>
  <c r="CR393" i="1"/>
  <c r="CT393" i="1" s="1"/>
  <c r="CQ393" i="1"/>
  <c r="CS393" i="1" s="1"/>
  <c r="CU393" i="1" s="1"/>
  <c r="AY396" i="1"/>
  <c r="BA396" i="1" s="1"/>
  <c r="AX396" i="1"/>
  <c r="AZ396" i="1" s="1"/>
  <c r="BB396" i="1" s="1"/>
  <c r="E399" i="1" l="1"/>
  <c r="F399" i="1"/>
  <c r="H399" i="1" s="1"/>
  <c r="BS395" i="1"/>
  <c r="BU395" i="1" s="1"/>
  <c r="BR395" i="1"/>
  <c r="BT395" i="1" s="1"/>
  <c r="BV395" i="1" s="1"/>
  <c r="AO397" i="1"/>
  <c r="AQ397" i="1" s="1"/>
  <c r="AN397" i="1"/>
  <c r="AP397" i="1" s="1"/>
  <c r="AR397" i="1" s="1"/>
  <c r="CW393" i="1"/>
  <c r="CY393" i="1" s="1"/>
  <c r="CV393" i="1"/>
  <c r="CX393" i="1" s="1"/>
  <c r="CZ393" i="1" s="1"/>
  <c r="CH394" i="1"/>
  <c r="CJ394" i="1" s="1"/>
  <c r="CG394" i="1"/>
  <c r="CI394" i="1" s="1"/>
  <c r="CK394" i="1" s="1"/>
  <c r="O398" i="1"/>
  <c r="P398" i="1"/>
  <c r="R398" i="1" s="1"/>
  <c r="BD396" i="1"/>
  <c r="BF396" i="1" s="1"/>
  <c r="BC396" i="1"/>
  <c r="BE396" i="1" s="1"/>
  <c r="BG396" i="1" s="1"/>
  <c r="Z398" i="1"/>
  <c r="AB398" i="1" s="1"/>
  <c r="Y398" i="1"/>
  <c r="AA398" i="1" s="1"/>
  <c r="AC398" i="1" s="1"/>
  <c r="AE398" i="1" l="1"/>
  <c r="AG398" i="1" s="1"/>
  <c r="AD398" i="1"/>
  <c r="AF398" i="1" s="1"/>
  <c r="AH398" i="1" s="1"/>
  <c r="BI396" i="1"/>
  <c r="BK396" i="1" s="1"/>
  <c r="BH396" i="1"/>
  <c r="BJ396" i="1" s="1"/>
  <c r="BL396" i="1" s="1"/>
  <c r="DB393" i="1"/>
  <c r="DD393" i="1" s="1"/>
  <c r="DA393" i="1"/>
  <c r="DC393" i="1" s="1"/>
  <c r="AS397" i="1"/>
  <c r="AU397" i="1" s="1"/>
  <c r="AW397" i="1" s="1"/>
  <c r="AT397" i="1"/>
  <c r="AV397" i="1" s="1"/>
  <c r="BX395" i="1"/>
  <c r="BZ395" i="1" s="1"/>
  <c r="BW395" i="1"/>
  <c r="BY395" i="1" s="1"/>
  <c r="CA395" i="1" s="1"/>
  <c r="CM394" i="1"/>
  <c r="CO394" i="1" s="1"/>
  <c r="CL394" i="1"/>
  <c r="CN394" i="1" s="1"/>
  <c r="CP394" i="1" s="1"/>
  <c r="G399" i="1"/>
  <c r="I399" i="1" s="1"/>
  <c r="Q399" i="1"/>
  <c r="S399" i="1" s="1"/>
  <c r="U399" i="1" l="1"/>
  <c r="W399" i="1" s="1"/>
  <c r="T399" i="1"/>
  <c r="V399" i="1" s="1"/>
  <c r="X399" i="1" s="1"/>
  <c r="K399" i="1"/>
  <c r="M399" i="1" s="1"/>
  <c r="J399" i="1"/>
  <c r="L399" i="1" s="1"/>
  <c r="N399" i="1" s="1"/>
  <c r="D400" i="1"/>
  <c r="AY397" i="1"/>
  <c r="BA397" i="1" s="1"/>
  <c r="AX397" i="1"/>
  <c r="AZ397" i="1" s="1"/>
  <c r="BB397" i="1" s="1"/>
  <c r="BN396" i="1"/>
  <c r="BP396" i="1" s="1"/>
  <c r="BM396" i="1"/>
  <c r="BO396" i="1" s="1"/>
  <c r="BQ396" i="1" s="1"/>
  <c r="AJ398" i="1"/>
  <c r="AL398" i="1" s="1"/>
  <c r="AI398" i="1"/>
  <c r="AK398" i="1" s="1"/>
  <c r="AM398" i="1" s="1"/>
  <c r="CR394" i="1"/>
  <c r="CT394" i="1" s="1"/>
  <c r="CQ394" i="1"/>
  <c r="CS394" i="1" s="1"/>
  <c r="CU394" i="1" s="1"/>
  <c r="CC395" i="1"/>
  <c r="CE395" i="1" s="1"/>
  <c r="CB395" i="1"/>
  <c r="CD395" i="1" s="1"/>
  <c r="CF395" i="1" s="1"/>
  <c r="BD397" i="1" l="1"/>
  <c r="BF397" i="1" s="1"/>
  <c r="BC397" i="1"/>
  <c r="BE397" i="1" s="1"/>
  <c r="BG397" i="1" s="1"/>
  <c r="CH395" i="1"/>
  <c r="CJ395" i="1" s="1"/>
  <c r="CG395" i="1"/>
  <c r="CI395" i="1" s="1"/>
  <c r="CK395" i="1" s="1"/>
  <c r="P399" i="1"/>
  <c r="R399" i="1" s="1"/>
  <c r="O399" i="1"/>
  <c r="CW394" i="1"/>
  <c r="CY394" i="1" s="1"/>
  <c r="CV394" i="1"/>
  <c r="CX394" i="1" s="1"/>
  <c r="CZ394" i="1" s="1"/>
  <c r="BS396" i="1"/>
  <c r="BU396" i="1" s="1"/>
  <c r="BR396" i="1"/>
  <c r="BT396" i="1" s="1"/>
  <c r="BV396" i="1" s="1"/>
  <c r="F400" i="1"/>
  <c r="H400" i="1" s="1"/>
  <c r="E400" i="1"/>
  <c r="AO398" i="1"/>
  <c r="AQ398" i="1" s="1"/>
  <c r="AN398" i="1"/>
  <c r="AP398" i="1" s="1"/>
  <c r="AR398" i="1" s="1"/>
  <c r="Y399" i="1"/>
  <c r="AA399" i="1" s="1"/>
  <c r="AC399" i="1" s="1"/>
  <c r="Z399" i="1"/>
  <c r="AB399" i="1" s="1"/>
  <c r="AE399" i="1" l="1"/>
  <c r="AG399" i="1" s="1"/>
  <c r="AD399" i="1"/>
  <c r="AF399" i="1" s="1"/>
  <c r="AH399" i="1" s="1"/>
  <c r="AT398" i="1"/>
  <c r="AV398" i="1" s="1"/>
  <c r="AS398" i="1"/>
  <c r="AU398" i="1" s="1"/>
  <c r="AW398" i="1" s="1"/>
  <c r="Q400" i="1"/>
  <c r="S400" i="1" s="1"/>
  <c r="G400" i="1"/>
  <c r="I400" i="1" s="1"/>
  <c r="DA394" i="1"/>
  <c r="DC394" i="1" s="1"/>
  <c r="DB394" i="1"/>
  <c r="DD394" i="1" s="1"/>
  <c r="CM395" i="1"/>
  <c r="CO395" i="1" s="1"/>
  <c r="CL395" i="1"/>
  <c r="CN395" i="1" s="1"/>
  <c r="CP395" i="1" s="1"/>
  <c r="BX396" i="1"/>
  <c r="BZ396" i="1" s="1"/>
  <c r="BW396" i="1"/>
  <c r="BY396" i="1" s="1"/>
  <c r="CA396" i="1" s="1"/>
  <c r="BI397" i="1"/>
  <c r="BK397" i="1" s="1"/>
  <c r="BH397" i="1"/>
  <c r="BJ397" i="1" s="1"/>
  <c r="BL397" i="1" s="1"/>
  <c r="U400" i="1" l="1"/>
  <c r="W400" i="1" s="1"/>
  <c r="T400" i="1"/>
  <c r="V400" i="1" s="1"/>
  <c r="X400" i="1" s="1"/>
  <c r="AY398" i="1"/>
  <c r="BA398" i="1" s="1"/>
  <c r="AX398" i="1"/>
  <c r="AZ398" i="1" s="1"/>
  <c r="BB398" i="1" s="1"/>
  <c r="K400" i="1"/>
  <c r="M400" i="1" s="1"/>
  <c r="J400" i="1"/>
  <c r="L400" i="1" s="1"/>
  <c r="N400" i="1" s="1"/>
  <c r="D401" i="1"/>
  <c r="CC396" i="1"/>
  <c r="CE396" i="1" s="1"/>
  <c r="CB396" i="1"/>
  <c r="CD396" i="1" s="1"/>
  <c r="CF396" i="1" s="1"/>
  <c r="AJ399" i="1"/>
  <c r="AL399" i="1" s="1"/>
  <c r="AI399" i="1"/>
  <c r="AK399" i="1" s="1"/>
  <c r="AM399" i="1" s="1"/>
  <c r="BN397" i="1"/>
  <c r="BP397" i="1" s="1"/>
  <c r="BM397" i="1"/>
  <c r="BO397" i="1" s="1"/>
  <c r="BQ397" i="1" s="1"/>
  <c r="CQ395" i="1"/>
  <c r="CS395" i="1" s="1"/>
  <c r="CU395" i="1" s="1"/>
  <c r="CR395" i="1"/>
  <c r="CT395" i="1" s="1"/>
  <c r="E401" i="1" l="1"/>
  <c r="F401" i="1"/>
  <c r="H401" i="1" s="1"/>
  <c r="O400" i="1"/>
  <c r="P400" i="1"/>
  <c r="R400" i="1" s="1"/>
  <c r="BS397" i="1"/>
  <c r="BU397" i="1" s="1"/>
  <c r="BR397" i="1"/>
  <c r="BT397" i="1" s="1"/>
  <c r="BV397" i="1" s="1"/>
  <c r="BD398" i="1"/>
  <c r="BF398" i="1" s="1"/>
  <c r="BC398" i="1"/>
  <c r="BE398" i="1" s="1"/>
  <c r="BG398" i="1" s="1"/>
  <c r="Z400" i="1"/>
  <c r="AB400" i="1" s="1"/>
  <c r="Y400" i="1"/>
  <c r="AA400" i="1" s="1"/>
  <c r="AC400" i="1" s="1"/>
  <c r="CG396" i="1"/>
  <c r="CI396" i="1" s="1"/>
  <c r="CK396" i="1" s="1"/>
  <c r="CH396" i="1"/>
  <c r="CJ396" i="1" s="1"/>
  <c r="CW395" i="1"/>
  <c r="CY395" i="1" s="1"/>
  <c r="CV395" i="1"/>
  <c r="CX395" i="1" s="1"/>
  <c r="CZ395" i="1" s="1"/>
  <c r="AO399" i="1"/>
  <c r="AQ399" i="1" s="1"/>
  <c r="AN399" i="1"/>
  <c r="AP399" i="1" s="1"/>
  <c r="AR399" i="1" s="1"/>
  <c r="DA395" i="1" l="1"/>
  <c r="DC395" i="1" s="1"/>
  <c r="DB395" i="1"/>
  <c r="DD395" i="1" s="1"/>
  <c r="AT399" i="1"/>
  <c r="AV399" i="1" s="1"/>
  <c r="AS399" i="1"/>
  <c r="AU399" i="1" s="1"/>
  <c r="AW399" i="1" s="1"/>
  <c r="BI398" i="1"/>
  <c r="BK398" i="1" s="1"/>
  <c r="BH398" i="1"/>
  <c r="BJ398" i="1" s="1"/>
  <c r="BL398" i="1" s="1"/>
  <c r="BW397" i="1"/>
  <c r="BY397" i="1" s="1"/>
  <c r="CA397" i="1" s="1"/>
  <c r="BX397" i="1"/>
  <c r="BZ397" i="1" s="1"/>
  <c r="CM396" i="1"/>
  <c r="CO396" i="1" s="1"/>
  <c r="CL396" i="1"/>
  <c r="CN396" i="1" s="1"/>
  <c r="CP396" i="1" s="1"/>
  <c r="AE400" i="1"/>
  <c r="AG400" i="1" s="1"/>
  <c r="AD400" i="1"/>
  <c r="AF400" i="1" s="1"/>
  <c r="AH400" i="1" s="1"/>
  <c r="Q401" i="1"/>
  <c r="S401" i="1" s="1"/>
  <c r="G401" i="1"/>
  <c r="I401" i="1" s="1"/>
  <c r="CC397" i="1" l="1"/>
  <c r="CE397" i="1" s="1"/>
  <c r="CB397" i="1"/>
  <c r="CD397" i="1" s="1"/>
  <c r="CF397" i="1" s="1"/>
  <c r="BM398" i="1"/>
  <c r="BO398" i="1" s="1"/>
  <c r="BQ398" i="1" s="1"/>
  <c r="BN398" i="1"/>
  <c r="BP398" i="1" s="1"/>
  <c r="CQ396" i="1"/>
  <c r="CS396" i="1" s="1"/>
  <c r="CU396" i="1" s="1"/>
  <c r="CR396" i="1"/>
  <c r="CT396" i="1" s="1"/>
  <c r="K401" i="1"/>
  <c r="M401" i="1" s="1"/>
  <c r="J401" i="1"/>
  <c r="L401" i="1" s="1"/>
  <c r="N401" i="1" s="1"/>
  <c r="D402" i="1"/>
  <c r="AI400" i="1"/>
  <c r="AK400" i="1" s="1"/>
  <c r="AM400" i="1" s="1"/>
  <c r="AJ400" i="1"/>
  <c r="AL400" i="1" s="1"/>
  <c r="U401" i="1"/>
  <c r="W401" i="1" s="1"/>
  <c r="T401" i="1"/>
  <c r="V401" i="1" s="1"/>
  <c r="X401" i="1" s="1"/>
  <c r="AY399" i="1"/>
  <c r="BA399" i="1" s="1"/>
  <c r="AX399" i="1"/>
  <c r="AZ399" i="1" s="1"/>
  <c r="BB399" i="1" s="1"/>
  <c r="CW396" i="1" l="1"/>
  <c r="CY396" i="1" s="1"/>
  <c r="CV396" i="1"/>
  <c r="CX396" i="1" s="1"/>
  <c r="CZ396" i="1" s="1"/>
  <c r="BC399" i="1"/>
  <c r="BE399" i="1" s="1"/>
  <c r="BG399" i="1" s="1"/>
  <c r="BD399" i="1"/>
  <c r="BF399" i="1" s="1"/>
  <c r="CG397" i="1"/>
  <c r="CI397" i="1" s="1"/>
  <c r="CK397" i="1" s="1"/>
  <c r="CH397" i="1"/>
  <c r="CJ397" i="1" s="1"/>
  <c r="P401" i="1"/>
  <c r="R401" i="1" s="1"/>
  <c r="O401" i="1"/>
  <c r="BS398" i="1"/>
  <c r="BU398" i="1" s="1"/>
  <c r="BR398" i="1"/>
  <c r="BT398" i="1" s="1"/>
  <c r="BV398" i="1" s="1"/>
  <c r="Y401" i="1"/>
  <c r="AA401" i="1" s="1"/>
  <c r="AC401" i="1" s="1"/>
  <c r="Z401" i="1"/>
  <c r="AB401" i="1" s="1"/>
  <c r="AN400" i="1"/>
  <c r="AP400" i="1" s="1"/>
  <c r="AR400" i="1" s="1"/>
  <c r="AO400" i="1"/>
  <c r="AQ400" i="1" s="1"/>
  <c r="F402" i="1"/>
  <c r="H402" i="1" s="1"/>
  <c r="E402" i="1"/>
  <c r="G402" i="1" l="1"/>
  <c r="I402" i="1" s="1"/>
  <c r="Q402" i="1"/>
  <c r="S402" i="1" s="1"/>
  <c r="CM397" i="1"/>
  <c r="CO397" i="1" s="1"/>
  <c r="CL397" i="1"/>
  <c r="CN397" i="1" s="1"/>
  <c r="CP397" i="1" s="1"/>
  <c r="BW398" i="1"/>
  <c r="BY398" i="1" s="1"/>
  <c r="CA398" i="1" s="1"/>
  <c r="BX398" i="1"/>
  <c r="BZ398" i="1" s="1"/>
  <c r="AS400" i="1"/>
  <c r="AU400" i="1" s="1"/>
  <c r="AW400" i="1" s="1"/>
  <c r="AT400" i="1"/>
  <c r="AV400" i="1" s="1"/>
  <c r="AE401" i="1"/>
  <c r="AG401" i="1" s="1"/>
  <c r="AD401" i="1"/>
  <c r="AF401" i="1" s="1"/>
  <c r="AH401" i="1" s="1"/>
  <c r="BI399" i="1"/>
  <c r="BK399" i="1" s="1"/>
  <c r="BH399" i="1"/>
  <c r="BJ399" i="1" s="1"/>
  <c r="BL399" i="1" s="1"/>
  <c r="DB396" i="1"/>
  <c r="DD396" i="1" s="1"/>
  <c r="DA396" i="1"/>
  <c r="DC396" i="1" s="1"/>
  <c r="BM399" i="1" l="1"/>
  <c r="BO399" i="1" s="1"/>
  <c r="BQ399" i="1" s="1"/>
  <c r="BN399" i="1"/>
  <c r="BP399" i="1" s="1"/>
  <c r="AY400" i="1"/>
  <c r="BA400" i="1" s="1"/>
  <c r="AX400" i="1"/>
  <c r="AZ400" i="1" s="1"/>
  <c r="BB400" i="1" s="1"/>
  <c r="CR397" i="1"/>
  <c r="CT397" i="1" s="1"/>
  <c r="CQ397" i="1"/>
  <c r="CS397" i="1" s="1"/>
  <c r="CU397" i="1" s="1"/>
  <c r="U402" i="1"/>
  <c r="W402" i="1" s="1"/>
  <c r="T402" i="1"/>
  <c r="V402" i="1" s="1"/>
  <c r="X402" i="1" s="1"/>
  <c r="CC398" i="1"/>
  <c r="CE398" i="1" s="1"/>
  <c r="CB398" i="1"/>
  <c r="CD398" i="1" s="1"/>
  <c r="CF398" i="1" s="1"/>
  <c r="AJ401" i="1"/>
  <c r="AL401" i="1" s="1"/>
  <c r="AI401" i="1"/>
  <c r="AK401" i="1" s="1"/>
  <c r="AM401" i="1" s="1"/>
  <c r="K402" i="1"/>
  <c r="M402" i="1" s="1"/>
  <c r="J402" i="1"/>
  <c r="L402" i="1" s="1"/>
  <c r="N402" i="1" s="1"/>
  <c r="D403" i="1"/>
  <c r="CW397" i="1" l="1"/>
  <c r="CY397" i="1" s="1"/>
  <c r="CV397" i="1"/>
  <c r="CX397" i="1" s="1"/>
  <c r="CZ397" i="1" s="1"/>
  <c r="Z402" i="1"/>
  <c r="AB402" i="1" s="1"/>
  <c r="Y402" i="1"/>
  <c r="AA402" i="1" s="1"/>
  <c r="AC402" i="1" s="1"/>
  <c r="CH398" i="1"/>
  <c r="CJ398" i="1" s="1"/>
  <c r="CG398" i="1"/>
  <c r="CI398" i="1" s="1"/>
  <c r="CK398" i="1" s="1"/>
  <c r="E403" i="1"/>
  <c r="F403" i="1"/>
  <c r="H403" i="1" s="1"/>
  <c r="AO401" i="1"/>
  <c r="AQ401" i="1" s="1"/>
  <c r="AN401" i="1"/>
  <c r="AP401" i="1" s="1"/>
  <c r="AR401" i="1" s="1"/>
  <c r="O402" i="1"/>
  <c r="P402" i="1"/>
  <c r="R402" i="1" s="1"/>
  <c r="BD400" i="1"/>
  <c r="BF400" i="1" s="1"/>
  <c r="BC400" i="1"/>
  <c r="BE400" i="1" s="1"/>
  <c r="BG400" i="1" s="1"/>
  <c r="BS399" i="1"/>
  <c r="BU399" i="1" s="1"/>
  <c r="BR399" i="1"/>
  <c r="BT399" i="1" s="1"/>
  <c r="BV399" i="1" s="1"/>
  <c r="BH400" i="1" l="1"/>
  <c r="BJ400" i="1" s="1"/>
  <c r="BL400" i="1" s="1"/>
  <c r="BI400" i="1"/>
  <c r="BK400" i="1" s="1"/>
  <c r="AT401" i="1"/>
  <c r="AV401" i="1" s="1"/>
  <c r="AS401" i="1"/>
  <c r="AU401" i="1" s="1"/>
  <c r="AW401" i="1" s="1"/>
  <c r="BX399" i="1"/>
  <c r="BZ399" i="1" s="1"/>
  <c r="BW399" i="1"/>
  <c r="BY399" i="1" s="1"/>
  <c r="CA399" i="1" s="1"/>
  <c r="Q403" i="1"/>
  <c r="S403" i="1" s="1"/>
  <c r="G403" i="1"/>
  <c r="I403" i="1" s="1"/>
  <c r="AE402" i="1"/>
  <c r="AG402" i="1" s="1"/>
  <c r="AD402" i="1"/>
  <c r="AF402" i="1" s="1"/>
  <c r="AH402" i="1" s="1"/>
  <c r="CM398" i="1"/>
  <c r="CO398" i="1" s="1"/>
  <c r="CL398" i="1"/>
  <c r="CN398" i="1" s="1"/>
  <c r="CP398" i="1" s="1"/>
  <c r="DB397" i="1"/>
  <c r="DD397" i="1" s="1"/>
  <c r="DA397" i="1"/>
  <c r="DC397" i="1" s="1"/>
  <c r="U403" i="1" l="1"/>
  <c r="W403" i="1" s="1"/>
  <c r="T403" i="1"/>
  <c r="V403" i="1" s="1"/>
  <c r="X403" i="1" s="1"/>
  <c r="K403" i="1"/>
  <c r="M403" i="1" s="1"/>
  <c r="J403" i="1"/>
  <c r="L403" i="1" s="1"/>
  <c r="N403" i="1" s="1"/>
  <c r="D404" i="1"/>
  <c r="AY401" i="1"/>
  <c r="BA401" i="1" s="1"/>
  <c r="AX401" i="1"/>
  <c r="AZ401" i="1" s="1"/>
  <c r="BB401" i="1" s="1"/>
  <c r="AI402" i="1"/>
  <c r="AK402" i="1" s="1"/>
  <c r="AM402" i="1" s="1"/>
  <c r="AJ402" i="1"/>
  <c r="AL402" i="1" s="1"/>
  <c r="CC399" i="1"/>
  <c r="CE399" i="1" s="1"/>
  <c r="CB399" i="1"/>
  <c r="CD399" i="1" s="1"/>
  <c r="CF399" i="1" s="1"/>
  <c r="CR398" i="1"/>
  <c r="CT398" i="1" s="1"/>
  <c r="CQ398" i="1"/>
  <c r="CS398" i="1" s="1"/>
  <c r="CU398" i="1" s="1"/>
  <c r="BN400" i="1"/>
  <c r="BP400" i="1" s="1"/>
  <c r="BM400" i="1"/>
  <c r="BO400" i="1" s="1"/>
  <c r="BQ400" i="1" s="1"/>
  <c r="BC401" i="1" l="1"/>
  <c r="BE401" i="1" s="1"/>
  <c r="BG401" i="1" s="1"/>
  <c r="BD401" i="1"/>
  <c r="BF401" i="1" s="1"/>
  <c r="AO402" i="1"/>
  <c r="AQ402" i="1" s="1"/>
  <c r="AN402" i="1"/>
  <c r="AP402" i="1" s="1"/>
  <c r="AR402" i="1" s="1"/>
  <c r="O403" i="1"/>
  <c r="P403" i="1"/>
  <c r="R403" i="1" s="1"/>
  <c r="Z403" i="1"/>
  <c r="AB403" i="1" s="1"/>
  <c r="Y403" i="1"/>
  <c r="AA403" i="1" s="1"/>
  <c r="AC403" i="1" s="1"/>
  <c r="BS400" i="1"/>
  <c r="BU400" i="1" s="1"/>
  <c r="BR400" i="1"/>
  <c r="BT400" i="1" s="1"/>
  <c r="BV400" i="1" s="1"/>
  <c r="F404" i="1"/>
  <c r="H404" i="1" s="1"/>
  <c r="E404" i="1"/>
  <c r="CG399" i="1"/>
  <c r="CI399" i="1" s="1"/>
  <c r="CK399" i="1" s="1"/>
  <c r="CH399" i="1"/>
  <c r="CJ399" i="1" s="1"/>
  <c r="CW398" i="1"/>
  <c r="CY398" i="1" s="1"/>
  <c r="CV398" i="1"/>
  <c r="CX398" i="1" s="1"/>
  <c r="CZ398" i="1" s="1"/>
  <c r="AD403" i="1" l="1"/>
  <c r="AF403" i="1" s="1"/>
  <c r="AH403" i="1" s="1"/>
  <c r="AE403" i="1"/>
  <c r="AG403" i="1" s="1"/>
  <c r="CM399" i="1"/>
  <c r="CO399" i="1" s="1"/>
  <c r="CL399" i="1"/>
  <c r="CN399" i="1" s="1"/>
  <c r="CP399" i="1" s="1"/>
  <c r="G404" i="1"/>
  <c r="I404" i="1" s="1"/>
  <c r="Q404" i="1"/>
  <c r="S404" i="1" s="1"/>
  <c r="DB398" i="1"/>
  <c r="DD398" i="1" s="1"/>
  <c r="DA398" i="1"/>
  <c r="DC398" i="1" s="1"/>
  <c r="AT402" i="1"/>
  <c r="AV402" i="1" s="1"/>
  <c r="AS402" i="1"/>
  <c r="AU402" i="1" s="1"/>
  <c r="AW402" i="1" s="1"/>
  <c r="BW400" i="1"/>
  <c r="BY400" i="1" s="1"/>
  <c r="CA400" i="1" s="1"/>
  <c r="BX400" i="1"/>
  <c r="BZ400" i="1" s="1"/>
  <c r="BI401" i="1"/>
  <c r="BK401" i="1" s="1"/>
  <c r="BH401" i="1"/>
  <c r="BJ401" i="1" s="1"/>
  <c r="BL401" i="1" s="1"/>
  <c r="K404" i="1" l="1"/>
  <c r="M404" i="1" s="1"/>
  <c r="J404" i="1"/>
  <c r="L404" i="1" s="1"/>
  <c r="N404" i="1" s="1"/>
  <c r="D405" i="1"/>
  <c r="BM401" i="1"/>
  <c r="BO401" i="1" s="1"/>
  <c r="BQ401" i="1" s="1"/>
  <c r="BN401" i="1"/>
  <c r="BP401" i="1" s="1"/>
  <c r="CR399" i="1"/>
  <c r="CT399" i="1" s="1"/>
  <c r="CQ399" i="1"/>
  <c r="CS399" i="1" s="1"/>
  <c r="CU399" i="1" s="1"/>
  <c r="AY402" i="1"/>
  <c r="BA402" i="1" s="1"/>
  <c r="AX402" i="1"/>
  <c r="AZ402" i="1" s="1"/>
  <c r="BB402" i="1" s="1"/>
  <c r="T404" i="1"/>
  <c r="V404" i="1" s="1"/>
  <c r="X404" i="1" s="1"/>
  <c r="U404" i="1"/>
  <c r="W404" i="1" s="1"/>
  <c r="CC400" i="1"/>
  <c r="CE400" i="1" s="1"/>
  <c r="CB400" i="1"/>
  <c r="CD400" i="1" s="1"/>
  <c r="CF400" i="1" s="1"/>
  <c r="AJ403" i="1"/>
  <c r="AL403" i="1" s="1"/>
  <c r="AI403" i="1"/>
  <c r="AK403" i="1" s="1"/>
  <c r="AM403" i="1" s="1"/>
  <c r="CW399" i="1" l="1"/>
  <c r="CY399" i="1" s="1"/>
  <c r="CV399" i="1"/>
  <c r="CX399" i="1" s="1"/>
  <c r="CZ399" i="1" s="1"/>
  <c r="AO403" i="1"/>
  <c r="AQ403" i="1" s="1"/>
  <c r="AN403" i="1"/>
  <c r="AP403" i="1" s="1"/>
  <c r="AR403" i="1" s="1"/>
  <c r="BS401" i="1"/>
  <c r="BU401" i="1" s="1"/>
  <c r="BR401" i="1"/>
  <c r="BT401" i="1" s="1"/>
  <c r="BV401" i="1" s="1"/>
  <c r="P404" i="1"/>
  <c r="R404" i="1" s="1"/>
  <c r="O404" i="1"/>
  <c r="BC402" i="1"/>
  <c r="BE402" i="1" s="1"/>
  <c r="BG402" i="1" s="1"/>
  <c r="BD402" i="1"/>
  <c r="BF402" i="1" s="1"/>
  <c r="CH400" i="1"/>
  <c r="CJ400" i="1" s="1"/>
  <c r="CG400" i="1"/>
  <c r="CI400" i="1" s="1"/>
  <c r="CK400" i="1" s="1"/>
  <c r="F405" i="1"/>
  <c r="H405" i="1" s="1"/>
  <c r="E405" i="1"/>
  <c r="Z404" i="1"/>
  <c r="AB404" i="1" s="1"/>
  <c r="Y404" i="1"/>
  <c r="AA404" i="1" s="1"/>
  <c r="AC404" i="1" s="1"/>
  <c r="AE404" i="1" l="1"/>
  <c r="AG404" i="1" s="1"/>
  <c r="AD404" i="1"/>
  <c r="AF404" i="1" s="1"/>
  <c r="AH404" i="1" s="1"/>
  <c r="Q405" i="1"/>
  <c r="S405" i="1" s="1"/>
  <c r="G405" i="1"/>
  <c r="I405" i="1" s="1"/>
  <c r="CM400" i="1"/>
  <c r="CO400" i="1" s="1"/>
  <c r="CL400" i="1"/>
  <c r="CN400" i="1" s="1"/>
  <c r="CP400" i="1" s="1"/>
  <c r="BX401" i="1"/>
  <c r="BZ401" i="1" s="1"/>
  <c r="BW401" i="1"/>
  <c r="BY401" i="1" s="1"/>
  <c r="CA401" i="1" s="1"/>
  <c r="AS403" i="1"/>
  <c r="AU403" i="1" s="1"/>
  <c r="AW403" i="1" s="1"/>
  <c r="AT403" i="1"/>
  <c r="AV403" i="1" s="1"/>
  <c r="DA399" i="1"/>
  <c r="DC399" i="1" s="1"/>
  <c r="DB399" i="1"/>
  <c r="DD399" i="1" s="1"/>
  <c r="BI402" i="1"/>
  <c r="BK402" i="1" s="1"/>
  <c r="BH402" i="1"/>
  <c r="BJ402" i="1" s="1"/>
  <c r="BL402" i="1" s="1"/>
  <c r="AY403" i="1" l="1"/>
  <c r="BA403" i="1" s="1"/>
  <c r="AX403" i="1"/>
  <c r="AZ403" i="1" s="1"/>
  <c r="BB403" i="1" s="1"/>
  <c r="CQ400" i="1"/>
  <c r="CS400" i="1" s="1"/>
  <c r="CU400" i="1" s="1"/>
  <c r="CR400" i="1"/>
  <c r="CT400" i="1" s="1"/>
  <c r="K405" i="1"/>
  <c r="M405" i="1" s="1"/>
  <c r="J405" i="1"/>
  <c r="L405" i="1" s="1"/>
  <c r="N405" i="1" s="1"/>
  <c r="D406" i="1"/>
  <c r="BN402" i="1"/>
  <c r="BP402" i="1" s="1"/>
  <c r="BM402" i="1"/>
  <c r="BO402" i="1" s="1"/>
  <c r="BQ402" i="1" s="1"/>
  <c r="CC401" i="1"/>
  <c r="CE401" i="1" s="1"/>
  <c r="CB401" i="1"/>
  <c r="CD401" i="1" s="1"/>
  <c r="CF401" i="1" s="1"/>
  <c r="U405" i="1"/>
  <c r="W405" i="1" s="1"/>
  <c r="T405" i="1"/>
  <c r="V405" i="1" s="1"/>
  <c r="X405" i="1" s="1"/>
  <c r="AI404" i="1"/>
  <c r="AK404" i="1" s="1"/>
  <c r="AM404" i="1" s="1"/>
  <c r="AJ404" i="1"/>
  <c r="AL404" i="1" s="1"/>
  <c r="F406" i="1" l="1"/>
  <c r="H406" i="1" s="1"/>
  <c r="E406" i="1"/>
  <c r="Z405" i="1"/>
  <c r="AB405" i="1" s="1"/>
  <c r="Y405" i="1"/>
  <c r="AA405" i="1" s="1"/>
  <c r="AC405" i="1" s="1"/>
  <c r="P405" i="1"/>
  <c r="R405" i="1" s="1"/>
  <c r="O405" i="1"/>
  <c r="AO404" i="1"/>
  <c r="AQ404" i="1" s="1"/>
  <c r="AN404" i="1"/>
  <c r="AP404" i="1" s="1"/>
  <c r="AR404" i="1" s="1"/>
  <c r="CW400" i="1"/>
  <c r="CY400" i="1" s="1"/>
  <c r="CV400" i="1"/>
  <c r="CX400" i="1" s="1"/>
  <c r="CZ400" i="1" s="1"/>
  <c r="CG401" i="1"/>
  <c r="CI401" i="1" s="1"/>
  <c r="CK401" i="1" s="1"/>
  <c r="CH401" i="1"/>
  <c r="CJ401" i="1" s="1"/>
  <c r="BD403" i="1"/>
  <c r="BF403" i="1" s="1"/>
  <c r="BC403" i="1"/>
  <c r="BE403" i="1" s="1"/>
  <c r="BG403" i="1" s="1"/>
  <c r="BS402" i="1"/>
  <c r="BU402" i="1" s="1"/>
  <c r="BR402" i="1"/>
  <c r="BT402" i="1" s="1"/>
  <c r="BV402" i="1" s="1"/>
  <c r="AE405" i="1" l="1"/>
  <c r="AG405" i="1" s="1"/>
  <c r="AD405" i="1"/>
  <c r="AF405" i="1" s="1"/>
  <c r="AH405" i="1" s="1"/>
  <c r="AT404" i="1"/>
  <c r="AV404" i="1" s="1"/>
  <c r="AS404" i="1"/>
  <c r="AU404" i="1" s="1"/>
  <c r="AW404" i="1" s="1"/>
  <c r="BI403" i="1"/>
  <c r="BK403" i="1" s="1"/>
  <c r="BH403" i="1"/>
  <c r="BJ403" i="1" s="1"/>
  <c r="BL403" i="1" s="1"/>
  <c r="DB400" i="1"/>
  <c r="DD400" i="1" s="1"/>
  <c r="DA400" i="1"/>
  <c r="DC400" i="1" s="1"/>
  <c r="BW402" i="1"/>
  <c r="BY402" i="1" s="1"/>
  <c r="CA402" i="1" s="1"/>
  <c r="BX402" i="1"/>
  <c r="BZ402" i="1" s="1"/>
  <c r="CM401" i="1"/>
  <c r="CO401" i="1" s="1"/>
  <c r="CL401" i="1"/>
  <c r="CN401" i="1" s="1"/>
  <c r="CP401" i="1" s="1"/>
  <c r="G406" i="1"/>
  <c r="I406" i="1" s="1"/>
  <c r="Q406" i="1"/>
  <c r="S406" i="1" s="1"/>
  <c r="J406" i="1" l="1"/>
  <c r="L406" i="1" s="1"/>
  <c r="N406" i="1" s="1"/>
  <c r="K406" i="1"/>
  <c r="M406" i="1" s="1"/>
  <c r="D407" i="1"/>
  <c r="U406" i="1"/>
  <c r="W406" i="1" s="1"/>
  <c r="T406" i="1"/>
  <c r="V406" i="1" s="1"/>
  <c r="X406" i="1" s="1"/>
  <c r="CQ401" i="1"/>
  <c r="CS401" i="1" s="1"/>
  <c r="CU401" i="1" s="1"/>
  <c r="CR401" i="1"/>
  <c r="CT401" i="1" s="1"/>
  <c r="BM403" i="1"/>
  <c r="BO403" i="1" s="1"/>
  <c r="BQ403" i="1" s="1"/>
  <c r="BN403" i="1"/>
  <c r="BP403" i="1" s="1"/>
  <c r="AY404" i="1"/>
  <c r="BA404" i="1" s="1"/>
  <c r="AX404" i="1"/>
  <c r="AZ404" i="1" s="1"/>
  <c r="BB404" i="1" s="1"/>
  <c r="AJ405" i="1"/>
  <c r="AL405" i="1" s="1"/>
  <c r="AI405" i="1"/>
  <c r="AK405" i="1" s="1"/>
  <c r="AM405" i="1" s="1"/>
  <c r="CC402" i="1"/>
  <c r="CE402" i="1" s="1"/>
  <c r="CB402" i="1"/>
  <c r="CD402" i="1" s="1"/>
  <c r="CF402" i="1" s="1"/>
  <c r="CW401" i="1" l="1"/>
  <c r="CY401" i="1" s="1"/>
  <c r="CV401" i="1"/>
  <c r="CX401" i="1" s="1"/>
  <c r="CZ401" i="1" s="1"/>
  <c r="BS403" i="1"/>
  <c r="BU403" i="1" s="1"/>
  <c r="BR403" i="1"/>
  <c r="BT403" i="1" s="1"/>
  <c r="BV403" i="1" s="1"/>
  <c r="Z406" i="1"/>
  <c r="AB406" i="1" s="1"/>
  <c r="Y406" i="1"/>
  <c r="AA406" i="1" s="1"/>
  <c r="AC406" i="1" s="1"/>
  <c r="BD404" i="1"/>
  <c r="BF404" i="1" s="1"/>
  <c r="BC404" i="1"/>
  <c r="BE404" i="1" s="1"/>
  <c r="BG404" i="1" s="1"/>
  <c r="CH402" i="1"/>
  <c r="CJ402" i="1" s="1"/>
  <c r="CG402" i="1"/>
  <c r="CI402" i="1" s="1"/>
  <c r="CK402" i="1" s="1"/>
  <c r="AN405" i="1"/>
  <c r="AP405" i="1" s="1"/>
  <c r="AR405" i="1" s="1"/>
  <c r="AO405" i="1"/>
  <c r="AQ405" i="1" s="1"/>
  <c r="E407" i="1"/>
  <c r="F407" i="1"/>
  <c r="H407" i="1" s="1"/>
  <c r="P406" i="1"/>
  <c r="R406" i="1" s="1"/>
  <c r="O406" i="1"/>
  <c r="AD406" i="1" l="1"/>
  <c r="AF406" i="1" s="1"/>
  <c r="AH406" i="1" s="1"/>
  <c r="AE406" i="1"/>
  <c r="AG406" i="1" s="1"/>
  <c r="Q407" i="1"/>
  <c r="S407" i="1" s="1"/>
  <c r="G407" i="1"/>
  <c r="I407" i="1" s="1"/>
  <c r="AT405" i="1"/>
  <c r="AV405" i="1" s="1"/>
  <c r="AS405" i="1"/>
  <c r="AU405" i="1" s="1"/>
  <c r="AW405" i="1" s="1"/>
  <c r="BI404" i="1"/>
  <c r="BK404" i="1" s="1"/>
  <c r="BH404" i="1"/>
  <c r="BJ404" i="1" s="1"/>
  <c r="BL404" i="1" s="1"/>
  <c r="BX403" i="1"/>
  <c r="BZ403" i="1" s="1"/>
  <c r="BW403" i="1"/>
  <c r="BY403" i="1" s="1"/>
  <c r="CA403" i="1" s="1"/>
  <c r="CM402" i="1"/>
  <c r="CO402" i="1" s="1"/>
  <c r="CL402" i="1"/>
  <c r="CN402" i="1" s="1"/>
  <c r="CP402" i="1" s="1"/>
  <c r="DA401" i="1"/>
  <c r="DC401" i="1" s="1"/>
  <c r="DB401" i="1"/>
  <c r="DD401" i="1" s="1"/>
  <c r="CR402" i="1" l="1"/>
  <c r="CT402" i="1" s="1"/>
  <c r="CQ402" i="1"/>
  <c r="CS402" i="1" s="1"/>
  <c r="CU402" i="1" s="1"/>
  <c r="BN404" i="1"/>
  <c r="BP404" i="1" s="1"/>
  <c r="BM404" i="1"/>
  <c r="BO404" i="1" s="1"/>
  <c r="BQ404" i="1" s="1"/>
  <c r="AX405" i="1"/>
  <c r="AZ405" i="1" s="1"/>
  <c r="BB405" i="1" s="1"/>
  <c r="AY405" i="1"/>
  <c r="BA405" i="1" s="1"/>
  <c r="K407" i="1"/>
  <c r="M407" i="1" s="1"/>
  <c r="J407" i="1"/>
  <c r="L407" i="1" s="1"/>
  <c r="N407" i="1" s="1"/>
  <c r="D408" i="1"/>
  <c r="T407" i="1"/>
  <c r="V407" i="1" s="1"/>
  <c r="X407" i="1" s="1"/>
  <c r="U407" i="1"/>
  <c r="W407" i="1" s="1"/>
  <c r="CC403" i="1"/>
  <c r="CE403" i="1" s="1"/>
  <c r="CB403" i="1"/>
  <c r="CD403" i="1" s="1"/>
  <c r="CF403" i="1" s="1"/>
  <c r="AJ406" i="1"/>
  <c r="AL406" i="1" s="1"/>
  <c r="AI406" i="1"/>
  <c r="AK406" i="1" s="1"/>
  <c r="AM406" i="1" s="1"/>
  <c r="AO406" i="1" l="1"/>
  <c r="AQ406" i="1" s="1"/>
  <c r="AN406" i="1"/>
  <c r="AP406" i="1" s="1"/>
  <c r="AR406" i="1" s="1"/>
  <c r="BS404" i="1"/>
  <c r="BU404" i="1" s="1"/>
  <c r="BR404" i="1"/>
  <c r="BT404" i="1" s="1"/>
  <c r="BV404" i="1" s="1"/>
  <c r="P407" i="1"/>
  <c r="R407" i="1" s="1"/>
  <c r="O407" i="1"/>
  <c r="CH403" i="1"/>
  <c r="CJ403" i="1" s="1"/>
  <c r="CG403" i="1"/>
  <c r="CI403" i="1" s="1"/>
  <c r="CK403" i="1" s="1"/>
  <c r="Z407" i="1"/>
  <c r="AB407" i="1" s="1"/>
  <c r="Y407" i="1"/>
  <c r="AA407" i="1" s="1"/>
  <c r="AC407" i="1" s="1"/>
  <c r="BD405" i="1"/>
  <c r="BF405" i="1" s="1"/>
  <c r="BC405" i="1"/>
  <c r="BE405" i="1" s="1"/>
  <c r="BG405" i="1" s="1"/>
  <c r="CW402" i="1"/>
  <c r="CY402" i="1" s="1"/>
  <c r="CV402" i="1"/>
  <c r="CX402" i="1" s="1"/>
  <c r="CZ402" i="1" s="1"/>
  <c r="F408" i="1"/>
  <c r="H408" i="1" s="1"/>
  <c r="E408" i="1"/>
  <c r="DB402" i="1" l="1"/>
  <c r="DD402" i="1" s="1"/>
  <c r="DA402" i="1"/>
  <c r="DC402" i="1" s="1"/>
  <c r="CM403" i="1"/>
  <c r="CO403" i="1" s="1"/>
  <c r="CL403" i="1"/>
  <c r="CN403" i="1" s="1"/>
  <c r="CP403" i="1" s="1"/>
  <c r="BI405" i="1"/>
  <c r="BK405" i="1" s="1"/>
  <c r="BH405" i="1"/>
  <c r="BJ405" i="1" s="1"/>
  <c r="BL405" i="1" s="1"/>
  <c r="AE407" i="1"/>
  <c r="AG407" i="1" s="1"/>
  <c r="AD407" i="1"/>
  <c r="AF407" i="1" s="1"/>
  <c r="AH407" i="1" s="1"/>
  <c r="G408" i="1"/>
  <c r="I408" i="1" s="1"/>
  <c r="Q408" i="1"/>
  <c r="S408" i="1" s="1"/>
  <c r="BX404" i="1"/>
  <c r="BZ404" i="1" s="1"/>
  <c r="BW404" i="1"/>
  <c r="BY404" i="1" s="1"/>
  <c r="CA404" i="1" s="1"/>
  <c r="AT406" i="1"/>
  <c r="AV406" i="1" s="1"/>
  <c r="AS406" i="1"/>
  <c r="AU406" i="1" s="1"/>
  <c r="AW406" i="1" s="1"/>
  <c r="BN405" i="1" l="1"/>
  <c r="BP405" i="1" s="1"/>
  <c r="BM405" i="1"/>
  <c r="BO405" i="1" s="1"/>
  <c r="BQ405" i="1" s="1"/>
  <c r="AJ407" i="1"/>
  <c r="AL407" i="1" s="1"/>
  <c r="AI407" i="1"/>
  <c r="AK407" i="1" s="1"/>
  <c r="AM407" i="1" s="1"/>
  <c r="CR403" i="1"/>
  <c r="CT403" i="1" s="1"/>
  <c r="CQ403" i="1"/>
  <c r="CS403" i="1" s="1"/>
  <c r="CU403" i="1" s="1"/>
  <c r="U408" i="1"/>
  <c r="W408" i="1" s="1"/>
  <c r="T408" i="1"/>
  <c r="V408" i="1" s="1"/>
  <c r="X408" i="1" s="1"/>
  <c r="AY406" i="1"/>
  <c r="BA406" i="1" s="1"/>
  <c r="AX406" i="1"/>
  <c r="AZ406" i="1" s="1"/>
  <c r="BB406" i="1" s="1"/>
  <c r="CB404" i="1"/>
  <c r="CD404" i="1" s="1"/>
  <c r="CF404" i="1" s="1"/>
  <c r="CC404" i="1"/>
  <c r="CE404" i="1" s="1"/>
  <c r="J408" i="1"/>
  <c r="L408" i="1" s="1"/>
  <c r="N408" i="1" s="1"/>
  <c r="K408" i="1"/>
  <c r="M408" i="1" s="1"/>
  <c r="D409" i="1"/>
  <c r="Z408" i="1" l="1"/>
  <c r="AB408" i="1" s="1"/>
  <c r="Y408" i="1"/>
  <c r="AA408" i="1" s="1"/>
  <c r="AC408" i="1" s="1"/>
  <c r="P408" i="1"/>
  <c r="R408" i="1" s="1"/>
  <c r="O408" i="1"/>
  <c r="CW403" i="1"/>
  <c r="CY403" i="1" s="1"/>
  <c r="CV403" i="1"/>
  <c r="CX403" i="1" s="1"/>
  <c r="CZ403" i="1" s="1"/>
  <c r="F409" i="1"/>
  <c r="H409" i="1" s="1"/>
  <c r="E409" i="1"/>
  <c r="AO407" i="1"/>
  <c r="AQ407" i="1" s="1"/>
  <c r="AN407" i="1"/>
  <c r="AP407" i="1" s="1"/>
  <c r="AR407" i="1" s="1"/>
  <c r="BD406" i="1"/>
  <c r="BF406" i="1" s="1"/>
  <c r="BC406" i="1"/>
  <c r="BE406" i="1" s="1"/>
  <c r="BG406" i="1" s="1"/>
  <c r="CH404" i="1"/>
  <c r="CJ404" i="1" s="1"/>
  <c r="CG404" i="1"/>
  <c r="CI404" i="1" s="1"/>
  <c r="CK404" i="1" s="1"/>
  <c r="BR405" i="1"/>
  <c r="BT405" i="1" s="1"/>
  <c r="BV405" i="1" s="1"/>
  <c r="BS405" i="1"/>
  <c r="BU405" i="1" s="1"/>
  <c r="BX405" i="1" l="1"/>
  <c r="BZ405" i="1" s="1"/>
  <c r="BW405" i="1"/>
  <c r="BY405" i="1" s="1"/>
  <c r="CA405" i="1" s="1"/>
  <c r="DA403" i="1"/>
  <c r="DC403" i="1" s="1"/>
  <c r="DB403" i="1"/>
  <c r="DD403" i="1" s="1"/>
  <c r="AE408" i="1"/>
  <c r="AG408" i="1" s="1"/>
  <c r="AD408" i="1"/>
  <c r="AF408" i="1" s="1"/>
  <c r="AH408" i="1" s="1"/>
  <c r="Q409" i="1"/>
  <c r="S409" i="1" s="1"/>
  <c r="G409" i="1"/>
  <c r="I409" i="1" s="1"/>
  <c r="BI406" i="1"/>
  <c r="BK406" i="1" s="1"/>
  <c r="BH406" i="1"/>
  <c r="BJ406" i="1" s="1"/>
  <c r="BL406" i="1" s="1"/>
  <c r="CM404" i="1"/>
  <c r="CO404" i="1" s="1"/>
  <c r="CL404" i="1"/>
  <c r="CN404" i="1" s="1"/>
  <c r="CP404" i="1" s="1"/>
  <c r="AT407" i="1"/>
  <c r="AV407" i="1" s="1"/>
  <c r="AS407" i="1"/>
  <c r="AU407" i="1" s="1"/>
  <c r="AW407" i="1" s="1"/>
  <c r="CQ404" i="1" l="1"/>
  <c r="CS404" i="1" s="1"/>
  <c r="CU404" i="1" s="1"/>
  <c r="CR404" i="1"/>
  <c r="CT404" i="1" s="1"/>
  <c r="AJ408" i="1"/>
  <c r="AL408" i="1" s="1"/>
  <c r="AI408" i="1"/>
  <c r="AK408" i="1" s="1"/>
  <c r="AM408" i="1" s="1"/>
  <c r="K409" i="1"/>
  <c r="M409" i="1" s="1"/>
  <c r="J409" i="1"/>
  <c r="L409" i="1" s="1"/>
  <c r="N409" i="1" s="1"/>
  <c r="D410" i="1"/>
  <c r="AY407" i="1"/>
  <c r="BA407" i="1" s="1"/>
  <c r="AX407" i="1"/>
  <c r="AZ407" i="1" s="1"/>
  <c r="BB407" i="1" s="1"/>
  <c r="BN406" i="1"/>
  <c r="BP406" i="1" s="1"/>
  <c r="BM406" i="1"/>
  <c r="BO406" i="1" s="1"/>
  <c r="BQ406" i="1" s="1"/>
  <c r="U409" i="1"/>
  <c r="W409" i="1" s="1"/>
  <c r="T409" i="1"/>
  <c r="V409" i="1" s="1"/>
  <c r="X409" i="1" s="1"/>
  <c r="CB405" i="1"/>
  <c r="CD405" i="1" s="1"/>
  <c r="CF405" i="1" s="1"/>
  <c r="CC405" i="1"/>
  <c r="CE405" i="1" s="1"/>
  <c r="P409" i="1" l="1"/>
  <c r="R409" i="1" s="1"/>
  <c r="O409" i="1"/>
  <c r="Y409" i="1"/>
  <c r="AA409" i="1" s="1"/>
  <c r="AC409" i="1" s="1"/>
  <c r="Z409" i="1"/>
  <c r="AB409" i="1" s="1"/>
  <c r="F410" i="1"/>
  <c r="H410" i="1" s="1"/>
  <c r="E410" i="1"/>
  <c r="AN408" i="1"/>
  <c r="AP408" i="1" s="1"/>
  <c r="AR408" i="1" s="1"/>
  <c r="AO408" i="1"/>
  <c r="AQ408" i="1" s="1"/>
  <c r="BS406" i="1"/>
  <c r="BU406" i="1" s="1"/>
  <c r="BR406" i="1"/>
  <c r="BT406" i="1" s="1"/>
  <c r="BV406" i="1" s="1"/>
  <c r="CH405" i="1"/>
  <c r="CJ405" i="1" s="1"/>
  <c r="CG405" i="1"/>
  <c r="CI405" i="1" s="1"/>
  <c r="CK405" i="1" s="1"/>
  <c r="BD407" i="1"/>
  <c r="BF407" i="1" s="1"/>
  <c r="BC407" i="1"/>
  <c r="BE407" i="1" s="1"/>
  <c r="BG407" i="1" s="1"/>
  <c r="CW404" i="1"/>
  <c r="CY404" i="1" s="1"/>
  <c r="CV404" i="1"/>
  <c r="CX404" i="1" s="1"/>
  <c r="G410" i="1" l="1"/>
  <c r="I410" i="1" s="1"/>
  <c r="Q410" i="1"/>
  <c r="S410" i="1" s="1"/>
  <c r="CL405" i="1"/>
  <c r="CN405" i="1" s="1"/>
  <c r="CP405" i="1" s="1"/>
  <c r="CM405" i="1"/>
  <c r="CO405" i="1" s="1"/>
  <c r="CZ404" i="1"/>
  <c r="BH407" i="1"/>
  <c r="BJ407" i="1" s="1"/>
  <c r="BL407" i="1" s="1"/>
  <c r="BI407" i="1"/>
  <c r="BK407" i="1" s="1"/>
  <c r="AT408" i="1"/>
  <c r="AV408" i="1" s="1"/>
  <c r="AS408" i="1"/>
  <c r="AU408" i="1" s="1"/>
  <c r="AW408" i="1" s="1"/>
  <c r="AE409" i="1"/>
  <c r="AG409" i="1" s="1"/>
  <c r="AD409" i="1"/>
  <c r="AF409" i="1" s="1"/>
  <c r="AH409" i="1" s="1"/>
  <c r="BW406" i="1"/>
  <c r="BY406" i="1" s="1"/>
  <c r="CA406" i="1" s="1"/>
  <c r="BX406" i="1"/>
  <c r="BZ406" i="1" s="1"/>
  <c r="AY408" i="1" l="1"/>
  <c r="BA408" i="1" s="1"/>
  <c r="AX408" i="1"/>
  <c r="AZ408" i="1" s="1"/>
  <c r="BB408" i="1" s="1"/>
  <c r="DB404" i="1"/>
  <c r="DD404" i="1" s="1"/>
  <c r="DA404" i="1"/>
  <c r="DC404" i="1" s="1"/>
  <c r="AJ409" i="1"/>
  <c r="AL409" i="1" s="1"/>
  <c r="AI409" i="1"/>
  <c r="AK409" i="1" s="1"/>
  <c r="AM409" i="1" s="1"/>
  <c r="BM407" i="1"/>
  <c r="BO407" i="1" s="1"/>
  <c r="BQ407" i="1" s="1"/>
  <c r="BN407" i="1"/>
  <c r="BP407" i="1" s="1"/>
  <c r="CB406" i="1"/>
  <c r="CD406" i="1" s="1"/>
  <c r="CF406" i="1" s="1"/>
  <c r="CC406" i="1"/>
  <c r="CE406" i="1" s="1"/>
  <c r="CR405" i="1"/>
  <c r="CT405" i="1" s="1"/>
  <c r="CQ405" i="1"/>
  <c r="CS405" i="1" s="1"/>
  <c r="CU405" i="1" s="1"/>
  <c r="U410" i="1"/>
  <c r="W410" i="1" s="1"/>
  <c r="T410" i="1"/>
  <c r="V410" i="1" s="1"/>
  <c r="X410" i="1" s="1"/>
  <c r="K410" i="1"/>
  <c r="M410" i="1" s="1"/>
  <c r="J410" i="1"/>
  <c r="L410" i="1" s="1"/>
  <c r="N410" i="1" s="1"/>
  <c r="D411" i="1"/>
  <c r="P410" i="1" l="1"/>
  <c r="R410" i="1" s="1"/>
  <c r="O410" i="1"/>
  <c r="AO409" i="1"/>
  <c r="AQ409" i="1" s="1"/>
  <c r="AN409" i="1"/>
  <c r="AP409" i="1" s="1"/>
  <c r="AR409" i="1" s="1"/>
  <c r="BC408" i="1"/>
  <c r="BE408" i="1" s="1"/>
  <c r="BG408" i="1" s="1"/>
  <c r="BD408" i="1"/>
  <c r="BF408" i="1" s="1"/>
  <c r="Z410" i="1"/>
  <c r="AB410" i="1" s="1"/>
  <c r="Y410" i="1"/>
  <c r="AA410" i="1" s="1"/>
  <c r="AC410" i="1" s="1"/>
  <c r="BS407" i="1"/>
  <c r="BU407" i="1" s="1"/>
  <c r="BR407" i="1"/>
  <c r="BT407" i="1" s="1"/>
  <c r="BV407" i="1" s="1"/>
  <c r="CV405" i="1"/>
  <c r="CX405" i="1" s="1"/>
  <c r="CW405" i="1"/>
  <c r="CY405" i="1" s="1"/>
  <c r="F411" i="1"/>
  <c r="H411" i="1" s="1"/>
  <c r="E411" i="1"/>
  <c r="CH406" i="1"/>
  <c r="CJ406" i="1" s="1"/>
  <c r="CG406" i="1"/>
  <c r="CI406" i="1" s="1"/>
  <c r="CK406" i="1" s="1"/>
  <c r="AD410" i="1" l="1"/>
  <c r="AF410" i="1" s="1"/>
  <c r="AH410" i="1" s="1"/>
  <c r="AE410" i="1"/>
  <c r="AG410" i="1" s="1"/>
  <c r="CL406" i="1"/>
  <c r="CN406" i="1" s="1"/>
  <c r="CP406" i="1" s="1"/>
  <c r="CM406" i="1"/>
  <c r="CO406" i="1" s="1"/>
  <c r="G411" i="1"/>
  <c r="I411" i="1" s="1"/>
  <c r="Q411" i="1"/>
  <c r="S411" i="1" s="1"/>
  <c r="BX407" i="1"/>
  <c r="BZ407" i="1" s="1"/>
  <c r="BW407" i="1"/>
  <c r="BY407" i="1" s="1"/>
  <c r="CA407" i="1" s="1"/>
  <c r="BI408" i="1"/>
  <c r="BK408" i="1" s="1"/>
  <c r="BH408" i="1"/>
  <c r="BJ408" i="1" s="1"/>
  <c r="BL408" i="1" s="1"/>
  <c r="AS409" i="1"/>
  <c r="AU409" i="1" s="1"/>
  <c r="AW409" i="1" s="1"/>
  <c r="AT409" i="1"/>
  <c r="AV409" i="1" s="1"/>
  <c r="CZ405" i="1"/>
  <c r="U411" i="1" l="1"/>
  <c r="W411" i="1" s="1"/>
  <c r="T411" i="1"/>
  <c r="V411" i="1" s="1"/>
  <c r="X411" i="1" s="1"/>
  <c r="CB407" i="1"/>
  <c r="CD407" i="1" s="1"/>
  <c r="CF407" i="1" s="1"/>
  <c r="CC407" i="1"/>
  <c r="CE407" i="1" s="1"/>
  <c r="DB405" i="1"/>
  <c r="DD405" i="1" s="1"/>
  <c r="DA405" i="1"/>
  <c r="DC405" i="1" s="1"/>
  <c r="CR406" i="1"/>
  <c r="CT406" i="1" s="1"/>
  <c r="CQ406" i="1"/>
  <c r="CS406" i="1" s="1"/>
  <c r="CU406" i="1" s="1"/>
  <c r="K411" i="1"/>
  <c r="M411" i="1" s="1"/>
  <c r="J411" i="1"/>
  <c r="L411" i="1" s="1"/>
  <c r="N411" i="1" s="1"/>
  <c r="D412" i="1"/>
  <c r="AX409" i="1"/>
  <c r="AZ409" i="1" s="1"/>
  <c r="BB409" i="1" s="1"/>
  <c r="AY409" i="1"/>
  <c r="BA409" i="1" s="1"/>
  <c r="BM408" i="1"/>
  <c r="BO408" i="1" s="1"/>
  <c r="BQ408" i="1" s="1"/>
  <c r="BN408" i="1"/>
  <c r="BP408" i="1" s="1"/>
  <c r="AI410" i="1"/>
  <c r="AK410" i="1" s="1"/>
  <c r="AM410" i="1" s="1"/>
  <c r="AJ410" i="1"/>
  <c r="AL410" i="1" s="1"/>
  <c r="AO410" i="1" l="1"/>
  <c r="AQ410" i="1" s="1"/>
  <c r="AN410" i="1"/>
  <c r="AP410" i="1" s="1"/>
  <c r="AR410" i="1" s="1"/>
  <c r="CW406" i="1"/>
  <c r="CY406" i="1" s="1"/>
  <c r="CV406" i="1"/>
  <c r="CX406" i="1" s="1"/>
  <c r="CZ406" i="1" s="1"/>
  <c r="BR408" i="1"/>
  <c r="BT408" i="1" s="1"/>
  <c r="BV408" i="1" s="1"/>
  <c r="BS408" i="1"/>
  <c r="BU408" i="1" s="1"/>
  <c r="BD409" i="1"/>
  <c r="BF409" i="1" s="1"/>
  <c r="BC409" i="1"/>
  <c r="BE409" i="1" s="1"/>
  <c r="BG409" i="1" s="1"/>
  <c r="Y411" i="1"/>
  <c r="AA411" i="1" s="1"/>
  <c r="AC411" i="1" s="1"/>
  <c r="Z411" i="1"/>
  <c r="AB411" i="1" s="1"/>
  <c r="P411" i="1"/>
  <c r="R411" i="1" s="1"/>
  <c r="O411" i="1"/>
  <c r="F412" i="1"/>
  <c r="H412" i="1" s="1"/>
  <c r="E412" i="1"/>
  <c r="CG407" i="1"/>
  <c r="CI407" i="1" s="1"/>
  <c r="CK407" i="1" s="1"/>
  <c r="CH407" i="1"/>
  <c r="CJ407" i="1" s="1"/>
  <c r="BH409" i="1" l="1"/>
  <c r="BJ409" i="1" s="1"/>
  <c r="BL409" i="1" s="1"/>
  <c r="BI409" i="1"/>
  <c r="BK409" i="1" s="1"/>
  <c r="CM407" i="1"/>
  <c r="CO407" i="1" s="1"/>
  <c r="CL407" i="1"/>
  <c r="CN407" i="1" s="1"/>
  <c r="CP407" i="1" s="1"/>
  <c r="Q412" i="1"/>
  <c r="S412" i="1" s="1"/>
  <c r="G412" i="1"/>
  <c r="I412" i="1" s="1"/>
  <c r="DA406" i="1"/>
  <c r="DC406" i="1" s="1"/>
  <c r="DB406" i="1"/>
  <c r="DD406" i="1" s="1"/>
  <c r="AT410" i="1"/>
  <c r="AV410" i="1" s="1"/>
  <c r="AS410" i="1"/>
  <c r="AU410" i="1" s="1"/>
  <c r="AW410" i="1" s="1"/>
  <c r="BX408" i="1"/>
  <c r="BZ408" i="1" s="1"/>
  <c r="BW408" i="1"/>
  <c r="BY408" i="1" s="1"/>
  <c r="CA408" i="1" s="1"/>
  <c r="AE411" i="1"/>
  <c r="AG411" i="1" s="1"/>
  <c r="AD411" i="1"/>
  <c r="AF411" i="1" s="1"/>
  <c r="AH411" i="1" s="1"/>
  <c r="K412" i="1" l="1"/>
  <c r="M412" i="1" s="1"/>
  <c r="J412" i="1"/>
  <c r="L412" i="1" s="1"/>
  <c r="N412" i="1" s="1"/>
  <c r="D413" i="1"/>
  <c r="AI411" i="1"/>
  <c r="AK411" i="1" s="1"/>
  <c r="AM411" i="1" s="1"/>
  <c r="AJ411" i="1"/>
  <c r="AL411" i="1" s="1"/>
  <c r="CR407" i="1"/>
  <c r="CT407" i="1" s="1"/>
  <c r="CQ407" i="1"/>
  <c r="CS407" i="1" s="1"/>
  <c r="CU407" i="1" s="1"/>
  <c r="CB408" i="1"/>
  <c r="CD408" i="1" s="1"/>
  <c r="CF408" i="1" s="1"/>
  <c r="CC408" i="1"/>
  <c r="CE408" i="1" s="1"/>
  <c r="AX410" i="1"/>
  <c r="AZ410" i="1" s="1"/>
  <c r="BB410" i="1" s="1"/>
  <c r="AY410" i="1"/>
  <c r="BA410" i="1" s="1"/>
  <c r="U412" i="1"/>
  <c r="W412" i="1" s="1"/>
  <c r="T412" i="1"/>
  <c r="V412" i="1" s="1"/>
  <c r="X412" i="1" s="1"/>
  <c r="BN409" i="1"/>
  <c r="BP409" i="1" s="1"/>
  <c r="BM409" i="1"/>
  <c r="BO409" i="1" s="1"/>
  <c r="BQ409" i="1" s="1"/>
  <c r="BS409" i="1" l="1"/>
  <c r="BU409" i="1" s="1"/>
  <c r="BR409" i="1"/>
  <c r="BT409" i="1" s="1"/>
  <c r="BV409" i="1" s="1"/>
  <c r="CW407" i="1"/>
  <c r="CY407" i="1" s="1"/>
  <c r="CV407" i="1"/>
  <c r="CX407" i="1" s="1"/>
  <c r="CZ407" i="1" s="1"/>
  <c r="Y412" i="1"/>
  <c r="AA412" i="1" s="1"/>
  <c r="AC412" i="1" s="1"/>
  <c r="Z412" i="1"/>
  <c r="AB412" i="1" s="1"/>
  <c r="O412" i="1"/>
  <c r="P412" i="1"/>
  <c r="R412" i="1" s="1"/>
  <c r="AN411" i="1"/>
  <c r="AP411" i="1" s="1"/>
  <c r="AR411" i="1" s="1"/>
  <c r="AO411" i="1"/>
  <c r="AQ411" i="1" s="1"/>
  <c r="E413" i="1"/>
  <c r="F413" i="1"/>
  <c r="H413" i="1" s="1"/>
  <c r="CH408" i="1"/>
  <c r="CJ408" i="1" s="1"/>
  <c r="CG408" i="1"/>
  <c r="CI408" i="1" s="1"/>
  <c r="CK408" i="1" s="1"/>
  <c r="BC410" i="1"/>
  <c r="BE410" i="1" s="1"/>
  <c r="BG410" i="1" s="1"/>
  <c r="BD410" i="1"/>
  <c r="BF410" i="1" s="1"/>
  <c r="BH410" i="1" l="1"/>
  <c r="BJ410" i="1" s="1"/>
  <c r="BL410" i="1" s="1"/>
  <c r="BI410" i="1"/>
  <c r="BK410" i="1" s="1"/>
  <c r="CM408" i="1"/>
  <c r="CO408" i="1" s="1"/>
  <c r="CL408" i="1"/>
  <c r="CN408" i="1" s="1"/>
  <c r="CP408" i="1" s="1"/>
  <c r="AD412" i="1"/>
  <c r="AF412" i="1" s="1"/>
  <c r="AH412" i="1" s="1"/>
  <c r="AE412" i="1"/>
  <c r="AG412" i="1" s="1"/>
  <c r="BW409" i="1"/>
  <c r="BY409" i="1" s="1"/>
  <c r="CA409" i="1" s="1"/>
  <c r="BX409" i="1"/>
  <c r="BZ409" i="1" s="1"/>
  <c r="DB407" i="1"/>
  <c r="DD407" i="1" s="1"/>
  <c r="DA407" i="1"/>
  <c r="DC407" i="1" s="1"/>
  <c r="Q413" i="1"/>
  <c r="S413" i="1" s="1"/>
  <c r="G413" i="1"/>
  <c r="I413" i="1" s="1"/>
  <c r="AT411" i="1"/>
  <c r="AV411" i="1" s="1"/>
  <c r="AS411" i="1"/>
  <c r="AU411" i="1" s="1"/>
  <c r="AW411" i="1" s="1"/>
  <c r="CC409" i="1" l="1"/>
  <c r="CE409" i="1" s="1"/>
  <c r="CB409" i="1"/>
  <c r="CD409" i="1" s="1"/>
  <c r="CF409" i="1" s="1"/>
  <c r="AI412" i="1"/>
  <c r="AK412" i="1" s="1"/>
  <c r="AM412" i="1" s="1"/>
  <c r="AJ412" i="1"/>
  <c r="AL412" i="1" s="1"/>
  <c r="T413" i="1"/>
  <c r="V413" i="1" s="1"/>
  <c r="X413" i="1" s="1"/>
  <c r="U413" i="1"/>
  <c r="W413" i="1" s="1"/>
  <c r="AY411" i="1"/>
  <c r="BA411" i="1" s="1"/>
  <c r="AX411" i="1"/>
  <c r="AZ411" i="1" s="1"/>
  <c r="BB411" i="1" s="1"/>
  <c r="CQ408" i="1"/>
  <c r="CS408" i="1" s="1"/>
  <c r="CU408" i="1" s="1"/>
  <c r="CR408" i="1"/>
  <c r="CT408" i="1" s="1"/>
  <c r="BN410" i="1"/>
  <c r="BP410" i="1" s="1"/>
  <c r="BM410" i="1"/>
  <c r="BO410" i="1" s="1"/>
  <c r="BQ410" i="1" s="1"/>
  <c r="K413" i="1"/>
  <c r="M413" i="1" s="1"/>
  <c r="J413" i="1"/>
  <c r="L413" i="1" s="1"/>
  <c r="N413" i="1" s="1"/>
  <c r="D414" i="1"/>
  <c r="BD411" i="1" l="1"/>
  <c r="BF411" i="1" s="1"/>
  <c r="BC411" i="1"/>
  <c r="BE411" i="1" s="1"/>
  <c r="BG411" i="1" s="1"/>
  <c r="E414" i="1"/>
  <c r="F414" i="1"/>
  <c r="H414" i="1" s="1"/>
  <c r="Z413" i="1"/>
  <c r="AB413" i="1" s="1"/>
  <c r="Y413" i="1"/>
  <c r="AA413" i="1" s="1"/>
  <c r="AC413" i="1" s="1"/>
  <c r="O413" i="1"/>
  <c r="P413" i="1"/>
  <c r="R413" i="1" s="1"/>
  <c r="BS410" i="1"/>
  <c r="BU410" i="1" s="1"/>
  <c r="BR410" i="1"/>
  <c r="BT410" i="1" s="1"/>
  <c r="BV410" i="1" s="1"/>
  <c r="AO412" i="1"/>
  <c r="AQ412" i="1" s="1"/>
  <c r="AN412" i="1"/>
  <c r="AP412" i="1" s="1"/>
  <c r="AR412" i="1" s="1"/>
  <c r="CH409" i="1"/>
  <c r="CJ409" i="1" s="1"/>
  <c r="CG409" i="1"/>
  <c r="CI409" i="1" s="1"/>
  <c r="CK409" i="1" s="1"/>
  <c r="CW408" i="1"/>
  <c r="CY408" i="1" s="1"/>
  <c r="CV408" i="1"/>
  <c r="CX408" i="1" s="1"/>
  <c r="CZ408" i="1" s="1"/>
  <c r="DB408" i="1" l="1"/>
  <c r="DD408" i="1" s="1"/>
  <c r="DA408" i="1"/>
  <c r="DC408" i="1" s="1"/>
  <c r="AE413" i="1"/>
  <c r="AG413" i="1" s="1"/>
  <c r="AD413" i="1"/>
  <c r="AF413" i="1" s="1"/>
  <c r="AH413" i="1" s="1"/>
  <c r="G414" i="1"/>
  <c r="I414" i="1" s="1"/>
  <c r="Q414" i="1"/>
  <c r="S414" i="1" s="1"/>
  <c r="AT412" i="1"/>
  <c r="AV412" i="1" s="1"/>
  <c r="AS412" i="1"/>
  <c r="AU412" i="1" s="1"/>
  <c r="AW412" i="1" s="1"/>
  <c r="BX410" i="1"/>
  <c r="BZ410" i="1" s="1"/>
  <c r="BW410" i="1"/>
  <c r="BY410" i="1" s="1"/>
  <c r="CA410" i="1" s="1"/>
  <c r="CM409" i="1"/>
  <c r="CO409" i="1" s="1"/>
  <c r="CL409" i="1"/>
  <c r="CN409" i="1" s="1"/>
  <c r="CP409" i="1" s="1"/>
  <c r="BI411" i="1"/>
  <c r="BK411" i="1" s="1"/>
  <c r="BH411" i="1"/>
  <c r="BJ411" i="1" s="1"/>
  <c r="BL411" i="1" s="1"/>
  <c r="CR409" i="1" l="1"/>
  <c r="CT409" i="1" s="1"/>
  <c r="CQ409" i="1"/>
  <c r="CS409" i="1" s="1"/>
  <c r="CU409" i="1" s="1"/>
  <c r="BN411" i="1"/>
  <c r="BP411" i="1" s="1"/>
  <c r="BM411" i="1"/>
  <c r="BO411" i="1" s="1"/>
  <c r="BQ411" i="1" s="1"/>
  <c r="U414" i="1"/>
  <c r="W414" i="1" s="1"/>
  <c r="T414" i="1"/>
  <c r="V414" i="1" s="1"/>
  <c r="X414" i="1" s="1"/>
  <c r="AJ413" i="1"/>
  <c r="AL413" i="1" s="1"/>
  <c r="AI413" i="1"/>
  <c r="AK413" i="1" s="1"/>
  <c r="AM413" i="1" s="1"/>
  <c r="AY412" i="1"/>
  <c r="BA412" i="1" s="1"/>
  <c r="AX412" i="1"/>
  <c r="AZ412" i="1" s="1"/>
  <c r="BB412" i="1" s="1"/>
  <c r="J414" i="1"/>
  <c r="L414" i="1" s="1"/>
  <c r="N414" i="1" s="1"/>
  <c r="K414" i="1"/>
  <c r="M414" i="1" s="1"/>
  <c r="D415" i="1"/>
  <c r="CC410" i="1"/>
  <c r="CE410" i="1" s="1"/>
  <c r="CB410" i="1"/>
  <c r="CD410" i="1" s="1"/>
  <c r="CF410" i="1" s="1"/>
  <c r="CH410" i="1" l="1"/>
  <c r="CJ410" i="1" s="1"/>
  <c r="CG410" i="1"/>
  <c r="CI410" i="1" s="1"/>
  <c r="CK410" i="1" s="1"/>
  <c r="O414" i="1"/>
  <c r="P414" i="1"/>
  <c r="R414" i="1" s="1"/>
  <c r="AO413" i="1"/>
  <c r="AQ413" i="1" s="1"/>
  <c r="AN413" i="1"/>
  <c r="AP413" i="1" s="1"/>
  <c r="AR413" i="1" s="1"/>
  <c r="Z414" i="1"/>
  <c r="AB414" i="1" s="1"/>
  <c r="Y414" i="1"/>
  <c r="AA414" i="1" s="1"/>
  <c r="AC414" i="1" s="1"/>
  <c r="F415" i="1"/>
  <c r="H415" i="1" s="1"/>
  <c r="E415" i="1"/>
  <c r="BS411" i="1"/>
  <c r="BU411" i="1" s="1"/>
  <c r="BR411" i="1"/>
  <c r="BT411" i="1" s="1"/>
  <c r="BV411" i="1" s="1"/>
  <c r="CW409" i="1"/>
  <c r="CY409" i="1" s="1"/>
  <c r="CV409" i="1"/>
  <c r="CX409" i="1" s="1"/>
  <c r="CZ409" i="1" s="1"/>
  <c r="BD412" i="1"/>
  <c r="BF412" i="1" s="1"/>
  <c r="BC412" i="1"/>
  <c r="BE412" i="1" s="1"/>
  <c r="BG412" i="1" s="1"/>
  <c r="BI412" i="1" l="1"/>
  <c r="BK412" i="1" s="1"/>
  <c r="BH412" i="1"/>
  <c r="BJ412" i="1" s="1"/>
  <c r="BL412" i="1" s="1"/>
  <c r="AE414" i="1"/>
  <c r="AG414" i="1" s="1"/>
  <c r="AD414" i="1"/>
  <c r="AF414" i="1" s="1"/>
  <c r="AH414" i="1" s="1"/>
  <c r="AT413" i="1"/>
  <c r="AV413" i="1" s="1"/>
  <c r="AS413" i="1"/>
  <c r="AU413" i="1" s="1"/>
  <c r="AW413" i="1" s="1"/>
  <c r="BX411" i="1"/>
  <c r="BZ411" i="1" s="1"/>
  <c r="BW411" i="1"/>
  <c r="BY411" i="1" s="1"/>
  <c r="CA411" i="1" s="1"/>
  <c r="G415" i="1"/>
  <c r="I415" i="1" s="1"/>
  <c r="Q415" i="1"/>
  <c r="S415" i="1" s="1"/>
  <c r="DA409" i="1"/>
  <c r="DC409" i="1" s="1"/>
  <c r="DB409" i="1"/>
  <c r="DD409" i="1" s="1"/>
  <c r="CM410" i="1"/>
  <c r="CO410" i="1" s="1"/>
  <c r="CL410" i="1"/>
  <c r="CN410" i="1" s="1"/>
  <c r="CP410" i="1" s="1"/>
  <c r="AY413" i="1" l="1"/>
  <c r="BA413" i="1" s="1"/>
  <c r="AX413" i="1"/>
  <c r="AZ413" i="1" s="1"/>
  <c r="BB413" i="1" s="1"/>
  <c r="CC411" i="1"/>
  <c r="CE411" i="1" s="1"/>
  <c r="CB411" i="1"/>
  <c r="CD411" i="1" s="1"/>
  <c r="CF411" i="1" s="1"/>
  <c r="CQ410" i="1"/>
  <c r="CS410" i="1" s="1"/>
  <c r="CU410" i="1" s="1"/>
  <c r="CR410" i="1"/>
  <c r="CT410" i="1" s="1"/>
  <c r="BN412" i="1"/>
  <c r="BP412" i="1" s="1"/>
  <c r="BM412" i="1"/>
  <c r="BO412" i="1" s="1"/>
  <c r="BQ412" i="1" s="1"/>
  <c r="AJ414" i="1"/>
  <c r="AL414" i="1" s="1"/>
  <c r="AI414" i="1"/>
  <c r="AK414" i="1" s="1"/>
  <c r="AM414" i="1" s="1"/>
  <c r="U415" i="1"/>
  <c r="W415" i="1" s="1"/>
  <c r="T415" i="1"/>
  <c r="V415" i="1" s="1"/>
  <c r="X415" i="1" s="1"/>
  <c r="K415" i="1"/>
  <c r="M415" i="1" s="1"/>
  <c r="J415" i="1"/>
  <c r="L415" i="1" s="1"/>
  <c r="N415" i="1" s="1"/>
  <c r="D416" i="1"/>
  <c r="P415" i="1" l="1"/>
  <c r="R415" i="1" s="1"/>
  <c r="O415" i="1"/>
  <c r="BR412" i="1"/>
  <c r="BT412" i="1" s="1"/>
  <c r="BV412" i="1" s="1"/>
  <c r="BS412" i="1"/>
  <c r="BU412" i="1" s="1"/>
  <c r="F416" i="1"/>
  <c r="H416" i="1" s="1"/>
  <c r="E416" i="1"/>
  <c r="CW410" i="1"/>
  <c r="CY410" i="1" s="1"/>
  <c r="CV410" i="1"/>
  <c r="CX410" i="1" s="1"/>
  <c r="CZ410" i="1" s="1"/>
  <c r="Z415" i="1"/>
  <c r="AB415" i="1" s="1"/>
  <c r="Y415" i="1"/>
  <c r="AA415" i="1" s="1"/>
  <c r="AC415" i="1" s="1"/>
  <c r="AO414" i="1"/>
  <c r="AQ414" i="1" s="1"/>
  <c r="AN414" i="1"/>
  <c r="AP414" i="1" s="1"/>
  <c r="AR414" i="1" s="1"/>
  <c r="BD413" i="1"/>
  <c r="BF413" i="1" s="1"/>
  <c r="BC413" i="1"/>
  <c r="BE413" i="1" s="1"/>
  <c r="BG413" i="1" s="1"/>
  <c r="CG411" i="1"/>
  <c r="CI411" i="1" s="1"/>
  <c r="CK411" i="1" s="1"/>
  <c r="CH411" i="1"/>
  <c r="CJ411" i="1" s="1"/>
  <c r="CM411" i="1" l="1"/>
  <c r="CO411" i="1" s="1"/>
  <c r="CL411" i="1"/>
  <c r="CN411" i="1" s="1"/>
  <c r="CP411" i="1" s="1"/>
  <c r="Q416" i="1"/>
  <c r="S416" i="1" s="1"/>
  <c r="G416" i="1"/>
  <c r="I416" i="1" s="1"/>
  <c r="DA410" i="1"/>
  <c r="DC410" i="1" s="1"/>
  <c r="DB410" i="1"/>
  <c r="DD410" i="1" s="1"/>
  <c r="BW412" i="1"/>
  <c r="BY412" i="1" s="1"/>
  <c r="CA412" i="1" s="1"/>
  <c r="BX412" i="1"/>
  <c r="BZ412" i="1" s="1"/>
  <c r="BI413" i="1"/>
  <c r="BK413" i="1" s="1"/>
  <c r="BH413" i="1"/>
  <c r="BJ413" i="1" s="1"/>
  <c r="BL413" i="1" s="1"/>
  <c r="AT414" i="1"/>
  <c r="AV414" i="1" s="1"/>
  <c r="AS414" i="1"/>
  <c r="AU414" i="1" s="1"/>
  <c r="AW414" i="1" s="1"/>
  <c r="AE415" i="1"/>
  <c r="AG415" i="1" s="1"/>
  <c r="AD415" i="1"/>
  <c r="AF415" i="1" s="1"/>
  <c r="AH415" i="1" s="1"/>
  <c r="CC412" i="1" l="1"/>
  <c r="CE412" i="1" s="1"/>
  <c r="CB412" i="1"/>
  <c r="CD412" i="1" s="1"/>
  <c r="CF412" i="1" s="1"/>
  <c r="AX414" i="1"/>
  <c r="AZ414" i="1" s="1"/>
  <c r="BB414" i="1" s="1"/>
  <c r="AY414" i="1"/>
  <c r="BA414" i="1" s="1"/>
  <c r="J416" i="1"/>
  <c r="L416" i="1" s="1"/>
  <c r="N416" i="1" s="1"/>
  <c r="K416" i="1"/>
  <c r="M416" i="1" s="1"/>
  <c r="D417" i="1"/>
  <c r="CQ411" i="1"/>
  <c r="CS411" i="1" s="1"/>
  <c r="CU411" i="1" s="1"/>
  <c r="CR411" i="1"/>
  <c r="CT411" i="1" s="1"/>
  <c r="AJ415" i="1"/>
  <c r="AL415" i="1" s="1"/>
  <c r="AI415" i="1"/>
  <c r="AK415" i="1" s="1"/>
  <c r="AM415" i="1" s="1"/>
  <c r="U416" i="1"/>
  <c r="W416" i="1" s="1"/>
  <c r="T416" i="1"/>
  <c r="V416" i="1" s="1"/>
  <c r="X416" i="1" s="1"/>
  <c r="BM413" i="1"/>
  <c r="BO413" i="1" s="1"/>
  <c r="BQ413" i="1" s="1"/>
  <c r="BN413" i="1"/>
  <c r="BP413" i="1" s="1"/>
  <c r="BS413" i="1" l="1"/>
  <c r="BU413" i="1" s="1"/>
  <c r="BR413" i="1"/>
  <c r="BT413" i="1" s="1"/>
  <c r="BV413" i="1" s="1"/>
  <c r="CV411" i="1"/>
  <c r="CX411" i="1" s="1"/>
  <c r="CW411" i="1"/>
  <c r="CY411" i="1" s="1"/>
  <c r="P416" i="1"/>
  <c r="R416" i="1" s="1"/>
  <c r="O416" i="1"/>
  <c r="BC414" i="1"/>
  <c r="BE414" i="1" s="1"/>
  <c r="BG414" i="1" s="1"/>
  <c r="BD414" i="1"/>
  <c r="BF414" i="1" s="1"/>
  <c r="CG412" i="1"/>
  <c r="CI412" i="1" s="1"/>
  <c r="CK412" i="1" s="1"/>
  <c r="CH412" i="1"/>
  <c r="CJ412" i="1" s="1"/>
  <c r="E417" i="1"/>
  <c r="F417" i="1"/>
  <c r="H417" i="1" s="1"/>
  <c r="Z416" i="1"/>
  <c r="AB416" i="1" s="1"/>
  <c r="Y416" i="1"/>
  <c r="AA416" i="1" s="1"/>
  <c r="AC416" i="1" s="1"/>
  <c r="AO415" i="1"/>
  <c r="AQ415" i="1" s="1"/>
  <c r="AN415" i="1"/>
  <c r="AP415" i="1" s="1"/>
  <c r="AR415" i="1" s="1"/>
  <c r="AS415" i="1" l="1"/>
  <c r="AU415" i="1" s="1"/>
  <c r="AW415" i="1" s="1"/>
  <c r="AT415" i="1"/>
  <c r="AV415" i="1" s="1"/>
  <c r="AE416" i="1"/>
  <c r="AG416" i="1" s="1"/>
  <c r="AD416" i="1"/>
  <c r="AF416" i="1" s="1"/>
  <c r="AH416" i="1" s="1"/>
  <c r="BI414" i="1"/>
  <c r="BK414" i="1" s="1"/>
  <c r="BH414" i="1"/>
  <c r="BJ414" i="1" s="1"/>
  <c r="BL414" i="1" s="1"/>
  <c r="CZ411" i="1"/>
  <c r="G417" i="1"/>
  <c r="I417" i="1" s="1"/>
  <c r="Q417" i="1"/>
  <c r="S417" i="1" s="1"/>
  <c r="BW413" i="1"/>
  <c r="BY413" i="1" s="1"/>
  <c r="CA413" i="1" s="1"/>
  <c r="BX413" i="1"/>
  <c r="BZ413" i="1" s="1"/>
  <c r="CL412" i="1"/>
  <c r="CN412" i="1" s="1"/>
  <c r="CP412" i="1" s="1"/>
  <c r="CM412" i="1"/>
  <c r="CO412" i="1" s="1"/>
  <c r="DB411" i="1" l="1"/>
  <c r="DD411" i="1" s="1"/>
  <c r="DA411" i="1"/>
  <c r="DC411" i="1" s="1"/>
  <c r="BM414" i="1"/>
  <c r="BO414" i="1" s="1"/>
  <c r="BQ414" i="1" s="1"/>
  <c r="BN414" i="1"/>
  <c r="BP414" i="1" s="1"/>
  <c r="K417" i="1"/>
  <c r="M417" i="1" s="1"/>
  <c r="J417" i="1"/>
  <c r="L417" i="1" s="1"/>
  <c r="N417" i="1" s="1"/>
  <c r="D418" i="1"/>
  <c r="U417" i="1"/>
  <c r="W417" i="1" s="1"/>
  <c r="T417" i="1"/>
  <c r="V417" i="1" s="1"/>
  <c r="X417" i="1" s="1"/>
  <c r="AI416" i="1"/>
  <c r="AK416" i="1" s="1"/>
  <c r="AM416" i="1" s="1"/>
  <c r="AJ416" i="1"/>
  <c r="AL416" i="1" s="1"/>
  <c r="CR412" i="1"/>
  <c r="CT412" i="1" s="1"/>
  <c r="CQ412" i="1"/>
  <c r="CS412" i="1" s="1"/>
  <c r="CU412" i="1" s="1"/>
  <c r="AY415" i="1"/>
  <c r="BA415" i="1" s="1"/>
  <c r="AX415" i="1"/>
  <c r="AZ415" i="1" s="1"/>
  <c r="BB415" i="1" s="1"/>
  <c r="CB413" i="1"/>
  <c r="CD413" i="1" s="1"/>
  <c r="CF413" i="1" s="1"/>
  <c r="CC413" i="1"/>
  <c r="CE413" i="1" s="1"/>
  <c r="BC415" i="1" l="1"/>
  <c r="BE415" i="1" s="1"/>
  <c r="BG415" i="1" s="1"/>
  <c r="BD415" i="1"/>
  <c r="BF415" i="1" s="1"/>
  <c r="O417" i="1"/>
  <c r="P417" i="1"/>
  <c r="R417" i="1" s="1"/>
  <c r="E418" i="1"/>
  <c r="F418" i="1"/>
  <c r="H418" i="1" s="1"/>
  <c r="BR414" i="1"/>
  <c r="BT414" i="1" s="1"/>
  <c r="BV414" i="1" s="1"/>
  <c r="BS414" i="1"/>
  <c r="BU414" i="1" s="1"/>
  <c r="CH413" i="1"/>
  <c r="CJ413" i="1" s="1"/>
  <c r="CG413" i="1"/>
  <c r="CI413" i="1" s="1"/>
  <c r="CK413" i="1" s="1"/>
  <c r="CW412" i="1"/>
  <c r="CY412" i="1" s="1"/>
  <c r="CV412" i="1"/>
  <c r="CX412" i="1" s="1"/>
  <c r="CZ412" i="1" s="1"/>
  <c r="AO416" i="1"/>
  <c r="AQ416" i="1" s="1"/>
  <c r="AN416" i="1"/>
  <c r="AP416" i="1" s="1"/>
  <c r="AR416" i="1" s="1"/>
  <c r="Z417" i="1"/>
  <c r="AB417" i="1" s="1"/>
  <c r="Y417" i="1"/>
  <c r="AA417" i="1" s="1"/>
  <c r="AC417" i="1" s="1"/>
  <c r="BX414" i="1" l="1"/>
  <c r="BZ414" i="1" s="1"/>
  <c r="BW414" i="1"/>
  <c r="BY414" i="1" s="1"/>
  <c r="CA414" i="1" s="1"/>
  <c r="AE417" i="1"/>
  <c r="AG417" i="1" s="1"/>
  <c r="AD417" i="1"/>
  <c r="AF417" i="1" s="1"/>
  <c r="AH417" i="1" s="1"/>
  <c r="AT416" i="1"/>
  <c r="AV416" i="1" s="1"/>
  <c r="AS416" i="1"/>
  <c r="AU416" i="1" s="1"/>
  <c r="AW416" i="1" s="1"/>
  <c r="Q418" i="1"/>
  <c r="S418" i="1" s="1"/>
  <c r="G418" i="1"/>
  <c r="I418" i="1" s="1"/>
  <c r="DB412" i="1"/>
  <c r="DD412" i="1" s="1"/>
  <c r="DA412" i="1"/>
  <c r="DC412" i="1" s="1"/>
  <c r="CM413" i="1"/>
  <c r="CO413" i="1" s="1"/>
  <c r="CL413" i="1"/>
  <c r="CN413" i="1" s="1"/>
  <c r="CP413" i="1" s="1"/>
  <c r="BH415" i="1"/>
  <c r="BJ415" i="1" s="1"/>
  <c r="BL415" i="1" s="1"/>
  <c r="BI415" i="1"/>
  <c r="BK415" i="1" s="1"/>
  <c r="AX416" i="1" l="1"/>
  <c r="AZ416" i="1" s="1"/>
  <c r="BB416" i="1" s="1"/>
  <c r="AY416" i="1"/>
  <c r="BA416" i="1" s="1"/>
  <c r="U418" i="1"/>
  <c r="W418" i="1" s="1"/>
  <c r="T418" i="1"/>
  <c r="V418" i="1" s="1"/>
  <c r="X418" i="1" s="1"/>
  <c r="BN415" i="1"/>
  <c r="BP415" i="1" s="1"/>
  <c r="BM415" i="1"/>
  <c r="BO415" i="1" s="1"/>
  <c r="BQ415" i="1" s="1"/>
  <c r="J418" i="1"/>
  <c r="L418" i="1" s="1"/>
  <c r="N418" i="1" s="1"/>
  <c r="K418" i="1"/>
  <c r="M418" i="1" s="1"/>
  <c r="D419" i="1"/>
  <c r="AJ417" i="1"/>
  <c r="AL417" i="1" s="1"/>
  <c r="AI417" i="1"/>
  <c r="AK417" i="1" s="1"/>
  <c r="AM417" i="1" s="1"/>
  <c r="CC414" i="1"/>
  <c r="CE414" i="1" s="1"/>
  <c r="CB414" i="1"/>
  <c r="CD414" i="1" s="1"/>
  <c r="CF414" i="1" s="1"/>
  <c r="CR413" i="1"/>
  <c r="CT413" i="1" s="1"/>
  <c r="CQ413" i="1"/>
  <c r="CS413" i="1" s="1"/>
  <c r="CU413" i="1" s="1"/>
  <c r="P418" i="1" l="1"/>
  <c r="R418" i="1" s="1"/>
  <c r="O418" i="1"/>
  <c r="BR415" i="1"/>
  <c r="BT415" i="1" s="1"/>
  <c r="BV415" i="1" s="1"/>
  <c r="BS415" i="1"/>
  <c r="BU415" i="1" s="1"/>
  <c r="AO417" i="1"/>
  <c r="AQ417" i="1" s="1"/>
  <c r="AN417" i="1"/>
  <c r="AP417" i="1" s="1"/>
  <c r="AR417" i="1" s="1"/>
  <c r="CW413" i="1"/>
  <c r="CY413" i="1" s="1"/>
  <c r="CV413" i="1"/>
  <c r="CX413" i="1" s="1"/>
  <c r="CZ413" i="1" s="1"/>
  <c r="CH414" i="1"/>
  <c r="CJ414" i="1" s="1"/>
  <c r="CG414" i="1"/>
  <c r="CI414" i="1" s="1"/>
  <c r="CK414" i="1" s="1"/>
  <c r="Z418" i="1"/>
  <c r="AB418" i="1" s="1"/>
  <c r="Y418" i="1"/>
  <c r="AA418" i="1" s="1"/>
  <c r="AC418" i="1" s="1"/>
  <c r="F419" i="1"/>
  <c r="H419" i="1" s="1"/>
  <c r="E419" i="1"/>
  <c r="BD416" i="1"/>
  <c r="BF416" i="1" s="1"/>
  <c r="BC416" i="1"/>
  <c r="BE416" i="1" s="1"/>
  <c r="BG416" i="1" s="1"/>
  <c r="DA413" i="1" l="1"/>
  <c r="DC413" i="1" s="1"/>
  <c r="DB413" i="1"/>
  <c r="DD413" i="1" s="1"/>
  <c r="G419" i="1"/>
  <c r="I419" i="1" s="1"/>
  <c r="Q419" i="1"/>
  <c r="S419" i="1" s="1"/>
  <c r="AD418" i="1"/>
  <c r="AF418" i="1" s="1"/>
  <c r="AH418" i="1" s="1"/>
  <c r="AE418" i="1"/>
  <c r="AG418" i="1" s="1"/>
  <c r="BH416" i="1"/>
  <c r="BJ416" i="1" s="1"/>
  <c r="BL416" i="1" s="1"/>
  <c r="BI416" i="1"/>
  <c r="BK416" i="1" s="1"/>
  <c r="AT417" i="1"/>
  <c r="AV417" i="1" s="1"/>
  <c r="AS417" i="1"/>
  <c r="AU417" i="1" s="1"/>
  <c r="AW417" i="1" s="1"/>
  <c r="BW415" i="1"/>
  <c r="BY415" i="1" s="1"/>
  <c r="CA415" i="1" s="1"/>
  <c r="BX415" i="1"/>
  <c r="BZ415" i="1" s="1"/>
  <c r="CM414" i="1"/>
  <c r="CO414" i="1" s="1"/>
  <c r="CL414" i="1"/>
  <c r="CN414" i="1" s="1"/>
  <c r="CP414" i="1" s="1"/>
  <c r="BM416" i="1" l="1"/>
  <c r="BO416" i="1" s="1"/>
  <c r="BQ416" i="1" s="1"/>
  <c r="BN416" i="1"/>
  <c r="BP416" i="1" s="1"/>
  <c r="AJ418" i="1"/>
  <c r="AL418" i="1" s="1"/>
  <c r="AI418" i="1"/>
  <c r="AK418" i="1" s="1"/>
  <c r="AM418" i="1" s="1"/>
  <c r="CB415" i="1"/>
  <c r="CD415" i="1" s="1"/>
  <c r="CF415" i="1" s="1"/>
  <c r="CC415" i="1"/>
  <c r="CE415" i="1" s="1"/>
  <c r="CQ414" i="1"/>
  <c r="CS414" i="1" s="1"/>
  <c r="CU414" i="1" s="1"/>
  <c r="CR414" i="1"/>
  <c r="CT414" i="1" s="1"/>
  <c r="K419" i="1"/>
  <c r="M419" i="1" s="1"/>
  <c r="J419" i="1"/>
  <c r="L419" i="1" s="1"/>
  <c r="N419" i="1" s="1"/>
  <c r="D420" i="1"/>
  <c r="AY417" i="1"/>
  <c r="BA417" i="1" s="1"/>
  <c r="AX417" i="1"/>
  <c r="AZ417" i="1" s="1"/>
  <c r="BB417" i="1" s="1"/>
  <c r="U419" i="1"/>
  <c r="W419" i="1" s="1"/>
  <c r="T419" i="1"/>
  <c r="V419" i="1" s="1"/>
  <c r="X419" i="1" s="1"/>
  <c r="CG415" i="1" l="1"/>
  <c r="CI415" i="1" s="1"/>
  <c r="CK415" i="1" s="1"/>
  <c r="CH415" i="1"/>
  <c r="CJ415" i="1" s="1"/>
  <c r="BC417" i="1"/>
  <c r="BE417" i="1" s="1"/>
  <c r="BG417" i="1" s="1"/>
  <c r="BD417" i="1"/>
  <c r="BF417" i="1" s="1"/>
  <c r="Z419" i="1"/>
  <c r="AB419" i="1" s="1"/>
  <c r="Y419" i="1"/>
  <c r="AA419" i="1" s="1"/>
  <c r="AC419" i="1" s="1"/>
  <c r="P419" i="1"/>
  <c r="R419" i="1" s="1"/>
  <c r="O419" i="1"/>
  <c r="CW414" i="1"/>
  <c r="CY414" i="1" s="1"/>
  <c r="CV414" i="1"/>
  <c r="CX414" i="1" s="1"/>
  <c r="CZ414" i="1" s="1"/>
  <c r="AO418" i="1"/>
  <c r="AQ418" i="1" s="1"/>
  <c r="AN418" i="1"/>
  <c r="AP418" i="1" s="1"/>
  <c r="AR418" i="1" s="1"/>
  <c r="F420" i="1"/>
  <c r="H420" i="1" s="1"/>
  <c r="E420" i="1"/>
  <c r="BR416" i="1"/>
  <c r="BT416" i="1" s="1"/>
  <c r="BV416" i="1" s="1"/>
  <c r="BS416" i="1"/>
  <c r="BU416" i="1" s="1"/>
  <c r="Q420" i="1" l="1"/>
  <c r="S420" i="1" s="1"/>
  <c r="G420" i="1"/>
  <c r="I420" i="1" s="1"/>
  <c r="BH417" i="1"/>
  <c r="BJ417" i="1" s="1"/>
  <c r="BL417" i="1" s="1"/>
  <c r="BI417" i="1"/>
  <c r="BK417" i="1" s="1"/>
  <c r="DB414" i="1"/>
  <c r="DD414" i="1" s="1"/>
  <c r="DA414" i="1"/>
  <c r="DC414" i="1" s="1"/>
  <c r="AE419" i="1"/>
  <c r="AG419" i="1" s="1"/>
  <c r="AD419" i="1"/>
  <c r="AF419" i="1" s="1"/>
  <c r="AH419" i="1" s="1"/>
  <c r="AT418" i="1"/>
  <c r="AV418" i="1" s="1"/>
  <c r="AS418" i="1"/>
  <c r="AU418" i="1" s="1"/>
  <c r="AW418" i="1" s="1"/>
  <c r="BW416" i="1"/>
  <c r="BY416" i="1" s="1"/>
  <c r="CA416" i="1" s="1"/>
  <c r="BX416" i="1"/>
  <c r="BZ416" i="1" s="1"/>
  <c r="CM415" i="1"/>
  <c r="CO415" i="1" s="1"/>
  <c r="CL415" i="1"/>
  <c r="CN415" i="1" s="1"/>
  <c r="CP415" i="1" s="1"/>
  <c r="CR415" i="1" l="1"/>
  <c r="CT415" i="1" s="1"/>
  <c r="CQ415" i="1"/>
  <c r="CS415" i="1" s="1"/>
  <c r="CU415" i="1" s="1"/>
  <c r="K420" i="1"/>
  <c r="M420" i="1" s="1"/>
  <c r="J420" i="1"/>
  <c r="L420" i="1" s="1"/>
  <c r="N420" i="1" s="1"/>
  <c r="D421" i="1"/>
  <c r="AJ419" i="1"/>
  <c r="AL419" i="1" s="1"/>
  <c r="AI419" i="1"/>
  <c r="AK419" i="1" s="1"/>
  <c r="AM419" i="1" s="1"/>
  <c r="CC416" i="1"/>
  <c r="CE416" i="1" s="1"/>
  <c r="CB416" i="1"/>
  <c r="CD416" i="1" s="1"/>
  <c r="CF416" i="1" s="1"/>
  <c r="BN417" i="1"/>
  <c r="BP417" i="1" s="1"/>
  <c r="BM417" i="1"/>
  <c r="BO417" i="1" s="1"/>
  <c r="BQ417" i="1" s="1"/>
  <c r="AX418" i="1"/>
  <c r="AZ418" i="1" s="1"/>
  <c r="BB418" i="1" s="1"/>
  <c r="AY418" i="1"/>
  <c r="BA418" i="1" s="1"/>
  <c r="U420" i="1"/>
  <c r="W420" i="1" s="1"/>
  <c r="T420" i="1"/>
  <c r="V420" i="1" s="1"/>
  <c r="X420" i="1" s="1"/>
  <c r="CH416" i="1" l="1"/>
  <c r="CJ416" i="1" s="1"/>
  <c r="CG416" i="1"/>
  <c r="CI416" i="1" s="1"/>
  <c r="CK416" i="1" s="1"/>
  <c r="F421" i="1"/>
  <c r="H421" i="1" s="1"/>
  <c r="E421" i="1"/>
  <c r="AN419" i="1"/>
  <c r="AP419" i="1" s="1"/>
  <c r="AR419" i="1" s="1"/>
  <c r="AO419" i="1"/>
  <c r="AQ419" i="1" s="1"/>
  <c r="BD418" i="1"/>
  <c r="BF418" i="1" s="1"/>
  <c r="BC418" i="1"/>
  <c r="BE418" i="1" s="1"/>
  <c r="BG418" i="1" s="1"/>
  <c r="Y420" i="1"/>
  <c r="AA420" i="1" s="1"/>
  <c r="AC420" i="1" s="1"/>
  <c r="Z420" i="1"/>
  <c r="AB420" i="1" s="1"/>
  <c r="P420" i="1"/>
  <c r="R420" i="1" s="1"/>
  <c r="O420" i="1"/>
  <c r="BS417" i="1"/>
  <c r="BU417" i="1" s="1"/>
  <c r="BR417" i="1"/>
  <c r="BT417" i="1" s="1"/>
  <c r="BV417" i="1" s="1"/>
  <c r="CV415" i="1"/>
  <c r="CX415" i="1" s="1"/>
  <c r="CW415" i="1"/>
  <c r="CY415" i="1" s="1"/>
  <c r="BW417" i="1" l="1"/>
  <c r="BY417" i="1" s="1"/>
  <c r="CA417" i="1" s="1"/>
  <c r="BX417" i="1"/>
  <c r="BZ417" i="1" s="1"/>
  <c r="BI418" i="1"/>
  <c r="BK418" i="1" s="1"/>
  <c r="BH418" i="1"/>
  <c r="BJ418" i="1" s="1"/>
  <c r="BL418" i="1" s="1"/>
  <c r="CZ415" i="1"/>
  <c r="G421" i="1"/>
  <c r="I421" i="1" s="1"/>
  <c r="Q421" i="1"/>
  <c r="S421" i="1" s="1"/>
  <c r="AT419" i="1"/>
  <c r="AV419" i="1" s="1"/>
  <c r="AS419" i="1"/>
  <c r="AU419" i="1" s="1"/>
  <c r="AW419" i="1" s="1"/>
  <c r="CL416" i="1"/>
  <c r="CN416" i="1" s="1"/>
  <c r="CP416" i="1" s="1"/>
  <c r="CM416" i="1"/>
  <c r="CO416" i="1" s="1"/>
  <c r="AD420" i="1"/>
  <c r="AF420" i="1" s="1"/>
  <c r="AH420" i="1" s="1"/>
  <c r="AE420" i="1"/>
  <c r="AG420" i="1" s="1"/>
  <c r="T421" i="1" l="1"/>
  <c r="V421" i="1" s="1"/>
  <c r="X421" i="1" s="1"/>
  <c r="U421" i="1"/>
  <c r="W421" i="1" s="1"/>
  <c r="AY419" i="1"/>
  <c r="BA419" i="1" s="1"/>
  <c r="AX419" i="1"/>
  <c r="AZ419" i="1" s="1"/>
  <c r="BB419" i="1" s="1"/>
  <c r="K421" i="1"/>
  <c r="M421" i="1" s="1"/>
  <c r="J421" i="1"/>
  <c r="L421" i="1" s="1"/>
  <c r="N421" i="1" s="1"/>
  <c r="D422" i="1"/>
  <c r="BM418" i="1"/>
  <c r="BO418" i="1" s="1"/>
  <c r="BQ418" i="1" s="1"/>
  <c r="BN418" i="1"/>
  <c r="BP418" i="1" s="1"/>
  <c r="DA415" i="1"/>
  <c r="DC415" i="1" s="1"/>
  <c r="DB415" i="1"/>
  <c r="DD415" i="1" s="1"/>
  <c r="AJ420" i="1"/>
  <c r="AL420" i="1" s="1"/>
  <c r="AI420" i="1"/>
  <c r="AK420" i="1" s="1"/>
  <c r="AM420" i="1" s="1"/>
  <c r="CQ416" i="1"/>
  <c r="CS416" i="1" s="1"/>
  <c r="CU416" i="1" s="1"/>
  <c r="CR416" i="1"/>
  <c r="CT416" i="1" s="1"/>
  <c r="CB417" i="1"/>
  <c r="CD417" i="1" s="1"/>
  <c r="CF417" i="1" s="1"/>
  <c r="CC417" i="1"/>
  <c r="CE417" i="1" s="1"/>
  <c r="CH417" i="1" l="1"/>
  <c r="CJ417" i="1" s="1"/>
  <c r="CG417" i="1"/>
  <c r="CI417" i="1" s="1"/>
  <c r="CK417" i="1" s="1"/>
  <c r="P421" i="1"/>
  <c r="R421" i="1" s="1"/>
  <c r="O421" i="1"/>
  <c r="BS418" i="1"/>
  <c r="BU418" i="1" s="1"/>
  <c r="BR418" i="1"/>
  <c r="BT418" i="1" s="1"/>
  <c r="BV418" i="1" s="1"/>
  <c r="F422" i="1"/>
  <c r="H422" i="1" s="1"/>
  <c r="E422" i="1"/>
  <c r="CW416" i="1"/>
  <c r="CY416" i="1" s="1"/>
  <c r="CV416" i="1"/>
  <c r="CX416" i="1" s="1"/>
  <c r="CZ416" i="1" s="1"/>
  <c r="AO420" i="1"/>
  <c r="AQ420" i="1" s="1"/>
  <c r="AN420" i="1"/>
  <c r="AP420" i="1" s="1"/>
  <c r="AR420" i="1" s="1"/>
  <c r="BC419" i="1"/>
  <c r="BE419" i="1" s="1"/>
  <c r="BG419" i="1" s="1"/>
  <c r="BD419" i="1"/>
  <c r="BF419" i="1" s="1"/>
  <c r="Z421" i="1"/>
  <c r="AB421" i="1" s="1"/>
  <c r="Y421" i="1"/>
  <c r="AA421" i="1" s="1"/>
  <c r="AC421" i="1" s="1"/>
  <c r="Q422" i="1" l="1"/>
  <c r="S422" i="1" s="1"/>
  <c r="G422" i="1"/>
  <c r="I422" i="1" s="1"/>
  <c r="AE421" i="1"/>
  <c r="AG421" i="1" s="1"/>
  <c r="AD421" i="1"/>
  <c r="AF421" i="1" s="1"/>
  <c r="AH421" i="1" s="1"/>
  <c r="BI419" i="1"/>
  <c r="BK419" i="1" s="1"/>
  <c r="BH419" i="1"/>
  <c r="BJ419" i="1" s="1"/>
  <c r="BL419" i="1" s="1"/>
  <c r="AS420" i="1"/>
  <c r="AU420" i="1" s="1"/>
  <c r="AW420" i="1" s="1"/>
  <c r="AT420" i="1"/>
  <c r="AV420" i="1" s="1"/>
  <c r="CM417" i="1"/>
  <c r="CO417" i="1" s="1"/>
  <c r="CL417" i="1"/>
  <c r="CN417" i="1" s="1"/>
  <c r="CP417" i="1" s="1"/>
  <c r="BX418" i="1"/>
  <c r="BZ418" i="1" s="1"/>
  <c r="BW418" i="1"/>
  <c r="BY418" i="1" s="1"/>
  <c r="CA418" i="1" s="1"/>
  <c r="DB416" i="1"/>
  <c r="DD416" i="1" s="1"/>
  <c r="DA416" i="1"/>
  <c r="DC416" i="1" s="1"/>
  <c r="BN419" i="1" l="1"/>
  <c r="BP419" i="1" s="1"/>
  <c r="BM419" i="1"/>
  <c r="BO419" i="1" s="1"/>
  <c r="BQ419" i="1" s="1"/>
  <c r="CC418" i="1"/>
  <c r="CE418" i="1" s="1"/>
  <c r="CB418" i="1"/>
  <c r="CD418" i="1" s="1"/>
  <c r="CF418" i="1" s="1"/>
  <c r="J422" i="1"/>
  <c r="L422" i="1" s="1"/>
  <c r="N422" i="1" s="1"/>
  <c r="K422" i="1"/>
  <c r="M422" i="1" s="1"/>
  <c r="D423" i="1"/>
  <c r="AX420" i="1"/>
  <c r="AZ420" i="1" s="1"/>
  <c r="BB420" i="1" s="1"/>
  <c r="AY420" i="1"/>
  <c r="BA420" i="1" s="1"/>
  <c r="AI421" i="1"/>
  <c r="AK421" i="1" s="1"/>
  <c r="AM421" i="1" s="1"/>
  <c r="AJ421" i="1"/>
  <c r="AL421" i="1" s="1"/>
  <c r="CR417" i="1"/>
  <c r="CT417" i="1" s="1"/>
  <c r="CQ417" i="1"/>
  <c r="CS417" i="1" s="1"/>
  <c r="CU417" i="1" s="1"/>
  <c r="U422" i="1"/>
  <c r="W422" i="1" s="1"/>
  <c r="T422" i="1"/>
  <c r="V422" i="1" s="1"/>
  <c r="X422" i="1" s="1"/>
  <c r="Y422" i="1" l="1"/>
  <c r="AA422" i="1" s="1"/>
  <c r="AC422" i="1" s="1"/>
  <c r="Z422" i="1"/>
  <c r="AB422" i="1" s="1"/>
  <c r="BD420" i="1"/>
  <c r="BF420" i="1" s="1"/>
  <c r="BC420" i="1"/>
  <c r="BE420" i="1" s="1"/>
  <c r="BG420" i="1" s="1"/>
  <c r="P422" i="1"/>
  <c r="R422" i="1" s="1"/>
  <c r="O422" i="1"/>
  <c r="F423" i="1"/>
  <c r="H423" i="1" s="1"/>
  <c r="E423" i="1"/>
  <c r="CH418" i="1"/>
  <c r="CJ418" i="1" s="1"/>
  <c r="CG418" i="1"/>
  <c r="CI418" i="1" s="1"/>
  <c r="CK418" i="1" s="1"/>
  <c r="CV417" i="1"/>
  <c r="CX417" i="1" s="1"/>
  <c r="CW417" i="1"/>
  <c r="CY417" i="1" s="1"/>
  <c r="BS419" i="1"/>
  <c r="BU419" i="1" s="1"/>
  <c r="BR419" i="1"/>
  <c r="BT419" i="1" s="1"/>
  <c r="BV419" i="1" s="1"/>
  <c r="AO421" i="1"/>
  <c r="AQ421" i="1" s="1"/>
  <c r="AN421" i="1"/>
  <c r="AP421" i="1" s="1"/>
  <c r="AR421" i="1" s="1"/>
  <c r="Q423" i="1" l="1"/>
  <c r="S423" i="1" s="1"/>
  <c r="G423" i="1"/>
  <c r="I423" i="1" s="1"/>
  <c r="BI420" i="1"/>
  <c r="BK420" i="1" s="1"/>
  <c r="BH420" i="1"/>
  <c r="BJ420" i="1" s="1"/>
  <c r="BL420" i="1" s="1"/>
  <c r="AT421" i="1"/>
  <c r="AV421" i="1" s="1"/>
  <c r="AS421" i="1"/>
  <c r="AU421" i="1" s="1"/>
  <c r="AW421" i="1" s="1"/>
  <c r="CZ417" i="1"/>
  <c r="CM418" i="1"/>
  <c r="CO418" i="1" s="1"/>
  <c r="CL418" i="1"/>
  <c r="CN418" i="1" s="1"/>
  <c r="CP418" i="1" s="1"/>
  <c r="BX419" i="1"/>
  <c r="BZ419" i="1" s="1"/>
  <c r="BW419" i="1"/>
  <c r="BY419" i="1" s="1"/>
  <c r="CA419" i="1" s="1"/>
  <c r="AE422" i="1"/>
  <c r="AG422" i="1" s="1"/>
  <c r="AD422" i="1"/>
  <c r="AF422" i="1" s="1"/>
  <c r="AH422" i="1" s="1"/>
  <c r="CR418" i="1" l="1"/>
  <c r="CT418" i="1" s="1"/>
  <c r="CQ418" i="1"/>
  <c r="CS418" i="1" s="1"/>
  <c r="CU418" i="1" s="1"/>
  <c r="AJ422" i="1"/>
  <c r="AL422" i="1" s="1"/>
  <c r="AI422" i="1"/>
  <c r="AK422" i="1" s="1"/>
  <c r="AM422" i="1" s="1"/>
  <c r="AY421" i="1"/>
  <c r="BA421" i="1" s="1"/>
  <c r="AX421" i="1"/>
  <c r="AZ421" i="1" s="1"/>
  <c r="BB421" i="1" s="1"/>
  <c r="K423" i="1"/>
  <c r="M423" i="1" s="1"/>
  <c r="J423" i="1"/>
  <c r="L423" i="1" s="1"/>
  <c r="N423" i="1" s="1"/>
  <c r="D424" i="1"/>
  <c r="DB417" i="1"/>
  <c r="DD417" i="1" s="1"/>
  <c r="DA417" i="1"/>
  <c r="DC417" i="1" s="1"/>
  <c r="BN420" i="1"/>
  <c r="BP420" i="1" s="1"/>
  <c r="BM420" i="1"/>
  <c r="BO420" i="1" s="1"/>
  <c r="BQ420" i="1" s="1"/>
  <c r="CC419" i="1"/>
  <c r="CE419" i="1" s="1"/>
  <c r="CB419" i="1"/>
  <c r="CD419" i="1" s="1"/>
  <c r="CF419" i="1" s="1"/>
  <c r="T423" i="1"/>
  <c r="V423" i="1" s="1"/>
  <c r="X423" i="1" s="1"/>
  <c r="U423" i="1"/>
  <c r="W423" i="1" s="1"/>
  <c r="Z423" i="1" l="1"/>
  <c r="AB423" i="1" s="1"/>
  <c r="Y423" i="1"/>
  <c r="AA423" i="1" s="1"/>
  <c r="AC423" i="1" s="1"/>
  <c r="BR420" i="1"/>
  <c r="BT420" i="1" s="1"/>
  <c r="BV420" i="1" s="1"/>
  <c r="BS420" i="1"/>
  <c r="BU420" i="1" s="1"/>
  <c r="CH419" i="1"/>
  <c r="CJ419" i="1" s="1"/>
  <c r="CG419" i="1"/>
  <c r="CI419" i="1" s="1"/>
  <c r="CK419" i="1" s="1"/>
  <c r="AO422" i="1"/>
  <c r="AQ422" i="1" s="1"/>
  <c r="AN422" i="1"/>
  <c r="AP422" i="1" s="1"/>
  <c r="AR422" i="1" s="1"/>
  <c r="BD421" i="1"/>
  <c r="BF421" i="1" s="1"/>
  <c r="BC421" i="1"/>
  <c r="BE421" i="1" s="1"/>
  <c r="BG421" i="1" s="1"/>
  <c r="CW418" i="1"/>
  <c r="CY418" i="1" s="1"/>
  <c r="CV418" i="1"/>
  <c r="CX418" i="1" s="1"/>
  <c r="CZ418" i="1" s="1"/>
  <c r="O423" i="1"/>
  <c r="P423" i="1"/>
  <c r="R423" i="1" s="1"/>
  <c r="E424" i="1"/>
  <c r="F424" i="1"/>
  <c r="H424" i="1" s="1"/>
  <c r="Q424" i="1" l="1"/>
  <c r="S424" i="1" s="1"/>
  <c r="G424" i="1"/>
  <c r="I424" i="1" s="1"/>
  <c r="AT422" i="1"/>
  <c r="AV422" i="1" s="1"/>
  <c r="AS422" i="1"/>
  <c r="AU422" i="1" s="1"/>
  <c r="AW422" i="1" s="1"/>
  <c r="DA418" i="1"/>
  <c r="DC418" i="1" s="1"/>
  <c r="DB418" i="1"/>
  <c r="DD418" i="1" s="1"/>
  <c r="AE423" i="1"/>
  <c r="AG423" i="1" s="1"/>
  <c r="AD423" i="1"/>
  <c r="AF423" i="1" s="1"/>
  <c r="AH423" i="1" s="1"/>
  <c r="CM419" i="1"/>
  <c r="CO419" i="1" s="1"/>
  <c r="CL419" i="1"/>
  <c r="CN419" i="1" s="1"/>
  <c r="CP419" i="1" s="1"/>
  <c r="BX420" i="1"/>
  <c r="BZ420" i="1" s="1"/>
  <c r="BW420" i="1"/>
  <c r="BY420" i="1" s="1"/>
  <c r="CA420" i="1" s="1"/>
  <c r="BI421" i="1"/>
  <c r="BK421" i="1" s="1"/>
  <c r="BH421" i="1"/>
  <c r="BJ421" i="1" s="1"/>
  <c r="BL421" i="1" s="1"/>
  <c r="BN421" i="1" l="1"/>
  <c r="BP421" i="1" s="1"/>
  <c r="BM421" i="1"/>
  <c r="BO421" i="1" s="1"/>
  <c r="BQ421" i="1" s="1"/>
  <c r="AY422" i="1"/>
  <c r="BA422" i="1" s="1"/>
  <c r="AX422" i="1"/>
  <c r="AZ422" i="1" s="1"/>
  <c r="BB422" i="1" s="1"/>
  <c r="K424" i="1"/>
  <c r="M424" i="1" s="1"/>
  <c r="J424" i="1"/>
  <c r="L424" i="1" s="1"/>
  <c r="N424" i="1" s="1"/>
  <c r="D425" i="1"/>
  <c r="AJ423" i="1"/>
  <c r="AL423" i="1" s="1"/>
  <c r="AI423" i="1"/>
  <c r="AK423" i="1" s="1"/>
  <c r="AM423" i="1" s="1"/>
  <c r="CC420" i="1"/>
  <c r="CE420" i="1" s="1"/>
  <c r="CB420" i="1"/>
  <c r="CD420" i="1" s="1"/>
  <c r="CF420" i="1" s="1"/>
  <c r="CQ419" i="1"/>
  <c r="CS419" i="1" s="1"/>
  <c r="CU419" i="1" s="1"/>
  <c r="CR419" i="1"/>
  <c r="CT419" i="1" s="1"/>
  <c r="U424" i="1"/>
  <c r="W424" i="1" s="1"/>
  <c r="T424" i="1"/>
  <c r="V424" i="1" s="1"/>
  <c r="X424" i="1" s="1"/>
  <c r="Z424" i="1" l="1"/>
  <c r="AB424" i="1" s="1"/>
  <c r="Y424" i="1"/>
  <c r="AA424" i="1" s="1"/>
  <c r="AC424" i="1" s="1"/>
  <c r="AN423" i="1"/>
  <c r="AP423" i="1" s="1"/>
  <c r="AR423" i="1" s="1"/>
  <c r="AO423" i="1"/>
  <c r="AQ423" i="1" s="1"/>
  <c r="CV419" i="1"/>
  <c r="CX419" i="1" s="1"/>
  <c r="CW419" i="1"/>
  <c r="CY419" i="1" s="1"/>
  <c r="P424" i="1"/>
  <c r="R424" i="1" s="1"/>
  <c r="O424" i="1"/>
  <c r="BD422" i="1"/>
  <c r="BF422" i="1" s="1"/>
  <c r="BC422" i="1"/>
  <c r="BE422" i="1" s="1"/>
  <c r="BG422" i="1" s="1"/>
  <c r="BS421" i="1"/>
  <c r="BU421" i="1" s="1"/>
  <c r="BR421" i="1"/>
  <c r="BT421" i="1" s="1"/>
  <c r="BV421" i="1" s="1"/>
  <c r="E425" i="1"/>
  <c r="F425" i="1"/>
  <c r="H425" i="1" s="1"/>
  <c r="CH420" i="1"/>
  <c r="CJ420" i="1" s="1"/>
  <c r="CG420" i="1"/>
  <c r="CI420" i="1" s="1"/>
  <c r="CK420" i="1" s="1"/>
  <c r="G425" i="1" l="1"/>
  <c r="I425" i="1" s="1"/>
  <c r="Q425" i="1"/>
  <c r="S425" i="1" s="1"/>
  <c r="BX421" i="1"/>
  <c r="BZ421" i="1" s="1"/>
  <c r="BW421" i="1"/>
  <c r="BY421" i="1" s="1"/>
  <c r="CA421" i="1" s="1"/>
  <c r="AT423" i="1"/>
  <c r="AV423" i="1" s="1"/>
  <c r="AS423" i="1"/>
  <c r="AU423" i="1" s="1"/>
  <c r="AW423" i="1" s="1"/>
  <c r="AE424" i="1"/>
  <c r="AG424" i="1" s="1"/>
  <c r="AD424" i="1"/>
  <c r="AF424" i="1" s="1"/>
  <c r="AH424" i="1" s="1"/>
  <c r="CL420" i="1"/>
  <c r="CN420" i="1" s="1"/>
  <c r="CP420" i="1" s="1"/>
  <c r="CM420" i="1"/>
  <c r="CO420" i="1" s="1"/>
  <c r="CZ419" i="1"/>
  <c r="BI422" i="1"/>
  <c r="BK422" i="1" s="1"/>
  <c r="BH422" i="1"/>
  <c r="BJ422" i="1" s="1"/>
  <c r="BL422" i="1" s="1"/>
  <c r="CR420" i="1" l="1"/>
  <c r="CT420" i="1" s="1"/>
  <c r="CQ420" i="1"/>
  <c r="CS420" i="1" s="1"/>
  <c r="CU420" i="1" s="1"/>
  <c r="AY423" i="1"/>
  <c r="BA423" i="1" s="1"/>
  <c r="AX423" i="1"/>
  <c r="AZ423" i="1" s="1"/>
  <c r="BB423" i="1" s="1"/>
  <c r="BM422" i="1"/>
  <c r="BO422" i="1" s="1"/>
  <c r="BQ422" i="1" s="1"/>
  <c r="BN422" i="1"/>
  <c r="BP422" i="1" s="1"/>
  <c r="AJ424" i="1"/>
  <c r="AL424" i="1" s="1"/>
  <c r="AI424" i="1"/>
  <c r="AK424" i="1" s="1"/>
  <c r="AM424" i="1" s="1"/>
  <c r="CB421" i="1"/>
  <c r="CD421" i="1" s="1"/>
  <c r="CF421" i="1" s="1"/>
  <c r="CC421" i="1"/>
  <c r="CE421" i="1" s="1"/>
  <c r="DB419" i="1"/>
  <c r="DD419" i="1" s="1"/>
  <c r="DA419" i="1"/>
  <c r="DC419" i="1" s="1"/>
  <c r="U425" i="1"/>
  <c r="W425" i="1" s="1"/>
  <c r="T425" i="1"/>
  <c r="V425" i="1" s="1"/>
  <c r="X425" i="1" s="1"/>
  <c r="K425" i="1"/>
  <c r="M425" i="1" s="1"/>
  <c r="J425" i="1"/>
  <c r="L425" i="1" s="1"/>
  <c r="N425" i="1" s="1"/>
  <c r="D426" i="1"/>
  <c r="P425" i="1" l="1"/>
  <c r="R425" i="1" s="1"/>
  <c r="O425" i="1"/>
  <c r="AO424" i="1"/>
  <c r="AQ424" i="1" s="1"/>
  <c r="AN424" i="1"/>
  <c r="AP424" i="1" s="1"/>
  <c r="AR424" i="1" s="1"/>
  <c r="BR422" i="1"/>
  <c r="BT422" i="1" s="1"/>
  <c r="BV422" i="1" s="1"/>
  <c r="BS422" i="1"/>
  <c r="BU422" i="1" s="1"/>
  <c r="CW420" i="1"/>
  <c r="CY420" i="1" s="1"/>
  <c r="CV420" i="1"/>
  <c r="CX420" i="1" s="1"/>
  <c r="CZ420" i="1" s="1"/>
  <c r="Z425" i="1"/>
  <c r="AB425" i="1" s="1"/>
  <c r="Y425" i="1"/>
  <c r="AA425" i="1" s="1"/>
  <c r="AC425" i="1" s="1"/>
  <c r="BD423" i="1"/>
  <c r="BF423" i="1" s="1"/>
  <c r="BC423" i="1"/>
  <c r="BE423" i="1" s="1"/>
  <c r="BG423" i="1" s="1"/>
  <c r="F426" i="1"/>
  <c r="H426" i="1" s="1"/>
  <c r="E426" i="1"/>
  <c r="CH421" i="1"/>
  <c r="CJ421" i="1" s="1"/>
  <c r="CG421" i="1"/>
  <c r="CI421" i="1" s="1"/>
  <c r="CK421" i="1" s="1"/>
  <c r="DA420" i="1" l="1"/>
  <c r="DC420" i="1" s="1"/>
  <c r="DB420" i="1"/>
  <c r="DD420" i="1" s="1"/>
  <c r="BW422" i="1"/>
  <c r="BY422" i="1" s="1"/>
  <c r="CA422" i="1" s="1"/>
  <c r="BX422" i="1"/>
  <c r="BZ422" i="1" s="1"/>
  <c r="CM421" i="1"/>
  <c r="CO421" i="1" s="1"/>
  <c r="CL421" i="1"/>
  <c r="CN421" i="1" s="1"/>
  <c r="CP421" i="1" s="1"/>
  <c r="G426" i="1"/>
  <c r="I426" i="1" s="1"/>
  <c r="Q426" i="1"/>
  <c r="S426" i="1" s="1"/>
  <c r="BH423" i="1"/>
  <c r="BJ423" i="1" s="1"/>
  <c r="BL423" i="1" s="1"/>
  <c r="BI423" i="1"/>
  <c r="BK423" i="1" s="1"/>
  <c r="AT424" i="1"/>
  <c r="AV424" i="1" s="1"/>
  <c r="AS424" i="1"/>
  <c r="AU424" i="1" s="1"/>
  <c r="AW424" i="1" s="1"/>
  <c r="AE425" i="1"/>
  <c r="AG425" i="1" s="1"/>
  <c r="AD425" i="1"/>
  <c r="AF425" i="1" s="1"/>
  <c r="AH425" i="1" s="1"/>
  <c r="J426" i="1" l="1"/>
  <c r="L426" i="1" s="1"/>
  <c r="N426" i="1" s="1"/>
  <c r="K426" i="1"/>
  <c r="M426" i="1" s="1"/>
  <c r="D427" i="1"/>
  <c r="U426" i="1"/>
  <c r="W426" i="1" s="1"/>
  <c r="T426" i="1"/>
  <c r="V426" i="1" s="1"/>
  <c r="X426" i="1" s="1"/>
  <c r="BN423" i="1"/>
  <c r="BP423" i="1" s="1"/>
  <c r="BM423" i="1"/>
  <c r="BO423" i="1" s="1"/>
  <c r="BQ423" i="1" s="1"/>
  <c r="AX424" i="1"/>
  <c r="AZ424" i="1" s="1"/>
  <c r="BB424" i="1" s="1"/>
  <c r="AY424" i="1"/>
  <c r="BA424" i="1" s="1"/>
  <c r="AJ425" i="1"/>
  <c r="AL425" i="1" s="1"/>
  <c r="AI425" i="1"/>
  <c r="AK425" i="1" s="1"/>
  <c r="AM425" i="1" s="1"/>
  <c r="CQ421" i="1"/>
  <c r="CS421" i="1" s="1"/>
  <c r="CU421" i="1" s="1"/>
  <c r="CR421" i="1"/>
  <c r="CT421" i="1" s="1"/>
  <c r="CC422" i="1"/>
  <c r="CE422" i="1" s="1"/>
  <c r="CB422" i="1"/>
  <c r="CD422" i="1" s="1"/>
  <c r="CF422" i="1" s="1"/>
  <c r="BD424" i="1" l="1"/>
  <c r="BF424" i="1" s="1"/>
  <c r="BC424" i="1"/>
  <c r="BE424" i="1" s="1"/>
  <c r="BG424" i="1" s="1"/>
  <c r="BS423" i="1"/>
  <c r="BU423" i="1" s="1"/>
  <c r="BR423" i="1"/>
  <c r="BT423" i="1" s="1"/>
  <c r="BV423" i="1" s="1"/>
  <c r="CG422" i="1"/>
  <c r="CI422" i="1" s="1"/>
  <c r="CK422" i="1" s="1"/>
  <c r="CH422" i="1"/>
  <c r="CJ422" i="1" s="1"/>
  <c r="CW421" i="1"/>
  <c r="CY421" i="1" s="1"/>
  <c r="CV421" i="1"/>
  <c r="CX421" i="1" s="1"/>
  <c r="CZ421" i="1" s="1"/>
  <c r="F427" i="1"/>
  <c r="H427" i="1" s="1"/>
  <c r="E427" i="1"/>
  <c r="Z426" i="1"/>
  <c r="AB426" i="1" s="1"/>
  <c r="Y426" i="1"/>
  <c r="AA426" i="1" s="1"/>
  <c r="AC426" i="1" s="1"/>
  <c r="AN425" i="1"/>
  <c r="AP425" i="1" s="1"/>
  <c r="AR425" i="1" s="1"/>
  <c r="AO425" i="1"/>
  <c r="AQ425" i="1" s="1"/>
  <c r="P426" i="1"/>
  <c r="R426" i="1" s="1"/>
  <c r="O426" i="1"/>
  <c r="AT425" i="1" l="1"/>
  <c r="AV425" i="1" s="1"/>
  <c r="AS425" i="1"/>
  <c r="AU425" i="1" s="1"/>
  <c r="AW425" i="1" s="1"/>
  <c r="DB421" i="1"/>
  <c r="DD421" i="1" s="1"/>
  <c r="DA421" i="1"/>
  <c r="DC421" i="1" s="1"/>
  <c r="AE426" i="1"/>
  <c r="AG426" i="1" s="1"/>
  <c r="AD426" i="1"/>
  <c r="AF426" i="1" s="1"/>
  <c r="AH426" i="1" s="1"/>
  <c r="BW423" i="1"/>
  <c r="BY423" i="1" s="1"/>
  <c r="CA423" i="1" s="1"/>
  <c r="BX423" i="1"/>
  <c r="BZ423" i="1" s="1"/>
  <c r="BI424" i="1"/>
  <c r="BK424" i="1" s="1"/>
  <c r="BH424" i="1"/>
  <c r="BJ424" i="1" s="1"/>
  <c r="BL424" i="1" s="1"/>
  <c r="G427" i="1"/>
  <c r="I427" i="1" s="1"/>
  <c r="Q427" i="1"/>
  <c r="S427" i="1" s="1"/>
  <c r="CL422" i="1"/>
  <c r="CN422" i="1" s="1"/>
  <c r="CP422" i="1" s="1"/>
  <c r="CM422" i="1"/>
  <c r="CO422" i="1" s="1"/>
  <c r="AI426" i="1" l="1"/>
  <c r="AK426" i="1" s="1"/>
  <c r="AM426" i="1" s="1"/>
  <c r="AJ426" i="1"/>
  <c r="AL426" i="1" s="1"/>
  <c r="K427" i="1"/>
  <c r="M427" i="1" s="1"/>
  <c r="J427" i="1"/>
  <c r="L427" i="1" s="1"/>
  <c r="N427" i="1" s="1"/>
  <c r="D428" i="1"/>
  <c r="CC423" i="1"/>
  <c r="CE423" i="1" s="1"/>
  <c r="CB423" i="1"/>
  <c r="CD423" i="1" s="1"/>
  <c r="CF423" i="1" s="1"/>
  <c r="CR422" i="1"/>
  <c r="CT422" i="1" s="1"/>
  <c r="CQ422" i="1"/>
  <c r="CS422" i="1" s="1"/>
  <c r="CU422" i="1" s="1"/>
  <c r="U427" i="1"/>
  <c r="W427" i="1" s="1"/>
  <c r="T427" i="1"/>
  <c r="V427" i="1" s="1"/>
  <c r="X427" i="1" s="1"/>
  <c r="AY425" i="1"/>
  <c r="BA425" i="1" s="1"/>
  <c r="AX425" i="1"/>
  <c r="AZ425" i="1" s="1"/>
  <c r="BB425" i="1" s="1"/>
  <c r="BM424" i="1"/>
  <c r="BO424" i="1" s="1"/>
  <c r="BQ424" i="1" s="1"/>
  <c r="BN424" i="1"/>
  <c r="BP424" i="1" s="1"/>
  <c r="BC425" i="1" l="1"/>
  <c r="BE425" i="1" s="1"/>
  <c r="BG425" i="1" s="1"/>
  <c r="BD425" i="1"/>
  <c r="BF425" i="1" s="1"/>
  <c r="CH423" i="1"/>
  <c r="CJ423" i="1" s="1"/>
  <c r="CG423" i="1"/>
  <c r="CI423" i="1" s="1"/>
  <c r="CK423" i="1" s="1"/>
  <c r="F428" i="1"/>
  <c r="H428" i="1" s="1"/>
  <c r="E428" i="1"/>
  <c r="AO426" i="1"/>
  <c r="AQ426" i="1" s="1"/>
  <c r="AN426" i="1"/>
  <c r="AP426" i="1" s="1"/>
  <c r="AR426" i="1" s="1"/>
  <c r="BS424" i="1"/>
  <c r="BU424" i="1" s="1"/>
  <c r="BR424" i="1"/>
  <c r="BT424" i="1" s="1"/>
  <c r="BV424" i="1" s="1"/>
  <c r="P427" i="1"/>
  <c r="R427" i="1" s="1"/>
  <c r="O427" i="1"/>
  <c r="Y427" i="1"/>
  <c r="AA427" i="1" s="1"/>
  <c r="AC427" i="1" s="1"/>
  <c r="Z427" i="1"/>
  <c r="AB427" i="1" s="1"/>
  <c r="CW422" i="1"/>
  <c r="CY422" i="1" s="1"/>
  <c r="CV422" i="1"/>
  <c r="CX422" i="1" s="1"/>
  <c r="CZ422" i="1" s="1"/>
  <c r="CM423" i="1" l="1"/>
  <c r="CO423" i="1" s="1"/>
  <c r="CL423" i="1"/>
  <c r="CN423" i="1" s="1"/>
  <c r="CP423" i="1" s="1"/>
  <c r="G428" i="1"/>
  <c r="I428" i="1" s="1"/>
  <c r="Q428" i="1"/>
  <c r="S428" i="1" s="1"/>
  <c r="AS426" i="1"/>
  <c r="AU426" i="1" s="1"/>
  <c r="AW426" i="1" s="1"/>
  <c r="AT426" i="1"/>
  <c r="AV426" i="1" s="1"/>
  <c r="DB422" i="1"/>
  <c r="DD422" i="1" s="1"/>
  <c r="DA422" i="1"/>
  <c r="DC422" i="1" s="1"/>
  <c r="AE427" i="1"/>
  <c r="AG427" i="1" s="1"/>
  <c r="AD427" i="1"/>
  <c r="AF427" i="1" s="1"/>
  <c r="AH427" i="1" s="1"/>
  <c r="BX424" i="1"/>
  <c r="BZ424" i="1" s="1"/>
  <c r="BW424" i="1"/>
  <c r="BY424" i="1" s="1"/>
  <c r="CA424" i="1" s="1"/>
  <c r="BI425" i="1"/>
  <c r="BK425" i="1" s="1"/>
  <c r="BH425" i="1"/>
  <c r="BJ425" i="1" s="1"/>
  <c r="BL425" i="1" s="1"/>
  <c r="BN425" i="1" l="1"/>
  <c r="BP425" i="1" s="1"/>
  <c r="BM425" i="1"/>
  <c r="BO425" i="1" s="1"/>
  <c r="BQ425" i="1" s="1"/>
  <c r="CC424" i="1"/>
  <c r="CE424" i="1" s="1"/>
  <c r="CB424" i="1"/>
  <c r="CD424" i="1" s="1"/>
  <c r="CF424" i="1" s="1"/>
  <c r="AY426" i="1"/>
  <c r="BA426" i="1" s="1"/>
  <c r="AX426" i="1"/>
  <c r="AZ426" i="1" s="1"/>
  <c r="BB426" i="1" s="1"/>
  <c r="U428" i="1"/>
  <c r="W428" i="1" s="1"/>
  <c r="T428" i="1"/>
  <c r="V428" i="1" s="1"/>
  <c r="X428" i="1" s="1"/>
  <c r="K428" i="1"/>
  <c r="M428" i="1" s="1"/>
  <c r="J428" i="1"/>
  <c r="L428" i="1" s="1"/>
  <c r="N428" i="1" s="1"/>
  <c r="D429" i="1"/>
  <c r="CR423" i="1"/>
  <c r="CT423" i="1" s="1"/>
  <c r="CQ423" i="1"/>
  <c r="CS423" i="1" s="1"/>
  <c r="CU423" i="1" s="1"/>
  <c r="AI427" i="1"/>
  <c r="AK427" i="1" s="1"/>
  <c r="AM427" i="1" s="1"/>
  <c r="AJ427" i="1"/>
  <c r="AL427" i="1" s="1"/>
  <c r="Y428" i="1" l="1"/>
  <c r="AA428" i="1" s="1"/>
  <c r="AC428" i="1" s="1"/>
  <c r="Z428" i="1"/>
  <c r="AB428" i="1" s="1"/>
  <c r="CH424" i="1"/>
  <c r="CJ424" i="1" s="1"/>
  <c r="CG424" i="1"/>
  <c r="CI424" i="1" s="1"/>
  <c r="CK424" i="1" s="1"/>
  <c r="CW423" i="1"/>
  <c r="CY423" i="1" s="1"/>
  <c r="CV423" i="1"/>
  <c r="CX423" i="1" s="1"/>
  <c r="CZ423" i="1" s="1"/>
  <c r="BD426" i="1"/>
  <c r="BF426" i="1" s="1"/>
  <c r="BC426" i="1"/>
  <c r="BE426" i="1" s="1"/>
  <c r="BG426" i="1" s="1"/>
  <c r="F429" i="1"/>
  <c r="H429" i="1" s="1"/>
  <c r="E429" i="1"/>
  <c r="O428" i="1"/>
  <c r="P428" i="1"/>
  <c r="R428" i="1" s="1"/>
  <c r="AO427" i="1"/>
  <c r="AQ427" i="1" s="1"/>
  <c r="AN427" i="1"/>
  <c r="AP427" i="1" s="1"/>
  <c r="AR427" i="1" s="1"/>
  <c r="BR425" i="1"/>
  <c r="BT425" i="1" s="1"/>
  <c r="BV425" i="1" s="1"/>
  <c r="BS425" i="1"/>
  <c r="BU425" i="1" s="1"/>
  <c r="DB423" i="1" l="1"/>
  <c r="DD423" i="1" s="1"/>
  <c r="DA423" i="1"/>
  <c r="DC423" i="1" s="1"/>
  <c r="AT427" i="1"/>
  <c r="AV427" i="1" s="1"/>
  <c r="AS427" i="1"/>
  <c r="AU427" i="1" s="1"/>
  <c r="AW427" i="1" s="1"/>
  <c r="BX425" i="1"/>
  <c r="BZ425" i="1" s="1"/>
  <c r="BW425" i="1"/>
  <c r="BY425" i="1" s="1"/>
  <c r="CA425" i="1" s="1"/>
  <c r="Q429" i="1"/>
  <c r="S429" i="1" s="1"/>
  <c r="G429" i="1"/>
  <c r="I429" i="1" s="1"/>
  <c r="BI426" i="1"/>
  <c r="BK426" i="1" s="1"/>
  <c r="BH426" i="1"/>
  <c r="BJ426" i="1" s="1"/>
  <c r="BL426" i="1" s="1"/>
  <c r="CL424" i="1"/>
  <c r="CN424" i="1" s="1"/>
  <c r="CP424" i="1" s="1"/>
  <c r="CM424" i="1"/>
  <c r="CO424" i="1" s="1"/>
  <c r="AE428" i="1"/>
  <c r="AG428" i="1" s="1"/>
  <c r="AD428" i="1"/>
  <c r="AF428" i="1" s="1"/>
  <c r="AH428" i="1" s="1"/>
  <c r="U429" i="1" l="1"/>
  <c r="W429" i="1" s="1"/>
  <c r="T429" i="1"/>
  <c r="V429" i="1" s="1"/>
  <c r="X429" i="1" s="1"/>
  <c r="CC425" i="1"/>
  <c r="CE425" i="1" s="1"/>
  <c r="CB425" i="1"/>
  <c r="CD425" i="1" s="1"/>
  <c r="CF425" i="1" s="1"/>
  <c r="AY427" i="1"/>
  <c r="BA427" i="1" s="1"/>
  <c r="AX427" i="1"/>
  <c r="AZ427" i="1" s="1"/>
  <c r="BB427" i="1" s="1"/>
  <c r="J429" i="1"/>
  <c r="L429" i="1" s="1"/>
  <c r="N429" i="1" s="1"/>
  <c r="K429" i="1"/>
  <c r="M429" i="1" s="1"/>
  <c r="D430" i="1"/>
  <c r="AJ428" i="1"/>
  <c r="AL428" i="1" s="1"/>
  <c r="AI428" i="1"/>
  <c r="AK428" i="1" s="1"/>
  <c r="AM428" i="1" s="1"/>
  <c r="CR424" i="1"/>
  <c r="CT424" i="1" s="1"/>
  <c r="CQ424" i="1"/>
  <c r="CS424" i="1" s="1"/>
  <c r="CU424" i="1" s="1"/>
  <c r="BN426" i="1"/>
  <c r="BP426" i="1" s="1"/>
  <c r="BM426" i="1"/>
  <c r="BO426" i="1" s="1"/>
  <c r="BQ426" i="1" s="1"/>
  <c r="BS426" i="1" l="1"/>
  <c r="BU426" i="1" s="1"/>
  <c r="BR426" i="1"/>
  <c r="BT426" i="1" s="1"/>
  <c r="BV426" i="1" s="1"/>
  <c r="P429" i="1"/>
  <c r="R429" i="1" s="1"/>
  <c r="O429" i="1"/>
  <c r="CW424" i="1"/>
  <c r="CY424" i="1" s="1"/>
  <c r="CV424" i="1"/>
  <c r="CX424" i="1" s="1"/>
  <c r="CZ424" i="1" s="1"/>
  <c r="CH425" i="1"/>
  <c r="CJ425" i="1" s="1"/>
  <c r="CG425" i="1"/>
  <c r="CI425" i="1" s="1"/>
  <c r="CK425" i="1" s="1"/>
  <c r="BD427" i="1"/>
  <c r="BF427" i="1" s="1"/>
  <c r="BC427" i="1"/>
  <c r="BE427" i="1" s="1"/>
  <c r="BG427" i="1" s="1"/>
  <c r="AN428" i="1"/>
  <c r="AP428" i="1" s="1"/>
  <c r="AR428" i="1" s="1"/>
  <c r="AO428" i="1"/>
  <c r="AQ428" i="1" s="1"/>
  <c r="Z429" i="1"/>
  <c r="AB429" i="1" s="1"/>
  <c r="Y429" i="1"/>
  <c r="AA429" i="1" s="1"/>
  <c r="AC429" i="1" s="1"/>
  <c r="F430" i="1"/>
  <c r="H430" i="1" s="1"/>
  <c r="E430" i="1"/>
  <c r="CM425" i="1" l="1"/>
  <c r="CO425" i="1" s="1"/>
  <c r="CL425" i="1"/>
  <c r="CN425" i="1" s="1"/>
  <c r="CP425" i="1" s="1"/>
  <c r="AD429" i="1"/>
  <c r="AF429" i="1" s="1"/>
  <c r="AH429" i="1" s="1"/>
  <c r="AE429" i="1"/>
  <c r="AG429" i="1" s="1"/>
  <c r="AT428" i="1"/>
  <c r="AV428" i="1" s="1"/>
  <c r="AS428" i="1"/>
  <c r="AU428" i="1" s="1"/>
  <c r="AW428" i="1" s="1"/>
  <c r="BX426" i="1"/>
  <c r="BZ426" i="1" s="1"/>
  <c r="BW426" i="1"/>
  <c r="BY426" i="1" s="1"/>
  <c r="CA426" i="1" s="1"/>
  <c r="DB424" i="1"/>
  <c r="DD424" i="1" s="1"/>
  <c r="DA424" i="1"/>
  <c r="DC424" i="1" s="1"/>
  <c r="BI427" i="1"/>
  <c r="BK427" i="1" s="1"/>
  <c r="BH427" i="1"/>
  <c r="BJ427" i="1" s="1"/>
  <c r="BL427" i="1" s="1"/>
  <c r="G430" i="1"/>
  <c r="I430" i="1" s="1"/>
  <c r="Q430" i="1"/>
  <c r="S430" i="1" s="1"/>
  <c r="AY428" i="1" l="1"/>
  <c r="BA428" i="1" s="1"/>
  <c r="AX428" i="1"/>
  <c r="AZ428" i="1" s="1"/>
  <c r="BB428" i="1" s="1"/>
  <c r="T430" i="1"/>
  <c r="V430" i="1" s="1"/>
  <c r="X430" i="1" s="1"/>
  <c r="U430" i="1"/>
  <c r="W430" i="1" s="1"/>
  <c r="BN427" i="1"/>
  <c r="BP427" i="1" s="1"/>
  <c r="BM427" i="1"/>
  <c r="BO427" i="1" s="1"/>
  <c r="BQ427" i="1" s="1"/>
  <c r="CC426" i="1"/>
  <c r="CE426" i="1" s="1"/>
  <c r="CB426" i="1"/>
  <c r="CD426" i="1" s="1"/>
  <c r="CF426" i="1" s="1"/>
  <c r="CR425" i="1"/>
  <c r="CT425" i="1" s="1"/>
  <c r="CQ425" i="1"/>
  <c r="CS425" i="1" s="1"/>
  <c r="CU425" i="1" s="1"/>
  <c r="K430" i="1"/>
  <c r="M430" i="1" s="1"/>
  <c r="J430" i="1"/>
  <c r="L430" i="1" s="1"/>
  <c r="N430" i="1" s="1"/>
  <c r="D431" i="1"/>
  <c r="AJ429" i="1"/>
  <c r="AL429" i="1" s="1"/>
  <c r="AI429" i="1"/>
  <c r="AK429" i="1" s="1"/>
  <c r="AM429" i="1" s="1"/>
  <c r="BS427" i="1" l="1"/>
  <c r="BU427" i="1" s="1"/>
  <c r="BR427" i="1"/>
  <c r="BT427" i="1" s="1"/>
  <c r="BV427" i="1" s="1"/>
  <c r="F431" i="1"/>
  <c r="H431" i="1" s="1"/>
  <c r="E431" i="1"/>
  <c r="AO429" i="1"/>
  <c r="AQ429" i="1" s="1"/>
  <c r="AN429" i="1"/>
  <c r="AP429" i="1" s="1"/>
  <c r="AR429" i="1" s="1"/>
  <c r="P430" i="1"/>
  <c r="R430" i="1" s="1"/>
  <c r="O430" i="1"/>
  <c r="CW425" i="1"/>
  <c r="CY425" i="1" s="1"/>
  <c r="CV425" i="1"/>
  <c r="CX425" i="1" s="1"/>
  <c r="CZ425" i="1" s="1"/>
  <c r="BD428" i="1"/>
  <c r="BF428" i="1" s="1"/>
  <c r="BC428" i="1"/>
  <c r="BE428" i="1" s="1"/>
  <c r="BG428" i="1" s="1"/>
  <c r="CH426" i="1"/>
  <c r="CJ426" i="1" s="1"/>
  <c r="CG426" i="1"/>
  <c r="CI426" i="1" s="1"/>
  <c r="CK426" i="1" s="1"/>
  <c r="Y430" i="1"/>
  <c r="AA430" i="1" s="1"/>
  <c r="AC430" i="1" s="1"/>
  <c r="Z430" i="1"/>
  <c r="AB430" i="1" s="1"/>
  <c r="CM426" i="1" l="1"/>
  <c r="CO426" i="1" s="1"/>
  <c r="CL426" i="1"/>
  <c r="CN426" i="1" s="1"/>
  <c r="CP426" i="1" s="1"/>
  <c r="AT429" i="1"/>
  <c r="AV429" i="1" s="1"/>
  <c r="AS429" i="1"/>
  <c r="AU429" i="1" s="1"/>
  <c r="AW429" i="1" s="1"/>
  <c r="G431" i="1"/>
  <c r="I431" i="1" s="1"/>
  <c r="Q431" i="1"/>
  <c r="S431" i="1" s="1"/>
  <c r="DB425" i="1"/>
  <c r="DD425" i="1" s="1"/>
  <c r="DA425" i="1"/>
  <c r="DC425" i="1" s="1"/>
  <c r="BX427" i="1"/>
  <c r="BZ427" i="1" s="1"/>
  <c r="BW427" i="1"/>
  <c r="BY427" i="1" s="1"/>
  <c r="CA427" i="1" s="1"/>
  <c r="AE430" i="1"/>
  <c r="AG430" i="1" s="1"/>
  <c r="AD430" i="1"/>
  <c r="AF430" i="1" s="1"/>
  <c r="AH430" i="1" s="1"/>
  <c r="BI428" i="1"/>
  <c r="BK428" i="1" s="1"/>
  <c r="BH428" i="1"/>
  <c r="BJ428" i="1" s="1"/>
  <c r="BL428" i="1" s="1"/>
  <c r="AY429" i="1" l="1"/>
  <c r="BA429" i="1" s="1"/>
  <c r="AX429" i="1"/>
  <c r="AZ429" i="1" s="1"/>
  <c r="BB429" i="1" s="1"/>
  <c r="K431" i="1"/>
  <c r="M431" i="1" s="1"/>
  <c r="J431" i="1"/>
  <c r="L431" i="1" s="1"/>
  <c r="N431" i="1" s="1"/>
  <c r="D432" i="1"/>
  <c r="BN428" i="1"/>
  <c r="BP428" i="1" s="1"/>
  <c r="BM428" i="1"/>
  <c r="BO428" i="1" s="1"/>
  <c r="BQ428" i="1" s="1"/>
  <c r="CR426" i="1"/>
  <c r="CT426" i="1" s="1"/>
  <c r="CQ426" i="1"/>
  <c r="CS426" i="1" s="1"/>
  <c r="CU426" i="1" s="1"/>
  <c r="U431" i="1"/>
  <c r="W431" i="1" s="1"/>
  <c r="T431" i="1"/>
  <c r="V431" i="1" s="1"/>
  <c r="X431" i="1" s="1"/>
  <c r="AJ430" i="1"/>
  <c r="AL430" i="1" s="1"/>
  <c r="AI430" i="1"/>
  <c r="AK430" i="1" s="1"/>
  <c r="AM430" i="1" s="1"/>
  <c r="CC427" i="1"/>
  <c r="CE427" i="1" s="1"/>
  <c r="CB427" i="1"/>
  <c r="CD427" i="1" s="1"/>
  <c r="CF427" i="1" s="1"/>
  <c r="AO430" i="1" l="1"/>
  <c r="AQ430" i="1" s="1"/>
  <c r="AN430" i="1"/>
  <c r="AP430" i="1" s="1"/>
  <c r="AR430" i="1" s="1"/>
  <c r="CH427" i="1"/>
  <c r="CJ427" i="1" s="1"/>
  <c r="CG427" i="1"/>
  <c r="CI427" i="1" s="1"/>
  <c r="CK427" i="1" s="1"/>
  <c r="BR428" i="1"/>
  <c r="BT428" i="1" s="1"/>
  <c r="BV428" i="1" s="1"/>
  <c r="BS428" i="1"/>
  <c r="BU428" i="1" s="1"/>
  <c r="E432" i="1"/>
  <c r="F432" i="1"/>
  <c r="H432" i="1" s="1"/>
  <c r="Z431" i="1"/>
  <c r="AB431" i="1" s="1"/>
  <c r="Y431" i="1"/>
  <c r="AA431" i="1" s="1"/>
  <c r="AC431" i="1" s="1"/>
  <c r="O431" i="1"/>
  <c r="P431" i="1"/>
  <c r="R431" i="1" s="1"/>
  <c r="BD429" i="1"/>
  <c r="BF429" i="1" s="1"/>
  <c r="BC429" i="1"/>
  <c r="BE429" i="1" s="1"/>
  <c r="BG429" i="1" s="1"/>
  <c r="CW426" i="1"/>
  <c r="CY426" i="1" s="1"/>
  <c r="CV426" i="1"/>
  <c r="CX426" i="1" s="1"/>
  <c r="CZ426" i="1" s="1"/>
  <c r="DA426" i="1" l="1"/>
  <c r="DC426" i="1" s="1"/>
  <c r="DB426" i="1"/>
  <c r="DD426" i="1" s="1"/>
  <c r="Q432" i="1"/>
  <c r="S432" i="1" s="1"/>
  <c r="G432" i="1"/>
  <c r="I432" i="1" s="1"/>
  <c r="BX428" i="1"/>
  <c r="BZ428" i="1" s="1"/>
  <c r="BW428" i="1"/>
  <c r="BY428" i="1" s="1"/>
  <c r="CA428" i="1" s="1"/>
  <c r="AE431" i="1"/>
  <c r="AG431" i="1" s="1"/>
  <c r="AD431" i="1"/>
  <c r="AF431" i="1" s="1"/>
  <c r="AH431" i="1" s="1"/>
  <c r="BI429" i="1"/>
  <c r="BK429" i="1" s="1"/>
  <c r="BH429" i="1"/>
  <c r="BJ429" i="1" s="1"/>
  <c r="BL429" i="1" s="1"/>
  <c r="CM427" i="1"/>
  <c r="CO427" i="1" s="1"/>
  <c r="CL427" i="1"/>
  <c r="CN427" i="1" s="1"/>
  <c r="CP427" i="1" s="1"/>
  <c r="AS430" i="1"/>
  <c r="AU430" i="1" s="1"/>
  <c r="AW430" i="1" s="1"/>
  <c r="AT430" i="1"/>
  <c r="AV430" i="1" s="1"/>
  <c r="CQ427" i="1" l="1"/>
  <c r="CS427" i="1" s="1"/>
  <c r="CU427" i="1" s="1"/>
  <c r="CR427" i="1"/>
  <c r="CT427" i="1" s="1"/>
  <c r="K432" i="1"/>
  <c r="M432" i="1" s="1"/>
  <c r="J432" i="1"/>
  <c r="L432" i="1" s="1"/>
  <c r="N432" i="1" s="1"/>
  <c r="D433" i="1"/>
  <c r="AI431" i="1"/>
  <c r="AK431" i="1" s="1"/>
  <c r="AM431" i="1" s="1"/>
  <c r="AJ431" i="1"/>
  <c r="AL431" i="1" s="1"/>
  <c r="AX430" i="1"/>
  <c r="AZ430" i="1" s="1"/>
  <c r="BB430" i="1" s="1"/>
  <c r="AY430" i="1"/>
  <c r="BA430" i="1" s="1"/>
  <c r="U432" i="1"/>
  <c r="W432" i="1" s="1"/>
  <c r="T432" i="1"/>
  <c r="V432" i="1" s="1"/>
  <c r="X432" i="1" s="1"/>
  <c r="CB428" i="1"/>
  <c r="CD428" i="1" s="1"/>
  <c r="CF428" i="1" s="1"/>
  <c r="CC428" i="1"/>
  <c r="CE428" i="1" s="1"/>
  <c r="BN429" i="1"/>
  <c r="BP429" i="1" s="1"/>
  <c r="BM429" i="1"/>
  <c r="BO429" i="1" s="1"/>
  <c r="BQ429" i="1" s="1"/>
  <c r="BR429" i="1" l="1"/>
  <c r="BT429" i="1" s="1"/>
  <c r="BV429" i="1" s="1"/>
  <c r="BS429" i="1"/>
  <c r="BU429" i="1" s="1"/>
  <c r="AO431" i="1"/>
  <c r="AQ431" i="1" s="1"/>
  <c r="AN431" i="1"/>
  <c r="AP431" i="1" s="1"/>
  <c r="AR431" i="1" s="1"/>
  <c r="F433" i="1"/>
  <c r="H433" i="1" s="1"/>
  <c r="E433" i="1"/>
  <c r="P432" i="1"/>
  <c r="R432" i="1" s="1"/>
  <c r="O432" i="1"/>
  <c r="BD430" i="1"/>
  <c r="BF430" i="1" s="1"/>
  <c r="BC430" i="1"/>
  <c r="BE430" i="1" s="1"/>
  <c r="BG430" i="1" s="1"/>
  <c r="CH428" i="1"/>
  <c r="CJ428" i="1" s="1"/>
  <c r="CG428" i="1"/>
  <c r="CI428" i="1" s="1"/>
  <c r="CK428" i="1" s="1"/>
  <c r="Y432" i="1"/>
  <c r="AA432" i="1" s="1"/>
  <c r="AC432" i="1" s="1"/>
  <c r="Z432" i="1"/>
  <c r="AB432" i="1" s="1"/>
  <c r="CW427" i="1"/>
  <c r="CY427" i="1" s="1"/>
  <c r="CV427" i="1"/>
  <c r="CX427" i="1" s="1"/>
  <c r="CZ427" i="1" s="1"/>
  <c r="AE432" i="1" l="1"/>
  <c r="AG432" i="1" s="1"/>
  <c r="AD432" i="1"/>
  <c r="AF432" i="1" s="1"/>
  <c r="AH432" i="1" s="1"/>
  <c r="AT431" i="1"/>
  <c r="AV431" i="1" s="1"/>
  <c r="AS431" i="1"/>
  <c r="AU431" i="1" s="1"/>
  <c r="AW431" i="1" s="1"/>
  <c r="BI430" i="1"/>
  <c r="BK430" i="1" s="1"/>
  <c r="BH430" i="1"/>
  <c r="BJ430" i="1" s="1"/>
  <c r="BL430" i="1" s="1"/>
  <c r="DB427" i="1"/>
  <c r="DD427" i="1" s="1"/>
  <c r="DA427" i="1"/>
  <c r="DC427" i="1" s="1"/>
  <c r="G433" i="1"/>
  <c r="I433" i="1" s="1"/>
  <c r="Q433" i="1"/>
  <c r="S433" i="1" s="1"/>
  <c r="CM428" i="1"/>
  <c r="CO428" i="1" s="1"/>
  <c r="CL428" i="1"/>
  <c r="CN428" i="1" s="1"/>
  <c r="CP428" i="1" s="1"/>
  <c r="BX429" i="1"/>
  <c r="BZ429" i="1" s="1"/>
  <c r="BW429" i="1"/>
  <c r="BY429" i="1" s="1"/>
  <c r="CA429" i="1" s="1"/>
  <c r="CR428" i="1" l="1"/>
  <c r="CT428" i="1" s="1"/>
  <c r="CQ428" i="1"/>
  <c r="CS428" i="1" s="1"/>
  <c r="CU428" i="1" s="1"/>
  <c r="BN430" i="1"/>
  <c r="BP430" i="1" s="1"/>
  <c r="BM430" i="1"/>
  <c r="BO430" i="1" s="1"/>
  <c r="BQ430" i="1" s="1"/>
  <c r="AJ432" i="1"/>
  <c r="AL432" i="1" s="1"/>
  <c r="AI432" i="1"/>
  <c r="AK432" i="1" s="1"/>
  <c r="AM432" i="1" s="1"/>
  <c r="CC429" i="1"/>
  <c r="CE429" i="1" s="1"/>
  <c r="CB429" i="1"/>
  <c r="CD429" i="1" s="1"/>
  <c r="CF429" i="1" s="1"/>
  <c r="AY431" i="1"/>
  <c r="BA431" i="1" s="1"/>
  <c r="AX431" i="1"/>
  <c r="AZ431" i="1" s="1"/>
  <c r="BB431" i="1" s="1"/>
  <c r="U433" i="1"/>
  <c r="W433" i="1" s="1"/>
  <c r="T433" i="1"/>
  <c r="V433" i="1" s="1"/>
  <c r="X433" i="1" s="1"/>
  <c r="K433" i="1"/>
  <c r="M433" i="1" s="1"/>
  <c r="J433" i="1"/>
  <c r="L433" i="1" s="1"/>
  <c r="N433" i="1" s="1"/>
  <c r="D434" i="1"/>
  <c r="E434" i="1" l="1"/>
  <c r="F434" i="1"/>
  <c r="H434" i="1" s="1"/>
  <c r="CH429" i="1"/>
  <c r="CJ429" i="1" s="1"/>
  <c r="CG429" i="1"/>
  <c r="CI429" i="1" s="1"/>
  <c r="CK429" i="1" s="1"/>
  <c r="Z433" i="1"/>
  <c r="AB433" i="1" s="1"/>
  <c r="Y433" i="1"/>
  <c r="AA433" i="1" s="1"/>
  <c r="AC433" i="1" s="1"/>
  <c r="AO432" i="1"/>
  <c r="AQ432" i="1" s="1"/>
  <c r="AN432" i="1"/>
  <c r="AP432" i="1" s="1"/>
  <c r="AR432" i="1" s="1"/>
  <c r="BS430" i="1"/>
  <c r="BU430" i="1" s="1"/>
  <c r="BR430" i="1"/>
  <c r="BT430" i="1" s="1"/>
  <c r="BV430" i="1" s="1"/>
  <c r="CV428" i="1"/>
  <c r="CX428" i="1" s="1"/>
  <c r="CW428" i="1"/>
  <c r="CY428" i="1" s="1"/>
  <c r="O433" i="1"/>
  <c r="P433" i="1"/>
  <c r="R433" i="1" s="1"/>
  <c r="BD431" i="1"/>
  <c r="BF431" i="1" s="1"/>
  <c r="BC431" i="1"/>
  <c r="BE431" i="1" s="1"/>
  <c r="BG431" i="1" s="1"/>
  <c r="BI431" i="1" l="1"/>
  <c r="BK431" i="1" s="1"/>
  <c r="BH431" i="1"/>
  <c r="BJ431" i="1" s="1"/>
  <c r="BL431" i="1" s="1"/>
  <c r="AE433" i="1"/>
  <c r="AG433" i="1" s="1"/>
  <c r="AD433" i="1"/>
  <c r="AF433" i="1" s="1"/>
  <c r="AH433" i="1" s="1"/>
  <c r="AT432" i="1"/>
  <c r="AV432" i="1" s="1"/>
  <c r="AS432" i="1"/>
  <c r="AU432" i="1" s="1"/>
  <c r="AW432" i="1" s="1"/>
  <c r="CL429" i="1"/>
  <c r="CN429" i="1" s="1"/>
  <c r="CP429" i="1" s="1"/>
  <c r="CM429" i="1"/>
  <c r="CO429" i="1" s="1"/>
  <c r="BX430" i="1"/>
  <c r="BZ430" i="1" s="1"/>
  <c r="BW430" i="1"/>
  <c r="BY430" i="1" s="1"/>
  <c r="CA430" i="1" s="1"/>
  <c r="CZ428" i="1"/>
  <c r="Q434" i="1"/>
  <c r="S434" i="1" s="1"/>
  <c r="G434" i="1"/>
  <c r="I434" i="1" s="1"/>
  <c r="CR429" i="1" l="1"/>
  <c r="CT429" i="1" s="1"/>
  <c r="CQ429" i="1"/>
  <c r="CS429" i="1" s="1"/>
  <c r="CU429" i="1" s="1"/>
  <c r="AJ433" i="1"/>
  <c r="AL433" i="1" s="1"/>
  <c r="AI433" i="1"/>
  <c r="AK433" i="1" s="1"/>
  <c r="AM433" i="1" s="1"/>
  <c r="K434" i="1"/>
  <c r="M434" i="1" s="1"/>
  <c r="J434" i="1"/>
  <c r="L434" i="1" s="1"/>
  <c r="N434" i="1" s="1"/>
  <c r="D435" i="1"/>
  <c r="U434" i="1"/>
  <c r="W434" i="1" s="1"/>
  <c r="T434" i="1"/>
  <c r="V434" i="1" s="1"/>
  <c r="X434" i="1" s="1"/>
  <c r="BN431" i="1"/>
  <c r="BP431" i="1" s="1"/>
  <c r="BM431" i="1"/>
  <c r="BO431" i="1" s="1"/>
  <c r="BQ431" i="1" s="1"/>
  <c r="AY432" i="1"/>
  <c r="BA432" i="1" s="1"/>
  <c r="AX432" i="1"/>
  <c r="AZ432" i="1" s="1"/>
  <c r="BB432" i="1" s="1"/>
  <c r="DB428" i="1"/>
  <c r="DD428" i="1" s="1"/>
  <c r="DA428" i="1"/>
  <c r="DC428" i="1" s="1"/>
  <c r="CC430" i="1"/>
  <c r="CE430" i="1" s="1"/>
  <c r="CB430" i="1"/>
  <c r="CD430" i="1" s="1"/>
  <c r="CF430" i="1" s="1"/>
  <c r="CG430" i="1" l="1"/>
  <c r="CI430" i="1" s="1"/>
  <c r="CK430" i="1" s="1"/>
  <c r="CH430" i="1"/>
  <c r="CJ430" i="1" s="1"/>
  <c r="F435" i="1"/>
  <c r="H435" i="1" s="1"/>
  <c r="E435" i="1"/>
  <c r="Z434" i="1"/>
  <c r="AB434" i="1" s="1"/>
  <c r="Y434" i="1"/>
  <c r="AA434" i="1" s="1"/>
  <c r="AC434" i="1" s="1"/>
  <c r="P434" i="1"/>
  <c r="R434" i="1" s="1"/>
  <c r="O434" i="1"/>
  <c r="BD432" i="1"/>
  <c r="BF432" i="1" s="1"/>
  <c r="BC432" i="1"/>
  <c r="BE432" i="1" s="1"/>
  <c r="BG432" i="1" s="1"/>
  <c r="AO433" i="1"/>
  <c r="AQ433" i="1" s="1"/>
  <c r="AN433" i="1"/>
  <c r="AP433" i="1" s="1"/>
  <c r="AR433" i="1" s="1"/>
  <c r="BS431" i="1"/>
  <c r="BU431" i="1" s="1"/>
  <c r="BR431" i="1"/>
  <c r="BT431" i="1" s="1"/>
  <c r="BV431" i="1" s="1"/>
  <c r="CW429" i="1"/>
  <c r="CY429" i="1" s="1"/>
  <c r="CV429" i="1"/>
  <c r="CX429" i="1" s="1"/>
  <c r="CZ429" i="1" l="1"/>
  <c r="AE434" i="1"/>
  <c r="AG434" i="1" s="1"/>
  <c r="AD434" i="1"/>
  <c r="AF434" i="1" s="1"/>
  <c r="AH434" i="1" s="1"/>
  <c r="BW431" i="1"/>
  <c r="BY431" i="1" s="1"/>
  <c r="CA431" i="1" s="1"/>
  <c r="BX431" i="1"/>
  <c r="BZ431" i="1" s="1"/>
  <c r="AT433" i="1"/>
  <c r="AV433" i="1" s="1"/>
  <c r="AS433" i="1"/>
  <c r="AU433" i="1" s="1"/>
  <c r="AW433" i="1" s="1"/>
  <c r="G435" i="1"/>
  <c r="I435" i="1" s="1"/>
  <c r="Q435" i="1"/>
  <c r="S435" i="1" s="1"/>
  <c r="BI432" i="1"/>
  <c r="BK432" i="1" s="1"/>
  <c r="BH432" i="1"/>
  <c r="BJ432" i="1" s="1"/>
  <c r="BL432" i="1" s="1"/>
  <c r="CM430" i="1"/>
  <c r="CO430" i="1" s="1"/>
  <c r="CL430" i="1"/>
  <c r="CN430" i="1" s="1"/>
  <c r="CP430" i="1" s="1"/>
  <c r="U435" i="1" l="1"/>
  <c r="W435" i="1" s="1"/>
  <c r="T435" i="1"/>
  <c r="V435" i="1" s="1"/>
  <c r="X435" i="1" s="1"/>
  <c r="CR430" i="1"/>
  <c r="CT430" i="1" s="1"/>
  <c r="CQ430" i="1"/>
  <c r="CS430" i="1" s="1"/>
  <c r="CU430" i="1" s="1"/>
  <c r="K435" i="1"/>
  <c r="M435" i="1" s="1"/>
  <c r="J435" i="1"/>
  <c r="L435" i="1" s="1"/>
  <c r="N435" i="1" s="1"/>
  <c r="D436" i="1"/>
  <c r="CC431" i="1"/>
  <c r="CE431" i="1" s="1"/>
  <c r="CB431" i="1"/>
  <c r="CD431" i="1" s="1"/>
  <c r="CF431" i="1" s="1"/>
  <c r="BM432" i="1"/>
  <c r="BO432" i="1" s="1"/>
  <c r="BQ432" i="1" s="1"/>
  <c r="BN432" i="1"/>
  <c r="BP432" i="1" s="1"/>
  <c r="AY433" i="1"/>
  <c r="BA433" i="1" s="1"/>
  <c r="AX433" i="1"/>
  <c r="AZ433" i="1" s="1"/>
  <c r="BB433" i="1" s="1"/>
  <c r="AJ434" i="1"/>
  <c r="AL434" i="1" s="1"/>
  <c r="AI434" i="1"/>
  <c r="AK434" i="1" s="1"/>
  <c r="AM434" i="1" s="1"/>
  <c r="DB429" i="1"/>
  <c r="DD429" i="1" s="1"/>
  <c r="DA429" i="1"/>
  <c r="DC429" i="1" s="1"/>
  <c r="AO434" i="1" l="1"/>
  <c r="AQ434" i="1" s="1"/>
  <c r="AN434" i="1"/>
  <c r="AP434" i="1" s="1"/>
  <c r="AR434" i="1" s="1"/>
  <c r="BC433" i="1"/>
  <c r="BE433" i="1" s="1"/>
  <c r="BG433" i="1" s="1"/>
  <c r="BD433" i="1"/>
  <c r="BF433" i="1" s="1"/>
  <c r="CH431" i="1"/>
  <c r="CJ431" i="1" s="1"/>
  <c r="CG431" i="1"/>
  <c r="CI431" i="1" s="1"/>
  <c r="CK431" i="1" s="1"/>
  <c r="F436" i="1"/>
  <c r="H436" i="1" s="1"/>
  <c r="E436" i="1"/>
  <c r="CW430" i="1"/>
  <c r="CY430" i="1" s="1"/>
  <c r="CV430" i="1"/>
  <c r="CX430" i="1" s="1"/>
  <c r="CZ430" i="1" s="1"/>
  <c r="P435" i="1"/>
  <c r="R435" i="1" s="1"/>
  <c r="O435" i="1"/>
  <c r="Z435" i="1"/>
  <c r="AB435" i="1" s="1"/>
  <c r="Y435" i="1"/>
  <c r="AA435" i="1" s="1"/>
  <c r="AC435" i="1" s="1"/>
  <c r="BR432" i="1"/>
  <c r="BT432" i="1" s="1"/>
  <c r="BV432" i="1" s="1"/>
  <c r="BS432" i="1"/>
  <c r="BU432" i="1" s="1"/>
  <c r="AE435" i="1" l="1"/>
  <c r="AG435" i="1" s="1"/>
  <c r="AD435" i="1"/>
  <c r="AF435" i="1" s="1"/>
  <c r="AH435" i="1" s="1"/>
  <c r="BX432" i="1"/>
  <c r="BZ432" i="1" s="1"/>
  <c r="BW432" i="1"/>
  <c r="BY432" i="1" s="1"/>
  <c r="CA432" i="1" s="1"/>
  <c r="CM431" i="1"/>
  <c r="CO431" i="1" s="1"/>
  <c r="CL431" i="1"/>
  <c r="CN431" i="1" s="1"/>
  <c r="CP431" i="1" s="1"/>
  <c r="BI433" i="1"/>
  <c r="BK433" i="1" s="1"/>
  <c r="BH433" i="1"/>
  <c r="BJ433" i="1" s="1"/>
  <c r="BL433" i="1" s="1"/>
  <c r="G436" i="1"/>
  <c r="I436" i="1" s="1"/>
  <c r="Q436" i="1"/>
  <c r="S436" i="1" s="1"/>
  <c r="DA430" i="1"/>
  <c r="DC430" i="1" s="1"/>
  <c r="DB430" i="1"/>
  <c r="DD430" i="1" s="1"/>
  <c r="AS434" i="1"/>
  <c r="AU434" i="1" s="1"/>
  <c r="AW434" i="1" s="1"/>
  <c r="AT434" i="1"/>
  <c r="AV434" i="1" s="1"/>
  <c r="CQ431" i="1" l="1"/>
  <c r="CS431" i="1" s="1"/>
  <c r="CU431" i="1" s="1"/>
  <c r="CR431" i="1"/>
  <c r="CT431" i="1" s="1"/>
  <c r="AY434" i="1"/>
  <c r="BA434" i="1" s="1"/>
  <c r="AX434" i="1"/>
  <c r="AZ434" i="1" s="1"/>
  <c r="BB434" i="1" s="1"/>
  <c r="U436" i="1"/>
  <c r="W436" i="1" s="1"/>
  <c r="T436" i="1"/>
  <c r="V436" i="1" s="1"/>
  <c r="X436" i="1" s="1"/>
  <c r="AI435" i="1"/>
  <c r="AK435" i="1" s="1"/>
  <c r="AM435" i="1" s="1"/>
  <c r="AJ435" i="1"/>
  <c r="AL435" i="1" s="1"/>
  <c r="BN433" i="1"/>
  <c r="BP433" i="1" s="1"/>
  <c r="BM433" i="1"/>
  <c r="BO433" i="1" s="1"/>
  <c r="BQ433" i="1" s="1"/>
  <c r="CC432" i="1"/>
  <c r="CE432" i="1" s="1"/>
  <c r="CB432" i="1"/>
  <c r="CD432" i="1" s="1"/>
  <c r="CF432" i="1" s="1"/>
  <c r="K436" i="1"/>
  <c r="M436" i="1" s="1"/>
  <c r="J436" i="1"/>
  <c r="L436" i="1" s="1"/>
  <c r="N436" i="1" s="1"/>
  <c r="D437" i="1"/>
  <c r="E437" i="1" l="1"/>
  <c r="F437" i="1"/>
  <c r="H437" i="1" s="1"/>
  <c r="AO435" i="1"/>
  <c r="AQ435" i="1" s="1"/>
  <c r="AN435" i="1"/>
  <c r="AP435" i="1" s="1"/>
  <c r="AR435" i="1" s="1"/>
  <c r="CG432" i="1"/>
  <c r="CI432" i="1" s="1"/>
  <c r="CK432" i="1" s="1"/>
  <c r="CH432" i="1"/>
  <c r="CJ432" i="1" s="1"/>
  <c r="Y436" i="1"/>
  <c r="AA436" i="1" s="1"/>
  <c r="AC436" i="1" s="1"/>
  <c r="Z436" i="1"/>
  <c r="AB436" i="1" s="1"/>
  <c r="BD434" i="1"/>
  <c r="BF434" i="1" s="1"/>
  <c r="BC434" i="1"/>
  <c r="BE434" i="1" s="1"/>
  <c r="BG434" i="1" s="1"/>
  <c r="O436" i="1"/>
  <c r="P436" i="1"/>
  <c r="R436" i="1" s="1"/>
  <c r="BS433" i="1"/>
  <c r="BU433" i="1" s="1"/>
  <c r="BR433" i="1"/>
  <c r="BT433" i="1" s="1"/>
  <c r="BV433" i="1" s="1"/>
  <c r="CW431" i="1"/>
  <c r="CY431" i="1" s="1"/>
  <c r="CV431" i="1"/>
  <c r="CX431" i="1" s="1"/>
  <c r="CZ431" i="1" s="1"/>
  <c r="DB431" i="1" l="1"/>
  <c r="DD431" i="1" s="1"/>
  <c r="DA431" i="1"/>
  <c r="DC431" i="1" s="1"/>
  <c r="CL432" i="1"/>
  <c r="CN432" i="1" s="1"/>
  <c r="CP432" i="1" s="1"/>
  <c r="CM432" i="1"/>
  <c r="CO432" i="1" s="1"/>
  <c r="BW433" i="1"/>
  <c r="BY433" i="1" s="1"/>
  <c r="CA433" i="1" s="1"/>
  <c r="BX433" i="1"/>
  <c r="BZ433" i="1" s="1"/>
  <c r="BH434" i="1"/>
  <c r="BJ434" i="1" s="1"/>
  <c r="BL434" i="1" s="1"/>
  <c r="BI434" i="1"/>
  <c r="BK434" i="1" s="1"/>
  <c r="AT435" i="1"/>
  <c r="AV435" i="1" s="1"/>
  <c r="AS435" i="1"/>
  <c r="AU435" i="1" s="1"/>
  <c r="AW435" i="1" s="1"/>
  <c r="G437" i="1"/>
  <c r="I437" i="1" s="1"/>
  <c r="Q437" i="1"/>
  <c r="S437" i="1" s="1"/>
  <c r="AE436" i="1"/>
  <c r="AG436" i="1" s="1"/>
  <c r="AD436" i="1"/>
  <c r="AF436" i="1" s="1"/>
  <c r="AH436" i="1" s="1"/>
  <c r="BM434" i="1" l="1"/>
  <c r="BO434" i="1" s="1"/>
  <c r="BQ434" i="1" s="1"/>
  <c r="BN434" i="1"/>
  <c r="BP434" i="1" s="1"/>
  <c r="K437" i="1"/>
  <c r="M437" i="1" s="1"/>
  <c r="J437" i="1"/>
  <c r="L437" i="1" s="1"/>
  <c r="N437" i="1" s="1"/>
  <c r="D438" i="1"/>
  <c r="AJ436" i="1"/>
  <c r="AL436" i="1" s="1"/>
  <c r="AI436" i="1"/>
  <c r="AK436" i="1" s="1"/>
  <c r="AM436" i="1" s="1"/>
  <c r="U437" i="1"/>
  <c r="W437" i="1" s="1"/>
  <c r="T437" i="1"/>
  <c r="V437" i="1" s="1"/>
  <c r="X437" i="1" s="1"/>
  <c r="CR432" i="1"/>
  <c r="CT432" i="1" s="1"/>
  <c r="CQ432" i="1"/>
  <c r="CS432" i="1" s="1"/>
  <c r="CU432" i="1" s="1"/>
  <c r="AY435" i="1"/>
  <c r="BA435" i="1" s="1"/>
  <c r="AX435" i="1"/>
  <c r="AZ435" i="1" s="1"/>
  <c r="BB435" i="1" s="1"/>
  <c r="CC433" i="1"/>
  <c r="CE433" i="1" s="1"/>
  <c r="CB433" i="1"/>
  <c r="CD433" i="1" s="1"/>
  <c r="CF433" i="1" s="1"/>
  <c r="CH433" i="1" l="1"/>
  <c r="CJ433" i="1" s="1"/>
  <c r="CG433" i="1"/>
  <c r="CI433" i="1" s="1"/>
  <c r="CK433" i="1" s="1"/>
  <c r="BD435" i="1"/>
  <c r="BF435" i="1" s="1"/>
  <c r="BC435" i="1"/>
  <c r="BE435" i="1" s="1"/>
  <c r="BG435" i="1" s="1"/>
  <c r="Z437" i="1"/>
  <c r="AB437" i="1" s="1"/>
  <c r="Y437" i="1"/>
  <c r="AA437" i="1" s="1"/>
  <c r="AC437" i="1" s="1"/>
  <c r="E438" i="1"/>
  <c r="F438" i="1"/>
  <c r="H438" i="1" s="1"/>
  <c r="CW432" i="1"/>
  <c r="CY432" i="1" s="1"/>
  <c r="CV432" i="1"/>
  <c r="CX432" i="1" s="1"/>
  <c r="AO436" i="1"/>
  <c r="AQ436" i="1" s="1"/>
  <c r="AN436" i="1"/>
  <c r="AP436" i="1" s="1"/>
  <c r="AR436" i="1" s="1"/>
  <c r="O437" i="1"/>
  <c r="P437" i="1"/>
  <c r="R437" i="1" s="1"/>
  <c r="BS434" i="1"/>
  <c r="BU434" i="1" s="1"/>
  <c r="BR434" i="1"/>
  <c r="BT434" i="1" s="1"/>
  <c r="BV434" i="1" s="1"/>
  <c r="BX434" i="1" l="1"/>
  <c r="BZ434" i="1" s="1"/>
  <c r="BW434" i="1"/>
  <c r="BY434" i="1" s="1"/>
  <c r="CA434" i="1" s="1"/>
  <c r="AT436" i="1"/>
  <c r="AV436" i="1" s="1"/>
  <c r="AS436" i="1"/>
  <c r="AU436" i="1" s="1"/>
  <c r="AW436" i="1" s="1"/>
  <c r="Q438" i="1"/>
  <c r="S438" i="1" s="1"/>
  <c r="G438" i="1"/>
  <c r="I438" i="1" s="1"/>
  <c r="BI435" i="1"/>
  <c r="BK435" i="1" s="1"/>
  <c r="BH435" i="1"/>
  <c r="BJ435" i="1" s="1"/>
  <c r="BL435" i="1" s="1"/>
  <c r="CZ432" i="1"/>
  <c r="CM433" i="1"/>
  <c r="CO433" i="1" s="1"/>
  <c r="CL433" i="1"/>
  <c r="CN433" i="1" s="1"/>
  <c r="CP433" i="1" s="1"/>
  <c r="AE437" i="1"/>
  <c r="AG437" i="1" s="1"/>
  <c r="AD437" i="1"/>
  <c r="AF437" i="1" s="1"/>
  <c r="AH437" i="1" s="1"/>
  <c r="U438" i="1" l="1"/>
  <c r="W438" i="1" s="1"/>
  <c r="T438" i="1"/>
  <c r="V438" i="1" s="1"/>
  <c r="X438" i="1" s="1"/>
  <c r="BN435" i="1"/>
  <c r="BP435" i="1" s="1"/>
  <c r="BM435" i="1"/>
  <c r="BO435" i="1" s="1"/>
  <c r="BQ435" i="1" s="1"/>
  <c r="K438" i="1"/>
  <c r="M438" i="1" s="1"/>
  <c r="J438" i="1"/>
  <c r="L438" i="1" s="1"/>
  <c r="N438" i="1" s="1"/>
  <c r="D439" i="1"/>
  <c r="CR433" i="1"/>
  <c r="CT433" i="1" s="1"/>
  <c r="CQ433" i="1"/>
  <c r="CS433" i="1" s="1"/>
  <c r="CU433" i="1" s="1"/>
  <c r="DB432" i="1"/>
  <c r="DD432" i="1" s="1"/>
  <c r="DA432" i="1"/>
  <c r="DC432" i="1" s="1"/>
  <c r="AJ437" i="1"/>
  <c r="AL437" i="1" s="1"/>
  <c r="AI437" i="1"/>
  <c r="AK437" i="1" s="1"/>
  <c r="AM437" i="1" s="1"/>
  <c r="AY436" i="1"/>
  <c r="BA436" i="1" s="1"/>
  <c r="AX436" i="1"/>
  <c r="AZ436" i="1" s="1"/>
  <c r="BB436" i="1" s="1"/>
  <c r="CC434" i="1"/>
  <c r="CE434" i="1" s="1"/>
  <c r="CB434" i="1"/>
  <c r="CD434" i="1" s="1"/>
  <c r="CF434" i="1" s="1"/>
  <c r="CW433" i="1" l="1"/>
  <c r="CY433" i="1" s="1"/>
  <c r="CV433" i="1"/>
  <c r="CX433" i="1" s="1"/>
  <c r="CZ433" i="1" s="1"/>
  <c r="CH434" i="1"/>
  <c r="CJ434" i="1" s="1"/>
  <c r="CG434" i="1"/>
  <c r="CI434" i="1" s="1"/>
  <c r="CK434" i="1" s="1"/>
  <c r="AO437" i="1"/>
  <c r="AQ437" i="1" s="1"/>
  <c r="AN437" i="1"/>
  <c r="AP437" i="1" s="1"/>
  <c r="AR437" i="1" s="1"/>
  <c r="BD436" i="1"/>
  <c r="BF436" i="1" s="1"/>
  <c r="BC436" i="1"/>
  <c r="BE436" i="1" s="1"/>
  <c r="BG436" i="1" s="1"/>
  <c r="E439" i="1"/>
  <c r="F439" i="1"/>
  <c r="H439" i="1" s="1"/>
  <c r="P438" i="1"/>
  <c r="R438" i="1" s="1"/>
  <c r="O438" i="1"/>
  <c r="BS435" i="1"/>
  <c r="BU435" i="1" s="1"/>
  <c r="BR435" i="1"/>
  <c r="BT435" i="1" s="1"/>
  <c r="BV435" i="1" s="1"/>
  <c r="Z438" i="1"/>
  <c r="AB438" i="1" s="1"/>
  <c r="Y438" i="1"/>
  <c r="AA438" i="1" s="1"/>
  <c r="AC438" i="1" s="1"/>
  <c r="AT437" i="1" l="1"/>
  <c r="AV437" i="1" s="1"/>
  <c r="AS437" i="1"/>
  <c r="AU437" i="1" s="1"/>
  <c r="AW437" i="1" s="1"/>
  <c r="BX435" i="1"/>
  <c r="BZ435" i="1" s="1"/>
  <c r="BW435" i="1"/>
  <c r="BY435" i="1" s="1"/>
  <c r="CA435" i="1" s="1"/>
  <c r="BI436" i="1"/>
  <c r="BK436" i="1" s="1"/>
  <c r="BH436" i="1"/>
  <c r="BJ436" i="1" s="1"/>
  <c r="BL436" i="1" s="1"/>
  <c r="CL434" i="1"/>
  <c r="CN434" i="1" s="1"/>
  <c r="CP434" i="1" s="1"/>
  <c r="CM434" i="1"/>
  <c r="CO434" i="1" s="1"/>
  <c r="AE438" i="1"/>
  <c r="AG438" i="1" s="1"/>
  <c r="AD438" i="1"/>
  <c r="AF438" i="1" s="1"/>
  <c r="AH438" i="1" s="1"/>
  <c r="DA433" i="1"/>
  <c r="DC433" i="1" s="1"/>
  <c r="DB433" i="1"/>
  <c r="DD433" i="1" s="1"/>
  <c r="Q439" i="1"/>
  <c r="S439" i="1" s="1"/>
  <c r="G439" i="1"/>
  <c r="I439" i="1" s="1"/>
  <c r="CR434" i="1" l="1"/>
  <c r="CT434" i="1" s="1"/>
  <c r="CQ434" i="1"/>
  <c r="CS434" i="1" s="1"/>
  <c r="CU434" i="1" s="1"/>
  <c r="K439" i="1"/>
  <c r="M439" i="1" s="1"/>
  <c r="J439" i="1"/>
  <c r="L439" i="1" s="1"/>
  <c r="N439" i="1" s="1"/>
  <c r="D440" i="1"/>
  <c r="CC435" i="1"/>
  <c r="CE435" i="1" s="1"/>
  <c r="CB435" i="1"/>
  <c r="CD435" i="1" s="1"/>
  <c r="CF435" i="1" s="1"/>
  <c r="U439" i="1"/>
  <c r="W439" i="1" s="1"/>
  <c r="T439" i="1"/>
  <c r="V439" i="1" s="1"/>
  <c r="X439" i="1" s="1"/>
  <c r="AY437" i="1"/>
  <c r="BA437" i="1" s="1"/>
  <c r="AX437" i="1"/>
  <c r="AZ437" i="1" s="1"/>
  <c r="BB437" i="1" s="1"/>
  <c r="BN436" i="1"/>
  <c r="BP436" i="1" s="1"/>
  <c r="BM436" i="1"/>
  <c r="BO436" i="1" s="1"/>
  <c r="BQ436" i="1" s="1"/>
  <c r="AJ438" i="1"/>
  <c r="AL438" i="1" s="1"/>
  <c r="AI438" i="1"/>
  <c r="AK438" i="1" s="1"/>
  <c r="AM438" i="1" s="1"/>
  <c r="CW434" i="1" l="1"/>
  <c r="CY434" i="1" s="1"/>
  <c r="CV434" i="1"/>
  <c r="CX434" i="1" s="1"/>
  <c r="CZ434" i="1" s="1"/>
  <c r="CG435" i="1"/>
  <c r="CI435" i="1" s="1"/>
  <c r="CK435" i="1" s="1"/>
  <c r="CH435" i="1"/>
  <c r="CJ435" i="1" s="1"/>
  <c r="F440" i="1"/>
  <c r="H440" i="1" s="1"/>
  <c r="E440" i="1"/>
  <c r="O439" i="1"/>
  <c r="P439" i="1"/>
  <c r="R439" i="1" s="1"/>
  <c r="AO438" i="1"/>
  <c r="AQ438" i="1" s="1"/>
  <c r="AN438" i="1"/>
  <c r="AP438" i="1" s="1"/>
  <c r="AR438" i="1" s="1"/>
  <c r="BS436" i="1"/>
  <c r="BU436" i="1" s="1"/>
  <c r="BR436" i="1"/>
  <c r="BT436" i="1" s="1"/>
  <c r="BV436" i="1" s="1"/>
  <c r="BD437" i="1"/>
  <c r="BF437" i="1" s="1"/>
  <c r="BC437" i="1"/>
  <c r="BE437" i="1" s="1"/>
  <c r="BG437" i="1" s="1"/>
  <c r="Z439" i="1"/>
  <c r="AB439" i="1" s="1"/>
  <c r="Y439" i="1"/>
  <c r="AA439" i="1" s="1"/>
  <c r="AC439" i="1" s="1"/>
  <c r="AD439" i="1" l="1"/>
  <c r="AF439" i="1" s="1"/>
  <c r="AH439" i="1" s="1"/>
  <c r="AE439" i="1"/>
  <c r="AG439" i="1" s="1"/>
  <c r="BW436" i="1"/>
  <c r="BY436" i="1" s="1"/>
  <c r="CA436" i="1" s="1"/>
  <c r="BX436" i="1"/>
  <c r="BZ436" i="1" s="1"/>
  <c r="BI437" i="1"/>
  <c r="BK437" i="1" s="1"/>
  <c r="BH437" i="1"/>
  <c r="BJ437" i="1" s="1"/>
  <c r="BL437" i="1" s="1"/>
  <c r="G440" i="1"/>
  <c r="I440" i="1" s="1"/>
  <c r="Q440" i="1"/>
  <c r="S440" i="1" s="1"/>
  <c r="AT438" i="1"/>
  <c r="AV438" i="1" s="1"/>
  <c r="AS438" i="1"/>
  <c r="AU438" i="1" s="1"/>
  <c r="AW438" i="1" s="1"/>
  <c r="DA434" i="1"/>
  <c r="DC434" i="1" s="1"/>
  <c r="DB434" i="1"/>
  <c r="DD434" i="1" s="1"/>
  <c r="CM435" i="1"/>
  <c r="CO435" i="1" s="1"/>
  <c r="CL435" i="1"/>
  <c r="CN435" i="1" s="1"/>
  <c r="CP435" i="1" s="1"/>
  <c r="K440" i="1" l="1"/>
  <c r="M440" i="1" s="1"/>
  <c r="J440" i="1"/>
  <c r="L440" i="1" s="1"/>
  <c r="N440" i="1" s="1"/>
  <c r="D441" i="1"/>
  <c r="T440" i="1"/>
  <c r="V440" i="1" s="1"/>
  <c r="X440" i="1" s="1"/>
  <c r="U440" i="1"/>
  <c r="W440" i="1" s="1"/>
  <c r="CQ435" i="1"/>
  <c r="CS435" i="1" s="1"/>
  <c r="CU435" i="1" s="1"/>
  <c r="CR435" i="1"/>
  <c r="CT435" i="1" s="1"/>
  <c r="CC436" i="1"/>
  <c r="CE436" i="1" s="1"/>
  <c r="CB436" i="1"/>
  <c r="CD436" i="1" s="1"/>
  <c r="CF436" i="1" s="1"/>
  <c r="AJ439" i="1"/>
  <c r="AL439" i="1" s="1"/>
  <c r="AI439" i="1"/>
  <c r="AK439" i="1" s="1"/>
  <c r="AM439" i="1" s="1"/>
  <c r="BM437" i="1"/>
  <c r="BO437" i="1" s="1"/>
  <c r="BQ437" i="1" s="1"/>
  <c r="BN437" i="1"/>
  <c r="BP437" i="1" s="1"/>
  <c r="AY438" i="1"/>
  <c r="BA438" i="1" s="1"/>
  <c r="AX438" i="1"/>
  <c r="AZ438" i="1" s="1"/>
  <c r="BB438" i="1" s="1"/>
  <c r="CG436" i="1" l="1"/>
  <c r="CI436" i="1" s="1"/>
  <c r="CK436" i="1" s="1"/>
  <c r="CH436" i="1"/>
  <c r="CJ436" i="1" s="1"/>
  <c r="CW435" i="1"/>
  <c r="CY435" i="1" s="1"/>
  <c r="CV435" i="1"/>
  <c r="CX435" i="1" s="1"/>
  <c r="CZ435" i="1" s="1"/>
  <c r="BS437" i="1"/>
  <c r="BU437" i="1" s="1"/>
  <c r="BR437" i="1"/>
  <c r="BT437" i="1" s="1"/>
  <c r="BV437" i="1" s="1"/>
  <c r="AO439" i="1"/>
  <c r="AQ439" i="1" s="1"/>
  <c r="AN439" i="1"/>
  <c r="AP439" i="1" s="1"/>
  <c r="AR439" i="1" s="1"/>
  <c r="BC438" i="1"/>
  <c r="BE438" i="1" s="1"/>
  <c r="BG438" i="1" s="1"/>
  <c r="BD438" i="1"/>
  <c r="BF438" i="1" s="1"/>
  <c r="Z440" i="1"/>
  <c r="AB440" i="1" s="1"/>
  <c r="Y440" i="1"/>
  <c r="AA440" i="1" s="1"/>
  <c r="AC440" i="1" s="1"/>
  <c r="E441" i="1"/>
  <c r="F441" i="1"/>
  <c r="H441" i="1" s="1"/>
  <c r="P440" i="1"/>
  <c r="R440" i="1" s="1"/>
  <c r="O440" i="1"/>
  <c r="AS439" i="1" l="1"/>
  <c r="AU439" i="1" s="1"/>
  <c r="AW439" i="1" s="1"/>
  <c r="AT439" i="1"/>
  <c r="AV439" i="1" s="1"/>
  <c r="BW437" i="1"/>
  <c r="BY437" i="1" s="1"/>
  <c r="CA437" i="1" s="1"/>
  <c r="BX437" i="1"/>
  <c r="BZ437" i="1" s="1"/>
  <c r="DB435" i="1"/>
  <c r="DD435" i="1" s="1"/>
  <c r="DA435" i="1"/>
  <c r="DC435" i="1" s="1"/>
  <c r="BI438" i="1"/>
  <c r="BK438" i="1" s="1"/>
  <c r="BH438" i="1"/>
  <c r="BJ438" i="1" s="1"/>
  <c r="BL438" i="1" s="1"/>
  <c r="Q441" i="1"/>
  <c r="S441" i="1" s="1"/>
  <c r="G441" i="1"/>
  <c r="I441" i="1" s="1"/>
  <c r="AE440" i="1"/>
  <c r="AG440" i="1" s="1"/>
  <c r="AD440" i="1"/>
  <c r="AF440" i="1" s="1"/>
  <c r="AH440" i="1" s="1"/>
  <c r="CM436" i="1"/>
  <c r="CO436" i="1" s="1"/>
  <c r="CL436" i="1"/>
  <c r="CN436" i="1" s="1"/>
  <c r="CP436" i="1" s="1"/>
  <c r="BM438" i="1" l="1"/>
  <c r="BO438" i="1" s="1"/>
  <c r="BQ438" i="1" s="1"/>
  <c r="BN438" i="1"/>
  <c r="BP438" i="1" s="1"/>
  <c r="CC437" i="1"/>
  <c r="CE437" i="1" s="1"/>
  <c r="CB437" i="1"/>
  <c r="CD437" i="1" s="1"/>
  <c r="CF437" i="1" s="1"/>
  <c r="CR436" i="1"/>
  <c r="CT436" i="1" s="1"/>
  <c r="CQ436" i="1"/>
  <c r="CS436" i="1" s="1"/>
  <c r="CU436" i="1" s="1"/>
  <c r="J441" i="1"/>
  <c r="L441" i="1" s="1"/>
  <c r="N441" i="1" s="1"/>
  <c r="K441" i="1"/>
  <c r="M441" i="1" s="1"/>
  <c r="D442" i="1"/>
  <c r="AJ440" i="1"/>
  <c r="AL440" i="1" s="1"/>
  <c r="AI440" i="1"/>
  <c r="AK440" i="1" s="1"/>
  <c r="AM440" i="1" s="1"/>
  <c r="U441" i="1"/>
  <c r="W441" i="1" s="1"/>
  <c r="T441" i="1"/>
  <c r="V441" i="1" s="1"/>
  <c r="X441" i="1" s="1"/>
  <c r="AY439" i="1"/>
  <c r="BA439" i="1" s="1"/>
  <c r="AX439" i="1"/>
  <c r="AZ439" i="1" s="1"/>
  <c r="BB439" i="1" s="1"/>
  <c r="CH437" i="1" l="1"/>
  <c r="CJ437" i="1" s="1"/>
  <c r="CG437" i="1"/>
  <c r="CI437" i="1" s="1"/>
  <c r="CK437" i="1" s="1"/>
  <c r="P441" i="1"/>
  <c r="R441" i="1" s="1"/>
  <c r="O441" i="1"/>
  <c r="Z441" i="1"/>
  <c r="AB441" i="1" s="1"/>
  <c r="Y441" i="1"/>
  <c r="AA441" i="1" s="1"/>
  <c r="AC441" i="1" s="1"/>
  <c r="AO440" i="1"/>
  <c r="AQ440" i="1" s="1"/>
  <c r="AN440" i="1"/>
  <c r="AP440" i="1" s="1"/>
  <c r="AR440" i="1" s="1"/>
  <c r="BD439" i="1"/>
  <c r="BF439" i="1" s="1"/>
  <c r="BC439" i="1"/>
  <c r="BE439" i="1" s="1"/>
  <c r="BG439" i="1" s="1"/>
  <c r="CW436" i="1"/>
  <c r="CY436" i="1" s="1"/>
  <c r="CV436" i="1"/>
  <c r="CX436" i="1" s="1"/>
  <c r="CZ436" i="1" s="1"/>
  <c r="E442" i="1"/>
  <c r="F442" i="1"/>
  <c r="H442" i="1" s="1"/>
  <c r="BS438" i="1"/>
  <c r="BU438" i="1" s="1"/>
  <c r="BR438" i="1"/>
  <c r="BT438" i="1" s="1"/>
  <c r="BV438" i="1" s="1"/>
  <c r="BX438" i="1" l="1"/>
  <c r="BZ438" i="1" s="1"/>
  <c r="BW438" i="1"/>
  <c r="BY438" i="1" s="1"/>
  <c r="CA438" i="1" s="1"/>
  <c r="DB436" i="1"/>
  <c r="DD436" i="1" s="1"/>
  <c r="DA436" i="1"/>
  <c r="DC436" i="1" s="1"/>
  <c r="AE441" i="1"/>
  <c r="AG441" i="1" s="1"/>
  <c r="AD441" i="1"/>
  <c r="AF441" i="1" s="1"/>
  <c r="AH441" i="1" s="1"/>
  <c r="Q442" i="1"/>
  <c r="S442" i="1" s="1"/>
  <c r="G442" i="1"/>
  <c r="I442" i="1" s="1"/>
  <c r="BI439" i="1"/>
  <c r="BK439" i="1" s="1"/>
  <c r="BH439" i="1"/>
  <c r="BJ439" i="1" s="1"/>
  <c r="BL439" i="1" s="1"/>
  <c r="CM437" i="1"/>
  <c r="CO437" i="1" s="1"/>
  <c r="CL437" i="1"/>
  <c r="CN437" i="1" s="1"/>
  <c r="CP437" i="1" s="1"/>
  <c r="AT440" i="1"/>
  <c r="AV440" i="1" s="1"/>
  <c r="AS440" i="1"/>
  <c r="AU440" i="1" s="1"/>
  <c r="AW440" i="1" s="1"/>
  <c r="U442" i="1" l="1"/>
  <c r="W442" i="1" s="1"/>
  <c r="T442" i="1"/>
  <c r="V442" i="1" s="1"/>
  <c r="X442" i="1" s="1"/>
  <c r="AY440" i="1"/>
  <c r="BA440" i="1" s="1"/>
  <c r="AX440" i="1"/>
  <c r="AZ440" i="1" s="1"/>
  <c r="BB440" i="1" s="1"/>
  <c r="K442" i="1"/>
  <c r="M442" i="1" s="1"/>
  <c r="J442" i="1"/>
  <c r="L442" i="1" s="1"/>
  <c r="N442" i="1" s="1"/>
  <c r="D443" i="1"/>
  <c r="CR437" i="1"/>
  <c r="CT437" i="1" s="1"/>
  <c r="CQ437" i="1"/>
  <c r="CS437" i="1" s="1"/>
  <c r="CU437" i="1" s="1"/>
  <c r="AJ441" i="1"/>
  <c r="AL441" i="1" s="1"/>
  <c r="AI441" i="1"/>
  <c r="AK441" i="1" s="1"/>
  <c r="AM441" i="1" s="1"/>
  <c r="BM439" i="1"/>
  <c r="BO439" i="1" s="1"/>
  <c r="BQ439" i="1" s="1"/>
  <c r="BN439" i="1"/>
  <c r="BP439" i="1" s="1"/>
  <c r="CB438" i="1"/>
  <c r="CD438" i="1" s="1"/>
  <c r="CF438" i="1" s="1"/>
  <c r="CC438" i="1"/>
  <c r="CE438" i="1" s="1"/>
  <c r="CW437" i="1" l="1"/>
  <c r="CY437" i="1" s="1"/>
  <c r="CV437" i="1"/>
  <c r="CX437" i="1" s="1"/>
  <c r="CZ437" i="1" s="1"/>
  <c r="F443" i="1"/>
  <c r="H443" i="1" s="1"/>
  <c r="E443" i="1"/>
  <c r="BD440" i="1"/>
  <c r="BF440" i="1" s="1"/>
  <c r="BC440" i="1"/>
  <c r="BE440" i="1" s="1"/>
  <c r="BG440" i="1" s="1"/>
  <c r="CH438" i="1"/>
  <c r="CJ438" i="1" s="1"/>
  <c r="CG438" i="1"/>
  <c r="CI438" i="1" s="1"/>
  <c r="CK438" i="1" s="1"/>
  <c r="BS439" i="1"/>
  <c r="BU439" i="1" s="1"/>
  <c r="BR439" i="1"/>
  <c r="BT439" i="1" s="1"/>
  <c r="BV439" i="1" s="1"/>
  <c r="Y442" i="1"/>
  <c r="AA442" i="1" s="1"/>
  <c r="AC442" i="1" s="1"/>
  <c r="Z442" i="1"/>
  <c r="AB442" i="1" s="1"/>
  <c r="P442" i="1"/>
  <c r="R442" i="1" s="1"/>
  <c r="O442" i="1"/>
  <c r="AO441" i="1"/>
  <c r="AQ441" i="1" s="1"/>
  <c r="AN441" i="1"/>
  <c r="AP441" i="1" s="1"/>
  <c r="AR441" i="1" s="1"/>
  <c r="BH440" i="1" l="1"/>
  <c r="BJ440" i="1" s="1"/>
  <c r="BL440" i="1" s="1"/>
  <c r="BI440" i="1"/>
  <c r="BK440" i="1" s="1"/>
  <c r="AT441" i="1"/>
  <c r="AV441" i="1" s="1"/>
  <c r="AS441" i="1"/>
  <c r="AU441" i="1" s="1"/>
  <c r="AW441" i="1" s="1"/>
  <c r="AE442" i="1"/>
  <c r="AG442" i="1" s="1"/>
  <c r="AD442" i="1"/>
  <c r="AF442" i="1" s="1"/>
  <c r="AH442" i="1" s="1"/>
  <c r="DB437" i="1"/>
  <c r="DD437" i="1" s="1"/>
  <c r="DA437" i="1"/>
  <c r="DC437" i="1" s="1"/>
  <c r="CM438" i="1"/>
  <c r="CO438" i="1" s="1"/>
  <c r="CL438" i="1"/>
  <c r="CN438" i="1" s="1"/>
  <c r="CP438" i="1" s="1"/>
  <c r="Q443" i="1"/>
  <c r="S443" i="1" s="1"/>
  <c r="G443" i="1"/>
  <c r="I443" i="1" s="1"/>
  <c r="BX439" i="1"/>
  <c r="BZ439" i="1" s="1"/>
  <c r="BW439" i="1"/>
  <c r="BY439" i="1" s="1"/>
  <c r="CA439" i="1" s="1"/>
  <c r="K443" i="1" l="1"/>
  <c r="M443" i="1" s="1"/>
  <c r="J443" i="1"/>
  <c r="L443" i="1" s="1"/>
  <c r="N443" i="1" s="1"/>
  <c r="D444" i="1"/>
  <c r="CC439" i="1"/>
  <c r="CE439" i="1" s="1"/>
  <c r="CB439" i="1"/>
  <c r="CD439" i="1" s="1"/>
  <c r="CF439" i="1" s="1"/>
  <c r="U443" i="1"/>
  <c r="W443" i="1" s="1"/>
  <c r="T443" i="1"/>
  <c r="V443" i="1" s="1"/>
  <c r="X443" i="1" s="1"/>
  <c r="AJ442" i="1"/>
  <c r="AL442" i="1" s="1"/>
  <c r="AI442" i="1"/>
  <c r="AK442" i="1" s="1"/>
  <c r="AM442" i="1" s="1"/>
  <c r="AX441" i="1"/>
  <c r="AZ441" i="1" s="1"/>
  <c r="BB441" i="1" s="1"/>
  <c r="AY441" i="1"/>
  <c r="BA441" i="1" s="1"/>
  <c r="CR438" i="1"/>
  <c r="CT438" i="1" s="1"/>
  <c r="CQ438" i="1"/>
  <c r="CS438" i="1" s="1"/>
  <c r="CU438" i="1" s="1"/>
  <c r="BN440" i="1"/>
  <c r="BP440" i="1" s="1"/>
  <c r="BM440" i="1"/>
  <c r="BO440" i="1" s="1"/>
  <c r="BQ440" i="1" s="1"/>
  <c r="BS440" i="1" l="1"/>
  <c r="BU440" i="1" s="1"/>
  <c r="BR440" i="1"/>
  <c r="BT440" i="1" s="1"/>
  <c r="BV440" i="1" s="1"/>
  <c r="Z443" i="1"/>
  <c r="AB443" i="1" s="1"/>
  <c r="Y443" i="1"/>
  <c r="AA443" i="1" s="1"/>
  <c r="AC443" i="1" s="1"/>
  <c r="CW438" i="1"/>
  <c r="CY438" i="1" s="1"/>
  <c r="CV438" i="1"/>
  <c r="CX438" i="1" s="1"/>
  <c r="AN442" i="1"/>
  <c r="AP442" i="1" s="1"/>
  <c r="AR442" i="1" s="1"/>
  <c r="AO442" i="1"/>
  <c r="AQ442" i="1" s="1"/>
  <c r="CH439" i="1"/>
  <c r="CJ439" i="1" s="1"/>
  <c r="CG439" i="1"/>
  <c r="CI439" i="1" s="1"/>
  <c r="CK439" i="1" s="1"/>
  <c r="E444" i="1"/>
  <c r="F444" i="1"/>
  <c r="H444" i="1" s="1"/>
  <c r="P443" i="1"/>
  <c r="R443" i="1" s="1"/>
  <c r="O443" i="1"/>
  <c r="BC441" i="1"/>
  <c r="BE441" i="1" s="1"/>
  <c r="BG441" i="1" s="1"/>
  <c r="BD441" i="1"/>
  <c r="BF441" i="1" s="1"/>
  <c r="CZ438" i="1" l="1"/>
  <c r="CL439" i="1"/>
  <c r="CN439" i="1" s="1"/>
  <c r="CP439" i="1" s="1"/>
  <c r="CM439" i="1"/>
  <c r="CO439" i="1" s="1"/>
  <c r="AT442" i="1"/>
  <c r="AV442" i="1" s="1"/>
  <c r="AS442" i="1"/>
  <c r="AU442" i="1" s="1"/>
  <c r="AW442" i="1" s="1"/>
  <c r="G444" i="1"/>
  <c r="I444" i="1" s="1"/>
  <c r="Q444" i="1"/>
  <c r="S444" i="1" s="1"/>
  <c r="BI441" i="1"/>
  <c r="BK441" i="1" s="1"/>
  <c r="BH441" i="1"/>
  <c r="BJ441" i="1" s="1"/>
  <c r="BL441" i="1" s="1"/>
  <c r="AD443" i="1"/>
  <c r="AF443" i="1" s="1"/>
  <c r="AH443" i="1" s="1"/>
  <c r="AE443" i="1"/>
  <c r="AG443" i="1" s="1"/>
  <c r="BW440" i="1"/>
  <c r="BY440" i="1" s="1"/>
  <c r="CA440" i="1" s="1"/>
  <c r="BX440" i="1"/>
  <c r="BZ440" i="1" s="1"/>
  <c r="BN441" i="1" l="1"/>
  <c r="BP441" i="1" s="1"/>
  <c r="BM441" i="1"/>
  <c r="BO441" i="1" s="1"/>
  <c r="BQ441" i="1" s="1"/>
  <c r="T444" i="1"/>
  <c r="V444" i="1" s="1"/>
  <c r="X444" i="1" s="1"/>
  <c r="U444" i="1"/>
  <c r="W444" i="1" s="1"/>
  <c r="CB440" i="1"/>
  <c r="CD440" i="1" s="1"/>
  <c r="CF440" i="1" s="1"/>
  <c r="CC440" i="1"/>
  <c r="CE440" i="1" s="1"/>
  <c r="K444" i="1"/>
  <c r="M444" i="1" s="1"/>
  <c r="J444" i="1"/>
  <c r="L444" i="1" s="1"/>
  <c r="N444" i="1" s="1"/>
  <c r="D445" i="1"/>
  <c r="CR439" i="1"/>
  <c r="CT439" i="1" s="1"/>
  <c r="CQ439" i="1"/>
  <c r="CS439" i="1" s="1"/>
  <c r="CU439" i="1" s="1"/>
  <c r="AY442" i="1"/>
  <c r="BA442" i="1" s="1"/>
  <c r="AX442" i="1"/>
  <c r="AZ442" i="1" s="1"/>
  <c r="BB442" i="1" s="1"/>
  <c r="AJ443" i="1"/>
  <c r="AL443" i="1" s="1"/>
  <c r="AI443" i="1"/>
  <c r="AK443" i="1" s="1"/>
  <c r="AM443" i="1" s="1"/>
  <c r="DA438" i="1"/>
  <c r="DC438" i="1" s="1"/>
  <c r="DB438" i="1"/>
  <c r="DD438" i="1" s="1"/>
  <c r="P444" i="1" l="1"/>
  <c r="R444" i="1" s="1"/>
  <c r="O444" i="1"/>
  <c r="AO443" i="1"/>
  <c r="AQ443" i="1" s="1"/>
  <c r="AN443" i="1"/>
  <c r="AP443" i="1" s="1"/>
  <c r="AR443" i="1" s="1"/>
  <c r="CH440" i="1"/>
  <c r="CJ440" i="1" s="1"/>
  <c r="CG440" i="1"/>
  <c r="CI440" i="1" s="1"/>
  <c r="CK440" i="1" s="1"/>
  <c r="CW439" i="1"/>
  <c r="CY439" i="1" s="1"/>
  <c r="CV439" i="1"/>
  <c r="CX439" i="1" s="1"/>
  <c r="CZ439" i="1" s="1"/>
  <c r="BD442" i="1"/>
  <c r="BF442" i="1" s="1"/>
  <c r="BC442" i="1"/>
  <c r="BE442" i="1" s="1"/>
  <c r="BG442" i="1" s="1"/>
  <c r="Z444" i="1"/>
  <c r="AB444" i="1" s="1"/>
  <c r="Y444" i="1"/>
  <c r="AA444" i="1" s="1"/>
  <c r="AC444" i="1" s="1"/>
  <c r="BR441" i="1"/>
  <c r="BT441" i="1" s="1"/>
  <c r="BV441" i="1" s="1"/>
  <c r="BS441" i="1"/>
  <c r="BU441" i="1" s="1"/>
  <c r="F445" i="1"/>
  <c r="H445" i="1" s="1"/>
  <c r="E445" i="1"/>
  <c r="DB439" i="1" l="1"/>
  <c r="DD439" i="1" s="1"/>
  <c r="DA439" i="1"/>
  <c r="DC439" i="1" s="1"/>
  <c r="BW441" i="1"/>
  <c r="BY441" i="1" s="1"/>
  <c r="CA441" i="1" s="1"/>
  <c r="BX441" i="1"/>
  <c r="BZ441" i="1" s="1"/>
  <c r="CM440" i="1"/>
  <c r="CO440" i="1" s="1"/>
  <c r="CL440" i="1"/>
  <c r="CN440" i="1" s="1"/>
  <c r="CP440" i="1" s="1"/>
  <c r="AS443" i="1"/>
  <c r="AU443" i="1" s="1"/>
  <c r="AW443" i="1" s="1"/>
  <c r="AT443" i="1"/>
  <c r="AV443" i="1" s="1"/>
  <c r="Q445" i="1"/>
  <c r="S445" i="1" s="1"/>
  <c r="G445" i="1"/>
  <c r="I445" i="1" s="1"/>
  <c r="AE444" i="1"/>
  <c r="AG444" i="1" s="1"/>
  <c r="AD444" i="1"/>
  <c r="AF444" i="1" s="1"/>
  <c r="AH444" i="1" s="1"/>
  <c r="BH442" i="1"/>
  <c r="BJ442" i="1" s="1"/>
  <c r="BL442" i="1" s="1"/>
  <c r="BI442" i="1"/>
  <c r="BK442" i="1" s="1"/>
  <c r="AX443" i="1" l="1"/>
  <c r="AZ443" i="1" s="1"/>
  <c r="BB443" i="1" s="1"/>
  <c r="AY443" i="1"/>
  <c r="BA443" i="1" s="1"/>
  <c r="BN442" i="1"/>
  <c r="BP442" i="1" s="1"/>
  <c r="BM442" i="1"/>
  <c r="BO442" i="1" s="1"/>
  <c r="BQ442" i="1" s="1"/>
  <c r="CR440" i="1"/>
  <c r="CT440" i="1" s="1"/>
  <c r="CQ440" i="1"/>
  <c r="CS440" i="1" s="1"/>
  <c r="CU440" i="1" s="1"/>
  <c r="AJ444" i="1"/>
  <c r="AL444" i="1" s="1"/>
  <c r="AI444" i="1"/>
  <c r="AK444" i="1" s="1"/>
  <c r="AM444" i="1" s="1"/>
  <c r="CC441" i="1"/>
  <c r="CE441" i="1" s="1"/>
  <c r="CB441" i="1"/>
  <c r="CD441" i="1" s="1"/>
  <c r="CF441" i="1" s="1"/>
  <c r="J445" i="1"/>
  <c r="L445" i="1" s="1"/>
  <c r="N445" i="1" s="1"/>
  <c r="K445" i="1"/>
  <c r="M445" i="1" s="1"/>
  <c r="D446" i="1"/>
  <c r="U445" i="1"/>
  <c r="W445" i="1" s="1"/>
  <c r="T445" i="1"/>
  <c r="V445" i="1" s="1"/>
  <c r="X445" i="1" s="1"/>
  <c r="AN444" i="1" l="1"/>
  <c r="AP444" i="1" s="1"/>
  <c r="AR444" i="1" s="1"/>
  <c r="AO444" i="1"/>
  <c r="AQ444" i="1" s="1"/>
  <c r="CW440" i="1"/>
  <c r="CY440" i="1" s="1"/>
  <c r="CV440" i="1"/>
  <c r="CX440" i="1" s="1"/>
  <c r="CZ440" i="1" s="1"/>
  <c r="P445" i="1"/>
  <c r="R445" i="1" s="1"/>
  <c r="O445" i="1"/>
  <c r="Z445" i="1"/>
  <c r="AB445" i="1" s="1"/>
  <c r="Y445" i="1"/>
  <c r="AA445" i="1" s="1"/>
  <c r="AC445" i="1" s="1"/>
  <c r="F446" i="1"/>
  <c r="H446" i="1" s="1"/>
  <c r="E446" i="1"/>
  <c r="BS442" i="1"/>
  <c r="BU442" i="1" s="1"/>
  <c r="BR442" i="1"/>
  <c r="BT442" i="1" s="1"/>
  <c r="BV442" i="1" s="1"/>
  <c r="CH441" i="1"/>
  <c r="CJ441" i="1" s="1"/>
  <c r="CG441" i="1"/>
  <c r="CI441" i="1" s="1"/>
  <c r="CK441" i="1" s="1"/>
  <c r="BD443" i="1"/>
  <c r="BF443" i="1" s="1"/>
  <c r="BC443" i="1"/>
  <c r="BE443" i="1" s="1"/>
  <c r="BG443" i="1" s="1"/>
  <c r="BI443" i="1" l="1"/>
  <c r="BK443" i="1" s="1"/>
  <c r="BH443" i="1"/>
  <c r="BJ443" i="1" s="1"/>
  <c r="BL443" i="1" s="1"/>
  <c r="G446" i="1"/>
  <c r="I446" i="1" s="1"/>
  <c r="Q446" i="1"/>
  <c r="S446" i="1" s="1"/>
  <c r="AD445" i="1"/>
  <c r="AF445" i="1" s="1"/>
  <c r="AH445" i="1" s="1"/>
  <c r="AE445" i="1"/>
  <c r="AG445" i="1" s="1"/>
  <c r="DB440" i="1"/>
  <c r="DD440" i="1" s="1"/>
  <c r="DA440" i="1"/>
  <c r="DC440" i="1" s="1"/>
  <c r="CM441" i="1"/>
  <c r="CO441" i="1" s="1"/>
  <c r="CL441" i="1"/>
  <c r="CN441" i="1" s="1"/>
  <c r="CP441" i="1" s="1"/>
  <c r="BX442" i="1"/>
  <c r="BZ442" i="1" s="1"/>
  <c r="BW442" i="1"/>
  <c r="BY442" i="1" s="1"/>
  <c r="CA442" i="1" s="1"/>
  <c r="AT444" i="1"/>
  <c r="AV444" i="1" s="1"/>
  <c r="AS444" i="1"/>
  <c r="AU444" i="1" s="1"/>
  <c r="AW444" i="1" s="1"/>
  <c r="AY444" i="1" l="1"/>
  <c r="BA444" i="1" s="1"/>
  <c r="AX444" i="1"/>
  <c r="AZ444" i="1" s="1"/>
  <c r="BB444" i="1" s="1"/>
  <c r="T446" i="1"/>
  <c r="V446" i="1" s="1"/>
  <c r="X446" i="1" s="1"/>
  <c r="U446" i="1"/>
  <c r="W446" i="1" s="1"/>
  <c r="K446" i="1"/>
  <c r="M446" i="1" s="1"/>
  <c r="J446" i="1"/>
  <c r="L446" i="1" s="1"/>
  <c r="N446" i="1" s="1"/>
  <c r="D447" i="1"/>
  <c r="BN443" i="1"/>
  <c r="BP443" i="1" s="1"/>
  <c r="BM443" i="1"/>
  <c r="BO443" i="1" s="1"/>
  <c r="BQ443" i="1" s="1"/>
  <c r="AJ445" i="1"/>
  <c r="AL445" i="1" s="1"/>
  <c r="AI445" i="1"/>
  <c r="AK445" i="1" s="1"/>
  <c r="AM445" i="1" s="1"/>
  <c r="CC442" i="1"/>
  <c r="CE442" i="1" s="1"/>
  <c r="CB442" i="1"/>
  <c r="CD442" i="1" s="1"/>
  <c r="CF442" i="1" s="1"/>
  <c r="CQ441" i="1"/>
  <c r="CS441" i="1" s="1"/>
  <c r="CU441" i="1" s="1"/>
  <c r="CR441" i="1"/>
  <c r="CT441" i="1" s="1"/>
  <c r="O446" i="1" l="1"/>
  <c r="P446" i="1"/>
  <c r="R446" i="1" s="1"/>
  <c r="F447" i="1"/>
  <c r="H447" i="1" s="1"/>
  <c r="E447" i="1"/>
  <c r="CH442" i="1"/>
  <c r="CJ442" i="1" s="1"/>
  <c r="CG442" i="1"/>
  <c r="CI442" i="1" s="1"/>
  <c r="CK442" i="1" s="1"/>
  <c r="Z446" i="1"/>
  <c r="AB446" i="1" s="1"/>
  <c r="Y446" i="1"/>
  <c r="AA446" i="1" s="1"/>
  <c r="AC446" i="1" s="1"/>
  <c r="BS443" i="1"/>
  <c r="BU443" i="1" s="1"/>
  <c r="BR443" i="1"/>
  <c r="BT443" i="1" s="1"/>
  <c r="BV443" i="1" s="1"/>
  <c r="CW441" i="1"/>
  <c r="CY441" i="1" s="1"/>
  <c r="CV441" i="1"/>
  <c r="CX441" i="1" s="1"/>
  <c r="CZ441" i="1" s="1"/>
  <c r="AO445" i="1"/>
  <c r="AQ445" i="1" s="1"/>
  <c r="AN445" i="1"/>
  <c r="AP445" i="1" s="1"/>
  <c r="AR445" i="1" s="1"/>
  <c r="BD444" i="1"/>
  <c r="BF444" i="1" s="1"/>
  <c r="BC444" i="1"/>
  <c r="BE444" i="1" s="1"/>
  <c r="BG444" i="1" s="1"/>
  <c r="AE446" i="1" l="1"/>
  <c r="AG446" i="1" s="1"/>
  <c r="AD446" i="1"/>
  <c r="AF446" i="1" s="1"/>
  <c r="AH446" i="1" s="1"/>
  <c r="BI444" i="1"/>
  <c r="BK444" i="1" s="1"/>
  <c r="BH444" i="1"/>
  <c r="BJ444" i="1" s="1"/>
  <c r="BL444" i="1" s="1"/>
  <c r="AT445" i="1"/>
  <c r="AV445" i="1" s="1"/>
  <c r="AS445" i="1"/>
  <c r="AU445" i="1" s="1"/>
  <c r="AW445" i="1" s="1"/>
  <c r="CM442" i="1"/>
  <c r="CO442" i="1" s="1"/>
  <c r="CL442" i="1"/>
  <c r="CN442" i="1" s="1"/>
  <c r="CP442" i="1" s="1"/>
  <c r="BX443" i="1"/>
  <c r="BZ443" i="1" s="1"/>
  <c r="BW443" i="1"/>
  <c r="BY443" i="1" s="1"/>
  <c r="CA443" i="1" s="1"/>
  <c r="DB441" i="1"/>
  <c r="DD441" i="1" s="1"/>
  <c r="DA441" i="1"/>
  <c r="DC441" i="1" s="1"/>
  <c r="Q447" i="1"/>
  <c r="S447" i="1" s="1"/>
  <c r="G447" i="1"/>
  <c r="I447" i="1" s="1"/>
  <c r="CR442" i="1" l="1"/>
  <c r="CT442" i="1" s="1"/>
  <c r="CQ442" i="1"/>
  <c r="CS442" i="1" s="1"/>
  <c r="CU442" i="1" s="1"/>
  <c r="K447" i="1"/>
  <c r="M447" i="1" s="1"/>
  <c r="J447" i="1"/>
  <c r="L447" i="1" s="1"/>
  <c r="N447" i="1" s="1"/>
  <c r="D448" i="1"/>
  <c r="U447" i="1"/>
  <c r="W447" i="1" s="1"/>
  <c r="T447" i="1"/>
  <c r="V447" i="1" s="1"/>
  <c r="X447" i="1" s="1"/>
  <c r="CC443" i="1"/>
  <c r="CE443" i="1" s="1"/>
  <c r="CB443" i="1"/>
  <c r="CD443" i="1" s="1"/>
  <c r="CF443" i="1" s="1"/>
  <c r="AY445" i="1"/>
  <c r="BA445" i="1" s="1"/>
  <c r="AX445" i="1"/>
  <c r="AZ445" i="1" s="1"/>
  <c r="BB445" i="1" s="1"/>
  <c r="BN444" i="1"/>
  <c r="BP444" i="1" s="1"/>
  <c r="BM444" i="1"/>
  <c r="BO444" i="1" s="1"/>
  <c r="BQ444" i="1" s="1"/>
  <c r="AJ446" i="1"/>
  <c r="AL446" i="1" s="1"/>
  <c r="AI446" i="1"/>
  <c r="AK446" i="1" s="1"/>
  <c r="AM446" i="1" s="1"/>
  <c r="Z447" i="1" l="1"/>
  <c r="AB447" i="1" s="1"/>
  <c r="Y447" i="1"/>
  <c r="AA447" i="1" s="1"/>
  <c r="AC447" i="1" s="1"/>
  <c r="F448" i="1"/>
  <c r="H448" i="1" s="1"/>
  <c r="E448" i="1"/>
  <c r="BS444" i="1"/>
  <c r="BU444" i="1" s="1"/>
  <c r="BR444" i="1"/>
  <c r="BT444" i="1" s="1"/>
  <c r="BV444" i="1" s="1"/>
  <c r="P447" i="1"/>
  <c r="R447" i="1" s="1"/>
  <c r="O447" i="1"/>
  <c r="BD445" i="1"/>
  <c r="BF445" i="1" s="1"/>
  <c r="BC445" i="1"/>
  <c r="BE445" i="1" s="1"/>
  <c r="BG445" i="1" s="1"/>
  <c r="CV442" i="1"/>
  <c r="CX442" i="1" s="1"/>
  <c r="CW442" i="1"/>
  <c r="CY442" i="1" s="1"/>
  <c r="AN446" i="1"/>
  <c r="AP446" i="1" s="1"/>
  <c r="AR446" i="1" s="1"/>
  <c r="AO446" i="1"/>
  <c r="AQ446" i="1" s="1"/>
  <c r="CH443" i="1"/>
  <c r="CJ443" i="1" s="1"/>
  <c r="CG443" i="1"/>
  <c r="CI443" i="1" s="1"/>
  <c r="CK443" i="1" s="1"/>
  <c r="AS446" i="1" l="1"/>
  <c r="AU446" i="1" s="1"/>
  <c r="AW446" i="1" s="1"/>
  <c r="AT446" i="1"/>
  <c r="AV446" i="1" s="1"/>
  <c r="BX444" i="1"/>
  <c r="BZ444" i="1" s="1"/>
  <c r="BW444" i="1"/>
  <c r="BY444" i="1" s="1"/>
  <c r="CA444" i="1" s="1"/>
  <c r="AD447" i="1"/>
  <c r="AF447" i="1" s="1"/>
  <c r="AH447" i="1" s="1"/>
  <c r="AE447" i="1"/>
  <c r="AG447" i="1" s="1"/>
  <c r="CL443" i="1"/>
  <c r="CN443" i="1" s="1"/>
  <c r="CP443" i="1" s="1"/>
  <c r="CM443" i="1"/>
  <c r="CO443" i="1" s="1"/>
  <c r="G448" i="1"/>
  <c r="I448" i="1" s="1"/>
  <c r="Q448" i="1"/>
  <c r="S448" i="1" s="1"/>
  <c r="CZ442" i="1"/>
  <c r="BH445" i="1"/>
  <c r="BJ445" i="1" s="1"/>
  <c r="BL445" i="1" s="1"/>
  <c r="BI445" i="1"/>
  <c r="BK445" i="1" s="1"/>
  <c r="CR443" i="1" l="1"/>
  <c r="CT443" i="1" s="1"/>
  <c r="CQ443" i="1"/>
  <c r="CS443" i="1" s="1"/>
  <c r="CU443" i="1" s="1"/>
  <c r="DB442" i="1"/>
  <c r="DD442" i="1" s="1"/>
  <c r="DA442" i="1"/>
  <c r="DC442" i="1" s="1"/>
  <c r="AI447" i="1"/>
  <c r="AK447" i="1" s="1"/>
  <c r="AM447" i="1" s="1"/>
  <c r="AJ447" i="1"/>
  <c r="AL447" i="1" s="1"/>
  <c r="BN445" i="1"/>
  <c r="BP445" i="1" s="1"/>
  <c r="BM445" i="1"/>
  <c r="BO445" i="1" s="1"/>
  <c r="BQ445" i="1" s="1"/>
  <c r="T448" i="1"/>
  <c r="V448" i="1" s="1"/>
  <c r="X448" i="1" s="1"/>
  <c r="U448" i="1"/>
  <c r="W448" i="1" s="1"/>
  <c r="CB444" i="1"/>
  <c r="CD444" i="1" s="1"/>
  <c r="CF444" i="1" s="1"/>
  <c r="CC444" i="1"/>
  <c r="CE444" i="1" s="1"/>
  <c r="K448" i="1"/>
  <c r="M448" i="1" s="1"/>
  <c r="J448" i="1"/>
  <c r="L448" i="1" s="1"/>
  <c r="N448" i="1" s="1"/>
  <c r="D449" i="1"/>
  <c r="AX446" i="1"/>
  <c r="AZ446" i="1" s="1"/>
  <c r="BB446" i="1" s="1"/>
  <c r="AY446" i="1"/>
  <c r="BA446" i="1" s="1"/>
  <c r="E449" i="1" l="1"/>
  <c r="F449" i="1"/>
  <c r="H449" i="1" s="1"/>
  <c r="BR445" i="1"/>
  <c r="BT445" i="1" s="1"/>
  <c r="BV445" i="1" s="1"/>
  <c r="BS445" i="1"/>
  <c r="BU445" i="1" s="1"/>
  <c r="CW443" i="1"/>
  <c r="CY443" i="1" s="1"/>
  <c r="CV443" i="1"/>
  <c r="CX443" i="1" s="1"/>
  <c r="CZ443" i="1" s="1"/>
  <c r="P448" i="1"/>
  <c r="R448" i="1" s="1"/>
  <c r="O448" i="1"/>
  <c r="BD446" i="1"/>
  <c r="BF446" i="1" s="1"/>
  <c r="BC446" i="1"/>
  <c r="BE446" i="1" s="1"/>
  <c r="BG446" i="1" s="1"/>
  <c r="AO447" i="1"/>
  <c r="AQ447" i="1" s="1"/>
  <c r="AN447" i="1"/>
  <c r="AP447" i="1" s="1"/>
  <c r="AR447" i="1" s="1"/>
  <c r="CH444" i="1"/>
  <c r="CJ444" i="1" s="1"/>
  <c r="CG444" i="1"/>
  <c r="CI444" i="1" s="1"/>
  <c r="CK444" i="1" s="1"/>
  <c r="Y448" i="1"/>
  <c r="AA448" i="1" s="1"/>
  <c r="AC448" i="1" s="1"/>
  <c r="Z448" i="1"/>
  <c r="AB448" i="1" s="1"/>
  <c r="AE448" i="1" l="1"/>
  <c r="AG448" i="1" s="1"/>
  <c r="AD448" i="1"/>
  <c r="AF448" i="1" s="1"/>
  <c r="AH448" i="1" s="1"/>
  <c r="DB443" i="1"/>
  <c r="DD443" i="1" s="1"/>
  <c r="DA443" i="1"/>
  <c r="DC443" i="1" s="1"/>
  <c r="BX445" i="1"/>
  <c r="BZ445" i="1" s="1"/>
  <c r="BW445" i="1"/>
  <c r="BY445" i="1" s="1"/>
  <c r="CA445" i="1" s="1"/>
  <c r="CM444" i="1"/>
  <c r="CO444" i="1" s="1"/>
  <c r="CL444" i="1"/>
  <c r="CN444" i="1" s="1"/>
  <c r="CP444" i="1" s="1"/>
  <c r="AS447" i="1"/>
  <c r="AU447" i="1" s="1"/>
  <c r="AW447" i="1" s="1"/>
  <c r="AT447" i="1"/>
  <c r="AV447" i="1" s="1"/>
  <c r="BH446" i="1"/>
  <c r="BJ446" i="1" s="1"/>
  <c r="BL446" i="1" s="1"/>
  <c r="BI446" i="1"/>
  <c r="BK446" i="1" s="1"/>
  <c r="Q449" i="1"/>
  <c r="S449" i="1" s="1"/>
  <c r="G449" i="1"/>
  <c r="I449" i="1" s="1"/>
  <c r="CR444" i="1" l="1"/>
  <c r="CT444" i="1" s="1"/>
  <c r="CQ444" i="1"/>
  <c r="CS444" i="1" s="1"/>
  <c r="CU444" i="1" s="1"/>
  <c r="CC445" i="1"/>
  <c r="CE445" i="1" s="1"/>
  <c r="CB445" i="1"/>
  <c r="CD445" i="1" s="1"/>
  <c r="CF445" i="1" s="1"/>
  <c r="J449" i="1"/>
  <c r="L449" i="1" s="1"/>
  <c r="N449" i="1" s="1"/>
  <c r="K449" i="1"/>
  <c r="M449" i="1" s="1"/>
  <c r="D450" i="1"/>
  <c r="BN446" i="1"/>
  <c r="BP446" i="1" s="1"/>
  <c r="BM446" i="1"/>
  <c r="BO446" i="1" s="1"/>
  <c r="BQ446" i="1" s="1"/>
  <c r="U449" i="1"/>
  <c r="W449" i="1" s="1"/>
  <c r="T449" i="1"/>
  <c r="V449" i="1" s="1"/>
  <c r="X449" i="1" s="1"/>
  <c r="AI448" i="1"/>
  <c r="AK448" i="1" s="1"/>
  <c r="AM448" i="1" s="1"/>
  <c r="AJ448" i="1"/>
  <c r="AL448" i="1" s="1"/>
  <c r="AX447" i="1"/>
  <c r="AZ447" i="1" s="1"/>
  <c r="BB447" i="1" s="1"/>
  <c r="AY447" i="1"/>
  <c r="BA447" i="1" s="1"/>
  <c r="F450" i="1" l="1"/>
  <c r="H450" i="1" s="1"/>
  <c r="E450" i="1"/>
  <c r="P449" i="1"/>
  <c r="R449" i="1" s="1"/>
  <c r="O449" i="1"/>
  <c r="CH445" i="1"/>
  <c r="CJ445" i="1" s="1"/>
  <c r="CG445" i="1"/>
  <c r="CI445" i="1" s="1"/>
  <c r="CK445" i="1" s="1"/>
  <c r="CV444" i="1"/>
  <c r="CX444" i="1" s="1"/>
  <c r="CW444" i="1"/>
  <c r="CY444" i="1" s="1"/>
  <c r="BD447" i="1"/>
  <c r="BF447" i="1" s="1"/>
  <c r="BC447" i="1"/>
  <c r="BE447" i="1" s="1"/>
  <c r="BG447" i="1" s="1"/>
  <c r="AN448" i="1"/>
  <c r="AP448" i="1" s="1"/>
  <c r="AR448" i="1" s="1"/>
  <c r="AO448" i="1"/>
  <c r="AQ448" i="1" s="1"/>
  <c r="Y449" i="1"/>
  <c r="AA449" i="1" s="1"/>
  <c r="AC449" i="1" s="1"/>
  <c r="Z449" i="1"/>
  <c r="AB449" i="1" s="1"/>
  <c r="BS446" i="1"/>
  <c r="BU446" i="1" s="1"/>
  <c r="BR446" i="1"/>
  <c r="BT446" i="1" s="1"/>
  <c r="BV446" i="1" s="1"/>
  <c r="BX446" i="1" l="1"/>
  <c r="BZ446" i="1" s="1"/>
  <c r="BW446" i="1"/>
  <c r="BY446" i="1" s="1"/>
  <c r="CA446" i="1" s="1"/>
  <c r="AE449" i="1"/>
  <c r="AG449" i="1" s="1"/>
  <c r="AD449" i="1"/>
  <c r="AF449" i="1" s="1"/>
  <c r="AH449" i="1" s="1"/>
  <c r="CL445" i="1"/>
  <c r="CN445" i="1" s="1"/>
  <c r="CP445" i="1" s="1"/>
  <c r="CM445" i="1"/>
  <c r="CO445" i="1" s="1"/>
  <c r="BI447" i="1"/>
  <c r="BK447" i="1" s="1"/>
  <c r="BH447" i="1"/>
  <c r="BJ447" i="1" s="1"/>
  <c r="BL447" i="1" s="1"/>
  <c r="AT448" i="1"/>
  <c r="AV448" i="1" s="1"/>
  <c r="AS448" i="1"/>
  <c r="AU448" i="1" s="1"/>
  <c r="AW448" i="1" s="1"/>
  <c r="G450" i="1"/>
  <c r="I450" i="1" s="1"/>
  <c r="Q450" i="1"/>
  <c r="S450" i="1" s="1"/>
  <c r="CZ444" i="1"/>
  <c r="DA444" i="1" l="1"/>
  <c r="DC444" i="1" s="1"/>
  <c r="DB444" i="1"/>
  <c r="DD444" i="1" s="1"/>
  <c r="AY448" i="1"/>
  <c r="BA448" i="1" s="1"/>
  <c r="AX448" i="1"/>
  <c r="AZ448" i="1" s="1"/>
  <c r="BB448" i="1" s="1"/>
  <c r="BN447" i="1"/>
  <c r="BP447" i="1" s="1"/>
  <c r="BM447" i="1"/>
  <c r="BO447" i="1" s="1"/>
  <c r="BQ447" i="1" s="1"/>
  <c r="U450" i="1"/>
  <c r="W450" i="1" s="1"/>
  <c r="T450" i="1"/>
  <c r="V450" i="1" s="1"/>
  <c r="X450" i="1" s="1"/>
  <c r="K450" i="1"/>
  <c r="M450" i="1" s="1"/>
  <c r="J450" i="1"/>
  <c r="L450" i="1" s="1"/>
  <c r="N450" i="1" s="1"/>
  <c r="D451" i="1"/>
  <c r="CR445" i="1"/>
  <c r="CT445" i="1" s="1"/>
  <c r="CQ445" i="1"/>
  <c r="CS445" i="1" s="1"/>
  <c r="CU445" i="1" s="1"/>
  <c r="AJ449" i="1"/>
  <c r="AL449" i="1" s="1"/>
  <c r="AI449" i="1"/>
  <c r="AK449" i="1" s="1"/>
  <c r="AM449" i="1" s="1"/>
  <c r="CC446" i="1"/>
  <c r="CE446" i="1" s="1"/>
  <c r="CB446" i="1"/>
  <c r="CD446" i="1" s="1"/>
  <c r="CF446" i="1" s="1"/>
  <c r="Z450" i="1" l="1"/>
  <c r="AB450" i="1" s="1"/>
  <c r="Y450" i="1"/>
  <c r="AA450" i="1" s="1"/>
  <c r="AC450" i="1" s="1"/>
  <c r="BD448" i="1"/>
  <c r="BF448" i="1" s="1"/>
  <c r="BC448" i="1"/>
  <c r="BE448" i="1" s="1"/>
  <c r="BG448" i="1" s="1"/>
  <c r="CW445" i="1"/>
  <c r="CY445" i="1" s="1"/>
  <c r="CV445" i="1"/>
  <c r="CX445" i="1" s="1"/>
  <c r="AO449" i="1"/>
  <c r="AQ449" i="1" s="1"/>
  <c r="AN449" i="1"/>
  <c r="AP449" i="1" s="1"/>
  <c r="AR449" i="1" s="1"/>
  <c r="BR447" i="1"/>
  <c r="BT447" i="1" s="1"/>
  <c r="BV447" i="1" s="1"/>
  <c r="BS447" i="1"/>
  <c r="BU447" i="1" s="1"/>
  <c r="E451" i="1"/>
  <c r="F451" i="1"/>
  <c r="H451" i="1" s="1"/>
  <c r="O450" i="1"/>
  <c r="P450" i="1"/>
  <c r="R450" i="1" s="1"/>
  <c r="CH446" i="1"/>
  <c r="CJ446" i="1" s="1"/>
  <c r="CG446" i="1"/>
  <c r="CI446" i="1" s="1"/>
  <c r="CK446" i="1" s="1"/>
  <c r="CM446" i="1" l="1"/>
  <c r="CO446" i="1" s="1"/>
  <c r="CL446" i="1"/>
  <c r="CN446" i="1" s="1"/>
  <c r="CP446" i="1" s="1"/>
  <c r="AT449" i="1"/>
  <c r="AV449" i="1" s="1"/>
  <c r="AS449" i="1"/>
  <c r="AU449" i="1" s="1"/>
  <c r="AW449" i="1" s="1"/>
  <c r="CZ445" i="1"/>
  <c r="BI448" i="1"/>
  <c r="BK448" i="1" s="1"/>
  <c r="BH448" i="1"/>
  <c r="BJ448" i="1" s="1"/>
  <c r="BL448" i="1" s="1"/>
  <c r="Q451" i="1"/>
  <c r="S451" i="1" s="1"/>
  <c r="G451" i="1"/>
  <c r="I451" i="1" s="1"/>
  <c r="BX447" i="1"/>
  <c r="BZ447" i="1" s="1"/>
  <c r="BW447" i="1"/>
  <c r="BY447" i="1" s="1"/>
  <c r="CA447" i="1" s="1"/>
  <c r="AE450" i="1"/>
  <c r="AG450" i="1" s="1"/>
  <c r="AD450" i="1"/>
  <c r="AF450" i="1" s="1"/>
  <c r="AH450" i="1" s="1"/>
  <c r="BN448" i="1" l="1"/>
  <c r="BP448" i="1" s="1"/>
  <c r="BM448" i="1"/>
  <c r="BO448" i="1" s="1"/>
  <c r="BQ448" i="1" s="1"/>
  <c r="DB445" i="1"/>
  <c r="DD445" i="1" s="1"/>
  <c r="DA445" i="1"/>
  <c r="DC445" i="1" s="1"/>
  <c r="CC447" i="1"/>
  <c r="CE447" i="1" s="1"/>
  <c r="CB447" i="1"/>
  <c r="CD447" i="1" s="1"/>
  <c r="CF447" i="1" s="1"/>
  <c r="K451" i="1"/>
  <c r="M451" i="1" s="1"/>
  <c r="J451" i="1"/>
  <c r="L451" i="1" s="1"/>
  <c r="N451" i="1" s="1"/>
  <c r="D452" i="1"/>
  <c r="AJ450" i="1"/>
  <c r="AL450" i="1" s="1"/>
  <c r="AI450" i="1"/>
  <c r="AK450" i="1" s="1"/>
  <c r="AM450" i="1" s="1"/>
  <c r="CR446" i="1"/>
  <c r="CT446" i="1" s="1"/>
  <c r="CQ446" i="1"/>
  <c r="CS446" i="1" s="1"/>
  <c r="CU446" i="1" s="1"/>
  <c r="U451" i="1"/>
  <c r="W451" i="1" s="1"/>
  <c r="T451" i="1"/>
  <c r="V451" i="1" s="1"/>
  <c r="X451" i="1" s="1"/>
  <c r="AY449" i="1"/>
  <c r="BA449" i="1" s="1"/>
  <c r="AX449" i="1"/>
  <c r="AZ449" i="1" s="1"/>
  <c r="BB449" i="1" s="1"/>
  <c r="Z451" i="1" l="1"/>
  <c r="AB451" i="1" s="1"/>
  <c r="Y451" i="1"/>
  <c r="AA451" i="1" s="1"/>
  <c r="AC451" i="1" s="1"/>
  <c r="P451" i="1"/>
  <c r="R451" i="1" s="1"/>
  <c r="O451" i="1"/>
  <c r="CV446" i="1"/>
  <c r="CX446" i="1" s="1"/>
  <c r="CW446" i="1"/>
  <c r="CY446" i="1" s="1"/>
  <c r="BD449" i="1"/>
  <c r="BF449" i="1" s="1"/>
  <c r="BC449" i="1"/>
  <c r="BE449" i="1" s="1"/>
  <c r="BG449" i="1" s="1"/>
  <c r="CG447" i="1"/>
  <c r="CI447" i="1" s="1"/>
  <c r="CK447" i="1" s="1"/>
  <c r="CH447" i="1"/>
  <c r="CJ447" i="1" s="1"/>
  <c r="AO450" i="1"/>
  <c r="AQ450" i="1" s="1"/>
  <c r="AN450" i="1"/>
  <c r="AP450" i="1" s="1"/>
  <c r="AR450" i="1" s="1"/>
  <c r="BS448" i="1"/>
  <c r="BU448" i="1" s="1"/>
  <c r="BR448" i="1"/>
  <c r="BT448" i="1" s="1"/>
  <c r="BV448" i="1" s="1"/>
  <c r="F452" i="1"/>
  <c r="H452" i="1" s="1"/>
  <c r="E452" i="1"/>
  <c r="G452" i="1" l="1"/>
  <c r="I452" i="1" s="1"/>
  <c r="Q452" i="1"/>
  <c r="S452" i="1" s="1"/>
  <c r="CZ446" i="1"/>
  <c r="BW448" i="1"/>
  <c r="BY448" i="1" s="1"/>
  <c r="CA448" i="1" s="1"/>
  <c r="BX448" i="1"/>
  <c r="BZ448" i="1" s="1"/>
  <c r="AT450" i="1"/>
  <c r="AV450" i="1" s="1"/>
  <c r="AS450" i="1"/>
  <c r="AU450" i="1" s="1"/>
  <c r="AW450" i="1" s="1"/>
  <c r="AE451" i="1"/>
  <c r="AG451" i="1" s="1"/>
  <c r="AD451" i="1"/>
  <c r="AF451" i="1" s="1"/>
  <c r="AH451" i="1" s="1"/>
  <c r="BI449" i="1"/>
  <c r="BK449" i="1" s="1"/>
  <c r="BH449" i="1"/>
  <c r="BJ449" i="1" s="1"/>
  <c r="BL449" i="1" s="1"/>
  <c r="CL447" i="1"/>
  <c r="CN447" i="1" s="1"/>
  <c r="CP447" i="1" s="1"/>
  <c r="CM447" i="1"/>
  <c r="CO447" i="1" s="1"/>
  <c r="AJ451" i="1" l="1"/>
  <c r="AL451" i="1" s="1"/>
  <c r="AI451" i="1"/>
  <c r="AK451" i="1" s="1"/>
  <c r="AM451" i="1" s="1"/>
  <c r="DB446" i="1"/>
  <c r="DD446" i="1" s="1"/>
  <c r="DA446" i="1"/>
  <c r="DC446" i="1" s="1"/>
  <c r="AY450" i="1"/>
  <c r="BA450" i="1" s="1"/>
  <c r="AX450" i="1"/>
  <c r="AZ450" i="1" s="1"/>
  <c r="BB450" i="1" s="1"/>
  <c r="CB448" i="1"/>
  <c r="CD448" i="1" s="1"/>
  <c r="CF448" i="1" s="1"/>
  <c r="CC448" i="1"/>
  <c r="CE448" i="1" s="1"/>
  <c r="U452" i="1"/>
  <c r="W452" i="1" s="1"/>
  <c r="T452" i="1"/>
  <c r="V452" i="1" s="1"/>
  <c r="X452" i="1" s="1"/>
  <c r="CR447" i="1"/>
  <c r="CT447" i="1" s="1"/>
  <c r="CQ447" i="1"/>
  <c r="CS447" i="1" s="1"/>
  <c r="CU447" i="1" s="1"/>
  <c r="BN449" i="1"/>
  <c r="BP449" i="1" s="1"/>
  <c r="BM449" i="1"/>
  <c r="BO449" i="1" s="1"/>
  <c r="BQ449" i="1" s="1"/>
  <c r="K452" i="1"/>
  <c r="M452" i="1" s="1"/>
  <c r="J452" i="1"/>
  <c r="L452" i="1" s="1"/>
  <c r="N452" i="1" s="1"/>
  <c r="D453" i="1"/>
  <c r="P452" i="1" l="1"/>
  <c r="R452" i="1" s="1"/>
  <c r="O452" i="1"/>
  <c r="CW447" i="1"/>
  <c r="CY447" i="1" s="1"/>
  <c r="CV447" i="1"/>
  <c r="CX447" i="1" s="1"/>
  <c r="BD450" i="1"/>
  <c r="BF450" i="1" s="1"/>
  <c r="BC450" i="1"/>
  <c r="BE450" i="1" s="1"/>
  <c r="BG450" i="1" s="1"/>
  <c r="CH448" i="1"/>
  <c r="CJ448" i="1" s="1"/>
  <c r="CG448" i="1"/>
  <c r="CI448" i="1" s="1"/>
  <c r="CK448" i="1" s="1"/>
  <c r="Z452" i="1"/>
  <c r="AB452" i="1" s="1"/>
  <c r="Y452" i="1"/>
  <c r="AA452" i="1" s="1"/>
  <c r="AC452" i="1" s="1"/>
  <c r="AO451" i="1"/>
  <c r="AQ451" i="1" s="1"/>
  <c r="AN451" i="1"/>
  <c r="AP451" i="1" s="1"/>
  <c r="AR451" i="1" s="1"/>
  <c r="BR449" i="1"/>
  <c r="BT449" i="1" s="1"/>
  <c r="BV449" i="1" s="1"/>
  <c r="BS449" i="1"/>
  <c r="BU449" i="1" s="1"/>
  <c r="F453" i="1"/>
  <c r="H453" i="1" s="1"/>
  <c r="E453" i="1"/>
  <c r="CM448" i="1" l="1"/>
  <c r="CO448" i="1" s="1"/>
  <c r="CL448" i="1"/>
  <c r="CN448" i="1" s="1"/>
  <c r="CP448" i="1" s="1"/>
  <c r="Q453" i="1"/>
  <c r="S453" i="1" s="1"/>
  <c r="G453" i="1"/>
  <c r="I453" i="1" s="1"/>
  <c r="BH450" i="1"/>
  <c r="BJ450" i="1" s="1"/>
  <c r="BL450" i="1" s="1"/>
  <c r="BI450" i="1"/>
  <c r="BK450" i="1" s="1"/>
  <c r="BX449" i="1"/>
  <c r="BZ449" i="1" s="1"/>
  <c r="BW449" i="1"/>
  <c r="BY449" i="1" s="1"/>
  <c r="CA449" i="1" s="1"/>
  <c r="CZ447" i="1"/>
  <c r="AE452" i="1"/>
  <c r="AG452" i="1" s="1"/>
  <c r="AD452" i="1"/>
  <c r="AF452" i="1" s="1"/>
  <c r="AH452" i="1" s="1"/>
  <c r="AS451" i="1"/>
  <c r="AU451" i="1" s="1"/>
  <c r="AW451" i="1" s="1"/>
  <c r="AT451" i="1"/>
  <c r="AV451" i="1" s="1"/>
  <c r="K453" i="1" l="1"/>
  <c r="M453" i="1" s="1"/>
  <c r="J453" i="1"/>
  <c r="L453" i="1" s="1"/>
  <c r="N453" i="1" s="1"/>
  <c r="D454" i="1"/>
  <c r="CC449" i="1"/>
  <c r="CE449" i="1" s="1"/>
  <c r="CB449" i="1"/>
  <c r="CD449" i="1" s="1"/>
  <c r="CF449" i="1" s="1"/>
  <c r="AX451" i="1"/>
  <c r="AZ451" i="1" s="1"/>
  <c r="BB451" i="1" s="1"/>
  <c r="AY451" i="1"/>
  <c r="BA451" i="1" s="1"/>
  <c r="CQ448" i="1"/>
  <c r="CS448" i="1" s="1"/>
  <c r="CU448" i="1" s="1"/>
  <c r="CR448" i="1"/>
  <c r="CT448" i="1" s="1"/>
  <c r="DA447" i="1"/>
  <c r="DC447" i="1" s="1"/>
  <c r="DB447" i="1"/>
  <c r="DD447" i="1" s="1"/>
  <c r="BM450" i="1"/>
  <c r="BO450" i="1" s="1"/>
  <c r="BQ450" i="1" s="1"/>
  <c r="BN450" i="1"/>
  <c r="BP450" i="1" s="1"/>
  <c r="U453" i="1"/>
  <c r="W453" i="1" s="1"/>
  <c r="T453" i="1"/>
  <c r="V453" i="1" s="1"/>
  <c r="X453" i="1" s="1"/>
  <c r="AJ452" i="1"/>
  <c r="AL452" i="1" s="1"/>
  <c r="AI452" i="1"/>
  <c r="AK452" i="1" s="1"/>
  <c r="AM452" i="1" s="1"/>
  <c r="Z453" i="1" l="1"/>
  <c r="AB453" i="1" s="1"/>
  <c r="Y453" i="1"/>
  <c r="AA453" i="1" s="1"/>
  <c r="AC453" i="1" s="1"/>
  <c r="CW448" i="1"/>
  <c r="CY448" i="1" s="1"/>
  <c r="CV448" i="1"/>
  <c r="CX448" i="1" s="1"/>
  <c r="CZ448" i="1" s="1"/>
  <c r="BS450" i="1"/>
  <c r="BU450" i="1" s="1"/>
  <c r="BR450" i="1"/>
  <c r="BT450" i="1" s="1"/>
  <c r="BV450" i="1" s="1"/>
  <c r="CG449" i="1"/>
  <c r="CI449" i="1" s="1"/>
  <c r="CK449" i="1" s="1"/>
  <c r="CH449" i="1"/>
  <c r="CJ449" i="1" s="1"/>
  <c r="F454" i="1"/>
  <c r="H454" i="1" s="1"/>
  <c r="E454" i="1"/>
  <c r="P453" i="1"/>
  <c r="R453" i="1" s="1"/>
  <c r="O453" i="1"/>
  <c r="AN452" i="1"/>
  <c r="AP452" i="1" s="1"/>
  <c r="AR452" i="1" s="1"/>
  <c r="AO452" i="1"/>
  <c r="AQ452" i="1" s="1"/>
  <c r="BD451" i="1"/>
  <c r="BF451" i="1" s="1"/>
  <c r="BC451" i="1"/>
  <c r="BE451" i="1" s="1"/>
  <c r="BG451" i="1" s="1"/>
  <c r="BW450" i="1" l="1"/>
  <c r="BY450" i="1" s="1"/>
  <c r="CA450" i="1" s="1"/>
  <c r="BX450" i="1"/>
  <c r="BZ450" i="1" s="1"/>
  <c r="BI451" i="1"/>
  <c r="BK451" i="1" s="1"/>
  <c r="BH451" i="1"/>
  <c r="BJ451" i="1" s="1"/>
  <c r="BL451" i="1" s="1"/>
  <c r="AT452" i="1"/>
  <c r="AV452" i="1" s="1"/>
  <c r="AS452" i="1"/>
  <c r="AU452" i="1" s="1"/>
  <c r="AW452" i="1" s="1"/>
  <c r="CM449" i="1"/>
  <c r="CO449" i="1" s="1"/>
  <c r="CL449" i="1"/>
  <c r="CN449" i="1" s="1"/>
  <c r="CP449" i="1" s="1"/>
  <c r="DB448" i="1"/>
  <c r="DD448" i="1" s="1"/>
  <c r="DA448" i="1"/>
  <c r="DC448" i="1" s="1"/>
  <c r="G454" i="1"/>
  <c r="I454" i="1" s="1"/>
  <c r="Q454" i="1"/>
  <c r="S454" i="1" s="1"/>
  <c r="AD453" i="1"/>
  <c r="AF453" i="1" s="1"/>
  <c r="AH453" i="1" s="1"/>
  <c r="AE453" i="1"/>
  <c r="AG453" i="1" s="1"/>
  <c r="CR449" i="1" l="1"/>
  <c r="CT449" i="1" s="1"/>
  <c r="CQ449" i="1"/>
  <c r="CS449" i="1" s="1"/>
  <c r="CU449" i="1" s="1"/>
  <c r="BM451" i="1"/>
  <c r="BO451" i="1" s="1"/>
  <c r="BQ451" i="1" s="1"/>
  <c r="BN451" i="1"/>
  <c r="BP451" i="1" s="1"/>
  <c r="AI453" i="1"/>
  <c r="AK453" i="1" s="1"/>
  <c r="AM453" i="1" s="1"/>
  <c r="AJ453" i="1"/>
  <c r="AL453" i="1" s="1"/>
  <c r="AY452" i="1"/>
  <c r="BA452" i="1" s="1"/>
  <c r="AX452" i="1"/>
  <c r="AZ452" i="1" s="1"/>
  <c r="BB452" i="1" s="1"/>
  <c r="T454" i="1"/>
  <c r="V454" i="1" s="1"/>
  <c r="X454" i="1" s="1"/>
  <c r="U454" i="1"/>
  <c r="W454" i="1" s="1"/>
  <c r="K454" i="1"/>
  <c r="M454" i="1" s="1"/>
  <c r="J454" i="1"/>
  <c r="L454" i="1" s="1"/>
  <c r="N454" i="1" s="1"/>
  <c r="D455" i="1"/>
  <c r="CC450" i="1"/>
  <c r="CE450" i="1" s="1"/>
  <c r="CB450" i="1"/>
  <c r="CD450" i="1" s="1"/>
  <c r="CF450" i="1" s="1"/>
  <c r="O454" i="1" l="1"/>
  <c r="P454" i="1"/>
  <c r="R454" i="1" s="1"/>
  <c r="BC452" i="1"/>
  <c r="BE452" i="1" s="1"/>
  <c r="BG452" i="1" s="1"/>
  <c r="BD452" i="1"/>
  <c r="BF452" i="1" s="1"/>
  <c r="AO453" i="1"/>
  <c r="AQ453" i="1" s="1"/>
  <c r="AN453" i="1"/>
  <c r="AP453" i="1" s="1"/>
  <c r="AR453" i="1" s="1"/>
  <c r="BS451" i="1"/>
  <c r="BU451" i="1" s="1"/>
  <c r="BR451" i="1"/>
  <c r="BT451" i="1" s="1"/>
  <c r="BV451" i="1" s="1"/>
  <c r="CH450" i="1"/>
  <c r="CJ450" i="1" s="1"/>
  <c r="CG450" i="1"/>
  <c r="CI450" i="1" s="1"/>
  <c r="CK450" i="1" s="1"/>
  <c r="E455" i="1"/>
  <c r="F455" i="1"/>
  <c r="H455" i="1" s="1"/>
  <c r="CW449" i="1"/>
  <c r="CY449" i="1" s="1"/>
  <c r="CV449" i="1"/>
  <c r="CX449" i="1" s="1"/>
  <c r="CZ449" i="1" s="1"/>
  <c r="Z454" i="1"/>
  <c r="AB454" i="1" s="1"/>
  <c r="Y454" i="1"/>
  <c r="AA454" i="1" s="1"/>
  <c r="AC454" i="1" s="1"/>
  <c r="Q455" i="1" l="1"/>
  <c r="S455" i="1" s="1"/>
  <c r="G455" i="1"/>
  <c r="I455" i="1" s="1"/>
  <c r="BX451" i="1"/>
  <c r="BZ451" i="1" s="1"/>
  <c r="BW451" i="1"/>
  <c r="BY451" i="1" s="1"/>
  <c r="CA451" i="1" s="1"/>
  <c r="AE454" i="1"/>
  <c r="AG454" i="1" s="1"/>
  <c r="AD454" i="1"/>
  <c r="AF454" i="1" s="1"/>
  <c r="AH454" i="1" s="1"/>
  <c r="AS453" i="1"/>
  <c r="AU453" i="1" s="1"/>
  <c r="AW453" i="1" s="1"/>
  <c r="AT453" i="1"/>
  <c r="AV453" i="1" s="1"/>
  <c r="CM450" i="1"/>
  <c r="CO450" i="1" s="1"/>
  <c r="CL450" i="1"/>
  <c r="CN450" i="1" s="1"/>
  <c r="CP450" i="1" s="1"/>
  <c r="DB449" i="1"/>
  <c r="DD449" i="1" s="1"/>
  <c r="DA449" i="1"/>
  <c r="DC449" i="1" s="1"/>
  <c r="BI452" i="1"/>
  <c r="BK452" i="1" s="1"/>
  <c r="BH452" i="1"/>
  <c r="BJ452" i="1" s="1"/>
  <c r="BL452" i="1" s="1"/>
  <c r="U455" i="1" l="1"/>
  <c r="W455" i="1" s="1"/>
  <c r="T455" i="1"/>
  <c r="V455" i="1" s="1"/>
  <c r="X455" i="1" s="1"/>
  <c r="CC451" i="1"/>
  <c r="CE451" i="1" s="1"/>
  <c r="CB451" i="1"/>
  <c r="CD451" i="1" s="1"/>
  <c r="CF451" i="1" s="1"/>
  <c r="BN452" i="1"/>
  <c r="BP452" i="1" s="1"/>
  <c r="BM452" i="1"/>
  <c r="BO452" i="1" s="1"/>
  <c r="BQ452" i="1" s="1"/>
  <c r="AY453" i="1"/>
  <c r="BA453" i="1" s="1"/>
  <c r="AX453" i="1"/>
  <c r="AZ453" i="1" s="1"/>
  <c r="BB453" i="1" s="1"/>
  <c r="AI454" i="1"/>
  <c r="AK454" i="1" s="1"/>
  <c r="AM454" i="1" s="1"/>
  <c r="AJ454" i="1"/>
  <c r="AL454" i="1" s="1"/>
  <c r="CR450" i="1"/>
  <c r="CT450" i="1" s="1"/>
  <c r="CQ450" i="1"/>
  <c r="CS450" i="1" s="1"/>
  <c r="CU450" i="1" s="1"/>
  <c r="J455" i="1"/>
  <c r="L455" i="1" s="1"/>
  <c r="N455" i="1" s="1"/>
  <c r="K455" i="1"/>
  <c r="M455" i="1" s="1"/>
  <c r="D456" i="1"/>
  <c r="P455" i="1" l="1"/>
  <c r="R455" i="1" s="1"/>
  <c r="O455" i="1"/>
  <c r="F456" i="1"/>
  <c r="H456" i="1" s="1"/>
  <c r="E456" i="1"/>
  <c r="BS452" i="1"/>
  <c r="BU452" i="1" s="1"/>
  <c r="BR452" i="1"/>
  <c r="BT452" i="1" s="1"/>
  <c r="BV452" i="1" s="1"/>
  <c r="CH451" i="1"/>
  <c r="CJ451" i="1" s="1"/>
  <c r="CG451" i="1"/>
  <c r="CI451" i="1" s="1"/>
  <c r="CK451" i="1" s="1"/>
  <c r="BD453" i="1"/>
  <c r="BF453" i="1" s="1"/>
  <c r="BC453" i="1"/>
  <c r="BE453" i="1" s="1"/>
  <c r="BG453" i="1" s="1"/>
  <c r="CW450" i="1"/>
  <c r="CY450" i="1" s="1"/>
  <c r="CV450" i="1"/>
  <c r="CX450" i="1" s="1"/>
  <c r="Y455" i="1"/>
  <c r="AA455" i="1" s="1"/>
  <c r="AC455" i="1" s="1"/>
  <c r="Z455" i="1"/>
  <c r="AB455" i="1" s="1"/>
  <c r="AO454" i="1"/>
  <c r="AQ454" i="1" s="1"/>
  <c r="AN454" i="1"/>
  <c r="AP454" i="1" s="1"/>
  <c r="AR454" i="1" s="1"/>
  <c r="BX452" i="1" l="1"/>
  <c r="BZ452" i="1" s="1"/>
  <c r="BW452" i="1"/>
  <c r="BY452" i="1" s="1"/>
  <c r="CA452" i="1" s="1"/>
  <c r="AT454" i="1"/>
  <c r="AV454" i="1" s="1"/>
  <c r="AS454" i="1"/>
  <c r="AU454" i="1" s="1"/>
  <c r="AW454" i="1" s="1"/>
  <c r="AE455" i="1"/>
  <c r="AG455" i="1" s="1"/>
  <c r="AD455" i="1"/>
  <c r="AF455" i="1" s="1"/>
  <c r="AH455" i="1" s="1"/>
  <c r="CM451" i="1"/>
  <c r="CO451" i="1" s="1"/>
  <c r="CL451" i="1"/>
  <c r="CN451" i="1" s="1"/>
  <c r="CP451" i="1" s="1"/>
  <c r="CZ450" i="1"/>
  <c r="Q456" i="1"/>
  <c r="S456" i="1" s="1"/>
  <c r="G456" i="1"/>
  <c r="I456" i="1" s="1"/>
  <c r="BI453" i="1"/>
  <c r="BK453" i="1" s="1"/>
  <c r="BH453" i="1"/>
  <c r="BJ453" i="1" s="1"/>
  <c r="BL453" i="1" s="1"/>
  <c r="CR451" i="1" l="1"/>
  <c r="CT451" i="1" s="1"/>
  <c r="CQ451" i="1"/>
  <c r="CS451" i="1" s="1"/>
  <c r="CU451" i="1" s="1"/>
  <c r="AY454" i="1"/>
  <c r="BA454" i="1" s="1"/>
  <c r="AX454" i="1"/>
  <c r="AZ454" i="1" s="1"/>
  <c r="BB454" i="1" s="1"/>
  <c r="K456" i="1"/>
  <c r="M456" i="1" s="1"/>
  <c r="J456" i="1"/>
  <c r="L456" i="1" s="1"/>
  <c r="N456" i="1" s="1"/>
  <c r="D457" i="1"/>
  <c r="AJ455" i="1"/>
  <c r="AL455" i="1" s="1"/>
  <c r="AI455" i="1"/>
  <c r="AK455" i="1" s="1"/>
  <c r="AM455" i="1" s="1"/>
  <c r="BN453" i="1"/>
  <c r="BP453" i="1" s="1"/>
  <c r="BM453" i="1"/>
  <c r="BO453" i="1" s="1"/>
  <c r="BQ453" i="1" s="1"/>
  <c r="CC452" i="1"/>
  <c r="CE452" i="1" s="1"/>
  <c r="CB452" i="1"/>
  <c r="CD452" i="1" s="1"/>
  <c r="CF452" i="1" s="1"/>
  <c r="U456" i="1"/>
  <c r="W456" i="1" s="1"/>
  <c r="T456" i="1"/>
  <c r="V456" i="1" s="1"/>
  <c r="X456" i="1" s="1"/>
  <c r="DB450" i="1"/>
  <c r="DD450" i="1" s="1"/>
  <c r="DA450" i="1"/>
  <c r="DC450" i="1" s="1"/>
  <c r="Z456" i="1" l="1"/>
  <c r="AB456" i="1" s="1"/>
  <c r="Y456" i="1"/>
  <c r="AA456" i="1" s="1"/>
  <c r="AC456" i="1" s="1"/>
  <c r="E457" i="1"/>
  <c r="F457" i="1"/>
  <c r="H457" i="1" s="1"/>
  <c r="CH452" i="1"/>
  <c r="CJ452" i="1" s="1"/>
  <c r="CG452" i="1"/>
  <c r="CI452" i="1" s="1"/>
  <c r="CK452" i="1" s="1"/>
  <c r="CW451" i="1"/>
  <c r="CY451" i="1" s="1"/>
  <c r="CV451" i="1"/>
  <c r="CX451" i="1" s="1"/>
  <c r="CZ451" i="1" s="1"/>
  <c r="O456" i="1"/>
  <c r="P456" i="1"/>
  <c r="R456" i="1" s="1"/>
  <c r="BD454" i="1"/>
  <c r="BF454" i="1" s="1"/>
  <c r="BC454" i="1"/>
  <c r="BE454" i="1" s="1"/>
  <c r="BG454" i="1" s="1"/>
  <c r="BS453" i="1"/>
  <c r="BU453" i="1" s="1"/>
  <c r="BR453" i="1"/>
  <c r="BT453" i="1" s="1"/>
  <c r="BV453" i="1" s="1"/>
  <c r="AN455" i="1"/>
  <c r="AP455" i="1" s="1"/>
  <c r="AR455" i="1" s="1"/>
  <c r="AO455" i="1"/>
  <c r="AQ455" i="1" s="1"/>
  <c r="DB451" i="1" l="1"/>
  <c r="DD451" i="1" s="1"/>
  <c r="DA451" i="1"/>
  <c r="DC451" i="1" s="1"/>
  <c r="AT455" i="1"/>
  <c r="AV455" i="1" s="1"/>
  <c r="AS455" i="1"/>
  <c r="AU455" i="1" s="1"/>
  <c r="AW455" i="1" s="1"/>
  <c r="BX453" i="1"/>
  <c r="BZ453" i="1" s="1"/>
  <c r="BW453" i="1"/>
  <c r="BY453" i="1" s="1"/>
  <c r="CA453" i="1" s="1"/>
  <c r="CM452" i="1"/>
  <c r="CO452" i="1" s="1"/>
  <c r="CL452" i="1"/>
  <c r="CN452" i="1" s="1"/>
  <c r="CP452" i="1" s="1"/>
  <c r="BI454" i="1"/>
  <c r="BK454" i="1" s="1"/>
  <c r="BH454" i="1"/>
  <c r="BJ454" i="1" s="1"/>
  <c r="BL454" i="1" s="1"/>
  <c r="Q457" i="1"/>
  <c r="S457" i="1" s="1"/>
  <c r="G457" i="1"/>
  <c r="I457" i="1" s="1"/>
  <c r="AD456" i="1"/>
  <c r="AF456" i="1" s="1"/>
  <c r="AH456" i="1" s="1"/>
  <c r="AE456" i="1"/>
  <c r="AG456" i="1" s="1"/>
  <c r="CR452" i="1" l="1"/>
  <c r="CT452" i="1" s="1"/>
  <c r="CQ452" i="1"/>
  <c r="CS452" i="1" s="1"/>
  <c r="CU452" i="1" s="1"/>
  <c r="AJ456" i="1"/>
  <c r="AL456" i="1" s="1"/>
  <c r="AI456" i="1"/>
  <c r="AK456" i="1" s="1"/>
  <c r="AM456" i="1" s="1"/>
  <c r="AY455" i="1"/>
  <c r="BA455" i="1" s="1"/>
  <c r="AX455" i="1"/>
  <c r="AZ455" i="1" s="1"/>
  <c r="BB455" i="1" s="1"/>
  <c r="CC453" i="1"/>
  <c r="CE453" i="1" s="1"/>
  <c r="CB453" i="1"/>
  <c r="CD453" i="1" s="1"/>
  <c r="CF453" i="1" s="1"/>
  <c r="K457" i="1"/>
  <c r="M457" i="1" s="1"/>
  <c r="J457" i="1"/>
  <c r="L457" i="1" s="1"/>
  <c r="N457" i="1" s="1"/>
  <c r="D458" i="1"/>
  <c r="BN454" i="1"/>
  <c r="BP454" i="1" s="1"/>
  <c r="BM454" i="1"/>
  <c r="BO454" i="1" s="1"/>
  <c r="BQ454" i="1" s="1"/>
  <c r="U457" i="1"/>
  <c r="W457" i="1" s="1"/>
  <c r="T457" i="1"/>
  <c r="V457" i="1" s="1"/>
  <c r="X457" i="1" s="1"/>
  <c r="BD455" i="1" l="1"/>
  <c r="BF455" i="1" s="1"/>
  <c r="BC455" i="1"/>
  <c r="BE455" i="1" s="1"/>
  <c r="BG455" i="1" s="1"/>
  <c r="Y457" i="1"/>
  <c r="AA457" i="1" s="1"/>
  <c r="AC457" i="1" s="1"/>
  <c r="Z457" i="1"/>
  <c r="AB457" i="1" s="1"/>
  <c r="AN456" i="1"/>
  <c r="AP456" i="1" s="1"/>
  <c r="AR456" i="1" s="1"/>
  <c r="AO456" i="1"/>
  <c r="AQ456" i="1" s="1"/>
  <c r="CG453" i="1"/>
  <c r="CI453" i="1" s="1"/>
  <c r="CK453" i="1" s="1"/>
  <c r="CH453" i="1"/>
  <c r="CJ453" i="1" s="1"/>
  <c r="F458" i="1"/>
  <c r="H458" i="1" s="1"/>
  <c r="E458" i="1"/>
  <c r="BS454" i="1"/>
  <c r="BU454" i="1" s="1"/>
  <c r="BR454" i="1"/>
  <c r="BT454" i="1" s="1"/>
  <c r="BV454" i="1" s="1"/>
  <c r="P457" i="1"/>
  <c r="R457" i="1" s="1"/>
  <c r="O457" i="1"/>
  <c r="CV452" i="1"/>
  <c r="CX452" i="1" s="1"/>
  <c r="CZ452" i="1" s="1"/>
  <c r="CW452" i="1"/>
  <c r="CY452" i="1" s="1"/>
  <c r="AT456" i="1" l="1"/>
  <c r="AV456" i="1" s="1"/>
  <c r="AS456" i="1"/>
  <c r="AU456" i="1" s="1"/>
  <c r="AW456" i="1" s="1"/>
  <c r="BI455" i="1"/>
  <c r="BK455" i="1" s="1"/>
  <c r="BH455" i="1"/>
  <c r="BJ455" i="1" s="1"/>
  <c r="BL455" i="1" s="1"/>
  <c r="DA452" i="1"/>
  <c r="DC452" i="1" s="1"/>
  <c r="DB452" i="1"/>
  <c r="DD452" i="1" s="1"/>
  <c r="AE457" i="1"/>
  <c r="AG457" i="1" s="1"/>
  <c r="AD457" i="1"/>
  <c r="AF457" i="1" s="1"/>
  <c r="AH457" i="1" s="1"/>
  <c r="CL453" i="1"/>
  <c r="CN453" i="1" s="1"/>
  <c r="CP453" i="1" s="1"/>
  <c r="CM453" i="1"/>
  <c r="CO453" i="1" s="1"/>
  <c r="BX454" i="1"/>
  <c r="BZ454" i="1" s="1"/>
  <c r="BW454" i="1"/>
  <c r="BY454" i="1" s="1"/>
  <c r="CA454" i="1" s="1"/>
  <c r="G458" i="1"/>
  <c r="I458" i="1" s="1"/>
  <c r="Q458" i="1"/>
  <c r="S458" i="1" s="1"/>
  <c r="AJ457" i="1" l="1"/>
  <c r="AL457" i="1" s="1"/>
  <c r="AI457" i="1"/>
  <c r="AK457" i="1" s="1"/>
  <c r="AM457" i="1" s="1"/>
  <c r="CB454" i="1"/>
  <c r="CD454" i="1" s="1"/>
  <c r="CF454" i="1" s="1"/>
  <c r="CC454" i="1"/>
  <c r="CE454" i="1" s="1"/>
  <c r="T458" i="1"/>
  <c r="V458" i="1" s="1"/>
  <c r="X458" i="1" s="1"/>
  <c r="U458" i="1"/>
  <c r="W458" i="1" s="1"/>
  <c r="BN455" i="1"/>
  <c r="BP455" i="1" s="1"/>
  <c r="BM455" i="1"/>
  <c r="BO455" i="1" s="1"/>
  <c r="BQ455" i="1" s="1"/>
  <c r="K458" i="1"/>
  <c r="M458" i="1" s="1"/>
  <c r="J458" i="1"/>
  <c r="L458" i="1" s="1"/>
  <c r="N458" i="1" s="1"/>
  <c r="D459" i="1"/>
  <c r="AY456" i="1"/>
  <c r="BA456" i="1" s="1"/>
  <c r="AX456" i="1"/>
  <c r="AZ456" i="1" s="1"/>
  <c r="BB456" i="1" s="1"/>
  <c r="CR453" i="1"/>
  <c r="CT453" i="1" s="1"/>
  <c r="CQ453" i="1"/>
  <c r="CS453" i="1" s="1"/>
  <c r="CU453" i="1" s="1"/>
  <c r="CW453" i="1" l="1"/>
  <c r="CY453" i="1" s="1"/>
  <c r="CV453" i="1"/>
  <c r="CX453" i="1" s="1"/>
  <c r="CZ453" i="1" s="1"/>
  <c r="BR455" i="1"/>
  <c r="BT455" i="1" s="1"/>
  <c r="BV455" i="1" s="1"/>
  <c r="BS455" i="1"/>
  <c r="BU455" i="1" s="1"/>
  <c r="BD456" i="1"/>
  <c r="BF456" i="1" s="1"/>
  <c r="BC456" i="1"/>
  <c r="BE456" i="1" s="1"/>
  <c r="BG456" i="1" s="1"/>
  <c r="E459" i="1"/>
  <c r="F459" i="1"/>
  <c r="H459" i="1" s="1"/>
  <c r="AO457" i="1"/>
  <c r="AQ457" i="1" s="1"/>
  <c r="AN457" i="1"/>
  <c r="AP457" i="1" s="1"/>
  <c r="AR457" i="1" s="1"/>
  <c r="Z458" i="1"/>
  <c r="AB458" i="1" s="1"/>
  <c r="Y458" i="1"/>
  <c r="AA458" i="1" s="1"/>
  <c r="AC458" i="1" s="1"/>
  <c r="CH454" i="1"/>
  <c r="CJ454" i="1" s="1"/>
  <c r="CG454" i="1"/>
  <c r="CI454" i="1" s="1"/>
  <c r="CK454" i="1" s="1"/>
  <c r="P458" i="1"/>
  <c r="R458" i="1" s="1"/>
  <c r="O458" i="1"/>
  <c r="CM454" i="1" l="1"/>
  <c r="CO454" i="1" s="1"/>
  <c r="CL454" i="1"/>
  <c r="CN454" i="1" s="1"/>
  <c r="CP454" i="1" s="1"/>
  <c r="Q459" i="1"/>
  <c r="S459" i="1" s="1"/>
  <c r="G459" i="1"/>
  <c r="I459" i="1" s="1"/>
  <c r="AE458" i="1"/>
  <c r="AG458" i="1" s="1"/>
  <c r="AD458" i="1"/>
  <c r="AF458" i="1" s="1"/>
  <c r="AH458" i="1" s="1"/>
  <c r="BH456" i="1"/>
  <c r="BJ456" i="1" s="1"/>
  <c r="BL456" i="1" s="1"/>
  <c r="BI456" i="1"/>
  <c r="BK456" i="1" s="1"/>
  <c r="DA453" i="1"/>
  <c r="DC453" i="1" s="1"/>
  <c r="DB453" i="1"/>
  <c r="DD453" i="1" s="1"/>
  <c r="BX455" i="1"/>
  <c r="BZ455" i="1" s="1"/>
  <c r="BW455" i="1"/>
  <c r="BY455" i="1" s="1"/>
  <c r="CA455" i="1" s="1"/>
  <c r="AS457" i="1"/>
  <c r="AU457" i="1" s="1"/>
  <c r="AW457" i="1" s="1"/>
  <c r="AT457" i="1"/>
  <c r="AV457" i="1" s="1"/>
  <c r="AY457" i="1" l="1"/>
  <c r="BA457" i="1" s="1"/>
  <c r="AX457" i="1"/>
  <c r="AZ457" i="1" s="1"/>
  <c r="BB457" i="1" s="1"/>
  <c r="AI458" i="1"/>
  <c r="AK458" i="1" s="1"/>
  <c r="AM458" i="1" s="1"/>
  <c r="AJ458" i="1"/>
  <c r="AL458" i="1" s="1"/>
  <c r="J459" i="1"/>
  <c r="L459" i="1" s="1"/>
  <c r="N459" i="1" s="1"/>
  <c r="K459" i="1"/>
  <c r="M459" i="1" s="1"/>
  <c r="D460" i="1"/>
  <c r="CQ454" i="1"/>
  <c r="CS454" i="1" s="1"/>
  <c r="CU454" i="1" s="1"/>
  <c r="CR454" i="1"/>
  <c r="CT454" i="1" s="1"/>
  <c r="BN456" i="1"/>
  <c r="BP456" i="1" s="1"/>
  <c r="BM456" i="1"/>
  <c r="BO456" i="1" s="1"/>
  <c r="BQ456" i="1" s="1"/>
  <c r="CC455" i="1"/>
  <c r="CE455" i="1" s="1"/>
  <c r="CB455" i="1"/>
  <c r="CD455" i="1" s="1"/>
  <c r="CF455" i="1" s="1"/>
  <c r="U459" i="1"/>
  <c r="W459" i="1" s="1"/>
  <c r="T459" i="1"/>
  <c r="V459" i="1" s="1"/>
  <c r="X459" i="1" s="1"/>
  <c r="CW454" i="1" l="1"/>
  <c r="CY454" i="1" s="1"/>
  <c r="CV454" i="1"/>
  <c r="CX454" i="1" s="1"/>
  <c r="CZ454" i="1" s="1"/>
  <c r="P459" i="1"/>
  <c r="R459" i="1" s="1"/>
  <c r="O459" i="1"/>
  <c r="E460" i="1"/>
  <c r="F460" i="1"/>
  <c r="H460" i="1" s="1"/>
  <c r="CG455" i="1"/>
  <c r="CI455" i="1" s="1"/>
  <c r="CK455" i="1" s="1"/>
  <c r="CH455" i="1"/>
  <c r="CJ455" i="1" s="1"/>
  <c r="BS456" i="1"/>
  <c r="BU456" i="1" s="1"/>
  <c r="BR456" i="1"/>
  <c r="BT456" i="1" s="1"/>
  <c r="BV456" i="1" s="1"/>
  <c r="BD457" i="1"/>
  <c r="BF457" i="1" s="1"/>
  <c r="BC457" i="1"/>
  <c r="BE457" i="1" s="1"/>
  <c r="BG457" i="1" s="1"/>
  <c r="Y459" i="1"/>
  <c r="AA459" i="1" s="1"/>
  <c r="AC459" i="1" s="1"/>
  <c r="Z459" i="1"/>
  <c r="AB459" i="1" s="1"/>
  <c r="AO458" i="1"/>
  <c r="AQ458" i="1" s="1"/>
  <c r="AN458" i="1"/>
  <c r="AP458" i="1" s="1"/>
  <c r="AR458" i="1" s="1"/>
  <c r="AT458" i="1" l="1"/>
  <c r="AV458" i="1" s="1"/>
  <c r="AS458" i="1"/>
  <c r="AU458" i="1" s="1"/>
  <c r="AW458" i="1" s="1"/>
  <c r="AE459" i="1"/>
  <c r="AG459" i="1" s="1"/>
  <c r="AD459" i="1"/>
  <c r="AF459" i="1" s="1"/>
  <c r="AH459" i="1" s="1"/>
  <c r="CM455" i="1"/>
  <c r="CO455" i="1" s="1"/>
  <c r="CL455" i="1"/>
  <c r="CN455" i="1" s="1"/>
  <c r="CP455" i="1" s="1"/>
  <c r="BW456" i="1"/>
  <c r="BY456" i="1" s="1"/>
  <c r="CA456" i="1" s="1"/>
  <c r="BX456" i="1"/>
  <c r="BZ456" i="1" s="1"/>
  <c r="Q460" i="1"/>
  <c r="S460" i="1" s="1"/>
  <c r="G460" i="1"/>
  <c r="I460" i="1" s="1"/>
  <c r="BH457" i="1"/>
  <c r="BJ457" i="1" s="1"/>
  <c r="BL457" i="1" s="1"/>
  <c r="BI457" i="1"/>
  <c r="BK457" i="1" s="1"/>
  <c r="DB454" i="1"/>
  <c r="DD454" i="1" s="1"/>
  <c r="DA454" i="1"/>
  <c r="DC454" i="1" s="1"/>
  <c r="CR455" i="1" l="1"/>
  <c r="CT455" i="1" s="1"/>
  <c r="CQ455" i="1"/>
  <c r="CS455" i="1" s="1"/>
  <c r="CU455" i="1" s="1"/>
  <c r="AJ459" i="1"/>
  <c r="AL459" i="1" s="1"/>
  <c r="AI459" i="1"/>
  <c r="AK459" i="1" s="1"/>
  <c r="AM459" i="1" s="1"/>
  <c r="K460" i="1"/>
  <c r="M460" i="1" s="1"/>
  <c r="J460" i="1"/>
  <c r="L460" i="1" s="1"/>
  <c r="N460" i="1" s="1"/>
  <c r="D461" i="1"/>
  <c r="CC456" i="1"/>
  <c r="CE456" i="1" s="1"/>
  <c r="CB456" i="1"/>
  <c r="CD456" i="1" s="1"/>
  <c r="CF456" i="1" s="1"/>
  <c r="BM457" i="1"/>
  <c r="BO457" i="1" s="1"/>
  <c r="BQ457" i="1" s="1"/>
  <c r="BN457" i="1"/>
  <c r="BP457" i="1" s="1"/>
  <c r="AX458" i="1"/>
  <c r="AZ458" i="1" s="1"/>
  <c r="BB458" i="1" s="1"/>
  <c r="AY458" i="1"/>
  <c r="BA458" i="1" s="1"/>
  <c r="U460" i="1"/>
  <c r="W460" i="1" s="1"/>
  <c r="T460" i="1"/>
  <c r="V460" i="1" s="1"/>
  <c r="X460" i="1" s="1"/>
  <c r="CG456" i="1" l="1"/>
  <c r="CI456" i="1" s="1"/>
  <c r="CK456" i="1" s="1"/>
  <c r="CH456" i="1"/>
  <c r="CJ456" i="1" s="1"/>
  <c r="E461" i="1"/>
  <c r="F461" i="1"/>
  <c r="H461" i="1" s="1"/>
  <c r="Z460" i="1"/>
  <c r="AB460" i="1" s="1"/>
  <c r="Y460" i="1"/>
  <c r="AA460" i="1" s="1"/>
  <c r="AC460" i="1" s="1"/>
  <c r="O460" i="1"/>
  <c r="P460" i="1"/>
  <c r="R460" i="1" s="1"/>
  <c r="BC458" i="1"/>
  <c r="BE458" i="1" s="1"/>
  <c r="BG458" i="1" s="1"/>
  <c r="BD458" i="1"/>
  <c r="BF458" i="1" s="1"/>
  <c r="CV455" i="1"/>
  <c r="CX455" i="1" s="1"/>
  <c r="CW455" i="1"/>
  <c r="CY455" i="1" s="1"/>
  <c r="AN459" i="1"/>
  <c r="AP459" i="1" s="1"/>
  <c r="AR459" i="1" s="1"/>
  <c r="AO459" i="1"/>
  <c r="AQ459" i="1" s="1"/>
  <c r="BR457" i="1"/>
  <c r="BT457" i="1" s="1"/>
  <c r="BV457" i="1" s="1"/>
  <c r="BS457" i="1"/>
  <c r="BU457" i="1" s="1"/>
  <c r="AD460" i="1" l="1"/>
  <c r="AF460" i="1" s="1"/>
  <c r="AH460" i="1" s="1"/>
  <c r="AE460" i="1"/>
  <c r="AG460" i="1" s="1"/>
  <c r="BW457" i="1"/>
  <c r="BY457" i="1" s="1"/>
  <c r="CA457" i="1" s="1"/>
  <c r="BX457" i="1"/>
  <c r="BZ457" i="1" s="1"/>
  <c r="Q461" i="1"/>
  <c r="S461" i="1" s="1"/>
  <c r="G461" i="1"/>
  <c r="I461" i="1" s="1"/>
  <c r="CM456" i="1"/>
  <c r="CO456" i="1" s="1"/>
  <c r="CL456" i="1"/>
  <c r="CN456" i="1" s="1"/>
  <c r="CP456" i="1" s="1"/>
  <c r="AS459" i="1"/>
  <c r="AU459" i="1" s="1"/>
  <c r="AW459" i="1" s="1"/>
  <c r="AT459" i="1"/>
  <c r="AV459" i="1" s="1"/>
  <c r="CZ455" i="1"/>
  <c r="BH458" i="1"/>
  <c r="BJ458" i="1" s="1"/>
  <c r="BL458" i="1" s="1"/>
  <c r="BI458" i="1"/>
  <c r="BK458" i="1" s="1"/>
  <c r="CR456" i="1" l="1"/>
  <c r="CT456" i="1" s="1"/>
  <c r="CQ456" i="1"/>
  <c r="CS456" i="1" s="1"/>
  <c r="CU456" i="1" s="1"/>
  <c r="U461" i="1"/>
  <c r="W461" i="1" s="1"/>
  <c r="T461" i="1"/>
  <c r="V461" i="1" s="1"/>
  <c r="X461" i="1" s="1"/>
  <c r="AY459" i="1"/>
  <c r="BA459" i="1" s="1"/>
  <c r="AX459" i="1"/>
  <c r="AZ459" i="1" s="1"/>
  <c r="BB459" i="1" s="1"/>
  <c r="CC457" i="1"/>
  <c r="CE457" i="1" s="1"/>
  <c r="CB457" i="1"/>
  <c r="CD457" i="1" s="1"/>
  <c r="CF457" i="1" s="1"/>
  <c r="J461" i="1"/>
  <c r="L461" i="1" s="1"/>
  <c r="N461" i="1" s="1"/>
  <c r="K461" i="1"/>
  <c r="M461" i="1" s="1"/>
  <c r="D462" i="1"/>
  <c r="DB455" i="1"/>
  <c r="DD455" i="1" s="1"/>
  <c r="DA455" i="1"/>
  <c r="DC455" i="1" s="1"/>
  <c r="AI460" i="1"/>
  <c r="AK460" i="1" s="1"/>
  <c r="AM460" i="1" s="1"/>
  <c r="AJ460" i="1"/>
  <c r="AL460" i="1" s="1"/>
  <c r="BM458" i="1"/>
  <c r="BO458" i="1" s="1"/>
  <c r="BQ458" i="1" s="1"/>
  <c r="BN458" i="1"/>
  <c r="BP458" i="1" s="1"/>
  <c r="AO460" i="1" l="1"/>
  <c r="AQ460" i="1" s="1"/>
  <c r="AN460" i="1"/>
  <c r="AP460" i="1" s="1"/>
  <c r="AR460" i="1" s="1"/>
  <c r="CG457" i="1"/>
  <c r="CI457" i="1" s="1"/>
  <c r="CK457" i="1" s="1"/>
  <c r="CH457" i="1"/>
  <c r="CJ457" i="1" s="1"/>
  <c r="BD459" i="1"/>
  <c r="BF459" i="1" s="1"/>
  <c r="BC459" i="1"/>
  <c r="BE459" i="1" s="1"/>
  <c r="BG459" i="1" s="1"/>
  <c r="CW456" i="1"/>
  <c r="CY456" i="1" s="1"/>
  <c r="CV456" i="1"/>
  <c r="CX456" i="1" s="1"/>
  <c r="CZ456" i="1" s="1"/>
  <c r="BS458" i="1"/>
  <c r="BU458" i="1" s="1"/>
  <c r="BR458" i="1"/>
  <c r="BT458" i="1" s="1"/>
  <c r="BV458" i="1" s="1"/>
  <c r="P461" i="1"/>
  <c r="R461" i="1" s="1"/>
  <c r="O461" i="1"/>
  <c r="Y461" i="1"/>
  <c r="AA461" i="1" s="1"/>
  <c r="AC461" i="1" s="1"/>
  <c r="Z461" i="1"/>
  <c r="AB461" i="1" s="1"/>
  <c r="F462" i="1"/>
  <c r="H462" i="1" s="1"/>
  <c r="E462" i="1"/>
  <c r="DA456" i="1" l="1"/>
  <c r="DC456" i="1" s="1"/>
  <c r="DB456" i="1"/>
  <c r="DD456" i="1" s="1"/>
  <c r="BI459" i="1"/>
  <c r="BK459" i="1" s="1"/>
  <c r="BH459" i="1"/>
  <c r="BJ459" i="1" s="1"/>
  <c r="BL459" i="1" s="1"/>
  <c r="CM457" i="1"/>
  <c r="CO457" i="1" s="1"/>
  <c r="CL457" i="1"/>
  <c r="CN457" i="1" s="1"/>
  <c r="CP457" i="1" s="1"/>
  <c r="BW458" i="1"/>
  <c r="BY458" i="1" s="1"/>
  <c r="CA458" i="1" s="1"/>
  <c r="BX458" i="1"/>
  <c r="BZ458" i="1" s="1"/>
  <c r="G462" i="1"/>
  <c r="I462" i="1" s="1"/>
  <c r="Q462" i="1"/>
  <c r="S462" i="1" s="1"/>
  <c r="AD461" i="1"/>
  <c r="AF461" i="1" s="1"/>
  <c r="AH461" i="1" s="1"/>
  <c r="AE461" i="1"/>
  <c r="AG461" i="1" s="1"/>
  <c r="AT460" i="1"/>
  <c r="AV460" i="1" s="1"/>
  <c r="AS460" i="1"/>
  <c r="AU460" i="1" s="1"/>
  <c r="AW460" i="1" s="1"/>
  <c r="AY460" i="1" l="1"/>
  <c r="BA460" i="1" s="1"/>
  <c r="AX460" i="1"/>
  <c r="AZ460" i="1" s="1"/>
  <c r="BB460" i="1" s="1"/>
  <c r="CQ457" i="1"/>
  <c r="CS457" i="1" s="1"/>
  <c r="CU457" i="1" s="1"/>
  <c r="CR457" i="1"/>
  <c r="CT457" i="1" s="1"/>
  <c r="BN459" i="1"/>
  <c r="BP459" i="1" s="1"/>
  <c r="BM459" i="1"/>
  <c r="BO459" i="1" s="1"/>
  <c r="BQ459" i="1" s="1"/>
  <c r="CC458" i="1"/>
  <c r="CE458" i="1" s="1"/>
  <c r="CB458" i="1"/>
  <c r="CD458" i="1" s="1"/>
  <c r="CF458" i="1" s="1"/>
  <c r="AJ461" i="1"/>
  <c r="AL461" i="1" s="1"/>
  <c r="AI461" i="1"/>
  <c r="AK461" i="1" s="1"/>
  <c r="AM461" i="1" s="1"/>
  <c r="U462" i="1"/>
  <c r="W462" i="1" s="1"/>
  <c r="T462" i="1"/>
  <c r="V462" i="1" s="1"/>
  <c r="X462" i="1" s="1"/>
  <c r="K462" i="1"/>
  <c r="M462" i="1" s="1"/>
  <c r="J462" i="1"/>
  <c r="L462" i="1" s="1"/>
  <c r="N462" i="1" s="1"/>
  <c r="D463" i="1"/>
  <c r="O462" i="1" l="1"/>
  <c r="P462" i="1"/>
  <c r="R462" i="1" s="1"/>
  <c r="BS459" i="1"/>
  <c r="BU459" i="1" s="1"/>
  <c r="BR459" i="1"/>
  <c r="BT459" i="1" s="1"/>
  <c r="BV459" i="1" s="1"/>
  <c r="CG458" i="1"/>
  <c r="CI458" i="1" s="1"/>
  <c r="CK458" i="1" s="1"/>
  <c r="CH458" i="1"/>
  <c r="CJ458" i="1" s="1"/>
  <c r="E463" i="1"/>
  <c r="F463" i="1"/>
  <c r="H463" i="1" s="1"/>
  <c r="Z462" i="1"/>
  <c r="AB462" i="1" s="1"/>
  <c r="Y462" i="1"/>
  <c r="AA462" i="1" s="1"/>
  <c r="AC462" i="1" s="1"/>
  <c r="AO461" i="1"/>
  <c r="AQ461" i="1" s="1"/>
  <c r="AN461" i="1"/>
  <c r="AP461" i="1" s="1"/>
  <c r="AR461" i="1" s="1"/>
  <c r="CW457" i="1"/>
  <c r="CY457" i="1" s="1"/>
  <c r="CV457" i="1"/>
  <c r="CX457" i="1" s="1"/>
  <c r="CZ457" i="1" s="1"/>
  <c r="BC460" i="1"/>
  <c r="BE460" i="1" s="1"/>
  <c r="BG460" i="1" s="1"/>
  <c r="BD460" i="1"/>
  <c r="BF460" i="1" s="1"/>
  <c r="DA457" i="1" l="1"/>
  <c r="DC457" i="1" s="1"/>
  <c r="DB457" i="1"/>
  <c r="DD457" i="1" s="1"/>
  <c r="CM458" i="1"/>
  <c r="CO458" i="1" s="1"/>
  <c r="CL458" i="1"/>
  <c r="CN458" i="1" s="1"/>
  <c r="CP458" i="1" s="1"/>
  <c r="AT461" i="1"/>
  <c r="AV461" i="1" s="1"/>
  <c r="AS461" i="1"/>
  <c r="AU461" i="1" s="1"/>
  <c r="AW461" i="1" s="1"/>
  <c r="BI460" i="1"/>
  <c r="BK460" i="1" s="1"/>
  <c r="BH460" i="1"/>
  <c r="BJ460" i="1" s="1"/>
  <c r="BL460" i="1" s="1"/>
  <c r="G463" i="1"/>
  <c r="I463" i="1" s="1"/>
  <c r="Q463" i="1"/>
  <c r="S463" i="1" s="1"/>
  <c r="BW459" i="1"/>
  <c r="BY459" i="1" s="1"/>
  <c r="CA459" i="1" s="1"/>
  <c r="BX459" i="1"/>
  <c r="BZ459" i="1" s="1"/>
  <c r="AE462" i="1"/>
  <c r="AG462" i="1" s="1"/>
  <c r="AD462" i="1"/>
  <c r="AF462" i="1" s="1"/>
  <c r="AH462" i="1" s="1"/>
  <c r="BN460" i="1" l="1"/>
  <c r="BP460" i="1" s="1"/>
  <c r="BM460" i="1"/>
  <c r="BO460" i="1" s="1"/>
  <c r="BQ460" i="1" s="1"/>
  <c r="AJ462" i="1"/>
  <c r="AL462" i="1" s="1"/>
  <c r="AI462" i="1"/>
  <c r="AK462" i="1" s="1"/>
  <c r="AM462" i="1" s="1"/>
  <c r="CQ458" i="1"/>
  <c r="CS458" i="1" s="1"/>
  <c r="CU458" i="1" s="1"/>
  <c r="CR458" i="1"/>
  <c r="CT458" i="1" s="1"/>
  <c r="U463" i="1"/>
  <c r="W463" i="1" s="1"/>
  <c r="T463" i="1"/>
  <c r="V463" i="1" s="1"/>
  <c r="X463" i="1" s="1"/>
  <c r="AX461" i="1"/>
  <c r="AZ461" i="1" s="1"/>
  <c r="BB461" i="1" s="1"/>
  <c r="AY461" i="1"/>
  <c r="BA461" i="1" s="1"/>
  <c r="CC459" i="1"/>
  <c r="CE459" i="1" s="1"/>
  <c r="CB459" i="1"/>
  <c r="CD459" i="1" s="1"/>
  <c r="CF459" i="1" s="1"/>
  <c r="J463" i="1"/>
  <c r="L463" i="1" s="1"/>
  <c r="N463" i="1" s="1"/>
  <c r="K463" i="1"/>
  <c r="M463" i="1" s="1"/>
  <c r="D464" i="1"/>
  <c r="Z463" i="1" l="1"/>
  <c r="AB463" i="1" s="1"/>
  <c r="Y463" i="1"/>
  <c r="AA463" i="1" s="1"/>
  <c r="AC463" i="1" s="1"/>
  <c r="F464" i="1"/>
  <c r="H464" i="1" s="1"/>
  <c r="E464" i="1"/>
  <c r="CV458" i="1"/>
  <c r="CX458" i="1" s="1"/>
  <c r="CW458" i="1"/>
  <c r="CY458" i="1" s="1"/>
  <c r="AO462" i="1"/>
  <c r="AQ462" i="1" s="1"/>
  <c r="AN462" i="1"/>
  <c r="AP462" i="1" s="1"/>
  <c r="AR462" i="1" s="1"/>
  <c r="BS460" i="1"/>
  <c r="BU460" i="1" s="1"/>
  <c r="BR460" i="1"/>
  <c r="BT460" i="1" s="1"/>
  <c r="BV460" i="1" s="1"/>
  <c r="P463" i="1"/>
  <c r="R463" i="1" s="1"/>
  <c r="O463" i="1"/>
  <c r="CG459" i="1"/>
  <c r="CI459" i="1" s="1"/>
  <c r="CK459" i="1" s="1"/>
  <c r="CH459" i="1"/>
  <c r="CJ459" i="1" s="1"/>
  <c r="BD461" i="1"/>
  <c r="BF461" i="1" s="1"/>
  <c r="BC461" i="1"/>
  <c r="BE461" i="1" s="1"/>
  <c r="BG461" i="1" s="1"/>
  <c r="CM459" i="1" l="1"/>
  <c r="CO459" i="1" s="1"/>
  <c r="CL459" i="1"/>
  <c r="CN459" i="1" s="1"/>
  <c r="CP459" i="1" s="1"/>
  <c r="AS462" i="1"/>
  <c r="AU462" i="1" s="1"/>
  <c r="AW462" i="1" s="1"/>
  <c r="AT462" i="1"/>
  <c r="AV462" i="1" s="1"/>
  <c r="G464" i="1"/>
  <c r="I464" i="1" s="1"/>
  <c r="Q464" i="1"/>
  <c r="S464" i="1" s="1"/>
  <c r="CZ458" i="1"/>
  <c r="AE463" i="1"/>
  <c r="AG463" i="1" s="1"/>
  <c r="AD463" i="1"/>
  <c r="AF463" i="1" s="1"/>
  <c r="AH463" i="1" s="1"/>
  <c r="BI461" i="1"/>
  <c r="BK461" i="1" s="1"/>
  <c r="BH461" i="1"/>
  <c r="BJ461" i="1" s="1"/>
  <c r="BL461" i="1" s="1"/>
  <c r="BW460" i="1"/>
  <c r="BY460" i="1" s="1"/>
  <c r="CA460" i="1" s="1"/>
  <c r="BX460" i="1"/>
  <c r="BZ460" i="1" s="1"/>
  <c r="K464" i="1" l="1"/>
  <c r="M464" i="1" s="1"/>
  <c r="J464" i="1"/>
  <c r="L464" i="1" s="1"/>
  <c r="N464" i="1" s="1"/>
  <c r="D465" i="1"/>
  <c r="AJ463" i="1"/>
  <c r="AL463" i="1" s="1"/>
  <c r="AI463" i="1"/>
  <c r="AK463" i="1" s="1"/>
  <c r="AM463" i="1" s="1"/>
  <c r="U464" i="1"/>
  <c r="W464" i="1" s="1"/>
  <c r="T464" i="1"/>
  <c r="V464" i="1" s="1"/>
  <c r="X464" i="1" s="1"/>
  <c r="CR459" i="1"/>
  <c r="CT459" i="1" s="1"/>
  <c r="CQ459" i="1"/>
  <c r="CS459" i="1" s="1"/>
  <c r="CU459" i="1" s="1"/>
  <c r="DB458" i="1"/>
  <c r="DD458" i="1" s="1"/>
  <c r="DA458" i="1"/>
  <c r="DC458" i="1" s="1"/>
  <c r="CB460" i="1"/>
  <c r="CD460" i="1" s="1"/>
  <c r="CF460" i="1" s="1"/>
  <c r="CC460" i="1"/>
  <c r="CE460" i="1" s="1"/>
  <c r="BM461" i="1"/>
  <c r="BO461" i="1" s="1"/>
  <c r="BQ461" i="1" s="1"/>
  <c r="BN461" i="1"/>
  <c r="BP461" i="1" s="1"/>
  <c r="AY462" i="1"/>
  <c r="BA462" i="1" s="1"/>
  <c r="AX462" i="1"/>
  <c r="AZ462" i="1" s="1"/>
  <c r="BB462" i="1" s="1"/>
  <c r="BC462" i="1" l="1"/>
  <c r="BE462" i="1" s="1"/>
  <c r="BG462" i="1" s="1"/>
  <c r="BD462" i="1"/>
  <c r="BF462" i="1" s="1"/>
  <c r="Z464" i="1"/>
  <c r="AB464" i="1" s="1"/>
  <c r="Y464" i="1"/>
  <c r="AA464" i="1" s="1"/>
  <c r="AC464" i="1" s="1"/>
  <c r="AO463" i="1"/>
  <c r="AQ463" i="1" s="1"/>
  <c r="AN463" i="1"/>
  <c r="AP463" i="1" s="1"/>
  <c r="AR463" i="1" s="1"/>
  <c r="BS461" i="1"/>
  <c r="BU461" i="1" s="1"/>
  <c r="BR461" i="1"/>
  <c r="BT461" i="1" s="1"/>
  <c r="BV461" i="1" s="1"/>
  <c r="CH460" i="1"/>
  <c r="CJ460" i="1" s="1"/>
  <c r="CG460" i="1"/>
  <c r="CI460" i="1" s="1"/>
  <c r="CK460" i="1" s="1"/>
  <c r="E465" i="1"/>
  <c r="F465" i="1"/>
  <c r="H465" i="1" s="1"/>
  <c r="P464" i="1"/>
  <c r="R464" i="1" s="1"/>
  <c r="O464" i="1"/>
  <c r="CV459" i="1"/>
  <c r="CX459" i="1" s="1"/>
  <c r="CW459" i="1"/>
  <c r="CY459" i="1" s="1"/>
  <c r="AS463" i="1" l="1"/>
  <c r="AU463" i="1" s="1"/>
  <c r="AW463" i="1" s="1"/>
  <c r="AT463" i="1"/>
  <c r="AV463" i="1" s="1"/>
  <c r="CZ459" i="1"/>
  <c r="G465" i="1"/>
  <c r="I465" i="1" s="1"/>
  <c r="Q465" i="1"/>
  <c r="S465" i="1" s="1"/>
  <c r="BX461" i="1"/>
  <c r="BZ461" i="1" s="1"/>
  <c r="BW461" i="1"/>
  <c r="BY461" i="1" s="1"/>
  <c r="CA461" i="1" s="1"/>
  <c r="AE464" i="1"/>
  <c r="AG464" i="1" s="1"/>
  <c r="AD464" i="1"/>
  <c r="AF464" i="1" s="1"/>
  <c r="AH464" i="1" s="1"/>
  <c r="CM460" i="1"/>
  <c r="CO460" i="1" s="1"/>
  <c r="CL460" i="1"/>
  <c r="CN460" i="1" s="1"/>
  <c r="CP460" i="1" s="1"/>
  <c r="BI462" i="1"/>
  <c r="BK462" i="1" s="1"/>
  <c r="BH462" i="1"/>
  <c r="BJ462" i="1" s="1"/>
  <c r="BL462" i="1" s="1"/>
  <c r="AI464" i="1" l="1"/>
  <c r="AK464" i="1" s="1"/>
  <c r="AM464" i="1" s="1"/>
  <c r="AJ464" i="1"/>
  <c r="AL464" i="1" s="1"/>
  <c r="U465" i="1"/>
  <c r="W465" i="1" s="1"/>
  <c r="T465" i="1"/>
  <c r="V465" i="1" s="1"/>
  <c r="X465" i="1" s="1"/>
  <c r="CC461" i="1"/>
  <c r="CE461" i="1" s="1"/>
  <c r="CB461" i="1"/>
  <c r="CD461" i="1" s="1"/>
  <c r="CF461" i="1" s="1"/>
  <c r="K465" i="1"/>
  <c r="M465" i="1" s="1"/>
  <c r="J465" i="1"/>
  <c r="L465" i="1" s="1"/>
  <c r="N465" i="1" s="1"/>
  <c r="D466" i="1"/>
  <c r="DA459" i="1"/>
  <c r="DC459" i="1" s="1"/>
  <c r="DB459" i="1"/>
  <c r="DD459" i="1" s="1"/>
  <c r="BN462" i="1"/>
  <c r="BP462" i="1" s="1"/>
  <c r="BM462" i="1"/>
  <c r="BO462" i="1" s="1"/>
  <c r="BQ462" i="1" s="1"/>
  <c r="CQ460" i="1"/>
  <c r="CS460" i="1" s="1"/>
  <c r="CU460" i="1" s="1"/>
  <c r="CR460" i="1"/>
  <c r="CT460" i="1" s="1"/>
  <c r="AY463" i="1"/>
  <c r="BA463" i="1" s="1"/>
  <c r="AX463" i="1"/>
  <c r="AZ463" i="1" s="1"/>
  <c r="BB463" i="1" s="1"/>
  <c r="BD463" i="1" l="1"/>
  <c r="BF463" i="1" s="1"/>
  <c r="BC463" i="1"/>
  <c r="BE463" i="1" s="1"/>
  <c r="BG463" i="1" s="1"/>
  <c r="CG461" i="1"/>
  <c r="CI461" i="1" s="1"/>
  <c r="CK461" i="1" s="1"/>
  <c r="CH461" i="1"/>
  <c r="CJ461" i="1" s="1"/>
  <c r="P465" i="1"/>
  <c r="R465" i="1" s="1"/>
  <c r="O465" i="1"/>
  <c r="CV460" i="1"/>
  <c r="CX460" i="1" s="1"/>
  <c r="CW460" i="1"/>
  <c r="CY460" i="1" s="1"/>
  <c r="Z465" i="1"/>
  <c r="AB465" i="1" s="1"/>
  <c r="Y465" i="1"/>
  <c r="AA465" i="1" s="1"/>
  <c r="AC465" i="1" s="1"/>
  <c r="BR462" i="1"/>
  <c r="BT462" i="1" s="1"/>
  <c r="BV462" i="1" s="1"/>
  <c r="BS462" i="1"/>
  <c r="BU462" i="1" s="1"/>
  <c r="AO464" i="1"/>
  <c r="AQ464" i="1" s="1"/>
  <c r="AN464" i="1"/>
  <c r="AP464" i="1" s="1"/>
  <c r="AR464" i="1" s="1"/>
  <c r="F466" i="1"/>
  <c r="H466" i="1" s="1"/>
  <c r="E466" i="1"/>
  <c r="CZ460" i="1" l="1"/>
  <c r="AE465" i="1"/>
  <c r="AG465" i="1" s="1"/>
  <c r="AD465" i="1"/>
  <c r="AF465" i="1" s="1"/>
  <c r="AH465" i="1" s="1"/>
  <c r="AT464" i="1"/>
  <c r="AV464" i="1" s="1"/>
  <c r="AS464" i="1"/>
  <c r="AU464" i="1" s="1"/>
  <c r="AW464" i="1" s="1"/>
  <c r="BW462" i="1"/>
  <c r="BY462" i="1" s="1"/>
  <c r="CA462" i="1" s="1"/>
  <c r="BX462" i="1"/>
  <c r="BZ462" i="1" s="1"/>
  <c r="BH463" i="1"/>
  <c r="BJ463" i="1" s="1"/>
  <c r="BL463" i="1" s="1"/>
  <c r="BI463" i="1"/>
  <c r="BK463" i="1" s="1"/>
  <c r="G466" i="1"/>
  <c r="I466" i="1" s="1"/>
  <c r="Q466" i="1"/>
  <c r="S466" i="1" s="1"/>
  <c r="CM461" i="1"/>
  <c r="CO461" i="1" s="1"/>
  <c r="CL461" i="1"/>
  <c r="CN461" i="1" s="1"/>
  <c r="CP461" i="1" s="1"/>
  <c r="BM463" i="1" l="1"/>
  <c r="BO463" i="1" s="1"/>
  <c r="BQ463" i="1" s="1"/>
  <c r="BN463" i="1"/>
  <c r="BP463" i="1" s="1"/>
  <c r="CC462" i="1"/>
  <c r="CE462" i="1" s="1"/>
  <c r="CB462" i="1"/>
  <c r="CD462" i="1" s="1"/>
  <c r="CF462" i="1" s="1"/>
  <c r="U466" i="1"/>
  <c r="W466" i="1" s="1"/>
  <c r="T466" i="1"/>
  <c r="V466" i="1" s="1"/>
  <c r="X466" i="1" s="1"/>
  <c r="AX464" i="1"/>
  <c r="AZ464" i="1" s="1"/>
  <c r="BB464" i="1" s="1"/>
  <c r="AY464" i="1"/>
  <c r="BA464" i="1" s="1"/>
  <c r="K466" i="1"/>
  <c r="M466" i="1" s="1"/>
  <c r="J466" i="1"/>
  <c r="L466" i="1" s="1"/>
  <c r="N466" i="1" s="1"/>
  <c r="D467" i="1"/>
  <c r="CR461" i="1"/>
  <c r="CT461" i="1" s="1"/>
  <c r="CQ461" i="1"/>
  <c r="CS461" i="1" s="1"/>
  <c r="CU461" i="1" s="1"/>
  <c r="AI465" i="1"/>
  <c r="AK465" i="1" s="1"/>
  <c r="AM465" i="1" s="1"/>
  <c r="AJ465" i="1"/>
  <c r="AL465" i="1" s="1"/>
  <c r="DB460" i="1"/>
  <c r="DD460" i="1" s="1"/>
  <c r="DA460" i="1"/>
  <c r="DC460" i="1" s="1"/>
  <c r="BC464" i="1" l="1"/>
  <c r="BE464" i="1" s="1"/>
  <c r="BG464" i="1" s="1"/>
  <c r="BD464" i="1"/>
  <c r="BF464" i="1" s="1"/>
  <c r="Y466" i="1"/>
  <c r="AA466" i="1" s="1"/>
  <c r="AC466" i="1" s="1"/>
  <c r="Z466" i="1"/>
  <c r="AB466" i="1" s="1"/>
  <c r="CH462" i="1"/>
  <c r="CJ462" i="1" s="1"/>
  <c r="CG462" i="1"/>
  <c r="CI462" i="1" s="1"/>
  <c r="CK462" i="1" s="1"/>
  <c r="CW461" i="1"/>
  <c r="CY461" i="1" s="1"/>
  <c r="CV461" i="1"/>
  <c r="CX461" i="1" s="1"/>
  <c r="CZ461" i="1" s="1"/>
  <c r="P466" i="1"/>
  <c r="R466" i="1" s="1"/>
  <c r="O466" i="1"/>
  <c r="AO465" i="1"/>
  <c r="AQ465" i="1" s="1"/>
  <c r="AN465" i="1"/>
  <c r="AP465" i="1" s="1"/>
  <c r="AR465" i="1" s="1"/>
  <c r="F467" i="1"/>
  <c r="H467" i="1" s="1"/>
  <c r="E467" i="1"/>
  <c r="BS463" i="1"/>
  <c r="BU463" i="1" s="1"/>
  <c r="BR463" i="1"/>
  <c r="BT463" i="1" s="1"/>
  <c r="BV463" i="1" s="1"/>
  <c r="CM462" i="1" l="1"/>
  <c r="CO462" i="1" s="1"/>
  <c r="CL462" i="1"/>
  <c r="CN462" i="1" s="1"/>
  <c r="CP462" i="1" s="1"/>
  <c r="BX463" i="1"/>
  <c r="BZ463" i="1" s="1"/>
  <c r="BW463" i="1"/>
  <c r="BY463" i="1" s="1"/>
  <c r="CA463" i="1" s="1"/>
  <c r="DB461" i="1"/>
  <c r="DD461" i="1" s="1"/>
  <c r="DA461" i="1"/>
  <c r="DC461" i="1" s="1"/>
  <c r="Q467" i="1"/>
  <c r="S467" i="1" s="1"/>
  <c r="G467" i="1"/>
  <c r="I467" i="1" s="1"/>
  <c r="AT465" i="1"/>
  <c r="AV465" i="1" s="1"/>
  <c r="AS465" i="1"/>
  <c r="AU465" i="1" s="1"/>
  <c r="AW465" i="1" s="1"/>
  <c r="AE466" i="1"/>
  <c r="AG466" i="1" s="1"/>
  <c r="AD466" i="1"/>
  <c r="AF466" i="1" s="1"/>
  <c r="AH466" i="1" s="1"/>
  <c r="BI464" i="1"/>
  <c r="BK464" i="1" s="1"/>
  <c r="BH464" i="1"/>
  <c r="BJ464" i="1" s="1"/>
  <c r="BL464" i="1" s="1"/>
  <c r="U467" i="1" l="1"/>
  <c r="W467" i="1" s="1"/>
  <c r="T467" i="1"/>
  <c r="V467" i="1" s="1"/>
  <c r="X467" i="1" s="1"/>
  <c r="K467" i="1"/>
  <c r="M467" i="1" s="1"/>
  <c r="J467" i="1"/>
  <c r="L467" i="1" s="1"/>
  <c r="N467" i="1" s="1"/>
  <c r="D468" i="1"/>
  <c r="AJ466" i="1"/>
  <c r="AL466" i="1" s="1"/>
  <c r="AI466" i="1"/>
  <c r="AK466" i="1" s="1"/>
  <c r="AM466" i="1" s="1"/>
  <c r="CQ462" i="1"/>
  <c r="CS462" i="1" s="1"/>
  <c r="CU462" i="1" s="1"/>
  <c r="CR462" i="1"/>
  <c r="CT462" i="1" s="1"/>
  <c r="BN464" i="1"/>
  <c r="BP464" i="1" s="1"/>
  <c r="BM464" i="1"/>
  <c r="BO464" i="1" s="1"/>
  <c r="BQ464" i="1" s="1"/>
  <c r="CC463" i="1"/>
  <c r="CE463" i="1" s="1"/>
  <c r="CB463" i="1"/>
  <c r="CD463" i="1" s="1"/>
  <c r="CF463" i="1" s="1"/>
  <c r="AY465" i="1"/>
  <c r="BA465" i="1" s="1"/>
  <c r="AX465" i="1"/>
  <c r="AZ465" i="1" s="1"/>
  <c r="BB465" i="1" s="1"/>
  <c r="AO466" i="1" l="1"/>
  <c r="AQ466" i="1" s="1"/>
  <c r="AN466" i="1"/>
  <c r="AP466" i="1" s="1"/>
  <c r="AR466" i="1" s="1"/>
  <c r="CW462" i="1"/>
  <c r="CY462" i="1" s="1"/>
  <c r="CV462" i="1"/>
  <c r="CX462" i="1" s="1"/>
  <c r="CZ462" i="1" s="1"/>
  <c r="CG463" i="1"/>
  <c r="CI463" i="1" s="1"/>
  <c r="CK463" i="1" s="1"/>
  <c r="CH463" i="1"/>
  <c r="CJ463" i="1" s="1"/>
  <c r="O467" i="1"/>
  <c r="P467" i="1"/>
  <c r="R467" i="1" s="1"/>
  <c r="BC465" i="1"/>
  <c r="BE465" i="1" s="1"/>
  <c r="BG465" i="1" s="1"/>
  <c r="BD465" i="1"/>
  <c r="BF465" i="1" s="1"/>
  <c r="E468" i="1"/>
  <c r="F468" i="1"/>
  <c r="H468" i="1" s="1"/>
  <c r="BS464" i="1"/>
  <c r="BU464" i="1" s="1"/>
  <c r="BR464" i="1"/>
  <c r="BT464" i="1" s="1"/>
  <c r="BV464" i="1" s="1"/>
  <c r="Z467" i="1"/>
  <c r="AB467" i="1" s="1"/>
  <c r="Y467" i="1"/>
  <c r="AA467" i="1" s="1"/>
  <c r="AC467" i="1" s="1"/>
  <c r="AE467" i="1" l="1"/>
  <c r="AG467" i="1" s="1"/>
  <c r="AD467" i="1"/>
  <c r="AF467" i="1" s="1"/>
  <c r="AH467" i="1" s="1"/>
  <c r="BX464" i="1"/>
  <c r="BZ464" i="1" s="1"/>
  <c r="BW464" i="1"/>
  <c r="BY464" i="1" s="1"/>
  <c r="CA464" i="1" s="1"/>
  <c r="CM463" i="1"/>
  <c r="CO463" i="1" s="1"/>
  <c r="CL463" i="1"/>
  <c r="CN463" i="1" s="1"/>
  <c r="CP463" i="1" s="1"/>
  <c r="DB462" i="1"/>
  <c r="DD462" i="1" s="1"/>
  <c r="DA462" i="1"/>
  <c r="DC462" i="1" s="1"/>
  <c r="Q468" i="1"/>
  <c r="S468" i="1" s="1"/>
  <c r="G468" i="1"/>
  <c r="I468" i="1" s="1"/>
  <c r="AS466" i="1"/>
  <c r="AU466" i="1" s="1"/>
  <c r="AW466" i="1" s="1"/>
  <c r="AT466" i="1"/>
  <c r="AV466" i="1" s="1"/>
  <c r="BH465" i="1"/>
  <c r="BJ465" i="1" s="1"/>
  <c r="BL465" i="1" s="1"/>
  <c r="BI465" i="1"/>
  <c r="BK465" i="1" s="1"/>
  <c r="AY466" i="1" l="1"/>
  <c r="BA466" i="1" s="1"/>
  <c r="AX466" i="1"/>
  <c r="AZ466" i="1" s="1"/>
  <c r="BB466" i="1" s="1"/>
  <c r="CQ463" i="1"/>
  <c r="CS463" i="1" s="1"/>
  <c r="CU463" i="1" s="1"/>
  <c r="CR463" i="1"/>
  <c r="CT463" i="1" s="1"/>
  <c r="CC464" i="1"/>
  <c r="CE464" i="1" s="1"/>
  <c r="CB464" i="1"/>
  <c r="CD464" i="1" s="1"/>
  <c r="CF464" i="1" s="1"/>
  <c r="K468" i="1"/>
  <c r="M468" i="1" s="1"/>
  <c r="J468" i="1"/>
  <c r="L468" i="1" s="1"/>
  <c r="N468" i="1" s="1"/>
  <c r="D469" i="1"/>
  <c r="BN465" i="1"/>
  <c r="BP465" i="1" s="1"/>
  <c r="BM465" i="1"/>
  <c r="BO465" i="1" s="1"/>
  <c r="BQ465" i="1" s="1"/>
  <c r="AI467" i="1"/>
  <c r="AK467" i="1" s="1"/>
  <c r="AM467" i="1" s="1"/>
  <c r="AJ467" i="1"/>
  <c r="AL467" i="1" s="1"/>
  <c r="U468" i="1"/>
  <c r="W468" i="1" s="1"/>
  <c r="T468" i="1"/>
  <c r="V468" i="1" s="1"/>
  <c r="X468" i="1" s="1"/>
  <c r="P468" i="1" l="1"/>
  <c r="R468" i="1" s="1"/>
  <c r="O468" i="1"/>
  <c r="Y468" i="1"/>
  <c r="AA468" i="1" s="1"/>
  <c r="AC468" i="1" s="1"/>
  <c r="Z468" i="1"/>
  <c r="AB468" i="1" s="1"/>
  <c r="CH464" i="1"/>
  <c r="CJ464" i="1" s="1"/>
  <c r="CG464" i="1"/>
  <c r="CI464" i="1" s="1"/>
  <c r="CK464" i="1" s="1"/>
  <c r="CW463" i="1"/>
  <c r="CY463" i="1" s="1"/>
  <c r="CV463" i="1"/>
  <c r="CX463" i="1" s="1"/>
  <c r="CZ463" i="1" s="1"/>
  <c r="BS465" i="1"/>
  <c r="BU465" i="1" s="1"/>
  <c r="BR465" i="1"/>
  <c r="BT465" i="1" s="1"/>
  <c r="BV465" i="1" s="1"/>
  <c r="AO467" i="1"/>
  <c r="AQ467" i="1" s="1"/>
  <c r="AN467" i="1"/>
  <c r="AP467" i="1" s="1"/>
  <c r="AR467" i="1" s="1"/>
  <c r="BD466" i="1"/>
  <c r="BF466" i="1" s="1"/>
  <c r="BC466" i="1"/>
  <c r="BE466" i="1" s="1"/>
  <c r="BG466" i="1" s="1"/>
  <c r="F469" i="1"/>
  <c r="H469" i="1" s="1"/>
  <c r="E469" i="1"/>
  <c r="DA463" i="1" l="1"/>
  <c r="DC463" i="1" s="1"/>
  <c r="DB463" i="1"/>
  <c r="DD463" i="1" s="1"/>
  <c r="BI466" i="1"/>
  <c r="BK466" i="1" s="1"/>
  <c r="BH466" i="1"/>
  <c r="BJ466" i="1" s="1"/>
  <c r="BL466" i="1" s="1"/>
  <c r="AT467" i="1"/>
  <c r="AV467" i="1" s="1"/>
  <c r="AS467" i="1"/>
  <c r="AU467" i="1" s="1"/>
  <c r="AW467" i="1" s="1"/>
  <c r="G469" i="1"/>
  <c r="I469" i="1" s="1"/>
  <c r="Q469" i="1"/>
  <c r="S469" i="1" s="1"/>
  <c r="CM464" i="1"/>
  <c r="CO464" i="1" s="1"/>
  <c r="CL464" i="1"/>
  <c r="CN464" i="1" s="1"/>
  <c r="CP464" i="1" s="1"/>
  <c r="BX465" i="1"/>
  <c r="BZ465" i="1" s="1"/>
  <c r="BW465" i="1"/>
  <c r="BY465" i="1" s="1"/>
  <c r="CA465" i="1" s="1"/>
  <c r="AE468" i="1"/>
  <c r="AG468" i="1" s="1"/>
  <c r="AD468" i="1"/>
  <c r="AF468" i="1" s="1"/>
  <c r="AH468" i="1" s="1"/>
  <c r="AY467" i="1" l="1"/>
  <c r="BA467" i="1" s="1"/>
  <c r="AX467" i="1"/>
  <c r="AZ467" i="1" s="1"/>
  <c r="BB467" i="1" s="1"/>
  <c r="K469" i="1"/>
  <c r="M469" i="1" s="1"/>
  <c r="J469" i="1"/>
  <c r="L469" i="1" s="1"/>
  <c r="N469" i="1" s="1"/>
  <c r="D470" i="1"/>
  <c r="AJ468" i="1"/>
  <c r="AL468" i="1" s="1"/>
  <c r="AI468" i="1"/>
  <c r="AK468" i="1" s="1"/>
  <c r="AM468" i="1" s="1"/>
  <c r="CC465" i="1"/>
  <c r="CE465" i="1" s="1"/>
  <c r="CB465" i="1"/>
  <c r="CD465" i="1" s="1"/>
  <c r="CF465" i="1" s="1"/>
  <c r="U469" i="1"/>
  <c r="W469" i="1" s="1"/>
  <c r="T469" i="1"/>
  <c r="V469" i="1" s="1"/>
  <c r="X469" i="1" s="1"/>
  <c r="BN466" i="1"/>
  <c r="BP466" i="1" s="1"/>
  <c r="BM466" i="1"/>
  <c r="BO466" i="1" s="1"/>
  <c r="BQ466" i="1" s="1"/>
  <c r="CR464" i="1"/>
  <c r="CT464" i="1" s="1"/>
  <c r="CQ464" i="1"/>
  <c r="CS464" i="1" s="1"/>
  <c r="CU464" i="1" s="1"/>
  <c r="AO468" i="1" l="1"/>
  <c r="AQ468" i="1" s="1"/>
  <c r="AN468" i="1"/>
  <c r="AP468" i="1" s="1"/>
  <c r="AR468" i="1" s="1"/>
  <c r="CH465" i="1"/>
  <c r="CJ465" i="1" s="1"/>
  <c r="CG465" i="1"/>
  <c r="CI465" i="1" s="1"/>
  <c r="CK465" i="1" s="1"/>
  <c r="BS466" i="1"/>
  <c r="BU466" i="1" s="1"/>
  <c r="BR466" i="1"/>
  <c r="BT466" i="1" s="1"/>
  <c r="BV466" i="1" s="1"/>
  <c r="E470" i="1"/>
  <c r="F470" i="1"/>
  <c r="H470" i="1" s="1"/>
  <c r="BD467" i="1"/>
  <c r="BF467" i="1" s="1"/>
  <c r="BC467" i="1"/>
  <c r="BE467" i="1" s="1"/>
  <c r="BG467" i="1" s="1"/>
  <c r="CV464" i="1"/>
  <c r="CX464" i="1" s="1"/>
  <c r="CW464" i="1"/>
  <c r="CY464" i="1" s="1"/>
  <c r="O469" i="1"/>
  <c r="P469" i="1"/>
  <c r="R469" i="1" s="1"/>
  <c r="Z469" i="1"/>
  <c r="AB469" i="1" s="1"/>
  <c r="Y469" i="1"/>
  <c r="AA469" i="1" s="1"/>
  <c r="AC469" i="1" s="1"/>
  <c r="AE469" i="1" l="1"/>
  <c r="AG469" i="1" s="1"/>
  <c r="AD469" i="1"/>
  <c r="AF469" i="1" s="1"/>
  <c r="AH469" i="1" s="1"/>
  <c r="Q470" i="1"/>
  <c r="S470" i="1" s="1"/>
  <c r="G470" i="1"/>
  <c r="I470" i="1" s="1"/>
  <c r="CM465" i="1"/>
  <c r="CO465" i="1" s="1"/>
  <c r="CL465" i="1"/>
  <c r="CN465" i="1" s="1"/>
  <c r="CP465" i="1" s="1"/>
  <c r="CZ464" i="1"/>
  <c r="AT468" i="1"/>
  <c r="AV468" i="1" s="1"/>
  <c r="AS468" i="1"/>
  <c r="AU468" i="1" s="1"/>
  <c r="AW468" i="1" s="1"/>
  <c r="BX466" i="1"/>
  <c r="BZ466" i="1" s="1"/>
  <c r="BW466" i="1"/>
  <c r="BY466" i="1" s="1"/>
  <c r="CA466" i="1" s="1"/>
  <c r="BI467" i="1"/>
  <c r="BK467" i="1" s="1"/>
  <c r="BH467" i="1"/>
  <c r="BJ467" i="1" s="1"/>
  <c r="BL467" i="1" s="1"/>
  <c r="CQ465" i="1" l="1"/>
  <c r="CS465" i="1" s="1"/>
  <c r="CU465" i="1" s="1"/>
  <c r="CR465" i="1"/>
  <c r="CT465" i="1" s="1"/>
  <c r="K470" i="1"/>
  <c r="M470" i="1" s="1"/>
  <c r="J470" i="1"/>
  <c r="L470" i="1" s="1"/>
  <c r="N470" i="1" s="1"/>
  <c r="D471" i="1"/>
  <c r="AY468" i="1"/>
  <c r="BA468" i="1" s="1"/>
  <c r="AX468" i="1"/>
  <c r="AZ468" i="1" s="1"/>
  <c r="BB468" i="1" s="1"/>
  <c r="U470" i="1"/>
  <c r="W470" i="1" s="1"/>
  <c r="T470" i="1"/>
  <c r="V470" i="1" s="1"/>
  <c r="X470" i="1" s="1"/>
  <c r="AJ469" i="1"/>
  <c r="AL469" i="1" s="1"/>
  <c r="AI469" i="1"/>
  <c r="AK469" i="1" s="1"/>
  <c r="AM469" i="1" s="1"/>
  <c r="DA464" i="1"/>
  <c r="DC464" i="1" s="1"/>
  <c r="DB464" i="1"/>
  <c r="DD464" i="1" s="1"/>
  <c r="BN467" i="1"/>
  <c r="BP467" i="1" s="1"/>
  <c r="BM467" i="1"/>
  <c r="BO467" i="1" s="1"/>
  <c r="BQ467" i="1" s="1"/>
  <c r="CC466" i="1"/>
  <c r="CE466" i="1" s="1"/>
  <c r="CB466" i="1"/>
  <c r="CD466" i="1" s="1"/>
  <c r="CF466" i="1" s="1"/>
  <c r="F471" i="1" l="1"/>
  <c r="H471" i="1" s="1"/>
  <c r="E471" i="1"/>
  <c r="BD468" i="1"/>
  <c r="BF468" i="1" s="1"/>
  <c r="BC468" i="1"/>
  <c r="BE468" i="1" s="1"/>
  <c r="BG468" i="1" s="1"/>
  <c r="P470" i="1"/>
  <c r="R470" i="1" s="1"/>
  <c r="O470" i="1"/>
  <c r="AO469" i="1"/>
  <c r="AQ469" i="1" s="1"/>
  <c r="AN469" i="1"/>
  <c r="AP469" i="1" s="1"/>
  <c r="AR469" i="1" s="1"/>
  <c r="BS467" i="1"/>
  <c r="BU467" i="1" s="1"/>
  <c r="BR467" i="1"/>
  <c r="BT467" i="1" s="1"/>
  <c r="BV467" i="1" s="1"/>
  <c r="CG466" i="1"/>
  <c r="CI466" i="1" s="1"/>
  <c r="CK466" i="1" s="1"/>
  <c r="CH466" i="1"/>
  <c r="CJ466" i="1" s="1"/>
  <c r="Y470" i="1"/>
  <c r="AA470" i="1" s="1"/>
  <c r="AC470" i="1" s="1"/>
  <c r="Z470" i="1"/>
  <c r="AB470" i="1" s="1"/>
  <c r="CW465" i="1"/>
  <c r="CY465" i="1" s="1"/>
  <c r="CV465" i="1"/>
  <c r="CX465" i="1" s="1"/>
  <c r="CZ465" i="1" s="1"/>
  <c r="DB465" i="1" l="1"/>
  <c r="DD465" i="1" s="1"/>
  <c r="DA465" i="1"/>
  <c r="DC465" i="1" s="1"/>
  <c r="AE470" i="1"/>
  <c r="AG470" i="1" s="1"/>
  <c r="AD470" i="1"/>
  <c r="AF470" i="1" s="1"/>
  <c r="AH470" i="1" s="1"/>
  <c r="AT469" i="1"/>
  <c r="AV469" i="1" s="1"/>
  <c r="AS469" i="1"/>
  <c r="AU469" i="1" s="1"/>
  <c r="AW469" i="1" s="1"/>
  <c r="BI468" i="1"/>
  <c r="BK468" i="1" s="1"/>
  <c r="BH468" i="1"/>
  <c r="BJ468" i="1" s="1"/>
  <c r="BL468" i="1" s="1"/>
  <c r="CM466" i="1"/>
  <c r="CO466" i="1" s="1"/>
  <c r="CL466" i="1"/>
  <c r="CN466" i="1" s="1"/>
  <c r="CP466" i="1" s="1"/>
  <c r="BW467" i="1"/>
  <c r="BY467" i="1" s="1"/>
  <c r="CA467" i="1" s="1"/>
  <c r="BX467" i="1"/>
  <c r="BZ467" i="1" s="1"/>
  <c r="G471" i="1"/>
  <c r="I471" i="1" s="1"/>
  <c r="Q471" i="1"/>
  <c r="S471" i="1" s="1"/>
  <c r="U471" i="1" l="1"/>
  <c r="W471" i="1" s="1"/>
  <c r="T471" i="1"/>
  <c r="V471" i="1" s="1"/>
  <c r="X471" i="1" s="1"/>
  <c r="BM468" i="1"/>
  <c r="BO468" i="1" s="1"/>
  <c r="BQ468" i="1" s="1"/>
  <c r="BN468" i="1"/>
  <c r="BP468" i="1" s="1"/>
  <c r="J471" i="1"/>
  <c r="L471" i="1" s="1"/>
  <c r="N471" i="1" s="1"/>
  <c r="K471" i="1"/>
  <c r="M471" i="1" s="1"/>
  <c r="D472" i="1"/>
  <c r="AY469" i="1"/>
  <c r="BA469" i="1" s="1"/>
  <c r="AX469" i="1"/>
  <c r="AZ469" i="1" s="1"/>
  <c r="BB469" i="1" s="1"/>
  <c r="AJ470" i="1"/>
  <c r="AL470" i="1" s="1"/>
  <c r="AI470" i="1"/>
  <c r="AK470" i="1" s="1"/>
  <c r="AM470" i="1" s="1"/>
  <c r="CR466" i="1"/>
  <c r="CT466" i="1" s="1"/>
  <c r="CQ466" i="1"/>
  <c r="CS466" i="1" s="1"/>
  <c r="CU466" i="1" s="1"/>
  <c r="CC467" i="1"/>
  <c r="CE467" i="1" s="1"/>
  <c r="CB467" i="1"/>
  <c r="CD467" i="1" s="1"/>
  <c r="CF467" i="1" s="1"/>
  <c r="P471" i="1" l="1"/>
  <c r="R471" i="1" s="1"/>
  <c r="O471" i="1"/>
  <c r="CH467" i="1"/>
  <c r="CJ467" i="1" s="1"/>
  <c r="CG467" i="1"/>
  <c r="CI467" i="1" s="1"/>
  <c r="CK467" i="1" s="1"/>
  <c r="BC469" i="1"/>
  <c r="BE469" i="1" s="1"/>
  <c r="BG469" i="1" s="1"/>
  <c r="BD469" i="1"/>
  <c r="BF469" i="1" s="1"/>
  <c r="F472" i="1"/>
  <c r="H472" i="1" s="1"/>
  <c r="E472" i="1"/>
  <c r="AO470" i="1"/>
  <c r="AQ470" i="1" s="1"/>
  <c r="AN470" i="1"/>
  <c r="AP470" i="1" s="1"/>
  <c r="AR470" i="1" s="1"/>
  <c r="CW466" i="1"/>
  <c r="CY466" i="1" s="1"/>
  <c r="CV466" i="1"/>
  <c r="CX466" i="1" s="1"/>
  <c r="CZ466" i="1" s="1"/>
  <c r="BS468" i="1"/>
  <c r="BU468" i="1" s="1"/>
  <c r="BR468" i="1"/>
  <c r="BT468" i="1" s="1"/>
  <c r="BV468" i="1" s="1"/>
  <c r="Z471" i="1"/>
  <c r="AB471" i="1" s="1"/>
  <c r="Y471" i="1"/>
  <c r="AA471" i="1" s="1"/>
  <c r="AC471" i="1" s="1"/>
  <c r="AE471" i="1" l="1"/>
  <c r="AG471" i="1" s="1"/>
  <c r="AD471" i="1"/>
  <c r="AF471" i="1" s="1"/>
  <c r="AH471" i="1" s="1"/>
  <c r="Q472" i="1"/>
  <c r="S472" i="1" s="1"/>
  <c r="G472" i="1"/>
  <c r="I472" i="1" s="1"/>
  <c r="DA466" i="1"/>
  <c r="DC466" i="1" s="1"/>
  <c r="DB466" i="1"/>
  <c r="DD466" i="1" s="1"/>
  <c r="BI469" i="1"/>
  <c r="BK469" i="1" s="1"/>
  <c r="BH469" i="1"/>
  <c r="BJ469" i="1" s="1"/>
  <c r="BL469" i="1" s="1"/>
  <c r="BX468" i="1"/>
  <c r="BZ468" i="1" s="1"/>
  <c r="BW468" i="1"/>
  <c r="BY468" i="1" s="1"/>
  <c r="CA468" i="1" s="1"/>
  <c r="CM467" i="1"/>
  <c r="CO467" i="1" s="1"/>
  <c r="CL467" i="1"/>
  <c r="CN467" i="1" s="1"/>
  <c r="CP467" i="1" s="1"/>
  <c r="AS470" i="1"/>
  <c r="AU470" i="1" s="1"/>
  <c r="AW470" i="1" s="1"/>
  <c r="AT470" i="1"/>
  <c r="AV470" i="1" s="1"/>
  <c r="BN469" i="1" l="1"/>
  <c r="BP469" i="1" s="1"/>
  <c r="BM469" i="1"/>
  <c r="BO469" i="1" s="1"/>
  <c r="BQ469" i="1" s="1"/>
  <c r="CQ467" i="1"/>
  <c r="CS467" i="1" s="1"/>
  <c r="CU467" i="1" s="1"/>
  <c r="CR467" i="1"/>
  <c r="CT467" i="1" s="1"/>
  <c r="U472" i="1"/>
  <c r="W472" i="1" s="1"/>
  <c r="T472" i="1"/>
  <c r="V472" i="1" s="1"/>
  <c r="X472" i="1" s="1"/>
  <c r="AJ471" i="1"/>
  <c r="AL471" i="1" s="1"/>
  <c r="AI471" i="1"/>
  <c r="AK471" i="1" s="1"/>
  <c r="AM471" i="1" s="1"/>
  <c r="AY470" i="1"/>
  <c r="BA470" i="1" s="1"/>
  <c r="AX470" i="1"/>
  <c r="AZ470" i="1" s="1"/>
  <c r="BB470" i="1" s="1"/>
  <c r="K472" i="1"/>
  <c r="M472" i="1" s="1"/>
  <c r="J472" i="1"/>
  <c r="L472" i="1" s="1"/>
  <c r="N472" i="1" s="1"/>
  <c r="D473" i="1"/>
  <c r="CC468" i="1"/>
  <c r="CE468" i="1" s="1"/>
  <c r="CB468" i="1"/>
  <c r="CD468" i="1" s="1"/>
  <c r="CF468" i="1" s="1"/>
  <c r="Z472" i="1" l="1"/>
  <c r="AB472" i="1" s="1"/>
  <c r="Y472" i="1"/>
  <c r="AA472" i="1" s="1"/>
  <c r="AC472" i="1" s="1"/>
  <c r="AN471" i="1"/>
  <c r="AP471" i="1" s="1"/>
  <c r="AR471" i="1" s="1"/>
  <c r="AO471" i="1"/>
  <c r="AQ471" i="1" s="1"/>
  <c r="F473" i="1"/>
  <c r="H473" i="1" s="1"/>
  <c r="E473" i="1"/>
  <c r="P472" i="1"/>
  <c r="R472" i="1" s="1"/>
  <c r="O472" i="1"/>
  <c r="BS469" i="1"/>
  <c r="BU469" i="1" s="1"/>
  <c r="BR469" i="1"/>
  <c r="BT469" i="1" s="1"/>
  <c r="BV469" i="1" s="1"/>
  <c r="CG468" i="1"/>
  <c r="CI468" i="1" s="1"/>
  <c r="CK468" i="1" s="1"/>
  <c r="CH468" i="1"/>
  <c r="CJ468" i="1" s="1"/>
  <c r="CW467" i="1"/>
  <c r="CY467" i="1" s="1"/>
  <c r="CV467" i="1"/>
  <c r="CX467" i="1" s="1"/>
  <c r="CZ467" i="1" s="1"/>
  <c r="BD470" i="1"/>
  <c r="BF470" i="1" s="1"/>
  <c r="BC470" i="1"/>
  <c r="BE470" i="1" s="1"/>
  <c r="BG470" i="1" s="1"/>
  <c r="DB467" i="1" l="1"/>
  <c r="DD467" i="1" s="1"/>
  <c r="DA467" i="1"/>
  <c r="DC467" i="1" s="1"/>
  <c r="BI470" i="1"/>
  <c r="BK470" i="1" s="1"/>
  <c r="BH470" i="1"/>
  <c r="BJ470" i="1" s="1"/>
  <c r="BL470" i="1" s="1"/>
  <c r="G473" i="1"/>
  <c r="I473" i="1" s="1"/>
  <c r="Q473" i="1"/>
  <c r="S473" i="1" s="1"/>
  <c r="AT471" i="1"/>
  <c r="AV471" i="1" s="1"/>
  <c r="AS471" i="1"/>
  <c r="AU471" i="1" s="1"/>
  <c r="AW471" i="1" s="1"/>
  <c r="BW469" i="1"/>
  <c r="BY469" i="1" s="1"/>
  <c r="CA469" i="1" s="1"/>
  <c r="BX469" i="1"/>
  <c r="BZ469" i="1" s="1"/>
  <c r="CM468" i="1"/>
  <c r="CO468" i="1" s="1"/>
  <c r="CL468" i="1"/>
  <c r="CN468" i="1" s="1"/>
  <c r="CP468" i="1" s="1"/>
  <c r="AE472" i="1"/>
  <c r="AG472" i="1" s="1"/>
  <c r="AD472" i="1"/>
  <c r="AF472" i="1" s="1"/>
  <c r="AH472" i="1" s="1"/>
  <c r="U473" i="1" l="1"/>
  <c r="W473" i="1" s="1"/>
  <c r="T473" i="1"/>
  <c r="V473" i="1" s="1"/>
  <c r="X473" i="1" s="1"/>
  <c r="AJ472" i="1"/>
  <c r="AL472" i="1" s="1"/>
  <c r="AI472" i="1"/>
  <c r="AK472" i="1" s="1"/>
  <c r="AM472" i="1" s="1"/>
  <c r="CR468" i="1"/>
  <c r="CT468" i="1" s="1"/>
  <c r="CQ468" i="1"/>
  <c r="CS468" i="1" s="1"/>
  <c r="CU468" i="1" s="1"/>
  <c r="AY471" i="1"/>
  <c r="BA471" i="1" s="1"/>
  <c r="AX471" i="1"/>
  <c r="AZ471" i="1" s="1"/>
  <c r="BB471" i="1" s="1"/>
  <c r="K473" i="1"/>
  <c r="M473" i="1" s="1"/>
  <c r="J473" i="1"/>
  <c r="L473" i="1" s="1"/>
  <c r="N473" i="1" s="1"/>
  <c r="D474" i="1"/>
  <c r="BM470" i="1"/>
  <c r="BO470" i="1" s="1"/>
  <c r="BQ470" i="1" s="1"/>
  <c r="BN470" i="1"/>
  <c r="BP470" i="1" s="1"/>
  <c r="CC469" i="1"/>
  <c r="CE469" i="1" s="1"/>
  <c r="CB469" i="1"/>
  <c r="CD469" i="1" s="1"/>
  <c r="CF469" i="1" s="1"/>
  <c r="CH469" i="1" l="1"/>
  <c r="CJ469" i="1" s="1"/>
  <c r="CG469" i="1"/>
  <c r="CI469" i="1" s="1"/>
  <c r="CK469" i="1" s="1"/>
  <c r="F474" i="1"/>
  <c r="H474" i="1" s="1"/>
  <c r="E474" i="1"/>
  <c r="BC471" i="1"/>
  <c r="BE471" i="1" s="1"/>
  <c r="BG471" i="1" s="1"/>
  <c r="BD471" i="1"/>
  <c r="BF471" i="1" s="1"/>
  <c r="AO472" i="1"/>
  <c r="AQ472" i="1" s="1"/>
  <c r="AN472" i="1"/>
  <c r="AP472" i="1" s="1"/>
  <c r="AR472" i="1" s="1"/>
  <c r="CW468" i="1"/>
  <c r="CY468" i="1" s="1"/>
  <c r="CV468" i="1"/>
  <c r="CX468" i="1" s="1"/>
  <c r="CZ468" i="1" s="1"/>
  <c r="P473" i="1"/>
  <c r="R473" i="1" s="1"/>
  <c r="O473" i="1"/>
  <c r="BS470" i="1"/>
  <c r="BU470" i="1" s="1"/>
  <c r="BR470" i="1"/>
  <c r="BT470" i="1" s="1"/>
  <c r="BV470" i="1" s="1"/>
  <c r="Y473" i="1"/>
  <c r="AA473" i="1" s="1"/>
  <c r="AC473" i="1" s="1"/>
  <c r="Z473" i="1"/>
  <c r="AB473" i="1" s="1"/>
  <c r="BX470" i="1" l="1"/>
  <c r="BZ470" i="1" s="1"/>
  <c r="BW470" i="1"/>
  <c r="BY470" i="1" s="1"/>
  <c r="CA470" i="1" s="1"/>
  <c r="AE473" i="1"/>
  <c r="AG473" i="1" s="1"/>
  <c r="AD473" i="1"/>
  <c r="AF473" i="1" s="1"/>
  <c r="AH473" i="1" s="1"/>
  <c r="BI471" i="1"/>
  <c r="BK471" i="1" s="1"/>
  <c r="BH471" i="1"/>
  <c r="BJ471" i="1" s="1"/>
  <c r="BL471" i="1" s="1"/>
  <c r="Q474" i="1"/>
  <c r="S474" i="1" s="1"/>
  <c r="G474" i="1"/>
  <c r="I474" i="1" s="1"/>
  <c r="CM469" i="1"/>
  <c r="CO469" i="1" s="1"/>
  <c r="CL469" i="1"/>
  <c r="CN469" i="1" s="1"/>
  <c r="CP469" i="1" s="1"/>
  <c r="AS472" i="1"/>
  <c r="AU472" i="1" s="1"/>
  <c r="AW472" i="1" s="1"/>
  <c r="AT472" i="1"/>
  <c r="AV472" i="1" s="1"/>
  <c r="DB468" i="1"/>
  <c r="DD468" i="1" s="1"/>
  <c r="DA468" i="1"/>
  <c r="DC468" i="1" s="1"/>
  <c r="J474" i="1" l="1"/>
  <c r="L474" i="1" s="1"/>
  <c r="N474" i="1" s="1"/>
  <c r="K474" i="1"/>
  <c r="M474" i="1" s="1"/>
  <c r="D475" i="1"/>
  <c r="CC470" i="1"/>
  <c r="CE470" i="1" s="1"/>
  <c r="CB470" i="1"/>
  <c r="CD470" i="1" s="1"/>
  <c r="CF470" i="1" s="1"/>
  <c r="BN471" i="1"/>
  <c r="BP471" i="1" s="1"/>
  <c r="BM471" i="1"/>
  <c r="BO471" i="1" s="1"/>
  <c r="BQ471" i="1" s="1"/>
  <c r="CQ469" i="1"/>
  <c r="CS469" i="1" s="1"/>
  <c r="CU469" i="1" s="1"/>
  <c r="CR469" i="1"/>
  <c r="CT469" i="1" s="1"/>
  <c r="U474" i="1"/>
  <c r="W474" i="1" s="1"/>
  <c r="T474" i="1"/>
  <c r="V474" i="1" s="1"/>
  <c r="X474" i="1" s="1"/>
  <c r="AI473" i="1"/>
  <c r="AK473" i="1" s="1"/>
  <c r="AM473" i="1" s="1"/>
  <c r="AJ473" i="1"/>
  <c r="AL473" i="1" s="1"/>
  <c r="AY472" i="1"/>
  <c r="BA472" i="1" s="1"/>
  <c r="AX472" i="1"/>
  <c r="AZ472" i="1" s="1"/>
  <c r="BB472" i="1" s="1"/>
  <c r="CW469" i="1" l="1"/>
  <c r="CY469" i="1" s="1"/>
  <c r="CV469" i="1"/>
  <c r="CX469" i="1" s="1"/>
  <c r="CZ469" i="1" s="1"/>
  <c r="BS471" i="1"/>
  <c r="BU471" i="1" s="1"/>
  <c r="BR471" i="1"/>
  <c r="BT471" i="1" s="1"/>
  <c r="BV471" i="1" s="1"/>
  <c r="BD472" i="1"/>
  <c r="BF472" i="1" s="1"/>
  <c r="BC472" i="1"/>
  <c r="BE472" i="1" s="1"/>
  <c r="BG472" i="1" s="1"/>
  <c r="AO473" i="1"/>
  <c r="AQ473" i="1" s="1"/>
  <c r="AN473" i="1"/>
  <c r="AP473" i="1" s="1"/>
  <c r="AR473" i="1" s="1"/>
  <c r="F475" i="1"/>
  <c r="H475" i="1" s="1"/>
  <c r="E475" i="1"/>
  <c r="P474" i="1"/>
  <c r="R474" i="1" s="1"/>
  <c r="O474" i="1"/>
  <c r="CH470" i="1"/>
  <c r="CJ470" i="1" s="1"/>
  <c r="CG470" i="1"/>
  <c r="CI470" i="1" s="1"/>
  <c r="CK470" i="1" s="1"/>
  <c r="Y474" i="1"/>
  <c r="AA474" i="1" s="1"/>
  <c r="AC474" i="1" s="1"/>
  <c r="Z474" i="1"/>
  <c r="AB474" i="1" s="1"/>
  <c r="CL470" i="1" l="1"/>
  <c r="CN470" i="1" s="1"/>
  <c r="CP470" i="1" s="1"/>
  <c r="CM470" i="1"/>
  <c r="CO470" i="1" s="1"/>
  <c r="AT473" i="1"/>
  <c r="AV473" i="1" s="1"/>
  <c r="AS473" i="1"/>
  <c r="AU473" i="1" s="1"/>
  <c r="AW473" i="1" s="1"/>
  <c r="BI472" i="1"/>
  <c r="BK472" i="1" s="1"/>
  <c r="BH472" i="1"/>
  <c r="BJ472" i="1" s="1"/>
  <c r="BL472" i="1" s="1"/>
  <c r="BX471" i="1"/>
  <c r="BZ471" i="1" s="1"/>
  <c r="BW471" i="1"/>
  <c r="BY471" i="1" s="1"/>
  <c r="CA471" i="1" s="1"/>
  <c r="DB469" i="1"/>
  <c r="DD469" i="1" s="1"/>
  <c r="DA469" i="1"/>
  <c r="DC469" i="1" s="1"/>
  <c r="AE474" i="1"/>
  <c r="AG474" i="1" s="1"/>
  <c r="AD474" i="1"/>
  <c r="AF474" i="1" s="1"/>
  <c r="AH474" i="1" s="1"/>
  <c r="G475" i="1"/>
  <c r="I475" i="1" s="1"/>
  <c r="Q475" i="1"/>
  <c r="S475" i="1" s="1"/>
  <c r="CB471" i="1" l="1"/>
  <c r="CD471" i="1" s="1"/>
  <c r="CF471" i="1" s="1"/>
  <c r="CC471" i="1"/>
  <c r="CE471" i="1" s="1"/>
  <c r="U475" i="1"/>
  <c r="W475" i="1" s="1"/>
  <c r="T475" i="1"/>
  <c r="V475" i="1" s="1"/>
  <c r="X475" i="1" s="1"/>
  <c r="BM472" i="1"/>
  <c r="BO472" i="1" s="1"/>
  <c r="BQ472" i="1" s="1"/>
  <c r="BN472" i="1"/>
  <c r="BP472" i="1" s="1"/>
  <c r="AJ474" i="1"/>
  <c r="AL474" i="1" s="1"/>
  <c r="AI474" i="1"/>
  <c r="AK474" i="1" s="1"/>
  <c r="AM474" i="1" s="1"/>
  <c r="K475" i="1"/>
  <c r="M475" i="1" s="1"/>
  <c r="J475" i="1"/>
  <c r="L475" i="1" s="1"/>
  <c r="N475" i="1" s="1"/>
  <c r="D476" i="1"/>
  <c r="AY473" i="1"/>
  <c r="BA473" i="1" s="1"/>
  <c r="AX473" i="1"/>
  <c r="AZ473" i="1" s="1"/>
  <c r="BB473" i="1" s="1"/>
  <c r="CR470" i="1"/>
  <c r="CT470" i="1" s="1"/>
  <c r="CQ470" i="1"/>
  <c r="CS470" i="1" s="1"/>
  <c r="CU470" i="1" s="1"/>
  <c r="AO474" i="1" l="1"/>
  <c r="AQ474" i="1" s="1"/>
  <c r="AN474" i="1"/>
  <c r="AP474" i="1" s="1"/>
  <c r="AR474" i="1" s="1"/>
  <c r="BS472" i="1"/>
  <c r="BU472" i="1" s="1"/>
  <c r="BR472" i="1"/>
  <c r="BT472" i="1" s="1"/>
  <c r="BV472" i="1" s="1"/>
  <c r="CW470" i="1"/>
  <c r="CY470" i="1" s="1"/>
  <c r="CV470" i="1"/>
  <c r="CX470" i="1" s="1"/>
  <c r="CZ470" i="1" s="1"/>
  <c r="Y475" i="1"/>
  <c r="AA475" i="1" s="1"/>
  <c r="AC475" i="1" s="1"/>
  <c r="Z475" i="1"/>
  <c r="AB475" i="1" s="1"/>
  <c r="O475" i="1"/>
  <c r="P475" i="1"/>
  <c r="R475" i="1" s="1"/>
  <c r="BD473" i="1"/>
  <c r="BF473" i="1" s="1"/>
  <c r="BC473" i="1"/>
  <c r="BE473" i="1" s="1"/>
  <c r="BG473" i="1" s="1"/>
  <c r="E476" i="1"/>
  <c r="F476" i="1"/>
  <c r="H476" i="1" s="1"/>
  <c r="CH471" i="1"/>
  <c r="CJ471" i="1" s="1"/>
  <c r="CG471" i="1"/>
  <c r="CI471" i="1" s="1"/>
  <c r="CK471" i="1" s="1"/>
  <c r="CM471" i="1" l="1"/>
  <c r="CO471" i="1" s="1"/>
  <c r="CL471" i="1"/>
  <c r="CN471" i="1" s="1"/>
  <c r="CP471" i="1" s="1"/>
  <c r="Q476" i="1"/>
  <c r="S476" i="1" s="1"/>
  <c r="G476" i="1"/>
  <c r="I476" i="1" s="1"/>
  <c r="AE475" i="1"/>
  <c r="AG475" i="1" s="1"/>
  <c r="AD475" i="1"/>
  <c r="AF475" i="1" s="1"/>
  <c r="AH475" i="1" s="1"/>
  <c r="BW472" i="1"/>
  <c r="BY472" i="1" s="1"/>
  <c r="CA472" i="1" s="1"/>
  <c r="BX472" i="1"/>
  <c r="BZ472" i="1" s="1"/>
  <c r="DB470" i="1"/>
  <c r="DD470" i="1" s="1"/>
  <c r="DA470" i="1"/>
  <c r="DC470" i="1" s="1"/>
  <c r="BI473" i="1"/>
  <c r="BK473" i="1" s="1"/>
  <c r="BH473" i="1"/>
  <c r="BJ473" i="1" s="1"/>
  <c r="BL473" i="1" s="1"/>
  <c r="AT474" i="1"/>
  <c r="AV474" i="1" s="1"/>
  <c r="AS474" i="1"/>
  <c r="AU474" i="1" s="1"/>
  <c r="AW474" i="1" s="1"/>
  <c r="CC472" i="1" l="1"/>
  <c r="CE472" i="1" s="1"/>
  <c r="CB472" i="1"/>
  <c r="CD472" i="1" s="1"/>
  <c r="CF472" i="1" s="1"/>
  <c r="AX474" i="1"/>
  <c r="AZ474" i="1" s="1"/>
  <c r="BB474" i="1" s="1"/>
  <c r="AY474" i="1"/>
  <c r="BA474" i="1" s="1"/>
  <c r="BN473" i="1"/>
  <c r="BP473" i="1" s="1"/>
  <c r="BM473" i="1"/>
  <c r="BO473" i="1" s="1"/>
  <c r="BQ473" i="1" s="1"/>
  <c r="AI475" i="1"/>
  <c r="AK475" i="1" s="1"/>
  <c r="AM475" i="1" s="1"/>
  <c r="AJ475" i="1"/>
  <c r="AL475" i="1" s="1"/>
  <c r="U476" i="1"/>
  <c r="W476" i="1" s="1"/>
  <c r="T476" i="1"/>
  <c r="V476" i="1" s="1"/>
  <c r="X476" i="1" s="1"/>
  <c r="K476" i="1"/>
  <c r="M476" i="1" s="1"/>
  <c r="J476" i="1"/>
  <c r="L476" i="1" s="1"/>
  <c r="N476" i="1" s="1"/>
  <c r="D477" i="1"/>
  <c r="CR471" i="1"/>
  <c r="CT471" i="1" s="1"/>
  <c r="CQ471" i="1"/>
  <c r="CS471" i="1" s="1"/>
  <c r="CU471" i="1" s="1"/>
  <c r="BS473" i="1" l="1"/>
  <c r="BU473" i="1" s="1"/>
  <c r="BR473" i="1"/>
  <c r="BT473" i="1" s="1"/>
  <c r="BV473" i="1" s="1"/>
  <c r="CW471" i="1"/>
  <c r="CY471" i="1" s="1"/>
  <c r="CV471" i="1"/>
  <c r="CX471" i="1" s="1"/>
  <c r="CZ471" i="1" s="1"/>
  <c r="BC474" i="1"/>
  <c r="BE474" i="1" s="1"/>
  <c r="BG474" i="1" s="1"/>
  <c r="BD474" i="1"/>
  <c r="BF474" i="1" s="1"/>
  <c r="AO475" i="1"/>
  <c r="AQ475" i="1" s="1"/>
  <c r="AN475" i="1"/>
  <c r="AP475" i="1" s="1"/>
  <c r="AR475" i="1" s="1"/>
  <c r="E477" i="1"/>
  <c r="F477" i="1"/>
  <c r="H477" i="1" s="1"/>
  <c r="CG472" i="1"/>
  <c r="CI472" i="1" s="1"/>
  <c r="CK472" i="1" s="1"/>
  <c r="CH472" i="1"/>
  <c r="CJ472" i="1" s="1"/>
  <c r="P476" i="1"/>
  <c r="R476" i="1" s="1"/>
  <c r="O476" i="1"/>
  <c r="Y476" i="1"/>
  <c r="AA476" i="1" s="1"/>
  <c r="AC476" i="1" s="1"/>
  <c r="Z476" i="1"/>
  <c r="AB476" i="1" s="1"/>
  <c r="AE476" i="1" l="1"/>
  <c r="AG476" i="1" s="1"/>
  <c r="AD476" i="1"/>
  <c r="AF476" i="1" s="1"/>
  <c r="AH476" i="1" s="1"/>
  <c r="AT475" i="1"/>
  <c r="AV475" i="1" s="1"/>
  <c r="AS475" i="1"/>
  <c r="AU475" i="1" s="1"/>
  <c r="AW475" i="1" s="1"/>
  <c r="DB471" i="1"/>
  <c r="DD471" i="1" s="1"/>
  <c r="DA471" i="1"/>
  <c r="DC471" i="1" s="1"/>
  <c r="BX473" i="1"/>
  <c r="BZ473" i="1" s="1"/>
  <c r="BW473" i="1"/>
  <c r="BY473" i="1" s="1"/>
  <c r="CA473" i="1" s="1"/>
  <c r="BI474" i="1"/>
  <c r="BK474" i="1" s="1"/>
  <c r="BH474" i="1"/>
  <c r="BJ474" i="1" s="1"/>
  <c r="BL474" i="1" s="1"/>
  <c r="CM472" i="1"/>
  <c r="CO472" i="1" s="1"/>
  <c r="CL472" i="1"/>
  <c r="CN472" i="1" s="1"/>
  <c r="CP472" i="1" s="1"/>
  <c r="G477" i="1"/>
  <c r="I477" i="1" s="1"/>
  <c r="Q477" i="1"/>
  <c r="S477" i="1" s="1"/>
  <c r="J477" i="1" l="1"/>
  <c r="L477" i="1" s="1"/>
  <c r="N477" i="1" s="1"/>
  <c r="K477" i="1"/>
  <c r="M477" i="1" s="1"/>
  <c r="D478" i="1"/>
  <c r="CC473" i="1"/>
  <c r="CE473" i="1" s="1"/>
  <c r="CB473" i="1"/>
  <c r="CD473" i="1" s="1"/>
  <c r="CF473" i="1" s="1"/>
  <c r="CR472" i="1"/>
  <c r="CT472" i="1" s="1"/>
  <c r="CQ472" i="1"/>
  <c r="CS472" i="1" s="1"/>
  <c r="CU472" i="1" s="1"/>
  <c r="AI476" i="1"/>
  <c r="AK476" i="1" s="1"/>
  <c r="AM476" i="1" s="1"/>
  <c r="AJ476" i="1"/>
  <c r="AL476" i="1" s="1"/>
  <c r="U477" i="1"/>
  <c r="W477" i="1" s="1"/>
  <c r="T477" i="1"/>
  <c r="V477" i="1" s="1"/>
  <c r="X477" i="1" s="1"/>
  <c r="AY475" i="1"/>
  <c r="BA475" i="1" s="1"/>
  <c r="AX475" i="1"/>
  <c r="AZ475" i="1" s="1"/>
  <c r="BB475" i="1" s="1"/>
  <c r="BN474" i="1"/>
  <c r="BP474" i="1" s="1"/>
  <c r="BM474" i="1"/>
  <c r="BO474" i="1" s="1"/>
  <c r="BQ474" i="1" s="1"/>
  <c r="BS474" i="1" l="1"/>
  <c r="BU474" i="1" s="1"/>
  <c r="BR474" i="1"/>
  <c r="BT474" i="1" s="1"/>
  <c r="BV474" i="1" s="1"/>
  <c r="AO476" i="1"/>
  <c r="AQ476" i="1" s="1"/>
  <c r="AN476" i="1"/>
  <c r="AP476" i="1" s="1"/>
  <c r="AR476" i="1" s="1"/>
  <c r="CH473" i="1"/>
  <c r="CJ473" i="1" s="1"/>
  <c r="CG473" i="1"/>
  <c r="CI473" i="1" s="1"/>
  <c r="CK473" i="1" s="1"/>
  <c r="CV472" i="1"/>
  <c r="CX472" i="1" s="1"/>
  <c r="CW472" i="1"/>
  <c r="CY472" i="1" s="1"/>
  <c r="E478" i="1"/>
  <c r="F478" i="1"/>
  <c r="H478" i="1" s="1"/>
  <c r="BC475" i="1"/>
  <c r="BE475" i="1" s="1"/>
  <c r="BG475" i="1" s="1"/>
  <c r="BD475" i="1"/>
  <c r="BF475" i="1" s="1"/>
  <c r="Y477" i="1"/>
  <c r="AA477" i="1" s="1"/>
  <c r="AC477" i="1" s="1"/>
  <c r="Z477" i="1"/>
  <c r="AB477" i="1" s="1"/>
  <c r="P477" i="1"/>
  <c r="R477" i="1" s="1"/>
  <c r="O477" i="1"/>
  <c r="CZ472" i="1" l="1"/>
  <c r="AE477" i="1"/>
  <c r="AG477" i="1" s="1"/>
  <c r="AD477" i="1"/>
  <c r="AF477" i="1" s="1"/>
  <c r="AH477" i="1" s="1"/>
  <c r="AT476" i="1"/>
  <c r="AV476" i="1" s="1"/>
  <c r="AS476" i="1"/>
  <c r="AU476" i="1" s="1"/>
  <c r="AW476" i="1" s="1"/>
  <c r="BX474" i="1"/>
  <c r="BZ474" i="1" s="1"/>
  <c r="BW474" i="1"/>
  <c r="BY474" i="1" s="1"/>
  <c r="CA474" i="1" s="1"/>
  <c r="CL473" i="1"/>
  <c r="CN473" i="1" s="1"/>
  <c r="CP473" i="1" s="1"/>
  <c r="CM473" i="1"/>
  <c r="CO473" i="1" s="1"/>
  <c r="BI475" i="1"/>
  <c r="BK475" i="1" s="1"/>
  <c r="BH475" i="1"/>
  <c r="BJ475" i="1" s="1"/>
  <c r="BL475" i="1" s="1"/>
  <c r="Q478" i="1"/>
  <c r="S478" i="1" s="1"/>
  <c r="G478" i="1"/>
  <c r="I478" i="1" s="1"/>
  <c r="CC474" i="1" l="1"/>
  <c r="CE474" i="1" s="1"/>
  <c r="CB474" i="1"/>
  <c r="CD474" i="1" s="1"/>
  <c r="CF474" i="1" s="1"/>
  <c r="AX476" i="1"/>
  <c r="AZ476" i="1" s="1"/>
  <c r="BB476" i="1" s="1"/>
  <c r="AY476" i="1"/>
  <c r="BA476" i="1" s="1"/>
  <c r="CQ473" i="1"/>
  <c r="CS473" i="1" s="1"/>
  <c r="CU473" i="1" s="1"/>
  <c r="CR473" i="1"/>
  <c r="CT473" i="1" s="1"/>
  <c r="K478" i="1"/>
  <c r="M478" i="1" s="1"/>
  <c r="J478" i="1"/>
  <c r="L478" i="1" s="1"/>
  <c r="N478" i="1" s="1"/>
  <c r="D479" i="1"/>
  <c r="BN475" i="1"/>
  <c r="BP475" i="1" s="1"/>
  <c r="BM475" i="1"/>
  <c r="BO475" i="1" s="1"/>
  <c r="BQ475" i="1" s="1"/>
  <c r="U478" i="1"/>
  <c r="W478" i="1" s="1"/>
  <c r="T478" i="1"/>
  <c r="V478" i="1" s="1"/>
  <c r="X478" i="1" s="1"/>
  <c r="AI477" i="1"/>
  <c r="AK477" i="1" s="1"/>
  <c r="AM477" i="1" s="1"/>
  <c r="AJ477" i="1"/>
  <c r="AL477" i="1" s="1"/>
  <c r="DA472" i="1"/>
  <c r="DC472" i="1" s="1"/>
  <c r="DB472" i="1"/>
  <c r="DD472" i="1" s="1"/>
  <c r="O478" i="1" l="1"/>
  <c r="P478" i="1"/>
  <c r="R478" i="1" s="1"/>
  <c r="AN477" i="1"/>
  <c r="AP477" i="1" s="1"/>
  <c r="AR477" i="1" s="1"/>
  <c r="AO477" i="1"/>
  <c r="AQ477" i="1" s="1"/>
  <c r="BS475" i="1"/>
  <c r="BU475" i="1" s="1"/>
  <c r="BR475" i="1"/>
  <c r="BT475" i="1" s="1"/>
  <c r="BV475" i="1" s="1"/>
  <c r="CW473" i="1"/>
  <c r="CY473" i="1" s="1"/>
  <c r="CV473" i="1"/>
  <c r="CX473" i="1" s="1"/>
  <c r="CZ473" i="1" s="1"/>
  <c r="CG474" i="1"/>
  <c r="CI474" i="1" s="1"/>
  <c r="CK474" i="1" s="1"/>
  <c r="CH474" i="1"/>
  <c r="CJ474" i="1" s="1"/>
  <c r="Y478" i="1"/>
  <c r="AA478" i="1" s="1"/>
  <c r="AC478" i="1" s="1"/>
  <c r="Z478" i="1"/>
  <c r="AB478" i="1" s="1"/>
  <c r="BD476" i="1"/>
  <c r="BF476" i="1" s="1"/>
  <c r="BC476" i="1"/>
  <c r="BE476" i="1" s="1"/>
  <c r="BG476" i="1" s="1"/>
  <c r="E479" i="1"/>
  <c r="F479" i="1"/>
  <c r="H479" i="1" s="1"/>
  <c r="Q479" i="1" l="1"/>
  <c r="S479" i="1" s="1"/>
  <c r="G479" i="1"/>
  <c r="I479" i="1" s="1"/>
  <c r="DB473" i="1"/>
  <c r="DD473" i="1" s="1"/>
  <c r="DA473" i="1"/>
  <c r="DC473" i="1" s="1"/>
  <c r="BI476" i="1"/>
  <c r="BK476" i="1" s="1"/>
  <c r="BH476" i="1"/>
  <c r="BJ476" i="1" s="1"/>
  <c r="BL476" i="1" s="1"/>
  <c r="AD478" i="1"/>
  <c r="AF478" i="1" s="1"/>
  <c r="AH478" i="1" s="1"/>
  <c r="AE478" i="1"/>
  <c r="AG478" i="1" s="1"/>
  <c r="BW475" i="1"/>
  <c r="BY475" i="1" s="1"/>
  <c r="CA475" i="1" s="1"/>
  <c r="BX475" i="1"/>
  <c r="BZ475" i="1" s="1"/>
  <c r="AT477" i="1"/>
  <c r="AV477" i="1" s="1"/>
  <c r="AS477" i="1"/>
  <c r="AU477" i="1" s="1"/>
  <c r="AW477" i="1" s="1"/>
  <c r="CM474" i="1"/>
  <c r="CO474" i="1" s="1"/>
  <c r="CL474" i="1"/>
  <c r="CN474" i="1" s="1"/>
  <c r="CP474" i="1" s="1"/>
  <c r="AJ478" i="1" l="1"/>
  <c r="AL478" i="1" s="1"/>
  <c r="AI478" i="1"/>
  <c r="AK478" i="1" s="1"/>
  <c r="AM478" i="1" s="1"/>
  <c r="CB475" i="1"/>
  <c r="CD475" i="1" s="1"/>
  <c r="CF475" i="1" s="1"/>
  <c r="CC475" i="1"/>
  <c r="CE475" i="1" s="1"/>
  <c r="AY477" i="1"/>
  <c r="BA477" i="1" s="1"/>
  <c r="AX477" i="1"/>
  <c r="AZ477" i="1" s="1"/>
  <c r="BB477" i="1" s="1"/>
  <c r="CR474" i="1"/>
  <c r="CT474" i="1" s="1"/>
  <c r="CQ474" i="1"/>
  <c r="CS474" i="1" s="1"/>
  <c r="CU474" i="1" s="1"/>
  <c r="K479" i="1"/>
  <c r="M479" i="1" s="1"/>
  <c r="J479" i="1"/>
  <c r="L479" i="1" s="1"/>
  <c r="N479" i="1" s="1"/>
  <c r="D480" i="1"/>
  <c r="BN476" i="1"/>
  <c r="BP476" i="1" s="1"/>
  <c r="BM476" i="1"/>
  <c r="BO476" i="1" s="1"/>
  <c r="BQ476" i="1" s="1"/>
  <c r="T479" i="1"/>
  <c r="V479" i="1" s="1"/>
  <c r="X479" i="1" s="1"/>
  <c r="U479" i="1"/>
  <c r="W479" i="1" s="1"/>
  <c r="Z479" i="1" l="1"/>
  <c r="AB479" i="1" s="1"/>
  <c r="Y479" i="1"/>
  <c r="AA479" i="1" s="1"/>
  <c r="AC479" i="1" s="1"/>
  <c r="CH475" i="1"/>
  <c r="CJ475" i="1" s="1"/>
  <c r="CG475" i="1"/>
  <c r="CI475" i="1" s="1"/>
  <c r="CK475" i="1" s="1"/>
  <c r="CW474" i="1"/>
  <c r="CY474" i="1" s="1"/>
  <c r="CV474" i="1"/>
  <c r="CX474" i="1" s="1"/>
  <c r="CZ474" i="1" s="1"/>
  <c r="E480" i="1"/>
  <c r="F480" i="1"/>
  <c r="H480" i="1" s="1"/>
  <c r="BS476" i="1"/>
  <c r="BU476" i="1" s="1"/>
  <c r="BR476" i="1"/>
  <c r="BT476" i="1" s="1"/>
  <c r="BV476" i="1" s="1"/>
  <c r="AO478" i="1"/>
  <c r="AQ478" i="1" s="1"/>
  <c r="AN478" i="1"/>
  <c r="AP478" i="1" s="1"/>
  <c r="AR478" i="1" s="1"/>
  <c r="BC477" i="1"/>
  <c r="BE477" i="1" s="1"/>
  <c r="BG477" i="1" s="1"/>
  <c r="BD477" i="1"/>
  <c r="BF477" i="1" s="1"/>
  <c r="P479" i="1"/>
  <c r="R479" i="1" s="1"/>
  <c r="O479" i="1"/>
  <c r="BI477" i="1" l="1"/>
  <c r="BK477" i="1" s="1"/>
  <c r="BH477" i="1"/>
  <c r="BJ477" i="1" s="1"/>
  <c r="BL477" i="1" s="1"/>
  <c r="DB474" i="1"/>
  <c r="DD474" i="1" s="1"/>
  <c r="DA474" i="1"/>
  <c r="DC474" i="1" s="1"/>
  <c r="CM475" i="1"/>
  <c r="CO475" i="1" s="1"/>
  <c r="CL475" i="1"/>
  <c r="CN475" i="1" s="1"/>
  <c r="CP475" i="1" s="1"/>
  <c r="BX476" i="1"/>
  <c r="BZ476" i="1" s="1"/>
  <c r="BW476" i="1"/>
  <c r="BY476" i="1" s="1"/>
  <c r="CA476" i="1" s="1"/>
  <c r="G480" i="1"/>
  <c r="I480" i="1" s="1"/>
  <c r="Q480" i="1"/>
  <c r="S480" i="1" s="1"/>
  <c r="AT478" i="1"/>
  <c r="AV478" i="1" s="1"/>
  <c r="AS478" i="1"/>
  <c r="AU478" i="1" s="1"/>
  <c r="AW478" i="1" s="1"/>
  <c r="AE479" i="1"/>
  <c r="AG479" i="1" s="1"/>
  <c r="AD479" i="1"/>
  <c r="AF479" i="1" s="1"/>
  <c r="AH479" i="1" s="1"/>
  <c r="CB476" i="1" l="1"/>
  <c r="CD476" i="1" s="1"/>
  <c r="CF476" i="1" s="1"/>
  <c r="CC476" i="1"/>
  <c r="CE476" i="1" s="1"/>
  <c r="CQ475" i="1"/>
  <c r="CS475" i="1" s="1"/>
  <c r="CU475" i="1" s="1"/>
  <c r="CR475" i="1"/>
  <c r="CT475" i="1" s="1"/>
  <c r="AY478" i="1"/>
  <c r="BA478" i="1" s="1"/>
  <c r="AX478" i="1"/>
  <c r="AZ478" i="1" s="1"/>
  <c r="BB478" i="1" s="1"/>
  <c r="U480" i="1"/>
  <c r="W480" i="1" s="1"/>
  <c r="T480" i="1"/>
  <c r="V480" i="1" s="1"/>
  <c r="X480" i="1" s="1"/>
  <c r="AJ479" i="1"/>
  <c r="AL479" i="1" s="1"/>
  <c r="AI479" i="1"/>
  <c r="AK479" i="1" s="1"/>
  <c r="AM479" i="1" s="1"/>
  <c r="BN477" i="1"/>
  <c r="BP477" i="1" s="1"/>
  <c r="BM477" i="1"/>
  <c r="BO477" i="1" s="1"/>
  <c r="BQ477" i="1" s="1"/>
  <c r="J480" i="1"/>
  <c r="L480" i="1" s="1"/>
  <c r="N480" i="1" s="1"/>
  <c r="K480" i="1"/>
  <c r="M480" i="1" s="1"/>
  <c r="D481" i="1"/>
  <c r="BC478" i="1" l="1"/>
  <c r="BE478" i="1" s="1"/>
  <c r="BG478" i="1" s="1"/>
  <c r="BD478" i="1"/>
  <c r="BF478" i="1" s="1"/>
  <c r="P480" i="1"/>
  <c r="R480" i="1" s="1"/>
  <c r="O480" i="1"/>
  <c r="CH476" i="1"/>
  <c r="CJ476" i="1" s="1"/>
  <c r="CG476" i="1"/>
  <c r="CI476" i="1" s="1"/>
  <c r="CK476" i="1" s="1"/>
  <c r="Y480" i="1"/>
  <c r="AA480" i="1" s="1"/>
  <c r="AC480" i="1" s="1"/>
  <c r="Z480" i="1"/>
  <c r="AB480" i="1" s="1"/>
  <c r="E481" i="1"/>
  <c r="F481" i="1"/>
  <c r="H481" i="1" s="1"/>
  <c r="BR477" i="1"/>
  <c r="BT477" i="1" s="1"/>
  <c r="BV477" i="1" s="1"/>
  <c r="BS477" i="1"/>
  <c r="BU477" i="1" s="1"/>
  <c r="CW475" i="1"/>
  <c r="CY475" i="1" s="1"/>
  <c r="CV475" i="1"/>
  <c r="CX475" i="1" s="1"/>
  <c r="CZ475" i="1" s="1"/>
  <c r="AO479" i="1"/>
  <c r="AQ479" i="1" s="1"/>
  <c r="AN479" i="1"/>
  <c r="AP479" i="1" s="1"/>
  <c r="AR479" i="1" s="1"/>
  <c r="DA475" i="1" l="1"/>
  <c r="DC475" i="1" s="1"/>
  <c r="DB475" i="1"/>
  <c r="DD475" i="1" s="1"/>
  <c r="BW477" i="1"/>
  <c r="BY477" i="1" s="1"/>
  <c r="CA477" i="1" s="1"/>
  <c r="BX477" i="1"/>
  <c r="BZ477" i="1" s="1"/>
  <c r="AE480" i="1"/>
  <c r="AG480" i="1" s="1"/>
  <c r="AD480" i="1"/>
  <c r="AF480" i="1" s="1"/>
  <c r="AH480" i="1" s="1"/>
  <c r="AT479" i="1"/>
  <c r="AV479" i="1" s="1"/>
  <c r="AS479" i="1"/>
  <c r="AU479" i="1" s="1"/>
  <c r="AW479" i="1" s="1"/>
  <c r="CM476" i="1"/>
  <c r="CO476" i="1" s="1"/>
  <c r="CL476" i="1"/>
  <c r="CN476" i="1" s="1"/>
  <c r="CP476" i="1" s="1"/>
  <c r="Q481" i="1"/>
  <c r="S481" i="1" s="1"/>
  <c r="G481" i="1"/>
  <c r="I481" i="1" s="1"/>
  <c r="BH478" i="1"/>
  <c r="BJ478" i="1" s="1"/>
  <c r="BL478" i="1" s="1"/>
  <c r="BI478" i="1"/>
  <c r="BK478" i="1" s="1"/>
  <c r="AJ480" i="1" l="1"/>
  <c r="AL480" i="1" s="1"/>
  <c r="AI480" i="1"/>
  <c r="AK480" i="1" s="1"/>
  <c r="AM480" i="1" s="1"/>
  <c r="AX479" i="1"/>
  <c r="AZ479" i="1" s="1"/>
  <c r="BB479" i="1" s="1"/>
  <c r="AY479" i="1"/>
  <c r="BA479" i="1" s="1"/>
  <c r="U481" i="1"/>
  <c r="W481" i="1" s="1"/>
  <c r="T481" i="1"/>
  <c r="V481" i="1" s="1"/>
  <c r="X481" i="1" s="1"/>
  <c r="BM478" i="1"/>
  <c r="BO478" i="1" s="1"/>
  <c r="BQ478" i="1" s="1"/>
  <c r="BN478" i="1"/>
  <c r="BP478" i="1" s="1"/>
  <c r="K481" i="1"/>
  <c r="M481" i="1" s="1"/>
  <c r="J481" i="1"/>
  <c r="L481" i="1" s="1"/>
  <c r="N481" i="1" s="1"/>
  <c r="D482" i="1"/>
  <c r="CQ476" i="1"/>
  <c r="CS476" i="1" s="1"/>
  <c r="CU476" i="1" s="1"/>
  <c r="CR476" i="1"/>
  <c r="CT476" i="1" s="1"/>
  <c r="CC477" i="1"/>
  <c r="CE477" i="1" s="1"/>
  <c r="CB477" i="1"/>
  <c r="CD477" i="1" s="1"/>
  <c r="CF477" i="1" s="1"/>
  <c r="Y481" i="1" l="1"/>
  <c r="AA481" i="1" s="1"/>
  <c r="AC481" i="1" s="1"/>
  <c r="Z481" i="1"/>
  <c r="AB481" i="1" s="1"/>
  <c r="CG477" i="1"/>
  <c r="CI477" i="1" s="1"/>
  <c r="CK477" i="1" s="1"/>
  <c r="CH477" i="1"/>
  <c r="CJ477" i="1" s="1"/>
  <c r="BD479" i="1"/>
  <c r="BF479" i="1" s="1"/>
  <c r="BC479" i="1"/>
  <c r="BE479" i="1" s="1"/>
  <c r="BG479" i="1" s="1"/>
  <c r="AO480" i="1"/>
  <c r="AQ480" i="1" s="1"/>
  <c r="AN480" i="1"/>
  <c r="AP480" i="1" s="1"/>
  <c r="AR480" i="1" s="1"/>
  <c r="BS478" i="1"/>
  <c r="BU478" i="1" s="1"/>
  <c r="BR478" i="1"/>
  <c r="BT478" i="1" s="1"/>
  <c r="BV478" i="1" s="1"/>
  <c r="CW476" i="1"/>
  <c r="CY476" i="1" s="1"/>
  <c r="CV476" i="1"/>
  <c r="CX476" i="1" s="1"/>
  <c r="CZ476" i="1" s="1"/>
  <c r="F482" i="1"/>
  <c r="H482" i="1" s="1"/>
  <c r="E482" i="1"/>
  <c r="O481" i="1"/>
  <c r="P481" i="1"/>
  <c r="R481" i="1" s="1"/>
  <c r="AS480" i="1" l="1"/>
  <c r="AU480" i="1" s="1"/>
  <c r="AW480" i="1" s="1"/>
  <c r="AT480" i="1"/>
  <c r="AV480" i="1" s="1"/>
  <c r="DB476" i="1"/>
  <c r="DD476" i="1" s="1"/>
  <c r="DA476" i="1"/>
  <c r="DC476" i="1" s="1"/>
  <c r="G482" i="1"/>
  <c r="I482" i="1" s="1"/>
  <c r="Q482" i="1"/>
  <c r="S482" i="1" s="1"/>
  <c r="BW478" i="1"/>
  <c r="BY478" i="1" s="1"/>
  <c r="CA478" i="1" s="1"/>
  <c r="BX478" i="1"/>
  <c r="BZ478" i="1" s="1"/>
  <c r="BI479" i="1"/>
  <c r="BK479" i="1" s="1"/>
  <c r="BH479" i="1"/>
  <c r="BJ479" i="1" s="1"/>
  <c r="BL479" i="1" s="1"/>
  <c r="CM477" i="1"/>
  <c r="CO477" i="1" s="1"/>
  <c r="CL477" i="1"/>
  <c r="CN477" i="1" s="1"/>
  <c r="CP477" i="1" s="1"/>
  <c r="AE481" i="1"/>
  <c r="AG481" i="1" s="1"/>
  <c r="AD481" i="1"/>
  <c r="AF481" i="1" s="1"/>
  <c r="AH481" i="1" s="1"/>
  <c r="T482" i="1" l="1"/>
  <c r="V482" i="1" s="1"/>
  <c r="X482" i="1" s="1"/>
  <c r="U482" i="1"/>
  <c r="W482" i="1" s="1"/>
  <c r="CB478" i="1"/>
  <c r="CD478" i="1" s="1"/>
  <c r="CF478" i="1" s="1"/>
  <c r="CC478" i="1"/>
  <c r="CE478" i="1" s="1"/>
  <c r="K482" i="1"/>
  <c r="M482" i="1" s="1"/>
  <c r="J482" i="1"/>
  <c r="L482" i="1" s="1"/>
  <c r="N482" i="1" s="1"/>
  <c r="D483" i="1"/>
  <c r="CR477" i="1"/>
  <c r="CT477" i="1" s="1"/>
  <c r="CQ477" i="1"/>
  <c r="CS477" i="1" s="1"/>
  <c r="CU477" i="1" s="1"/>
  <c r="AJ481" i="1"/>
  <c r="AL481" i="1" s="1"/>
  <c r="AI481" i="1"/>
  <c r="AK481" i="1" s="1"/>
  <c r="AM481" i="1" s="1"/>
  <c r="BM479" i="1"/>
  <c r="BO479" i="1" s="1"/>
  <c r="BQ479" i="1" s="1"/>
  <c r="BN479" i="1"/>
  <c r="BP479" i="1" s="1"/>
  <c r="AY480" i="1"/>
  <c r="BA480" i="1" s="1"/>
  <c r="AX480" i="1"/>
  <c r="AZ480" i="1" s="1"/>
  <c r="BB480" i="1" s="1"/>
  <c r="P482" i="1" l="1"/>
  <c r="R482" i="1" s="1"/>
  <c r="O482" i="1"/>
  <c r="CH478" i="1"/>
  <c r="CJ478" i="1" s="1"/>
  <c r="CG478" i="1"/>
  <c r="CI478" i="1" s="1"/>
  <c r="CK478" i="1" s="1"/>
  <c r="BC480" i="1"/>
  <c r="BE480" i="1" s="1"/>
  <c r="BG480" i="1" s="1"/>
  <c r="BD480" i="1"/>
  <c r="BF480" i="1" s="1"/>
  <c r="AO481" i="1"/>
  <c r="AQ481" i="1" s="1"/>
  <c r="AN481" i="1"/>
  <c r="AP481" i="1" s="1"/>
  <c r="AR481" i="1" s="1"/>
  <c r="BS479" i="1"/>
  <c r="BU479" i="1" s="1"/>
  <c r="BR479" i="1"/>
  <c r="BT479" i="1" s="1"/>
  <c r="BV479" i="1" s="1"/>
  <c r="F483" i="1"/>
  <c r="H483" i="1" s="1"/>
  <c r="E483" i="1"/>
  <c r="CW477" i="1"/>
  <c r="CY477" i="1" s="1"/>
  <c r="CV477" i="1"/>
  <c r="CX477" i="1" s="1"/>
  <c r="CZ477" i="1" s="1"/>
  <c r="Y482" i="1"/>
  <c r="AA482" i="1" s="1"/>
  <c r="AC482" i="1" s="1"/>
  <c r="Z482" i="1"/>
  <c r="AB482" i="1" s="1"/>
  <c r="AS481" i="1" l="1"/>
  <c r="AU481" i="1" s="1"/>
  <c r="AW481" i="1" s="1"/>
  <c r="AT481" i="1"/>
  <c r="AV481" i="1" s="1"/>
  <c r="DA477" i="1"/>
  <c r="DC477" i="1" s="1"/>
  <c r="DB477" i="1"/>
  <c r="DD477" i="1" s="1"/>
  <c r="Q483" i="1"/>
  <c r="S483" i="1" s="1"/>
  <c r="G483" i="1"/>
  <c r="I483" i="1" s="1"/>
  <c r="AE482" i="1"/>
  <c r="AG482" i="1" s="1"/>
  <c r="AD482" i="1"/>
  <c r="AF482" i="1" s="1"/>
  <c r="AH482" i="1" s="1"/>
  <c r="BI480" i="1"/>
  <c r="BK480" i="1" s="1"/>
  <c r="BH480" i="1"/>
  <c r="BJ480" i="1" s="1"/>
  <c r="BL480" i="1" s="1"/>
  <c r="CM478" i="1"/>
  <c r="CO478" i="1" s="1"/>
  <c r="CL478" i="1"/>
  <c r="CN478" i="1" s="1"/>
  <c r="CP478" i="1" s="1"/>
  <c r="BX479" i="1"/>
  <c r="BZ479" i="1" s="1"/>
  <c r="BW479" i="1"/>
  <c r="BY479" i="1" s="1"/>
  <c r="CA479" i="1" s="1"/>
  <c r="CC479" i="1" l="1"/>
  <c r="CE479" i="1" s="1"/>
  <c r="CB479" i="1"/>
  <c r="CD479" i="1" s="1"/>
  <c r="CF479" i="1" s="1"/>
  <c r="AI482" i="1"/>
  <c r="AK482" i="1" s="1"/>
  <c r="AM482" i="1" s="1"/>
  <c r="AJ482" i="1"/>
  <c r="AL482" i="1" s="1"/>
  <c r="U483" i="1"/>
  <c r="W483" i="1" s="1"/>
  <c r="T483" i="1"/>
  <c r="V483" i="1" s="1"/>
  <c r="X483" i="1" s="1"/>
  <c r="J483" i="1"/>
  <c r="L483" i="1" s="1"/>
  <c r="N483" i="1" s="1"/>
  <c r="K483" i="1"/>
  <c r="M483" i="1" s="1"/>
  <c r="D484" i="1"/>
  <c r="CR478" i="1"/>
  <c r="CT478" i="1" s="1"/>
  <c r="CQ478" i="1"/>
  <c r="CS478" i="1" s="1"/>
  <c r="CU478" i="1" s="1"/>
  <c r="BN480" i="1"/>
  <c r="BP480" i="1" s="1"/>
  <c r="BM480" i="1"/>
  <c r="BO480" i="1" s="1"/>
  <c r="BQ480" i="1" s="1"/>
  <c r="AY481" i="1"/>
  <c r="BA481" i="1" s="1"/>
  <c r="AX481" i="1"/>
  <c r="AZ481" i="1" s="1"/>
  <c r="BB481" i="1" s="1"/>
  <c r="P483" i="1" l="1"/>
  <c r="R483" i="1" s="1"/>
  <c r="O483" i="1"/>
  <c r="BC481" i="1"/>
  <c r="BE481" i="1" s="1"/>
  <c r="BG481" i="1" s="1"/>
  <c r="BD481" i="1"/>
  <c r="BF481" i="1" s="1"/>
  <c r="BS480" i="1"/>
  <c r="BU480" i="1" s="1"/>
  <c r="BR480" i="1"/>
  <c r="BT480" i="1" s="1"/>
  <c r="BV480" i="1" s="1"/>
  <c r="Y483" i="1"/>
  <c r="AA483" i="1" s="1"/>
  <c r="AC483" i="1" s="1"/>
  <c r="Z483" i="1"/>
  <c r="AB483" i="1" s="1"/>
  <c r="AO482" i="1"/>
  <c r="AQ482" i="1" s="1"/>
  <c r="AN482" i="1"/>
  <c r="AP482" i="1" s="1"/>
  <c r="AR482" i="1" s="1"/>
  <c r="CV478" i="1"/>
  <c r="CX478" i="1" s="1"/>
  <c r="CW478" i="1"/>
  <c r="CY478" i="1" s="1"/>
  <c r="CG479" i="1"/>
  <c r="CI479" i="1" s="1"/>
  <c r="CK479" i="1" s="1"/>
  <c r="CH479" i="1"/>
  <c r="CJ479" i="1" s="1"/>
  <c r="F484" i="1"/>
  <c r="H484" i="1" s="1"/>
  <c r="E484" i="1"/>
  <c r="G484" i="1" l="1"/>
  <c r="I484" i="1" s="1"/>
  <c r="Q484" i="1"/>
  <c r="S484" i="1" s="1"/>
  <c r="BW480" i="1"/>
  <c r="BY480" i="1" s="1"/>
  <c r="CA480" i="1" s="1"/>
  <c r="BX480" i="1"/>
  <c r="BZ480" i="1" s="1"/>
  <c r="AE483" i="1"/>
  <c r="AG483" i="1" s="1"/>
  <c r="AD483" i="1"/>
  <c r="AF483" i="1" s="1"/>
  <c r="AH483" i="1" s="1"/>
  <c r="CL479" i="1"/>
  <c r="CN479" i="1" s="1"/>
  <c r="CP479" i="1" s="1"/>
  <c r="CM479" i="1"/>
  <c r="CO479" i="1" s="1"/>
  <c r="BI481" i="1"/>
  <c r="BK481" i="1" s="1"/>
  <c r="BH481" i="1"/>
  <c r="BJ481" i="1" s="1"/>
  <c r="BL481" i="1" s="1"/>
  <c r="CZ478" i="1"/>
  <c r="AS482" i="1"/>
  <c r="AU482" i="1" s="1"/>
  <c r="AW482" i="1" s="1"/>
  <c r="AT482" i="1"/>
  <c r="AV482" i="1" s="1"/>
  <c r="CQ479" i="1" l="1"/>
  <c r="CS479" i="1" s="1"/>
  <c r="CU479" i="1" s="1"/>
  <c r="CR479" i="1"/>
  <c r="CT479" i="1" s="1"/>
  <c r="AX482" i="1"/>
  <c r="AZ482" i="1" s="1"/>
  <c r="BB482" i="1" s="1"/>
  <c r="AY482" i="1"/>
  <c r="BA482" i="1" s="1"/>
  <c r="BN481" i="1"/>
  <c r="BP481" i="1" s="1"/>
  <c r="BM481" i="1"/>
  <c r="BO481" i="1" s="1"/>
  <c r="BQ481" i="1" s="1"/>
  <c r="AJ483" i="1"/>
  <c r="AL483" i="1" s="1"/>
  <c r="AI483" i="1"/>
  <c r="AK483" i="1" s="1"/>
  <c r="AM483" i="1" s="1"/>
  <c r="DB478" i="1"/>
  <c r="DD478" i="1" s="1"/>
  <c r="DA478" i="1"/>
  <c r="DC478" i="1" s="1"/>
  <c r="CC480" i="1"/>
  <c r="CE480" i="1" s="1"/>
  <c r="CB480" i="1"/>
  <c r="CD480" i="1" s="1"/>
  <c r="CF480" i="1" s="1"/>
  <c r="U484" i="1"/>
  <c r="W484" i="1" s="1"/>
  <c r="T484" i="1"/>
  <c r="V484" i="1" s="1"/>
  <c r="X484" i="1" s="1"/>
  <c r="K484" i="1"/>
  <c r="M484" i="1" s="1"/>
  <c r="J484" i="1"/>
  <c r="L484" i="1" s="1"/>
  <c r="N484" i="1" s="1"/>
  <c r="D485" i="1"/>
  <c r="AN483" i="1" l="1"/>
  <c r="AP483" i="1" s="1"/>
  <c r="AR483" i="1" s="1"/>
  <c r="AO483" i="1"/>
  <c r="AQ483" i="1" s="1"/>
  <c r="P484" i="1"/>
  <c r="R484" i="1" s="1"/>
  <c r="O484" i="1"/>
  <c r="BS481" i="1"/>
  <c r="BU481" i="1" s="1"/>
  <c r="BR481" i="1"/>
  <c r="BT481" i="1" s="1"/>
  <c r="BV481" i="1" s="1"/>
  <c r="Z484" i="1"/>
  <c r="AB484" i="1" s="1"/>
  <c r="Y484" i="1"/>
  <c r="AA484" i="1" s="1"/>
  <c r="AC484" i="1" s="1"/>
  <c r="CH480" i="1"/>
  <c r="CJ480" i="1" s="1"/>
  <c r="CG480" i="1"/>
  <c r="CI480" i="1" s="1"/>
  <c r="CK480" i="1" s="1"/>
  <c r="BD482" i="1"/>
  <c r="BF482" i="1" s="1"/>
  <c r="BC482" i="1"/>
  <c r="BE482" i="1" s="1"/>
  <c r="BG482" i="1" s="1"/>
  <c r="F485" i="1"/>
  <c r="H485" i="1" s="1"/>
  <c r="E485" i="1"/>
  <c r="CW479" i="1"/>
  <c r="CY479" i="1" s="1"/>
  <c r="CV479" i="1"/>
  <c r="CX479" i="1" s="1"/>
  <c r="CZ479" i="1" s="1"/>
  <c r="AE484" i="1" l="1"/>
  <c r="AG484" i="1" s="1"/>
  <c r="AD484" i="1"/>
  <c r="AF484" i="1" s="1"/>
  <c r="AH484" i="1" s="1"/>
  <c r="BI482" i="1"/>
  <c r="BK482" i="1" s="1"/>
  <c r="BH482" i="1"/>
  <c r="BJ482" i="1" s="1"/>
  <c r="BL482" i="1" s="1"/>
  <c r="BX481" i="1"/>
  <c r="BZ481" i="1" s="1"/>
  <c r="BW481" i="1"/>
  <c r="BY481" i="1" s="1"/>
  <c r="CA481" i="1" s="1"/>
  <c r="Q485" i="1"/>
  <c r="S485" i="1" s="1"/>
  <c r="G485" i="1"/>
  <c r="I485" i="1" s="1"/>
  <c r="CM480" i="1"/>
  <c r="CO480" i="1" s="1"/>
  <c r="CL480" i="1"/>
  <c r="CN480" i="1" s="1"/>
  <c r="CP480" i="1" s="1"/>
  <c r="DB479" i="1"/>
  <c r="DD479" i="1" s="1"/>
  <c r="DA479" i="1"/>
  <c r="DC479" i="1" s="1"/>
  <c r="AT483" i="1"/>
  <c r="AV483" i="1" s="1"/>
  <c r="AS483" i="1"/>
  <c r="AU483" i="1" s="1"/>
  <c r="AW483" i="1" s="1"/>
  <c r="U485" i="1" l="1"/>
  <c r="W485" i="1" s="1"/>
  <c r="T485" i="1"/>
  <c r="V485" i="1" s="1"/>
  <c r="X485" i="1" s="1"/>
  <c r="K485" i="1"/>
  <c r="M485" i="1" s="1"/>
  <c r="J485" i="1"/>
  <c r="L485" i="1" s="1"/>
  <c r="N485" i="1" s="1"/>
  <c r="D486" i="1"/>
  <c r="BN482" i="1"/>
  <c r="BP482" i="1" s="1"/>
  <c r="BM482" i="1"/>
  <c r="BO482" i="1" s="1"/>
  <c r="BQ482" i="1" s="1"/>
  <c r="AY483" i="1"/>
  <c r="BA483" i="1" s="1"/>
  <c r="AX483" i="1"/>
  <c r="AZ483" i="1" s="1"/>
  <c r="BB483" i="1" s="1"/>
  <c r="CR480" i="1"/>
  <c r="CT480" i="1" s="1"/>
  <c r="CQ480" i="1"/>
  <c r="CS480" i="1" s="1"/>
  <c r="CU480" i="1" s="1"/>
  <c r="AJ484" i="1"/>
  <c r="AL484" i="1" s="1"/>
  <c r="AI484" i="1"/>
  <c r="AK484" i="1" s="1"/>
  <c r="AM484" i="1" s="1"/>
  <c r="CC481" i="1"/>
  <c r="CE481" i="1" s="1"/>
  <c r="CB481" i="1"/>
  <c r="CD481" i="1" s="1"/>
  <c r="CF481" i="1" s="1"/>
  <c r="BS482" i="1" l="1"/>
  <c r="BU482" i="1" s="1"/>
  <c r="BR482" i="1"/>
  <c r="BT482" i="1" s="1"/>
  <c r="BV482" i="1" s="1"/>
  <c r="BD483" i="1"/>
  <c r="BF483" i="1" s="1"/>
  <c r="BC483" i="1"/>
  <c r="BE483" i="1" s="1"/>
  <c r="BG483" i="1" s="1"/>
  <c r="AO484" i="1"/>
  <c r="AQ484" i="1" s="1"/>
  <c r="AN484" i="1"/>
  <c r="AP484" i="1" s="1"/>
  <c r="AR484" i="1" s="1"/>
  <c r="CH481" i="1"/>
  <c r="CJ481" i="1" s="1"/>
  <c r="CG481" i="1"/>
  <c r="CI481" i="1" s="1"/>
  <c r="CK481" i="1" s="1"/>
  <c r="F486" i="1"/>
  <c r="H486" i="1" s="1"/>
  <c r="E486" i="1"/>
  <c r="O485" i="1"/>
  <c r="P485" i="1"/>
  <c r="R485" i="1" s="1"/>
  <c r="CW480" i="1"/>
  <c r="CY480" i="1" s="1"/>
  <c r="CV480" i="1"/>
  <c r="CX480" i="1" s="1"/>
  <c r="CZ480" i="1" s="1"/>
  <c r="Z485" i="1"/>
  <c r="AB485" i="1" s="1"/>
  <c r="Y485" i="1"/>
  <c r="AA485" i="1" s="1"/>
  <c r="AC485" i="1" s="1"/>
  <c r="DB480" i="1" l="1"/>
  <c r="DD480" i="1" s="1"/>
  <c r="DA480" i="1"/>
  <c r="DC480" i="1" s="1"/>
  <c r="AE485" i="1"/>
  <c r="AG485" i="1" s="1"/>
  <c r="AD485" i="1"/>
  <c r="AF485" i="1" s="1"/>
  <c r="AH485" i="1" s="1"/>
  <c r="AT484" i="1"/>
  <c r="AV484" i="1" s="1"/>
  <c r="AS484" i="1"/>
  <c r="AU484" i="1" s="1"/>
  <c r="AW484" i="1" s="1"/>
  <c r="Q486" i="1"/>
  <c r="S486" i="1" s="1"/>
  <c r="G486" i="1"/>
  <c r="I486" i="1" s="1"/>
  <c r="CL481" i="1"/>
  <c r="CN481" i="1" s="1"/>
  <c r="CP481" i="1" s="1"/>
  <c r="CM481" i="1"/>
  <c r="CO481" i="1" s="1"/>
  <c r="BI483" i="1"/>
  <c r="BK483" i="1" s="1"/>
  <c r="BH483" i="1"/>
  <c r="BJ483" i="1" s="1"/>
  <c r="BL483" i="1" s="1"/>
  <c r="BX482" i="1"/>
  <c r="BZ482" i="1" s="1"/>
  <c r="BW482" i="1"/>
  <c r="BY482" i="1" s="1"/>
  <c r="CA482" i="1" s="1"/>
  <c r="CB482" i="1" l="1"/>
  <c r="CD482" i="1" s="1"/>
  <c r="CF482" i="1" s="1"/>
  <c r="CC482" i="1"/>
  <c r="CE482" i="1" s="1"/>
  <c r="AY484" i="1"/>
  <c r="BA484" i="1" s="1"/>
  <c r="AX484" i="1"/>
  <c r="AZ484" i="1" s="1"/>
  <c r="BB484" i="1" s="1"/>
  <c r="CR481" i="1"/>
  <c r="CT481" i="1" s="1"/>
  <c r="CQ481" i="1"/>
  <c r="CS481" i="1" s="1"/>
  <c r="CU481" i="1" s="1"/>
  <c r="K486" i="1"/>
  <c r="M486" i="1" s="1"/>
  <c r="J486" i="1"/>
  <c r="L486" i="1" s="1"/>
  <c r="N486" i="1" s="1"/>
  <c r="D487" i="1"/>
  <c r="BM483" i="1"/>
  <c r="BO483" i="1" s="1"/>
  <c r="BQ483" i="1" s="1"/>
  <c r="BN483" i="1"/>
  <c r="BP483" i="1" s="1"/>
  <c r="U486" i="1"/>
  <c r="W486" i="1" s="1"/>
  <c r="T486" i="1"/>
  <c r="V486" i="1" s="1"/>
  <c r="X486" i="1" s="1"/>
  <c r="AJ485" i="1"/>
  <c r="AL485" i="1" s="1"/>
  <c r="AI485" i="1"/>
  <c r="AK485" i="1" s="1"/>
  <c r="AM485" i="1" s="1"/>
  <c r="O486" i="1" l="1"/>
  <c r="P486" i="1"/>
  <c r="R486" i="1" s="1"/>
  <c r="Z486" i="1"/>
  <c r="AB486" i="1" s="1"/>
  <c r="Y486" i="1"/>
  <c r="AA486" i="1" s="1"/>
  <c r="AC486" i="1" s="1"/>
  <c r="CW481" i="1"/>
  <c r="CY481" i="1" s="1"/>
  <c r="CV481" i="1"/>
  <c r="CX481" i="1" s="1"/>
  <c r="CZ481" i="1" s="1"/>
  <c r="BR483" i="1"/>
  <c r="BT483" i="1" s="1"/>
  <c r="BV483" i="1" s="1"/>
  <c r="BS483" i="1"/>
  <c r="BU483" i="1" s="1"/>
  <c r="AO485" i="1"/>
  <c r="AQ485" i="1" s="1"/>
  <c r="AN485" i="1"/>
  <c r="AP485" i="1" s="1"/>
  <c r="AR485" i="1" s="1"/>
  <c r="BD484" i="1"/>
  <c r="BF484" i="1" s="1"/>
  <c r="BC484" i="1"/>
  <c r="BE484" i="1" s="1"/>
  <c r="BG484" i="1" s="1"/>
  <c r="F487" i="1"/>
  <c r="H487" i="1" s="1"/>
  <c r="E487" i="1"/>
  <c r="CH482" i="1"/>
  <c r="CJ482" i="1" s="1"/>
  <c r="CG482" i="1"/>
  <c r="CI482" i="1" s="1"/>
  <c r="CK482" i="1" s="1"/>
  <c r="DA481" i="1" l="1"/>
  <c r="DC481" i="1" s="1"/>
  <c r="DB481" i="1"/>
  <c r="DD481" i="1" s="1"/>
  <c r="CM482" i="1"/>
  <c r="CO482" i="1" s="1"/>
  <c r="CL482" i="1"/>
  <c r="CN482" i="1" s="1"/>
  <c r="CP482" i="1" s="1"/>
  <c r="Q487" i="1"/>
  <c r="S487" i="1" s="1"/>
  <c r="G487" i="1"/>
  <c r="I487" i="1" s="1"/>
  <c r="BH484" i="1"/>
  <c r="BJ484" i="1" s="1"/>
  <c r="BL484" i="1" s="1"/>
  <c r="BI484" i="1"/>
  <c r="BK484" i="1" s="1"/>
  <c r="AT485" i="1"/>
  <c r="AV485" i="1" s="1"/>
  <c r="AS485" i="1"/>
  <c r="AU485" i="1" s="1"/>
  <c r="AW485" i="1" s="1"/>
  <c r="BX483" i="1"/>
  <c r="BZ483" i="1" s="1"/>
  <c r="BW483" i="1"/>
  <c r="BY483" i="1" s="1"/>
  <c r="CA483" i="1" s="1"/>
  <c r="AE486" i="1"/>
  <c r="AG486" i="1" s="1"/>
  <c r="AD486" i="1"/>
  <c r="AF486" i="1" s="1"/>
  <c r="AH486" i="1" s="1"/>
  <c r="BM484" i="1" l="1"/>
  <c r="BO484" i="1" s="1"/>
  <c r="BQ484" i="1" s="1"/>
  <c r="BN484" i="1"/>
  <c r="BP484" i="1" s="1"/>
  <c r="K487" i="1"/>
  <c r="M487" i="1" s="1"/>
  <c r="J487" i="1"/>
  <c r="L487" i="1" s="1"/>
  <c r="N487" i="1" s="1"/>
  <c r="D488" i="1"/>
  <c r="CC483" i="1"/>
  <c r="CE483" i="1" s="1"/>
  <c r="CB483" i="1"/>
  <c r="CD483" i="1" s="1"/>
  <c r="CF483" i="1" s="1"/>
  <c r="AJ486" i="1"/>
  <c r="AL486" i="1" s="1"/>
  <c r="AI486" i="1"/>
  <c r="AK486" i="1" s="1"/>
  <c r="AM486" i="1" s="1"/>
  <c r="U487" i="1"/>
  <c r="W487" i="1" s="1"/>
  <c r="T487" i="1"/>
  <c r="V487" i="1" s="1"/>
  <c r="X487" i="1" s="1"/>
  <c r="CQ482" i="1"/>
  <c r="CS482" i="1" s="1"/>
  <c r="CU482" i="1" s="1"/>
  <c r="CR482" i="1"/>
  <c r="CT482" i="1" s="1"/>
  <c r="AY485" i="1"/>
  <c r="BA485" i="1" s="1"/>
  <c r="AX485" i="1"/>
  <c r="AZ485" i="1" s="1"/>
  <c r="BB485" i="1" s="1"/>
  <c r="E488" i="1" l="1"/>
  <c r="F488" i="1"/>
  <c r="H488" i="1" s="1"/>
  <c r="CG483" i="1"/>
  <c r="CI483" i="1" s="1"/>
  <c r="CK483" i="1" s="1"/>
  <c r="CH483" i="1"/>
  <c r="CJ483" i="1" s="1"/>
  <c r="CW482" i="1"/>
  <c r="CY482" i="1" s="1"/>
  <c r="CV482" i="1"/>
  <c r="CX482" i="1" s="1"/>
  <c r="BS484" i="1"/>
  <c r="BU484" i="1" s="1"/>
  <c r="BR484" i="1"/>
  <c r="BT484" i="1" s="1"/>
  <c r="BV484" i="1" s="1"/>
  <c r="BC485" i="1"/>
  <c r="BE485" i="1" s="1"/>
  <c r="BG485" i="1" s="1"/>
  <c r="BD485" i="1"/>
  <c r="BF485" i="1" s="1"/>
  <c r="P487" i="1"/>
  <c r="R487" i="1" s="1"/>
  <c r="O487" i="1"/>
  <c r="Y487" i="1"/>
  <c r="AA487" i="1" s="1"/>
  <c r="AC487" i="1" s="1"/>
  <c r="Z487" i="1"/>
  <c r="AB487" i="1" s="1"/>
  <c r="AN486" i="1"/>
  <c r="AP486" i="1" s="1"/>
  <c r="AR486" i="1" s="1"/>
  <c r="AO486" i="1"/>
  <c r="AQ486" i="1" s="1"/>
  <c r="BX484" i="1" l="1"/>
  <c r="BZ484" i="1" s="1"/>
  <c r="BW484" i="1"/>
  <c r="BY484" i="1" s="1"/>
  <c r="CA484" i="1" s="1"/>
  <c r="CM483" i="1"/>
  <c r="CO483" i="1" s="1"/>
  <c r="CL483" i="1"/>
  <c r="CN483" i="1" s="1"/>
  <c r="CP483" i="1" s="1"/>
  <c r="AD487" i="1"/>
  <c r="AF487" i="1" s="1"/>
  <c r="AH487" i="1" s="1"/>
  <c r="AE487" i="1"/>
  <c r="AG487" i="1" s="1"/>
  <c r="G488" i="1"/>
  <c r="I488" i="1" s="1"/>
  <c r="Q488" i="1"/>
  <c r="S488" i="1" s="1"/>
  <c r="AS486" i="1"/>
  <c r="AU486" i="1" s="1"/>
  <c r="AW486" i="1" s="1"/>
  <c r="AT486" i="1"/>
  <c r="AV486" i="1" s="1"/>
  <c r="CZ482" i="1"/>
  <c r="BI485" i="1"/>
  <c r="BK485" i="1" s="1"/>
  <c r="BH485" i="1"/>
  <c r="BJ485" i="1" s="1"/>
  <c r="BL485" i="1" s="1"/>
  <c r="AX486" i="1" l="1"/>
  <c r="AZ486" i="1" s="1"/>
  <c r="BB486" i="1" s="1"/>
  <c r="AY486" i="1"/>
  <c r="BA486" i="1" s="1"/>
  <c r="U488" i="1"/>
  <c r="W488" i="1" s="1"/>
  <c r="T488" i="1"/>
  <c r="V488" i="1" s="1"/>
  <c r="X488" i="1" s="1"/>
  <c r="AI487" i="1"/>
  <c r="AK487" i="1" s="1"/>
  <c r="AM487" i="1" s="1"/>
  <c r="AJ487" i="1"/>
  <c r="AL487" i="1" s="1"/>
  <c r="CR483" i="1"/>
  <c r="CT483" i="1" s="1"/>
  <c r="CQ483" i="1"/>
  <c r="CS483" i="1" s="1"/>
  <c r="CU483" i="1" s="1"/>
  <c r="DB482" i="1"/>
  <c r="DD482" i="1" s="1"/>
  <c r="DA482" i="1"/>
  <c r="DC482" i="1" s="1"/>
  <c r="CC484" i="1"/>
  <c r="CE484" i="1" s="1"/>
  <c r="CB484" i="1"/>
  <c r="CD484" i="1" s="1"/>
  <c r="CF484" i="1" s="1"/>
  <c r="K488" i="1"/>
  <c r="M488" i="1" s="1"/>
  <c r="J488" i="1"/>
  <c r="L488" i="1" s="1"/>
  <c r="N488" i="1" s="1"/>
  <c r="D489" i="1"/>
  <c r="BN485" i="1"/>
  <c r="BP485" i="1" s="1"/>
  <c r="BM485" i="1"/>
  <c r="BO485" i="1" s="1"/>
  <c r="BQ485" i="1" s="1"/>
  <c r="P488" i="1" l="1"/>
  <c r="R488" i="1" s="1"/>
  <c r="O488" i="1"/>
  <c r="CW483" i="1"/>
  <c r="CY483" i="1" s="1"/>
  <c r="CV483" i="1"/>
  <c r="CX483" i="1" s="1"/>
  <c r="AO487" i="1"/>
  <c r="AQ487" i="1" s="1"/>
  <c r="AN487" i="1"/>
  <c r="AP487" i="1" s="1"/>
  <c r="AR487" i="1" s="1"/>
  <c r="Y488" i="1"/>
  <c r="AA488" i="1" s="1"/>
  <c r="AC488" i="1" s="1"/>
  <c r="Z488" i="1"/>
  <c r="AB488" i="1" s="1"/>
  <c r="BD486" i="1"/>
  <c r="BF486" i="1" s="1"/>
  <c r="BC486" i="1"/>
  <c r="BE486" i="1" s="1"/>
  <c r="BG486" i="1" s="1"/>
  <c r="E489" i="1"/>
  <c r="F489" i="1"/>
  <c r="H489" i="1" s="1"/>
  <c r="CH484" i="1"/>
  <c r="CJ484" i="1" s="1"/>
  <c r="CG484" i="1"/>
  <c r="CI484" i="1" s="1"/>
  <c r="CK484" i="1" s="1"/>
  <c r="BS485" i="1"/>
  <c r="BU485" i="1" s="1"/>
  <c r="BR485" i="1"/>
  <c r="BT485" i="1" s="1"/>
  <c r="BV485" i="1" s="1"/>
  <c r="BX485" i="1" l="1"/>
  <c r="BZ485" i="1" s="1"/>
  <c r="BW485" i="1"/>
  <c r="BY485" i="1" s="1"/>
  <c r="CA485" i="1" s="1"/>
  <c r="CL484" i="1"/>
  <c r="CN484" i="1" s="1"/>
  <c r="CP484" i="1" s="1"/>
  <c r="CM484" i="1"/>
  <c r="CO484" i="1" s="1"/>
  <c r="BH486" i="1"/>
  <c r="BJ486" i="1" s="1"/>
  <c r="BL486" i="1" s="1"/>
  <c r="BI486" i="1"/>
  <c r="BK486" i="1" s="1"/>
  <c r="AT487" i="1"/>
  <c r="AV487" i="1" s="1"/>
  <c r="AS487" i="1"/>
  <c r="AU487" i="1" s="1"/>
  <c r="AW487" i="1" s="1"/>
  <c r="G489" i="1"/>
  <c r="I489" i="1" s="1"/>
  <c r="Q489" i="1"/>
  <c r="S489" i="1" s="1"/>
  <c r="AD488" i="1"/>
  <c r="AF488" i="1" s="1"/>
  <c r="AH488" i="1" s="1"/>
  <c r="AE488" i="1"/>
  <c r="AG488" i="1" s="1"/>
  <c r="CZ483" i="1"/>
  <c r="AX487" i="1" l="1"/>
  <c r="AZ487" i="1" s="1"/>
  <c r="BB487" i="1" s="1"/>
  <c r="AY487" i="1"/>
  <c r="BA487" i="1" s="1"/>
  <c r="DB483" i="1"/>
  <c r="DD483" i="1" s="1"/>
  <c r="DA483" i="1"/>
  <c r="DC483" i="1" s="1"/>
  <c r="CB485" i="1"/>
  <c r="CD485" i="1" s="1"/>
  <c r="CF485" i="1" s="1"/>
  <c r="CC485" i="1"/>
  <c r="CE485" i="1" s="1"/>
  <c r="BN486" i="1"/>
  <c r="BP486" i="1" s="1"/>
  <c r="BM486" i="1"/>
  <c r="BO486" i="1" s="1"/>
  <c r="BQ486" i="1" s="1"/>
  <c r="U489" i="1"/>
  <c r="W489" i="1" s="1"/>
  <c r="T489" i="1"/>
  <c r="V489" i="1" s="1"/>
  <c r="X489" i="1" s="1"/>
  <c r="CR484" i="1"/>
  <c r="CT484" i="1" s="1"/>
  <c r="CQ484" i="1"/>
  <c r="CS484" i="1" s="1"/>
  <c r="CU484" i="1" s="1"/>
  <c r="AJ488" i="1"/>
  <c r="AL488" i="1" s="1"/>
  <c r="AI488" i="1"/>
  <c r="AK488" i="1" s="1"/>
  <c r="AM488" i="1" s="1"/>
  <c r="K489" i="1"/>
  <c r="M489" i="1" s="1"/>
  <c r="J489" i="1"/>
  <c r="L489" i="1" s="1"/>
  <c r="N489" i="1" s="1"/>
  <c r="D490" i="1"/>
  <c r="BS486" i="1" l="1"/>
  <c r="BU486" i="1" s="1"/>
  <c r="BR486" i="1"/>
  <c r="BT486" i="1" s="1"/>
  <c r="BV486" i="1" s="1"/>
  <c r="CH485" i="1"/>
  <c r="CJ485" i="1" s="1"/>
  <c r="CG485" i="1"/>
  <c r="CI485" i="1" s="1"/>
  <c r="CK485" i="1" s="1"/>
  <c r="AN488" i="1"/>
  <c r="AP488" i="1" s="1"/>
  <c r="AR488" i="1" s="1"/>
  <c r="AO488" i="1"/>
  <c r="AQ488" i="1" s="1"/>
  <c r="BD487" i="1"/>
  <c r="BF487" i="1" s="1"/>
  <c r="BC487" i="1"/>
  <c r="BE487" i="1" s="1"/>
  <c r="BG487" i="1" s="1"/>
  <c r="P489" i="1"/>
  <c r="R489" i="1" s="1"/>
  <c r="O489" i="1"/>
  <c r="CW484" i="1"/>
  <c r="CY484" i="1" s="1"/>
  <c r="CV484" i="1"/>
  <c r="CX484" i="1" s="1"/>
  <c r="CZ484" i="1" s="1"/>
  <c r="Z489" i="1"/>
  <c r="AB489" i="1" s="1"/>
  <c r="Y489" i="1"/>
  <c r="AA489" i="1" s="1"/>
  <c r="AC489" i="1" s="1"/>
  <c r="F490" i="1"/>
  <c r="H490" i="1" s="1"/>
  <c r="E490" i="1"/>
  <c r="AE489" i="1" l="1"/>
  <c r="AG489" i="1" s="1"/>
  <c r="AD489" i="1"/>
  <c r="AF489" i="1" s="1"/>
  <c r="AH489" i="1" s="1"/>
  <c r="AT488" i="1"/>
  <c r="AV488" i="1" s="1"/>
  <c r="AS488" i="1"/>
  <c r="AU488" i="1" s="1"/>
  <c r="AW488" i="1" s="1"/>
  <c r="BI487" i="1"/>
  <c r="BK487" i="1" s="1"/>
  <c r="BH487" i="1"/>
  <c r="BJ487" i="1" s="1"/>
  <c r="BL487" i="1" s="1"/>
  <c r="DB484" i="1"/>
  <c r="DD484" i="1" s="1"/>
  <c r="DA484" i="1"/>
  <c r="DC484" i="1" s="1"/>
  <c r="Q490" i="1"/>
  <c r="S490" i="1" s="1"/>
  <c r="G490" i="1"/>
  <c r="I490" i="1" s="1"/>
  <c r="CM485" i="1"/>
  <c r="CO485" i="1" s="1"/>
  <c r="CL485" i="1"/>
  <c r="CN485" i="1" s="1"/>
  <c r="CP485" i="1" s="1"/>
  <c r="BX486" i="1"/>
  <c r="BZ486" i="1" s="1"/>
  <c r="BW486" i="1"/>
  <c r="BY486" i="1" s="1"/>
  <c r="CA486" i="1" s="1"/>
  <c r="BN487" i="1" l="1"/>
  <c r="BP487" i="1" s="1"/>
  <c r="BM487" i="1"/>
  <c r="BO487" i="1" s="1"/>
  <c r="BQ487" i="1" s="1"/>
  <c r="CC486" i="1"/>
  <c r="CE486" i="1" s="1"/>
  <c r="CB486" i="1"/>
  <c r="CD486" i="1" s="1"/>
  <c r="CF486" i="1" s="1"/>
  <c r="AJ489" i="1"/>
  <c r="AL489" i="1" s="1"/>
  <c r="AI489" i="1"/>
  <c r="AK489" i="1" s="1"/>
  <c r="AM489" i="1" s="1"/>
  <c r="CR485" i="1"/>
  <c r="CT485" i="1" s="1"/>
  <c r="CQ485" i="1"/>
  <c r="CS485" i="1" s="1"/>
  <c r="CU485" i="1" s="1"/>
  <c r="AY488" i="1"/>
  <c r="BA488" i="1" s="1"/>
  <c r="AX488" i="1"/>
  <c r="AZ488" i="1" s="1"/>
  <c r="BB488" i="1" s="1"/>
  <c r="K490" i="1"/>
  <c r="M490" i="1" s="1"/>
  <c r="J490" i="1"/>
  <c r="L490" i="1" s="1"/>
  <c r="N490" i="1" s="1"/>
  <c r="D491" i="1"/>
  <c r="U490" i="1"/>
  <c r="W490" i="1" s="1"/>
  <c r="T490" i="1"/>
  <c r="V490" i="1" s="1"/>
  <c r="X490" i="1" s="1"/>
  <c r="CW485" i="1" l="1"/>
  <c r="CY485" i="1" s="1"/>
  <c r="CV485" i="1"/>
  <c r="CX485" i="1" s="1"/>
  <c r="CZ485" i="1" s="1"/>
  <c r="Y490" i="1"/>
  <c r="AA490" i="1" s="1"/>
  <c r="AC490" i="1" s="1"/>
  <c r="Z490" i="1"/>
  <c r="AB490" i="1" s="1"/>
  <c r="P490" i="1"/>
  <c r="R490" i="1" s="1"/>
  <c r="O490" i="1"/>
  <c r="CG486" i="1"/>
  <c r="CI486" i="1" s="1"/>
  <c r="CK486" i="1" s="1"/>
  <c r="CH486" i="1"/>
  <c r="CJ486" i="1" s="1"/>
  <c r="AN489" i="1"/>
  <c r="AP489" i="1" s="1"/>
  <c r="AR489" i="1" s="1"/>
  <c r="AO489" i="1"/>
  <c r="AQ489" i="1" s="1"/>
  <c r="E491" i="1"/>
  <c r="F491" i="1"/>
  <c r="H491" i="1" s="1"/>
  <c r="BC488" i="1"/>
  <c r="BE488" i="1" s="1"/>
  <c r="BG488" i="1" s="1"/>
  <c r="BD488" i="1"/>
  <c r="BF488" i="1" s="1"/>
  <c r="BS487" i="1"/>
  <c r="BU487" i="1" s="1"/>
  <c r="BR487" i="1"/>
  <c r="BT487" i="1" s="1"/>
  <c r="BV487" i="1" s="1"/>
  <c r="BW487" i="1" l="1"/>
  <c r="BY487" i="1" s="1"/>
  <c r="CA487" i="1" s="1"/>
  <c r="BX487" i="1"/>
  <c r="BZ487" i="1" s="1"/>
  <c r="DB485" i="1"/>
  <c r="DD485" i="1" s="1"/>
  <c r="DA485" i="1"/>
  <c r="DC485" i="1" s="1"/>
  <c r="CL486" i="1"/>
  <c r="CN486" i="1" s="1"/>
  <c r="CP486" i="1" s="1"/>
  <c r="CM486" i="1"/>
  <c r="CO486" i="1" s="1"/>
  <c r="BI488" i="1"/>
  <c r="BK488" i="1" s="1"/>
  <c r="BH488" i="1"/>
  <c r="BJ488" i="1" s="1"/>
  <c r="BL488" i="1" s="1"/>
  <c r="AD490" i="1"/>
  <c r="AF490" i="1" s="1"/>
  <c r="AH490" i="1" s="1"/>
  <c r="AE490" i="1"/>
  <c r="AG490" i="1" s="1"/>
  <c r="G491" i="1"/>
  <c r="I491" i="1" s="1"/>
  <c r="Q491" i="1"/>
  <c r="S491" i="1" s="1"/>
  <c r="AS489" i="1"/>
  <c r="AU489" i="1" s="1"/>
  <c r="AW489" i="1" s="1"/>
  <c r="AT489" i="1"/>
  <c r="AV489" i="1" s="1"/>
  <c r="BN488" i="1" l="1"/>
  <c r="BP488" i="1" s="1"/>
  <c r="BM488" i="1"/>
  <c r="BO488" i="1" s="1"/>
  <c r="BQ488" i="1" s="1"/>
  <c r="CR486" i="1"/>
  <c r="CT486" i="1" s="1"/>
  <c r="CQ486" i="1"/>
  <c r="CS486" i="1" s="1"/>
  <c r="CU486" i="1" s="1"/>
  <c r="AY489" i="1"/>
  <c r="BA489" i="1" s="1"/>
  <c r="AX489" i="1"/>
  <c r="AZ489" i="1" s="1"/>
  <c r="BB489" i="1" s="1"/>
  <c r="T491" i="1"/>
  <c r="V491" i="1" s="1"/>
  <c r="X491" i="1" s="1"/>
  <c r="U491" i="1"/>
  <c r="W491" i="1" s="1"/>
  <c r="CC487" i="1"/>
  <c r="CE487" i="1" s="1"/>
  <c r="CB487" i="1"/>
  <c r="CD487" i="1" s="1"/>
  <c r="CF487" i="1" s="1"/>
  <c r="K491" i="1"/>
  <c r="M491" i="1" s="1"/>
  <c r="J491" i="1"/>
  <c r="L491" i="1" s="1"/>
  <c r="N491" i="1" s="1"/>
  <c r="D492" i="1"/>
  <c r="AJ490" i="1"/>
  <c r="AL490" i="1" s="1"/>
  <c r="AI490" i="1"/>
  <c r="AK490" i="1" s="1"/>
  <c r="AM490" i="1" s="1"/>
  <c r="AO490" i="1" l="1"/>
  <c r="AQ490" i="1" s="1"/>
  <c r="AN490" i="1"/>
  <c r="AP490" i="1" s="1"/>
  <c r="AR490" i="1" s="1"/>
  <c r="BC489" i="1"/>
  <c r="BE489" i="1" s="1"/>
  <c r="BG489" i="1" s="1"/>
  <c r="BD489" i="1"/>
  <c r="BF489" i="1" s="1"/>
  <c r="CW486" i="1"/>
  <c r="CY486" i="1" s="1"/>
  <c r="CV486" i="1"/>
  <c r="CX486" i="1" s="1"/>
  <c r="CZ486" i="1" s="1"/>
  <c r="F492" i="1"/>
  <c r="H492" i="1" s="1"/>
  <c r="E492" i="1"/>
  <c r="Z491" i="1"/>
  <c r="AB491" i="1" s="1"/>
  <c r="Y491" i="1"/>
  <c r="AA491" i="1" s="1"/>
  <c r="AC491" i="1" s="1"/>
  <c r="P491" i="1"/>
  <c r="R491" i="1" s="1"/>
  <c r="O491" i="1"/>
  <c r="CH487" i="1"/>
  <c r="CJ487" i="1" s="1"/>
  <c r="CG487" i="1"/>
  <c r="CI487" i="1" s="1"/>
  <c r="CK487" i="1" s="1"/>
  <c r="BS488" i="1"/>
  <c r="BU488" i="1" s="1"/>
  <c r="BR488" i="1"/>
  <c r="BT488" i="1" s="1"/>
  <c r="BV488" i="1" s="1"/>
  <c r="Q492" i="1" l="1"/>
  <c r="S492" i="1" s="1"/>
  <c r="G492" i="1"/>
  <c r="I492" i="1" s="1"/>
  <c r="DA486" i="1"/>
  <c r="DC486" i="1" s="1"/>
  <c r="DB486" i="1"/>
  <c r="DD486" i="1" s="1"/>
  <c r="CL487" i="1"/>
  <c r="CN487" i="1" s="1"/>
  <c r="CP487" i="1" s="1"/>
  <c r="CM487" i="1"/>
  <c r="CO487" i="1" s="1"/>
  <c r="BI489" i="1"/>
  <c r="BK489" i="1" s="1"/>
  <c r="BH489" i="1"/>
  <c r="BJ489" i="1" s="1"/>
  <c r="BL489" i="1" s="1"/>
  <c r="AE491" i="1"/>
  <c r="AG491" i="1" s="1"/>
  <c r="AD491" i="1"/>
  <c r="AF491" i="1" s="1"/>
  <c r="AH491" i="1" s="1"/>
  <c r="BX488" i="1"/>
  <c r="BZ488" i="1" s="1"/>
  <c r="BW488" i="1"/>
  <c r="BY488" i="1" s="1"/>
  <c r="CA488" i="1" s="1"/>
  <c r="AT490" i="1"/>
  <c r="AV490" i="1" s="1"/>
  <c r="AS490" i="1"/>
  <c r="AU490" i="1" s="1"/>
  <c r="AW490" i="1" s="1"/>
  <c r="AY490" i="1" l="1"/>
  <c r="BA490" i="1" s="1"/>
  <c r="AX490" i="1"/>
  <c r="AZ490" i="1" s="1"/>
  <c r="BB490" i="1" s="1"/>
  <c r="BN489" i="1"/>
  <c r="BP489" i="1" s="1"/>
  <c r="BM489" i="1"/>
  <c r="BO489" i="1" s="1"/>
  <c r="BQ489" i="1" s="1"/>
  <c r="CC488" i="1"/>
  <c r="CE488" i="1" s="1"/>
  <c r="CB488" i="1"/>
  <c r="CD488" i="1" s="1"/>
  <c r="CF488" i="1" s="1"/>
  <c r="CQ487" i="1"/>
  <c r="CS487" i="1" s="1"/>
  <c r="CU487" i="1" s="1"/>
  <c r="CR487" i="1"/>
  <c r="CT487" i="1" s="1"/>
  <c r="AI491" i="1"/>
  <c r="AK491" i="1" s="1"/>
  <c r="AM491" i="1" s="1"/>
  <c r="AJ491" i="1"/>
  <c r="AL491" i="1" s="1"/>
  <c r="J492" i="1"/>
  <c r="L492" i="1" s="1"/>
  <c r="N492" i="1" s="1"/>
  <c r="K492" i="1"/>
  <c r="M492" i="1" s="1"/>
  <c r="D493" i="1"/>
  <c r="U492" i="1"/>
  <c r="W492" i="1" s="1"/>
  <c r="T492" i="1"/>
  <c r="V492" i="1" s="1"/>
  <c r="X492" i="1" s="1"/>
  <c r="Z492" i="1" l="1"/>
  <c r="AB492" i="1" s="1"/>
  <c r="Y492" i="1"/>
  <c r="AA492" i="1" s="1"/>
  <c r="AC492" i="1" s="1"/>
  <c r="O492" i="1"/>
  <c r="P492" i="1"/>
  <c r="R492" i="1" s="1"/>
  <c r="CW487" i="1"/>
  <c r="CY487" i="1" s="1"/>
  <c r="CV487" i="1"/>
  <c r="CX487" i="1" s="1"/>
  <c r="CZ487" i="1" s="1"/>
  <c r="BC490" i="1"/>
  <c r="BE490" i="1" s="1"/>
  <c r="BG490" i="1" s="1"/>
  <c r="BD490" i="1"/>
  <c r="BF490" i="1" s="1"/>
  <c r="CG488" i="1"/>
  <c r="CI488" i="1" s="1"/>
  <c r="CK488" i="1" s="1"/>
  <c r="CH488" i="1"/>
  <c r="CJ488" i="1" s="1"/>
  <c r="F493" i="1"/>
  <c r="H493" i="1" s="1"/>
  <c r="E493" i="1"/>
  <c r="AN491" i="1"/>
  <c r="AP491" i="1" s="1"/>
  <c r="AR491" i="1" s="1"/>
  <c r="AO491" i="1"/>
  <c r="AQ491" i="1" s="1"/>
  <c r="BS489" i="1"/>
  <c r="BU489" i="1" s="1"/>
  <c r="BR489" i="1"/>
  <c r="BT489" i="1" s="1"/>
  <c r="BV489" i="1" s="1"/>
  <c r="BX489" i="1" l="1"/>
  <c r="BZ489" i="1" s="1"/>
  <c r="BW489" i="1"/>
  <c r="BY489" i="1" s="1"/>
  <c r="CA489" i="1" s="1"/>
  <c r="BH490" i="1"/>
  <c r="BJ490" i="1" s="1"/>
  <c r="BL490" i="1" s="1"/>
  <c r="BI490" i="1"/>
  <c r="BK490" i="1" s="1"/>
  <c r="DB487" i="1"/>
  <c r="DD487" i="1" s="1"/>
  <c r="DA487" i="1"/>
  <c r="DC487" i="1" s="1"/>
  <c r="AT491" i="1"/>
  <c r="AV491" i="1" s="1"/>
  <c r="AS491" i="1"/>
  <c r="AU491" i="1" s="1"/>
  <c r="AW491" i="1" s="1"/>
  <c r="Q493" i="1"/>
  <c r="S493" i="1" s="1"/>
  <c r="G493" i="1"/>
  <c r="I493" i="1" s="1"/>
  <c r="AE492" i="1"/>
  <c r="AG492" i="1" s="1"/>
  <c r="AD492" i="1"/>
  <c r="AF492" i="1" s="1"/>
  <c r="AH492" i="1" s="1"/>
  <c r="CM488" i="1"/>
  <c r="CO488" i="1" s="1"/>
  <c r="CL488" i="1"/>
  <c r="CN488" i="1" s="1"/>
  <c r="CP488" i="1" s="1"/>
  <c r="CR488" i="1" l="1"/>
  <c r="CT488" i="1" s="1"/>
  <c r="CQ488" i="1"/>
  <c r="CS488" i="1" s="1"/>
  <c r="CU488" i="1" s="1"/>
  <c r="AY491" i="1"/>
  <c r="BA491" i="1" s="1"/>
  <c r="AX491" i="1"/>
  <c r="AZ491" i="1" s="1"/>
  <c r="BB491" i="1" s="1"/>
  <c r="BN490" i="1"/>
  <c r="BP490" i="1" s="1"/>
  <c r="BM490" i="1"/>
  <c r="BO490" i="1" s="1"/>
  <c r="BQ490" i="1" s="1"/>
  <c r="AJ492" i="1"/>
  <c r="AL492" i="1" s="1"/>
  <c r="AI492" i="1"/>
  <c r="AK492" i="1" s="1"/>
  <c r="AM492" i="1" s="1"/>
  <c r="CB489" i="1"/>
  <c r="CD489" i="1" s="1"/>
  <c r="CF489" i="1" s="1"/>
  <c r="CC489" i="1"/>
  <c r="CE489" i="1" s="1"/>
  <c r="K493" i="1"/>
  <c r="M493" i="1" s="1"/>
  <c r="J493" i="1"/>
  <c r="L493" i="1" s="1"/>
  <c r="N493" i="1" s="1"/>
  <c r="D494" i="1"/>
  <c r="U493" i="1"/>
  <c r="W493" i="1" s="1"/>
  <c r="T493" i="1"/>
  <c r="V493" i="1" s="1"/>
  <c r="X493" i="1" s="1"/>
  <c r="AO492" i="1" l="1"/>
  <c r="AQ492" i="1" s="1"/>
  <c r="AN492" i="1"/>
  <c r="AP492" i="1" s="1"/>
  <c r="AR492" i="1" s="1"/>
  <c r="Z493" i="1"/>
  <c r="AB493" i="1" s="1"/>
  <c r="Y493" i="1"/>
  <c r="AA493" i="1" s="1"/>
  <c r="AC493" i="1" s="1"/>
  <c r="BD491" i="1"/>
  <c r="BF491" i="1" s="1"/>
  <c r="BC491" i="1"/>
  <c r="BE491" i="1" s="1"/>
  <c r="BG491" i="1" s="1"/>
  <c r="CV488" i="1"/>
  <c r="CX488" i="1" s="1"/>
  <c r="CZ488" i="1" s="1"/>
  <c r="CW488" i="1"/>
  <c r="CY488" i="1" s="1"/>
  <c r="BR490" i="1"/>
  <c r="BT490" i="1" s="1"/>
  <c r="BV490" i="1" s="1"/>
  <c r="BS490" i="1"/>
  <c r="BU490" i="1" s="1"/>
  <c r="F494" i="1"/>
  <c r="H494" i="1" s="1"/>
  <c r="E494" i="1"/>
  <c r="P493" i="1"/>
  <c r="R493" i="1" s="1"/>
  <c r="O493" i="1"/>
  <c r="CH489" i="1"/>
  <c r="CJ489" i="1" s="1"/>
  <c r="CG489" i="1"/>
  <c r="CI489" i="1" s="1"/>
  <c r="CK489" i="1" s="1"/>
  <c r="BH491" i="1" l="1"/>
  <c r="BJ491" i="1" s="1"/>
  <c r="BL491" i="1" s="1"/>
  <c r="BI491" i="1"/>
  <c r="BK491" i="1" s="1"/>
  <c r="DB488" i="1"/>
  <c r="DD488" i="1" s="1"/>
  <c r="DA488" i="1"/>
  <c r="DC488" i="1" s="1"/>
  <c r="BX490" i="1"/>
  <c r="BZ490" i="1" s="1"/>
  <c r="BW490" i="1"/>
  <c r="BY490" i="1" s="1"/>
  <c r="CA490" i="1" s="1"/>
  <c r="CM489" i="1"/>
  <c r="CO489" i="1" s="1"/>
  <c r="CL489" i="1"/>
  <c r="CN489" i="1" s="1"/>
  <c r="CP489" i="1" s="1"/>
  <c r="AD493" i="1"/>
  <c r="AF493" i="1" s="1"/>
  <c r="AH493" i="1" s="1"/>
  <c r="AE493" i="1"/>
  <c r="AG493" i="1" s="1"/>
  <c r="G494" i="1"/>
  <c r="I494" i="1" s="1"/>
  <c r="Q494" i="1"/>
  <c r="S494" i="1" s="1"/>
  <c r="AT492" i="1"/>
  <c r="AV492" i="1" s="1"/>
  <c r="AS492" i="1"/>
  <c r="AU492" i="1" s="1"/>
  <c r="AW492" i="1" s="1"/>
  <c r="CC490" i="1" l="1"/>
  <c r="CE490" i="1" s="1"/>
  <c r="CB490" i="1"/>
  <c r="CD490" i="1" s="1"/>
  <c r="CF490" i="1" s="1"/>
  <c r="CR489" i="1"/>
  <c r="CT489" i="1" s="1"/>
  <c r="CQ489" i="1"/>
  <c r="CS489" i="1" s="1"/>
  <c r="CU489" i="1" s="1"/>
  <c r="AX492" i="1"/>
  <c r="AZ492" i="1" s="1"/>
  <c r="BB492" i="1" s="1"/>
  <c r="AY492" i="1"/>
  <c r="BA492" i="1" s="1"/>
  <c r="T494" i="1"/>
  <c r="V494" i="1" s="1"/>
  <c r="X494" i="1" s="1"/>
  <c r="U494" i="1"/>
  <c r="W494" i="1" s="1"/>
  <c r="BN491" i="1"/>
  <c r="BP491" i="1" s="1"/>
  <c r="BM491" i="1"/>
  <c r="BO491" i="1" s="1"/>
  <c r="BQ491" i="1" s="1"/>
  <c r="K494" i="1"/>
  <c r="M494" i="1" s="1"/>
  <c r="J494" i="1"/>
  <c r="L494" i="1" s="1"/>
  <c r="N494" i="1" s="1"/>
  <c r="AJ493" i="1"/>
  <c r="AL493" i="1" s="1"/>
  <c r="AI493" i="1"/>
  <c r="AK493" i="1" s="1"/>
  <c r="AM493" i="1" s="1"/>
  <c r="BD492" i="1" l="1"/>
  <c r="BF492" i="1" s="1"/>
  <c r="BC492" i="1"/>
  <c r="BE492" i="1" s="1"/>
  <c r="BG492" i="1" s="1"/>
  <c r="Z494" i="1"/>
  <c r="AB494" i="1" s="1"/>
  <c r="Y494" i="1"/>
  <c r="AA494" i="1" s="1"/>
  <c r="AC494" i="1" s="1"/>
  <c r="CV489" i="1"/>
  <c r="CX489" i="1" s="1"/>
  <c r="CW489" i="1"/>
  <c r="CY489" i="1" s="1"/>
  <c r="BR491" i="1"/>
  <c r="BT491" i="1" s="1"/>
  <c r="BV491" i="1" s="1"/>
  <c r="BS491" i="1"/>
  <c r="BU491" i="1" s="1"/>
  <c r="AN493" i="1"/>
  <c r="AP493" i="1" s="1"/>
  <c r="AR493" i="1" s="1"/>
  <c r="AO493" i="1"/>
  <c r="AQ493" i="1" s="1"/>
  <c r="P494" i="1"/>
  <c r="R494" i="1" s="1"/>
  <c r="O494" i="1"/>
  <c r="CH490" i="1"/>
  <c r="CJ490" i="1" s="1"/>
  <c r="CG490" i="1"/>
  <c r="CI490" i="1" s="1"/>
  <c r="CK490" i="1" s="1"/>
  <c r="AS493" i="1" l="1"/>
  <c r="AU493" i="1" s="1"/>
  <c r="AW493" i="1" s="1"/>
  <c r="AT493" i="1"/>
  <c r="AV493" i="1" s="1"/>
  <c r="AD494" i="1"/>
  <c r="AF494" i="1" s="1"/>
  <c r="AH494" i="1" s="1"/>
  <c r="AE494" i="1"/>
  <c r="AG494" i="1" s="1"/>
  <c r="BX491" i="1"/>
  <c r="BZ491" i="1" s="1"/>
  <c r="BW491" i="1"/>
  <c r="BY491" i="1" s="1"/>
  <c r="CA491" i="1" s="1"/>
  <c r="CZ489" i="1"/>
  <c r="CL490" i="1"/>
  <c r="CN490" i="1" s="1"/>
  <c r="CP490" i="1" s="1"/>
  <c r="CM490" i="1"/>
  <c r="CO490" i="1" s="1"/>
  <c r="BI492" i="1"/>
  <c r="BK492" i="1" s="1"/>
  <c r="BH492" i="1"/>
  <c r="BJ492" i="1" s="1"/>
  <c r="BL492" i="1" s="1"/>
  <c r="CR490" i="1" l="1"/>
  <c r="CT490" i="1" s="1"/>
  <c r="CQ490" i="1"/>
  <c r="CS490" i="1" s="1"/>
  <c r="CU490" i="1" s="1"/>
  <c r="DB489" i="1"/>
  <c r="DD489" i="1" s="1"/>
  <c r="DA489" i="1"/>
  <c r="DC489" i="1" s="1"/>
  <c r="BN492" i="1"/>
  <c r="BP492" i="1" s="1"/>
  <c r="BM492" i="1"/>
  <c r="BO492" i="1" s="1"/>
  <c r="BQ492" i="1" s="1"/>
  <c r="AI494" i="1"/>
  <c r="AK494" i="1" s="1"/>
  <c r="AM494" i="1" s="1"/>
  <c r="AJ494" i="1"/>
  <c r="AL494" i="1" s="1"/>
  <c r="AY493" i="1"/>
  <c r="BA493" i="1" s="1"/>
  <c r="AX493" i="1"/>
  <c r="AZ493" i="1" s="1"/>
  <c r="BB493" i="1" s="1"/>
  <c r="CB491" i="1"/>
  <c r="CD491" i="1" s="1"/>
  <c r="CF491" i="1" s="1"/>
  <c r="CC491" i="1"/>
  <c r="CE491" i="1" s="1"/>
  <c r="BR492" i="1" l="1"/>
  <c r="BT492" i="1" s="1"/>
  <c r="BV492" i="1" s="1"/>
  <c r="BS492" i="1"/>
  <c r="BU492" i="1" s="1"/>
  <c r="AO494" i="1"/>
  <c r="AQ494" i="1" s="1"/>
  <c r="AN494" i="1"/>
  <c r="AP494" i="1" s="1"/>
  <c r="AR494" i="1" s="1"/>
  <c r="CW490" i="1"/>
  <c r="CY490" i="1" s="1"/>
  <c r="CV490" i="1"/>
  <c r="CX490" i="1" s="1"/>
  <c r="CZ490" i="1" s="1"/>
  <c r="CH491" i="1"/>
  <c r="CJ491" i="1" s="1"/>
  <c r="CG491" i="1"/>
  <c r="CI491" i="1" s="1"/>
  <c r="CK491" i="1" s="1"/>
  <c r="BD493" i="1"/>
  <c r="BF493" i="1" s="1"/>
  <c r="BC493" i="1"/>
  <c r="BE493" i="1" s="1"/>
  <c r="BG493" i="1" s="1"/>
  <c r="CM491" i="1" l="1"/>
  <c r="CO491" i="1" s="1"/>
  <c r="CL491" i="1"/>
  <c r="CN491" i="1" s="1"/>
  <c r="CP491" i="1" s="1"/>
  <c r="DB490" i="1"/>
  <c r="DD490" i="1" s="1"/>
  <c r="DA490" i="1"/>
  <c r="DC490" i="1" s="1"/>
  <c r="AS494" i="1"/>
  <c r="AU494" i="1" s="1"/>
  <c r="AW494" i="1" s="1"/>
  <c r="AT494" i="1"/>
  <c r="AV494" i="1" s="1"/>
  <c r="BH493" i="1"/>
  <c r="BJ493" i="1" s="1"/>
  <c r="BL493" i="1" s="1"/>
  <c r="BI493" i="1"/>
  <c r="BK493" i="1" s="1"/>
  <c r="BX492" i="1"/>
  <c r="BZ492" i="1" s="1"/>
  <c r="BW492" i="1"/>
  <c r="BY492" i="1" s="1"/>
  <c r="CA492" i="1" s="1"/>
  <c r="BN493" i="1" l="1"/>
  <c r="BP493" i="1" s="1"/>
  <c r="BM493" i="1"/>
  <c r="BO493" i="1" s="1"/>
  <c r="BQ493" i="1" s="1"/>
  <c r="AY494" i="1"/>
  <c r="BA494" i="1" s="1"/>
  <c r="AX494" i="1"/>
  <c r="AZ494" i="1" s="1"/>
  <c r="BB494" i="1" s="1"/>
  <c r="CR491" i="1"/>
  <c r="CT491" i="1" s="1"/>
  <c r="CQ491" i="1"/>
  <c r="CS491" i="1" s="1"/>
  <c r="CU491" i="1" s="1"/>
  <c r="CC492" i="1"/>
  <c r="CE492" i="1" s="1"/>
  <c r="CB492" i="1"/>
  <c r="CD492" i="1" s="1"/>
  <c r="CF492" i="1" s="1"/>
  <c r="CW491" i="1" l="1"/>
  <c r="CY491" i="1" s="1"/>
  <c r="CV491" i="1"/>
  <c r="CX491" i="1" s="1"/>
  <c r="CZ491" i="1" s="1"/>
  <c r="CH492" i="1"/>
  <c r="CJ492" i="1" s="1"/>
  <c r="CG492" i="1"/>
  <c r="CI492" i="1" s="1"/>
  <c r="CK492" i="1" s="1"/>
  <c r="BC494" i="1"/>
  <c r="BE494" i="1" s="1"/>
  <c r="BG494" i="1" s="1"/>
  <c r="BD494" i="1"/>
  <c r="BF494" i="1" s="1"/>
  <c r="BS493" i="1"/>
  <c r="BU493" i="1" s="1"/>
  <c r="BR493" i="1"/>
  <c r="BT493" i="1" s="1"/>
  <c r="BV493" i="1" s="1"/>
  <c r="BI494" i="1" l="1"/>
  <c r="BK494" i="1" s="1"/>
  <c r="BH494" i="1"/>
  <c r="BJ494" i="1" s="1"/>
  <c r="BL494" i="1" s="1"/>
  <c r="BX493" i="1"/>
  <c r="BZ493" i="1" s="1"/>
  <c r="BW493" i="1"/>
  <c r="BY493" i="1" s="1"/>
  <c r="CA493" i="1" s="1"/>
  <c r="CM492" i="1"/>
  <c r="CO492" i="1" s="1"/>
  <c r="CL492" i="1"/>
  <c r="CN492" i="1" s="1"/>
  <c r="CP492" i="1" s="1"/>
  <c r="DB491" i="1"/>
  <c r="DD491" i="1" s="1"/>
  <c r="DA491" i="1"/>
  <c r="DC491" i="1" s="1"/>
  <c r="CR492" i="1" l="1"/>
  <c r="CT492" i="1" s="1"/>
  <c r="CQ492" i="1"/>
  <c r="CS492" i="1" s="1"/>
  <c r="CU492" i="1" s="1"/>
  <c r="BN494" i="1"/>
  <c r="BP494" i="1" s="1"/>
  <c r="BM494" i="1"/>
  <c r="BO494" i="1" s="1"/>
  <c r="BQ494" i="1" s="1"/>
  <c r="CC493" i="1"/>
  <c r="CE493" i="1" s="1"/>
  <c r="CB493" i="1"/>
  <c r="CD493" i="1" s="1"/>
  <c r="CF493" i="1" s="1"/>
  <c r="CH493" i="1" l="1"/>
  <c r="CJ493" i="1" s="1"/>
  <c r="CG493" i="1"/>
  <c r="CI493" i="1" s="1"/>
  <c r="CK493" i="1" s="1"/>
  <c r="CW492" i="1"/>
  <c r="CY492" i="1" s="1"/>
  <c r="CV492" i="1"/>
  <c r="CX492" i="1" s="1"/>
  <c r="CZ492" i="1" s="1"/>
  <c r="BS494" i="1"/>
  <c r="BU494" i="1" s="1"/>
  <c r="BR494" i="1"/>
  <c r="BT494" i="1" s="1"/>
  <c r="BV494" i="1" s="1"/>
  <c r="BW494" i="1" l="1"/>
  <c r="BY494" i="1" s="1"/>
  <c r="CA494" i="1" s="1"/>
  <c r="BX494" i="1"/>
  <c r="BZ494" i="1" s="1"/>
  <c r="CM493" i="1"/>
  <c r="CO493" i="1" s="1"/>
  <c r="CL493" i="1"/>
  <c r="CN493" i="1" s="1"/>
  <c r="CP493" i="1" s="1"/>
  <c r="DB492" i="1"/>
  <c r="DD492" i="1" s="1"/>
  <c r="DA492" i="1"/>
  <c r="DC492" i="1" s="1"/>
  <c r="CR493" i="1" l="1"/>
  <c r="CT493" i="1" s="1"/>
  <c r="CQ493" i="1"/>
  <c r="CS493" i="1" s="1"/>
  <c r="CU493" i="1" s="1"/>
  <c r="CC494" i="1"/>
  <c r="CE494" i="1" s="1"/>
  <c r="CB494" i="1"/>
  <c r="CD494" i="1" s="1"/>
  <c r="CF494" i="1" s="1"/>
  <c r="CH494" i="1" l="1"/>
  <c r="CJ494" i="1" s="1"/>
  <c r="CG494" i="1"/>
  <c r="CI494" i="1" s="1"/>
  <c r="CK494" i="1" s="1"/>
  <c r="CV493" i="1"/>
  <c r="CX493" i="1" s="1"/>
  <c r="CW493" i="1"/>
  <c r="CY493" i="1" s="1"/>
  <c r="CZ493" i="1" l="1"/>
  <c r="CL494" i="1"/>
  <c r="CN494" i="1" s="1"/>
  <c r="CP494" i="1" s="1"/>
  <c r="CM494" i="1"/>
  <c r="CO494" i="1" s="1"/>
  <c r="CR494" i="1" l="1"/>
  <c r="CT494" i="1" s="1"/>
  <c r="CQ494" i="1"/>
  <c r="CS494" i="1" s="1"/>
  <c r="CU494" i="1" s="1"/>
  <c r="DA493" i="1"/>
  <c r="DC493" i="1" s="1"/>
  <c r="DB493" i="1"/>
  <c r="DD493" i="1" s="1"/>
  <c r="CW494" i="1" l="1"/>
  <c r="CY494" i="1" s="1"/>
  <c r="CV494" i="1"/>
  <c r="CX494" i="1" s="1"/>
  <c r="CZ494" i="1" s="1"/>
  <c r="DB494" i="1" l="1"/>
  <c r="DD494" i="1" s="1"/>
  <c r="DA494" i="1"/>
  <c r="DC494" i="1" s="1"/>
</calcChain>
</file>

<file path=xl/sharedStrings.xml><?xml version="1.0" encoding="utf-8"?>
<sst xmlns="http://schemas.openxmlformats.org/spreadsheetml/2006/main" count="368" uniqueCount="113">
  <si>
    <t>in mm</t>
  </si>
  <si>
    <t>in m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</si>
  <si>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</si>
  <si>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</si>
  <si>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</si>
  <si>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</si>
  <si>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</si>
  <si>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</si>
  <si>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</si>
  <si>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</si>
  <si>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</si>
  <si>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</si>
  <si>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</si>
  <si>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</si>
  <si>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</si>
  <si>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</si>
  <si>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</si>
  <si>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</si>
  <si>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</si>
  <si>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</si>
  <si>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</si>
  <si>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</si>
  <si>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Given:</t>
  </si>
  <si>
    <t>Diameter: D =</t>
  </si>
  <si>
    <t>Radius: R =</t>
  </si>
  <si>
    <t>Total Nodes: M =</t>
  </si>
  <si>
    <t>Delta x: x =</t>
  </si>
  <si>
    <t>Fourier No.: F0 =</t>
  </si>
  <si>
    <t>Acc. Stbilility criterion:</t>
  </si>
  <si>
    <t>Convec. Heat transfer: h =</t>
  </si>
  <si>
    <t>W/m^2K</t>
  </si>
  <si>
    <t>Biot no.: Bi =</t>
  </si>
  <si>
    <t xml:space="preserve">Delta Tou: t = </t>
  </si>
  <si>
    <t>seconds</t>
  </si>
  <si>
    <t>Conduc. Heat Transfer: K =</t>
  </si>
  <si>
    <t>W/m K</t>
  </si>
  <si>
    <r>
      <t xml:space="preserve">Thermal Diffus.: </t>
    </r>
    <r>
      <rPr>
        <b/>
        <sz val="11"/>
        <color theme="1"/>
        <rFont val="Times New Roman"/>
        <family val="1"/>
      </rPr>
      <t>α</t>
    </r>
    <r>
      <rPr>
        <b/>
        <sz val="11"/>
        <color theme="1"/>
        <rFont val="Calibri"/>
        <family val="2"/>
      </rPr>
      <t xml:space="preserve"> =</t>
    </r>
  </si>
  <si>
    <t>m^2/s</t>
  </si>
  <si>
    <t>Density:  Steel</t>
  </si>
  <si>
    <r>
      <t>Kg/m</t>
    </r>
    <r>
      <rPr>
        <sz val="11"/>
        <color theme="1"/>
        <rFont val="Calibri"/>
        <family val="2"/>
      </rPr>
      <t>³</t>
    </r>
  </si>
  <si>
    <r>
      <rPr>
        <b/>
        <sz val="11"/>
        <color theme="1"/>
        <rFont val="Times New Roman"/>
        <family val="1"/>
      </rPr>
      <t>ρ</t>
    </r>
    <r>
      <rPr>
        <b/>
        <sz val="6.6"/>
        <color theme="1"/>
        <rFont val="Calibri"/>
        <family val="2"/>
      </rPr>
      <t xml:space="preserve">  </t>
    </r>
    <r>
      <rPr>
        <b/>
        <sz val="11"/>
        <color theme="1"/>
        <rFont val="Calibri"/>
        <family val="2"/>
      </rPr>
      <t>Water:</t>
    </r>
  </si>
  <si>
    <t>Surface Temp.: Tsurf.: Tm @ n=m</t>
  </si>
  <si>
    <t>° C</t>
  </si>
  <si>
    <t>Cp =</t>
  </si>
  <si>
    <t>J/Kg K</t>
  </si>
  <si>
    <t>Core temp. T core: T0 @ n=0</t>
  </si>
  <si>
    <t>Surround. Temp. T surr.:</t>
  </si>
  <si>
    <t>Iteration no.: n =</t>
  </si>
  <si>
    <t>Iteration Time: t =</t>
  </si>
  <si>
    <t>T0</t>
  </si>
  <si>
    <t>α</t>
  </si>
  <si>
    <t>K</t>
  </si>
  <si>
    <t>F0</t>
  </si>
  <si>
    <t>Bi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</si>
  <si>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</si>
  <si>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</si>
  <si>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</si>
  <si>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</si>
  <si>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</si>
  <si>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</si>
  <si>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</si>
  <si>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</si>
  <si>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</si>
  <si>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</si>
  <si>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</si>
  <si>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</si>
  <si>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</si>
  <si>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</si>
  <si>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</si>
  <si>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</si>
  <si>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</si>
  <si>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</si>
  <si>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</si>
  <si>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</si>
  <si>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NODE no. =</t>
  </si>
  <si>
    <t>Bar velocity =</t>
  </si>
  <si>
    <t>m/s</t>
  </si>
  <si>
    <t>Re reynolds no:</t>
  </si>
  <si>
    <t>h radiation:</t>
  </si>
  <si>
    <t>Quench Pipe Dia =</t>
  </si>
  <si>
    <t>m</t>
  </si>
  <si>
    <t>Pr no.:</t>
  </si>
  <si>
    <t>Quench length =</t>
  </si>
  <si>
    <r>
      <rPr>
        <b/>
        <sz val="12"/>
        <color theme="1"/>
        <rFont val="Times New Roman"/>
        <family val="1"/>
      </rPr>
      <t>μ</t>
    </r>
    <r>
      <rPr>
        <b/>
        <sz val="12"/>
        <color theme="1"/>
        <rFont val="Calibri"/>
        <family val="2"/>
      </rPr>
      <t xml:space="preserve"> Dynamic viscosity:</t>
    </r>
  </si>
  <si>
    <r>
      <t>Ns/m</t>
    </r>
    <r>
      <rPr>
        <sz val="11"/>
        <color theme="1"/>
        <rFont val="Times New Roman"/>
        <family val="1"/>
      </rPr>
      <t>²</t>
    </r>
  </si>
  <si>
    <t>Self tempe. Length =</t>
  </si>
  <si>
    <t>K water =</t>
  </si>
  <si>
    <r>
      <t xml:space="preserve">Thermal Diffus.: </t>
    </r>
    <r>
      <rPr>
        <b/>
        <sz val="12"/>
        <color theme="1"/>
        <rFont val="Times New Roman"/>
        <family val="1"/>
      </rPr>
      <t>α</t>
    </r>
    <r>
      <rPr>
        <b/>
        <sz val="12"/>
        <color theme="1"/>
        <rFont val="Calibri"/>
        <family val="2"/>
      </rPr>
      <t xml:space="preserve"> =</t>
    </r>
  </si>
  <si>
    <t>water outlet temp.:</t>
  </si>
  <si>
    <t>Water inlet temp. =</t>
  </si>
  <si>
    <t>Dh =</t>
  </si>
  <si>
    <r>
      <rPr>
        <b/>
        <sz val="12"/>
        <color theme="1"/>
        <rFont val="Times New Roman"/>
        <family val="1"/>
      </rPr>
      <t>ρ</t>
    </r>
    <r>
      <rPr>
        <b/>
        <sz val="12"/>
        <color theme="1"/>
        <rFont val="Calibri"/>
        <family val="2"/>
      </rPr>
      <t xml:space="preserve">  Water:</t>
    </r>
  </si>
  <si>
    <t>Stephen Boltzman constant:</t>
  </si>
  <si>
    <r>
      <t>W/m</t>
    </r>
    <r>
      <rPr>
        <sz val="11"/>
        <color theme="1"/>
        <rFont val="Times New Roman"/>
        <family val="1"/>
      </rPr>
      <t>²</t>
    </r>
    <r>
      <rPr>
        <sz val="11"/>
        <color theme="1"/>
        <rFont val="Calibri"/>
        <family val="2"/>
        <scheme val="minor"/>
      </rPr>
      <t>K^4</t>
    </r>
  </si>
  <si>
    <t>Water Outlet temp =</t>
  </si>
  <si>
    <t>Area eff. =</t>
  </si>
  <si>
    <r>
      <t>m</t>
    </r>
    <r>
      <rPr>
        <sz val="11"/>
        <color theme="1"/>
        <rFont val="Times New Roman"/>
        <family val="1"/>
      </rPr>
      <t>²</t>
    </r>
  </si>
  <si>
    <t>Ɛ emmisivity:</t>
  </si>
  <si>
    <t>Flow rate =</t>
  </si>
  <si>
    <r>
      <t>m</t>
    </r>
    <r>
      <rPr>
        <sz val="11"/>
        <color theme="1"/>
        <rFont val="Times New Roman"/>
        <family val="1"/>
      </rPr>
      <t>³</t>
    </r>
    <r>
      <rPr>
        <sz val="9.35"/>
        <color theme="1"/>
        <rFont val="Calibri"/>
        <family val="2"/>
      </rPr>
      <t>/ hr</t>
    </r>
  </si>
  <si>
    <t>Wetted Perimeter =</t>
  </si>
  <si>
    <t xml:space="preserve">V relative: </t>
  </si>
  <si>
    <t>Air Inlet:</t>
  </si>
  <si>
    <t>Water velocity =</t>
  </si>
  <si>
    <t>m/sec</t>
  </si>
  <si>
    <t>Air outlet:</t>
  </si>
  <si>
    <t>Discharge =</t>
  </si>
  <si>
    <r>
      <t>m</t>
    </r>
    <r>
      <rPr>
        <sz val="11"/>
        <color theme="1"/>
        <rFont val="Times New Roman"/>
        <family val="1"/>
      </rPr>
      <t>³/hr</t>
    </r>
  </si>
  <si>
    <t>h final:</t>
  </si>
  <si>
    <t>Pressure:</t>
  </si>
  <si>
    <t>Cp water =</t>
  </si>
  <si>
    <t>Heat Transfer with Radiation (Conduction + Convection (High) + Radiation):</t>
  </si>
  <si>
    <t>Heat Transfer without Radiation (Conduction + Convection (Normal)):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</si>
</sst>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6.6"/>
      <color theme="1"/>
      <name val="Calibri"/>
      <family val="2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9.35"/>
      <color theme="1"/>
      <name val="Calibri"/>
      <family val="2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EC2EA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Fill="1"/>
    <xf numFmtId="0" fontId="8" fillId="0" borderId="0" xfId="0" applyFont="1" applyAlignment="1">
      <alignment horizontal="center"/>
    </xf>
    <xf numFmtId="0" fontId="9" fillId="0" borderId="0" xfId="0" applyFont="1" applyFill="1"/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CA70-B601-4244-8DC5-81B2252E35A5}">
  <dimension ref="A1:DD494"/>
  <sheetViews>
    <sheetView tabSelected="1" topLeftCell="A233" workbookViewId="0">
      <selection activeCell="B2" sqref="B2"/>
    </sheetView>
  </sheetViews>
  <sheetFormatPr defaultRowHeight="15" x14ac:dyDescent="0.25"/>
  <cols>
    <col min="2" max="2" width="40.28515625" customWidth="1"/>
    <col min="3" max="3" width="23.42578125" customWidth="1"/>
    <col min="5" max="5" width="14.7109375" bestFit="1" customWidth="1"/>
    <col min="7" max="7" width="12.5703125" customWidth="1"/>
    <col min="10" max="10" width="14.7109375" bestFit="1" customWidth="1"/>
    <col min="11" max="11" width="14.85546875" customWidth="1"/>
    <col min="12" max="12" width="11.85546875" bestFit="1" customWidth="1"/>
    <col min="13" max="13" width="10.5703125" bestFit="1" customWidth="1"/>
    <col min="15" max="15" width="22.28515625" customWidth="1"/>
    <col min="20" max="20" width="18.5703125" customWidth="1"/>
    <col min="25" max="25" width="14.7109375" bestFit="1" customWidth="1"/>
    <col min="30" max="30" width="16" bestFit="1" customWidth="1"/>
    <col min="104" max="104" width="11" customWidth="1"/>
  </cols>
  <sheetData>
    <row r="1" spans="1:43" ht="36" x14ac:dyDescent="0.55000000000000004">
      <c r="B1" s="29" t="s">
        <v>112</v>
      </c>
    </row>
    <row r="2" spans="1:43" x14ac:dyDescent="0.25">
      <c r="C2" s="1" t="s">
        <v>0</v>
      </c>
      <c r="D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</row>
    <row r="3" spans="1:43" x14ac:dyDescent="0.25">
      <c r="A3" s="1" t="s">
        <v>22</v>
      </c>
      <c r="B3" s="1" t="s">
        <v>23</v>
      </c>
      <c r="C3">
        <v>25</v>
      </c>
      <c r="D3">
        <f>C3/1000</f>
        <v>2.5000000000000001E-2</v>
      </c>
      <c r="F3" s="1" t="s">
        <v>0</v>
      </c>
      <c r="G3">
        <f>$C$6*1</f>
        <v>0.625</v>
      </c>
      <c r="H3">
        <f>$C$6*2</f>
        <v>1.25</v>
      </c>
      <c r="I3">
        <f>$C$6*3</f>
        <v>1.875</v>
      </c>
      <c r="J3">
        <f>$C$6*4</f>
        <v>2.5</v>
      </c>
      <c r="K3">
        <f>$C$6*5</f>
        <v>3.125</v>
      </c>
      <c r="L3">
        <f>$C$6*6</f>
        <v>3.75</v>
      </c>
      <c r="M3">
        <f>$C$6*7</f>
        <v>4.375</v>
      </c>
      <c r="N3">
        <f>$C$6*8</f>
        <v>5</v>
      </c>
      <c r="O3">
        <f>$C$6*9</f>
        <v>5.625</v>
      </c>
      <c r="P3">
        <f>$C$6*10</f>
        <v>6.25</v>
      </c>
      <c r="Q3">
        <f>$C$6*11</f>
        <v>6.875</v>
      </c>
      <c r="R3">
        <f>$C$6*12</f>
        <v>7.5</v>
      </c>
      <c r="S3">
        <f>$C$6*13</f>
        <v>8.125</v>
      </c>
      <c r="T3">
        <f>$C$6*14</f>
        <v>8.75</v>
      </c>
      <c r="U3">
        <f>$C$6*15</f>
        <v>9.375</v>
      </c>
      <c r="V3">
        <f>$C$6*16</f>
        <v>10</v>
      </c>
      <c r="W3">
        <f>$C$6*17</f>
        <v>10.625</v>
      </c>
      <c r="X3">
        <f>$C$6*18</f>
        <v>11.25</v>
      </c>
      <c r="Y3">
        <f>$C$6*19</f>
        <v>11.875</v>
      </c>
      <c r="Z3">
        <f>$C$6*20</f>
        <v>12.5</v>
      </c>
    </row>
    <row r="4" spans="1:43" x14ac:dyDescent="0.25">
      <c r="B4" s="1" t="s">
        <v>24</v>
      </c>
      <c r="C4">
        <f>C3/2</f>
        <v>12.5</v>
      </c>
      <c r="D4">
        <f>C4/1000</f>
        <v>1.2500000000000001E-2</v>
      </c>
      <c r="F4" s="1" t="s">
        <v>1</v>
      </c>
      <c r="G4">
        <f>G3/1000</f>
        <v>6.2500000000000001E-4</v>
      </c>
      <c r="H4">
        <f t="shared" ref="H4:Z4" si="0">H3/1000</f>
        <v>1.25E-3</v>
      </c>
      <c r="I4">
        <f t="shared" si="0"/>
        <v>1.8749999999999999E-3</v>
      </c>
      <c r="J4">
        <f t="shared" si="0"/>
        <v>2.5000000000000001E-3</v>
      </c>
      <c r="K4">
        <f t="shared" si="0"/>
        <v>3.1250000000000002E-3</v>
      </c>
      <c r="L4">
        <f t="shared" si="0"/>
        <v>3.7499999999999999E-3</v>
      </c>
      <c r="M4">
        <f t="shared" si="0"/>
        <v>4.3750000000000004E-3</v>
      </c>
      <c r="N4">
        <f t="shared" si="0"/>
        <v>5.0000000000000001E-3</v>
      </c>
      <c r="O4">
        <f t="shared" si="0"/>
        <v>5.6249999999999998E-3</v>
      </c>
      <c r="P4">
        <f t="shared" si="0"/>
        <v>6.2500000000000003E-3</v>
      </c>
      <c r="Q4">
        <f t="shared" si="0"/>
        <v>6.875E-3</v>
      </c>
      <c r="R4">
        <f t="shared" si="0"/>
        <v>7.4999999999999997E-3</v>
      </c>
      <c r="S4">
        <f t="shared" si="0"/>
        <v>8.1250000000000003E-3</v>
      </c>
      <c r="T4">
        <f t="shared" si="0"/>
        <v>8.7500000000000008E-3</v>
      </c>
      <c r="U4">
        <f t="shared" si="0"/>
        <v>9.3749999999999997E-3</v>
      </c>
      <c r="V4">
        <f t="shared" si="0"/>
        <v>0.01</v>
      </c>
      <c r="W4">
        <f t="shared" si="0"/>
        <v>1.0625000000000001E-2</v>
      </c>
      <c r="X4">
        <f t="shared" si="0"/>
        <v>1.125E-2</v>
      </c>
      <c r="Y4">
        <f t="shared" si="0"/>
        <v>1.1875E-2</v>
      </c>
      <c r="Z4">
        <f t="shared" si="0"/>
        <v>1.2500000000000001E-2</v>
      </c>
    </row>
    <row r="5" spans="1:43" x14ac:dyDescent="0.25">
      <c r="B5" s="1" t="s">
        <v>25</v>
      </c>
      <c r="C5">
        <v>20</v>
      </c>
      <c r="S5" s="2"/>
      <c r="T5" s="2"/>
      <c r="AQ5">
        <f>3^3*5+4/2</f>
        <v>137</v>
      </c>
    </row>
    <row r="6" spans="1:43" x14ac:dyDescent="0.25">
      <c r="B6" s="1" t="s">
        <v>26</v>
      </c>
      <c r="C6">
        <f>C4/C5</f>
        <v>0.625</v>
      </c>
      <c r="D6">
        <f>C6/1000</f>
        <v>6.2500000000000001E-4</v>
      </c>
      <c r="S6" s="2"/>
      <c r="T6" s="2"/>
    </row>
    <row r="7" spans="1:43" x14ac:dyDescent="0.25">
      <c r="B7" s="1"/>
      <c r="F7" s="3" t="s">
        <v>27</v>
      </c>
      <c r="G7" s="3"/>
      <c r="H7">
        <f>(C10*M8)/(D6^2)</f>
        <v>1.2763737083803602E-2</v>
      </c>
      <c r="K7" s="4" t="s">
        <v>28</v>
      </c>
      <c r="L7" s="5"/>
      <c r="S7" s="2"/>
      <c r="T7" s="2"/>
      <c r="U7" s="2"/>
      <c r="V7" s="2"/>
      <c r="W7" s="2"/>
      <c r="X7" s="2"/>
      <c r="Y7" s="2"/>
    </row>
    <row r="8" spans="1:43" x14ac:dyDescent="0.25">
      <c r="B8" s="1" t="s">
        <v>29</v>
      </c>
      <c r="C8">
        <v>8825</v>
      </c>
      <c r="D8" t="s">
        <v>30</v>
      </c>
      <c r="F8" s="3" t="s">
        <v>31</v>
      </c>
      <c r="G8" s="3"/>
      <c r="H8">
        <f>$C$8*$D$6/AE19</f>
        <v>0.20032960746747056</v>
      </c>
      <c r="K8" s="1" t="s">
        <v>32</v>
      </c>
      <c r="M8">
        <f>(0.1*(D6^2))/(AD19*(1+AG19+(AG19/(2*C5))))/6</f>
        <v>9.7761466634525146E-4</v>
      </c>
      <c r="N8" t="s">
        <v>33</v>
      </c>
      <c r="T8" s="2"/>
      <c r="U8" s="2"/>
      <c r="V8" s="2"/>
      <c r="W8" s="2"/>
      <c r="X8" s="2"/>
      <c r="Y8" s="2"/>
    </row>
    <row r="9" spans="1:43" x14ac:dyDescent="0.25">
      <c r="B9" s="1" t="s">
        <v>34</v>
      </c>
      <c r="C9">
        <v>27.12</v>
      </c>
      <c r="D9" t="s">
        <v>35</v>
      </c>
      <c r="T9" s="2"/>
      <c r="U9" s="2"/>
      <c r="V9" s="2"/>
      <c r="W9" s="2"/>
      <c r="X9" s="2"/>
      <c r="Y9" s="2"/>
    </row>
    <row r="10" spans="1:43" x14ac:dyDescent="0.25">
      <c r="B10" s="1" t="s">
        <v>36</v>
      </c>
      <c r="C10">
        <f>5.1 * (10^(-6))</f>
        <v>5.0999999999999995E-6</v>
      </c>
      <c r="D10" t="s">
        <v>37</v>
      </c>
      <c r="T10" s="2"/>
      <c r="U10" s="2"/>
      <c r="V10" s="2"/>
      <c r="W10" s="2"/>
      <c r="X10" s="2"/>
      <c r="Y10" s="2"/>
    </row>
    <row r="11" spans="1:43" x14ac:dyDescent="0.25">
      <c r="B11" s="1" t="s">
        <v>38</v>
      </c>
      <c r="C11">
        <v>7850</v>
      </c>
      <c r="D11" t="s">
        <v>39</v>
      </c>
      <c r="F11" s="6" t="s">
        <v>40</v>
      </c>
      <c r="G11">
        <v>1000</v>
      </c>
      <c r="H11" t="s">
        <v>39</v>
      </c>
      <c r="T11" s="2"/>
      <c r="U11" s="2"/>
      <c r="V11" s="2"/>
      <c r="W11" s="2"/>
      <c r="X11" s="2"/>
      <c r="Y11" s="2"/>
    </row>
    <row r="12" spans="1:43" x14ac:dyDescent="0.25">
      <c r="B12" s="1" t="s">
        <v>41</v>
      </c>
      <c r="C12">
        <v>900</v>
      </c>
      <c r="D12" s="7" t="s">
        <v>42</v>
      </c>
      <c r="E12" s="7"/>
      <c r="F12" s="6" t="s">
        <v>43</v>
      </c>
      <c r="G12" s="7">
        <v>600</v>
      </c>
      <c r="H12" s="7" t="s">
        <v>44</v>
      </c>
      <c r="T12" s="2"/>
      <c r="U12" s="2"/>
      <c r="V12" s="2"/>
      <c r="W12" s="2"/>
      <c r="X12" s="2"/>
      <c r="Y12" s="2"/>
    </row>
    <row r="13" spans="1:43" x14ac:dyDescent="0.25">
      <c r="B13" s="1" t="s">
        <v>45</v>
      </c>
      <c r="C13">
        <v>1020</v>
      </c>
      <c r="D13" s="7" t="s">
        <v>42</v>
      </c>
      <c r="E13" s="7"/>
      <c r="F13" s="7"/>
      <c r="G13" s="7"/>
      <c r="H13" s="7"/>
      <c r="T13" s="2"/>
      <c r="U13" s="2"/>
      <c r="V13" s="2"/>
      <c r="W13" s="2"/>
      <c r="X13" s="2"/>
      <c r="Y13" s="2"/>
    </row>
    <row r="14" spans="1:43" x14ac:dyDescent="0.25">
      <c r="B14" s="1" t="s">
        <v>46</v>
      </c>
      <c r="C14">
        <v>25</v>
      </c>
      <c r="D14" s="7" t="s">
        <v>42</v>
      </c>
      <c r="E14" s="7"/>
      <c r="F14" s="7"/>
      <c r="G14" s="7"/>
      <c r="H14" s="7"/>
    </row>
    <row r="17" spans="2:108" ht="31.5" x14ac:dyDescent="0.25">
      <c r="B17" s="8" t="s">
        <v>47</v>
      </c>
      <c r="C17" s="8" t="s">
        <v>48</v>
      </c>
      <c r="D17" s="9" t="s">
        <v>49</v>
      </c>
      <c r="E17" s="10" t="s">
        <v>50</v>
      </c>
      <c r="F17" s="11" t="s">
        <v>51</v>
      </c>
      <c r="G17" s="12" t="s">
        <v>52</v>
      </c>
      <c r="H17" s="13" t="s">
        <v>53</v>
      </c>
      <c r="I17" s="9" t="s">
        <v>54</v>
      </c>
      <c r="J17" s="10" t="s">
        <v>50</v>
      </c>
      <c r="K17" s="11" t="s">
        <v>51</v>
      </c>
      <c r="L17" s="12" t="s">
        <v>52</v>
      </c>
      <c r="M17" s="13" t="s">
        <v>53</v>
      </c>
      <c r="N17" s="9" t="s">
        <v>55</v>
      </c>
      <c r="O17" s="10" t="s">
        <v>50</v>
      </c>
      <c r="P17" s="11" t="s">
        <v>51</v>
      </c>
      <c r="Q17" s="12" t="s">
        <v>52</v>
      </c>
      <c r="R17" s="13" t="s">
        <v>53</v>
      </c>
      <c r="S17" s="9" t="s">
        <v>56</v>
      </c>
      <c r="T17" s="10" t="s">
        <v>50</v>
      </c>
      <c r="U17" s="11" t="s">
        <v>51</v>
      </c>
      <c r="V17" s="12" t="s">
        <v>52</v>
      </c>
      <c r="W17" s="13" t="s">
        <v>53</v>
      </c>
      <c r="X17" s="9" t="s">
        <v>57</v>
      </c>
      <c r="Y17" s="10" t="s">
        <v>50</v>
      </c>
      <c r="Z17" s="11" t="s">
        <v>51</v>
      </c>
      <c r="AA17" s="12" t="s">
        <v>52</v>
      </c>
      <c r="AB17" s="13" t="s">
        <v>53</v>
      </c>
      <c r="AC17" s="9" t="s">
        <v>58</v>
      </c>
      <c r="AD17" s="10" t="s">
        <v>50</v>
      </c>
      <c r="AE17" s="11" t="s">
        <v>51</v>
      </c>
      <c r="AF17" s="12" t="s">
        <v>52</v>
      </c>
      <c r="AG17" s="13" t="s">
        <v>53</v>
      </c>
      <c r="AH17" s="9" t="s">
        <v>59</v>
      </c>
      <c r="AI17" s="10" t="s">
        <v>50</v>
      </c>
      <c r="AJ17" s="11" t="s">
        <v>51</v>
      </c>
      <c r="AK17" s="12" t="s">
        <v>52</v>
      </c>
      <c r="AL17" s="13" t="s">
        <v>53</v>
      </c>
      <c r="AM17" s="9" t="s">
        <v>60</v>
      </c>
      <c r="AN17" s="10" t="s">
        <v>50</v>
      </c>
      <c r="AO17" s="11" t="s">
        <v>51</v>
      </c>
      <c r="AP17" s="12" t="s">
        <v>52</v>
      </c>
      <c r="AQ17" s="13" t="s">
        <v>53</v>
      </c>
      <c r="AR17" s="9" t="s">
        <v>61</v>
      </c>
      <c r="AS17" s="10" t="s">
        <v>50</v>
      </c>
      <c r="AT17" s="11" t="s">
        <v>51</v>
      </c>
      <c r="AU17" s="12" t="s">
        <v>52</v>
      </c>
      <c r="AV17" s="13" t="s">
        <v>53</v>
      </c>
      <c r="AW17" s="9" t="s">
        <v>62</v>
      </c>
      <c r="AX17" s="10" t="s">
        <v>50</v>
      </c>
      <c r="AY17" s="11" t="s">
        <v>51</v>
      </c>
      <c r="AZ17" s="12" t="s">
        <v>52</v>
      </c>
      <c r="BA17" s="13" t="s">
        <v>53</v>
      </c>
      <c r="BB17" s="9" t="s">
        <v>63</v>
      </c>
      <c r="BC17" s="10" t="s">
        <v>50</v>
      </c>
      <c r="BD17" s="11" t="s">
        <v>51</v>
      </c>
      <c r="BE17" s="12" t="s">
        <v>52</v>
      </c>
      <c r="BF17" s="13" t="s">
        <v>53</v>
      </c>
      <c r="BG17" s="9" t="s">
        <v>64</v>
      </c>
      <c r="BH17" s="10" t="s">
        <v>50</v>
      </c>
      <c r="BI17" s="11" t="s">
        <v>51</v>
      </c>
      <c r="BJ17" s="12" t="s">
        <v>52</v>
      </c>
      <c r="BK17" s="13" t="s">
        <v>53</v>
      </c>
      <c r="BL17" s="9" t="s">
        <v>65</v>
      </c>
      <c r="BM17" s="10" t="s">
        <v>50</v>
      </c>
      <c r="BN17" s="11" t="s">
        <v>51</v>
      </c>
      <c r="BO17" s="12" t="s">
        <v>52</v>
      </c>
      <c r="BP17" s="13" t="s">
        <v>53</v>
      </c>
      <c r="BQ17" s="9" t="s">
        <v>66</v>
      </c>
      <c r="BR17" s="10" t="s">
        <v>50</v>
      </c>
      <c r="BS17" s="11" t="s">
        <v>51</v>
      </c>
      <c r="BT17" s="12" t="s">
        <v>52</v>
      </c>
      <c r="BU17" s="13" t="s">
        <v>53</v>
      </c>
      <c r="BV17" s="9" t="s">
        <v>67</v>
      </c>
      <c r="BW17" s="10" t="s">
        <v>50</v>
      </c>
      <c r="BX17" s="11" t="s">
        <v>51</v>
      </c>
      <c r="BY17" s="12" t="s">
        <v>52</v>
      </c>
      <c r="BZ17" s="13" t="s">
        <v>53</v>
      </c>
      <c r="CA17" s="9" t="s">
        <v>68</v>
      </c>
      <c r="CB17" s="10" t="s">
        <v>50</v>
      </c>
      <c r="CC17" s="11" t="s">
        <v>51</v>
      </c>
      <c r="CD17" s="12" t="s">
        <v>52</v>
      </c>
      <c r="CE17" s="13" t="s">
        <v>53</v>
      </c>
      <c r="CF17" s="9" t="s">
        <v>69</v>
      </c>
      <c r="CG17" s="10" t="s">
        <v>50</v>
      </c>
      <c r="CH17" s="11" t="s">
        <v>51</v>
      </c>
      <c r="CI17" s="12" t="s">
        <v>52</v>
      </c>
      <c r="CJ17" s="13" t="s">
        <v>53</v>
      </c>
      <c r="CK17" s="9" t="s">
        <v>70</v>
      </c>
      <c r="CL17" s="10" t="s">
        <v>50</v>
      </c>
      <c r="CM17" s="11" t="s">
        <v>51</v>
      </c>
      <c r="CN17" s="12" t="s">
        <v>52</v>
      </c>
      <c r="CO17" s="13" t="s">
        <v>53</v>
      </c>
      <c r="CP17" s="9" t="s">
        <v>71</v>
      </c>
      <c r="CQ17" s="10" t="s">
        <v>50</v>
      </c>
      <c r="CR17" s="11" t="s">
        <v>51</v>
      </c>
      <c r="CS17" s="12" t="s">
        <v>52</v>
      </c>
      <c r="CT17" s="13" t="s">
        <v>53</v>
      </c>
      <c r="CU17" s="9" t="s">
        <v>72</v>
      </c>
      <c r="CV17" s="10" t="s">
        <v>50</v>
      </c>
      <c r="CW17" s="11" t="s">
        <v>51</v>
      </c>
      <c r="CX17" s="12" t="s">
        <v>52</v>
      </c>
      <c r="CY17" s="13" t="s">
        <v>53</v>
      </c>
      <c r="CZ17" s="9" t="s">
        <v>73</v>
      </c>
      <c r="DA17" s="10" t="s">
        <v>50</v>
      </c>
      <c r="DB17" s="11" t="s">
        <v>51</v>
      </c>
      <c r="DC17" s="12" t="s">
        <v>52</v>
      </c>
      <c r="DD17" s="13" t="s">
        <v>53</v>
      </c>
    </row>
    <row r="18" spans="2:108" ht="31.5" x14ac:dyDescent="0.25">
      <c r="B18" s="1" t="s">
        <v>74</v>
      </c>
      <c r="D18" s="14">
        <v>0</v>
      </c>
      <c r="E18" s="15"/>
      <c r="F18" s="16"/>
      <c r="G18" s="17"/>
      <c r="H18" s="18"/>
      <c r="I18" s="14">
        <v>1</v>
      </c>
      <c r="J18" s="15"/>
      <c r="K18" s="16"/>
      <c r="L18" s="17"/>
      <c r="M18" s="18"/>
      <c r="N18" s="14">
        <v>2</v>
      </c>
      <c r="O18" s="15"/>
      <c r="P18" s="16"/>
      <c r="Q18" s="17"/>
      <c r="R18" s="18"/>
      <c r="S18" s="14">
        <v>3</v>
      </c>
      <c r="T18" s="15"/>
      <c r="U18" s="16"/>
      <c r="V18" s="17"/>
      <c r="W18" s="18"/>
      <c r="X18" s="14">
        <v>4</v>
      </c>
      <c r="Y18" s="15"/>
      <c r="Z18" s="16"/>
      <c r="AA18" s="17"/>
      <c r="AB18" s="18"/>
      <c r="AC18" s="14">
        <v>5</v>
      </c>
      <c r="AD18" s="15"/>
      <c r="AE18" s="16"/>
      <c r="AF18" s="17"/>
      <c r="AG18" s="18"/>
      <c r="AH18" s="14">
        <v>6</v>
      </c>
      <c r="AI18" s="15"/>
      <c r="AJ18" s="16"/>
      <c r="AK18" s="17"/>
      <c r="AL18" s="18"/>
      <c r="AM18" s="14">
        <v>7</v>
      </c>
      <c r="AN18" s="15"/>
      <c r="AO18" s="16"/>
      <c r="AP18" s="17"/>
      <c r="AQ18" s="18"/>
      <c r="AR18" s="14">
        <v>8</v>
      </c>
      <c r="AS18" s="15"/>
      <c r="AT18" s="16"/>
      <c r="AU18" s="17"/>
      <c r="AV18" s="18"/>
      <c r="AW18" s="14">
        <v>9</v>
      </c>
      <c r="AX18" s="15"/>
      <c r="AY18" s="16"/>
      <c r="AZ18" s="17"/>
      <c r="BA18" s="18"/>
      <c r="BB18" s="14">
        <v>10</v>
      </c>
      <c r="BC18" s="15"/>
      <c r="BD18" s="16"/>
      <c r="BE18" s="17"/>
      <c r="BF18" s="18"/>
      <c r="BG18" s="14">
        <v>11</v>
      </c>
      <c r="BH18" s="15"/>
      <c r="BI18" s="16"/>
      <c r="BJ18" s="17"/>
      <c r="BK18" s="18"/>
      <c r="BL18" s="14">
        <v>12</v>
      </c>
      <c r="BM18" s="15"/>
      <c r="BN18" s="16"/>
      <c r="BO18" s="17"/>
      <c r="BP18" s="18"/>
      <c r="BQ18" s="14">
        <v>13</v>
      </c>
      <c r="BR18" s="15"/>
      <c r="BS18" s="16"/>
      <c r="BT18" s="17"/>
      <c r="BU18" s="18"/>
      <c r="BV18" s="14">
        <v>14</v>
      </c>
      <c r="BW18" s="15"/>
      <c r="BX18" s="16"/>
      <c r="BY18" s="17"/>
      <c r="BZ18" s="18"/>
      <c r="CA18" s="14">
        <v>15</v>
      </c>
      <c r="CB18" s="15"/>
      <c r="CC18" s="16"/>
      <c r="CD18" s="17"/>
      <c r="CE18" s="18"/>
      <c r="CF18" s="14">
        <v>16</v>
      </c>
      <c r="CG18" s="15"/>
      <c r="CH18" s="16"/>
      <c r="CI18" s="17"/>
      <c r="CJ18" s="18"/>
      <c r="CK18" s="14">
        <v>17</v>
      </c>
      <c r="CL18" s="15"/>
      <c r="CM18" s="16"/>
      <c r="CN18" s="17"/>
      <c r="CO18" s="18"/>
      <c r="CP18" s="14">
        <v>18</v>
      </c>
      <c r="CQ18" s="15"/>
      <c r="CR18" s="16"/>
      <c r="CS18" s="17"/>
      <c r="CT18" s="18"/>
      <c r="CU18" s="14">
        <v>19</v>
      </c>
      <c r="CV18" s="15"/>
      <c r="CW18" s="16"/>
      <c r="CX18" s="17"/>
      <c r="CY18" s="18"/>
      <c r="CZ18" s="14">
        <v>20</v>
      </c>
      <c r="DA18" s="15"/>
      <c r="DB18" s="16"/>
      <c r="DC18" s="17"/>
      <c r="DD18" s="18"/>
    </row>
    <row r="19" spans="2:108" x14ac:dyDescent="0.25">
      <c r="B19">
        <v>0</v>
      </c>
      <c r="C19">
        <f>$B19*0.27</f>
        <v>0</v>
      </c>
      <c r="D19" s="19">
        <f>C13</f>
        <v>1020</v>
      </c>
      <c r="E19" s="15">
        <f>IF($D19&gt;=650,((0.00002*$D19)+0.035)/10000,IF($D19&lt;650,((-0.0000000000003*($D19^4))+(0.0000000004*($D19^3))-(0.0000002*($D19^2))-(0.0001*$D19)+0.1409)/10000))</f>
        <v>5.5400000000000003E-6</v>
      </c>
      <c r="F19" s="16">
        <f>IF($D19&lt;650,(53.495-(0.029*D19)),IF(D19&lt;700,((0.00000000000000006*(D19^2))-(0.2008*D19) + 164.43),IF(D19&lt;1250,((0.0115*D19)+ 15.889))))</f>
        <v>27.619</v>
      </c>
      <c r="G19" s="17">
        <f t="shared" ref="G19:G82" si="1">($E19*$M$8)/($D$6^2)</f>
        <v>1.3864922243974894E-2</v>
      </c>
      <c r="H19" s="18">
        <f>($C$8*$D$6)/F19</f>
        <v>0.19970400811035882</v>
      </c>
      <c r="I19" s="19">
        <f>(($C$13-$C$12)*(1-((G$4/$D$4)^2)))+($C$12)</f>
        <v>1019.7</v>
      </c>
      <c r="J19" s="15">
        <f>IF($I19&gt;=650,((0.00002*$I19)+0.035)/10000,IF($I19&lt;650,((-0.0000000000003*($I19^4))+(0.0000000004*($I19^3))-(0.0000002*($I19^2))-(0.0001*$I19)+0.1409)/10000))</f>
        <v>5.5394000000000007E-6</v>
      </c>
      <c r="K19" s="16">
        <f>IF($I19&lt;650,(53.495-(0.029*I19)),IF(I19&lt;700,((0.00000000000000006*(I19^2))-(0.2008*I19) + 164.43),IF(I19&lt;1250,((0.0115*I19)+ 15.889))))</f>
        <v>27.615549999999999</v>
      </c>
      <c r="L19" s="17">
        <f>($J19*$M$8)/($D$6^2)</f>
        <v>1.386342062784739E-2</v>
      </c>
      <c r="M19" s="18">
        <f>($C$8*$D$6)/K19</f>
        <v>0.19972895705499258</v>
      </c>
      <c r="N19" s="19">
        <f>(($C$13-$C$12)*(1-((H$4/$D$4)^2)))+($C$12)</f>
        <v>1018.8</v>
      </c>
      <c r="O19" s="15">
        <f>IF($N19&gt;=650,((0.00002*$N19)+0.035)/10000,IF($N19&lt;650,((-0.0000000000003*($N19^4))+(0.0000000004*($N19^3))-(0.0000002*($N19^2))-(0.0001*$N19)+0.1409)/10000))</f>
        <v>5.537600000000001E-6</v>
      </c>
      <c r="P19" s="16">
        <f>IF($N19&lt;650,(53.495-(0.029*$N19)),IF($N19&lt;700,((0.00000000000000006*($N19^2))-(0.2008*$N19) + 164.43),IF($N19&lt;1250,((0.0115*$N19)+ 15.889))))</f>
        <v>27.605199999999996</v>
      </c>
      <c r="Q19" s="17">
        <f t="shared" ref="Q19:Q82" si="2">($E19*$M$8)/($D$6^2)</f>
        <v>1.3864922243974894E-2</v>
      </c>
      <c r="R19" s="18">
        <f>($C$8*$D$6)/P19</f>
        <v>0.19980384130526135</v>
      </c>
      <c r="S19" s="19">
        <f>(($C$13-$C$12)*(1-((I$4/$D$4)^2)))+($C$12)</f>
        <v>1017.3</v>
      </c>
      <c r="T19" s="15">
        <f>IF($S19&gt;=650,((0.00002*$S19)+0.035)/10000,IF($S19&lt;650,((-0.0000000000003*($S19^4))+(0.0000000004*($S19^3))-(0.0000002*($S19^2))-(0.0001*$S19)+0.1409)/10000))</f>
        <v>5.5346000000000003E-6</v>
      </c>
      <c r="U19" s="16">
        <f>IF($S19&lt;650,(53.495-(0.029*$S19)),IF($S19&lt;700,((0.00000000000000006*($S19^2))-(0.2008*$S19) + 164.43),IF($S19&lt;1250,((0.0115*$S19)+ 15.889))))</f>
        <v>27.587949999999999</v>
      </c>
      <c r="V19" s="17">
        <f>($T19*$M$8)/($D$6^2)</f>
        <v>1.3851407698827338E-2</v>
      </c>
      <c r="W19" s="18">
        <f>($C$8*$D$6)/U19</f>
        <v>0.19992877325064023</v>
      </c>
      <c r="X19" s="20">
        <f>(($C$13-$C$12)*(1-((J$4/$D$4)^2)))+($C$12)</f>
        <v>1015.2</v>
      </c>
      <c r="Y19" s="15">
        <f>IF($X19&gt;=650,((0.00002*$X19)+0.035)/10000,IF($X19&lt;650,((-0.0000000000003*($X19^4))+(0.0000000004*($X19^3))-(0.0000002*($X19^2))-(0.0001*$X19)+0.1409)/10000))</f>
        <v>5.5304000000000004E-6</v>
      </c>
      <c r="Z19" s="16">
        <f>IF($X19&lt;650,(53.495-(0.029*$X19)),IF($X19&lt;700,((0.00000000000000006*($X19^2))-(0.2008*$X19) + 164.43),IF($X19&lt;1250,((0.0115*$X19)+ 15.889))))</f>
        <v>27.563800000000001</v>
      </c>
      <c r="AA19" s="17">
        <f>($Y19*$M$8)/($D$6^2)</f>
        <v>1.3840896385934795E-2</v>
      </c>
      <c r="AB19" s="18">
        <f>($C$8*$D$6)/Z19</f>
        <v>0.20010394067581391</v>
      </c>
      <c r="AC19" s="19">
        <f>(($C$13-$C$12)*(1-((K$4/$D$4)^2)))+($C$12)</f>
        <v>1012.5</v>
      </c>
      <c r="AD19" s="15">
        <f>IF(AC19&gt;=650,((0.00002*AC19)+0.035)/10000,IF(AC19&lt;650,((-0.0000000000003*(AC19^4))+(0.0000000004*(AC19^3))-(0.0000002*(AC19^2))-(0.0001*AC19)+0.1409)/10000))</f>
        <v>5.5250000000000005E-6</v>
      </c>
      <c r="AE19" s="16">
        <f>IF(AC19&lt;650,(53.495-(0.029*AC19)),IF(AC19&lt;700,((0.00000000000000006*(AC19^2))-(0.2008*AC19) + 164.43),IF(AC19&lt;1250,((0.0115*AC19)+ 15.889))))</f>
        <v>27.53275</v>
      </c>
      <c r="AF19" s="17">
        <f>(AD19*$M$8)/($D$6^2)</f>
        <v>1.3827381840787238E-2</v>
      </c>
      <c r="AG19" s="18">
        <f>($C$8*$D$6)/AE19</f>
        <v>0.20032960746747056</v>
      </c>
      <c r="AH19" s="19">
        <f>(($C$13-$C$12)*(1-((L$4/$D$4)^2)))+($C$12)</f>
        <v>1009.2</v>
      </c>
      <c r="AI19" s="15">
        <f>IF(AH19&gt;=650,((0.00002*AH19)+0.035)/10000,IF(AH19&lt;650,((-0.0000000000003*(AH19^4))+(0.0000000004*(AH19^3))-(0.0000002*(AH19^2))-(0.0001*AH19)+0.1409)/10000))</f>
        <v>5.5184000000000012E-6</v>
      </c>
      <c r="AJ19" s="16">
        <f>IF(AH19&lt;650,(53.495-(0.029*AH19)),IF(AH19&lt;700,((0.00000000000000006*(AH19^2))-(0.2008*AH19) + 164.43),IF(AH19&lt;1250,((0.0115*AH19)+ 15.889))))</f>
        <v>27.494799999999998</v>
      </c>
      <c r="AK19" s="17">
        <f>(AI19*$M$8)/($D$6^2)</f>
        <v>1.381086406338467E-2</v>
      </c>
      <c r="AL19" s="18">
        <f>($C$8*$D$6)/AJ19</f>
        <v>0.20060611461076278</v>
      </c>
      <c r="AM19" s="19">
        <f>(($C$13-$C$12)*(1-((M$4/$D$4)^2)))+($C$12)</f>
        <v>1005.3</v>
      </c>
      <c r="AN19" s="15">
        <f>IF(AM19&gt;=650,((0.00002*AM19)+0.035)/10000,IF(AM19&lt;650,((-0.0000000000003*(AM19^4))+(0.0000000004*(AM19^3))-(0.0000002*(AM19^2))-(0.0001*AM19)+0.1409)/10000))</f>
        <v>5.5106000000000002E-6</v>
      </c>
      <c r="AO19" s="16">
        <f>IF(AM19&lt;650,(53.495-(0.029*AM19)),IF(AM19&lt;700,((0.00000000000000006*(AM19^2))-(0.2008*AM19) + 164.43),IF(AM19&lt;1250,((0.0115*AM19)+ 15.889))))</f>
        <v>27.449950000000001</v>
      </c>
      <c r="AP19" s="17">
        <f>(AN19*$M$8)/($D$6^2)</f>
        <v>1.3791343053727085E-2</v>
      </c>
      <c r="AQ19" s="18">
        <f>($C$8*$D$6)/AO19</f>
        <v>0.20093388148247993</v>
      </c>
      <c r="AR19" s="19">
        <f>(($C$13-$C$12)*(1-((N$4/$D$4)^2)))+($C$12)</f>
        <v>1000.8</v>
      </c>
      <c r="AS19" s="15">
        <f>IF(AR19&gt;=650,((0.00002*AR19)+0.035)/10000,IF(AR19&lt;650,((-0.0000000000003*(AR19^4))+(0.0000000004*(AR19^3))-(0.0000002*(AR19^2))-(0.0001*AR19)+0.1409)/10000))</f>
        <v>5.5016E-6</v>
      </c>
      <c r="AT19" s="16">
        <f>IF(AR19&lt;650,(53.495-(0.029*AR19)),IF(AR19&lt;700,((0.00000000000000006*(AR19^2))-(0.2008*AR19) + 164.43),IF(AR19&lt;1250,((0.0115*AR19)+ 15.889))))</f>
        <v>27.398199999999999</v>
      </c>
      <c r="AU19" s="17">
        <f>(AS19*$M$8)/($D$6^2)</f>
        <v>1.3768818811814489E-2</v>
      </c>
      <c r="AV19" s="18">
        <f>($C$8*$D$6)/AT19</f>
        <v>0.20131340745012447</v>
      </c>
      <c r="AW19" s="19">
        <f>(($C$13-$C$12)*(1-((O$4/$D$4)^2)))+($C$12)</f>
        <v>995.7</v>
      </c>
      <c r="AX19" s="15">
        <f>IF(AW19&gt;=650,((0.00002*AW19)+0.035)/10000,IF(AW19&lt;650,((-0.0000000000003*(AW19^4))+(0.0000000004*(AW19^3))-(0.0000002*(AW19^2))-(0.0001*AW19)+0.1409)/10000))</f>
        <v>5.4914000000000005E-6</v>
      </c>
      <c r="AY19" s="16">
        <f>IF(AW19&lt;650,(53.495-(0.029*AW19)),IF(AW19&lt;700,((0.00000000000000006*(AW19^2))-(0.2008*AW19) + 164.43),IF(AW19&lt;1250,((0.0115*AW19)+ 15.889))))</f>
        <v>27.339549999999999</v>
      </c>
      <c r="AZ19" s="17">
        <f>(AX19*$M$8)/($D$6^2)</f>
        <v>1.3743291337646884E-2</v>
      </c>
      <c r="BA19" s="18">
        <f>($C$8*$D$6)/AY19</f>
        <v>0.20174527378833962</v>
      </c>
      <c r="BB19" s="19">
        <f>(($C$13-$C$12)*(1-((P$4/$D$4)^2)))+($C$12)</f>
        <v>990</v>
      </c>
      <c r="BC19" s="15">
        <f>IF(BB19&gt;=650,((0.00002*BB19)+0.035)/10000,IF(BB19&lt;650,((-0.0000000000003*(BB19^4))+(0.0000000004*(BB19^3))-(0.0000002*(BB19^2))-(0.0001*BB19)+0.1409)/10000))</f>
        <v>5.48E-6</v>
      </c>
      <c r="BD19" s="16">
        <f>IF(BB19&lt;650,(53.495-(0.029*BB19)),IF(BB19&lt;700,((0.00000000000000006*(BB19^2))-(0.2008*BB19) + 164.43),IF(BB19&lt;1250,((0.0115*BB19)+ 15.889))))</f>
        <v>27.274000000000001</v>
      </c>
      <c r="BE19" s="17">
        <f>(BC19*$M$8)/($D$6^2)</f>
        <v>1.3714760631224263E-2</v>
      </c>
      <c r="BF19" s="18">
        <f>($C$8*$D$6)/BD19</f>
        <v>0.20223014592652341</v>
      </c>
      <c r="BG19" s="19">
        <f>(($C$13-$C$12)*(1-((Q$4/$D$4)^2)))+($C$12)</f>
        <v>983.7</v>
      </c>
      <c r="BH19" s="15">
        <f>IF(BG19&gt;=650,((0.00002*BG19)+0.035)/10000,IF(BG19&lt;650,((-0.0000000000003*(BG19^4))+(0.0000000004*(BG19^3))-(0.0000002*(BG19^2))-(0.0001*BG19)+0.1409)/10000))</f>
        <v>5.4674000000000004E-6</v>
      </c>
      <c r="BI19" s="16">
        <f>IF(BG19&lt;650,(53.495-(0.029*BG19)),IF(BG19&lt;700,((0.00000000000000006*(BG19^2))-(0.2008*BG19) + 164.43),IF(BG19&lt;1250,((0.0115*BG19)+ 15.889))))</f>
        <v>27.201549999999997</v>
      </c>
      <c r="BJ19" s="17">
        <f>(BH19*$M$8)/($D$6^2)</f>
        <v>1.3683226692546633E-2</v>
      </c>
      <c r="BK19" s="18">
        <f>($C$8*$D$6)/BI19</f>
        <v>0.20276877604401222</v>
      </c>
      <c r="BL19" s="19">
        <f>(($C$13-$C$12)*(1-((R$4/$D$4)^2)))+($C$12)</f>
        <v>976.8</v>
      </c>
      <c r="BM19" s="15">
        <f>IF(BL19&gt;=650,((0.00002*BL19)+0.035)/10000,IF(BL19&lt;650,((-0.0000000000003*(BL19^4))+(0.0000000004*(BL19^3))-(0.0000002*(BL19^2))-(0.0001*BL19)+0.1409)/10000))</f>
        <v>5.4535999999999998E-6</v>
      </c>
      <c r="BN19" s="16">
        <f>IF(BL19&lt;650,(53.495-(0.029*BL19)),IF(BL19&lt;700,((0.00000000000000006*(BL19^2))-(0.2008*BL19) + 164.43),IF(BL19&lt;1250,((0.0115*BL19)+ 15.889))))</f>
        <v>27.122199999999999</v>
      </c>
      <c r="BO19" s="17">
        <f>(BM19*$M$8)/($D$6^2)</f>
        <v>1.3648689521613985E-2</v>
      </c>
      <c r="BP19" s="18">
        <f>($C$8*$D$6)/BN19</f>
        <v>0.20336200603195906</v>
      </c>
      <c r="BQ19" s="19">
        <f>(($C$13-$C$12)*(1-((S$4/$D$4)^2)))+($C$12)</f>
        <v>969.3</v>
      </c>
      <c r="BR19" s="15">
        <f>IF(BQ19&gt;=650,((0.00002*BQ19)+0.035)/10000,IF(BQ19&lt;650,((-0.0000000000003*(BQ19^4))+(0.0000000004*(BQ19^3))-(0.0000002*(BQ19^2))-(0.0001*BQ19)+0.1409)/10000))</f>
        <v>5.4386000000000007E-6</v>
      </c>
      <c r="BS19" s="16">
        <f>IF(BQ19&lt;650,(53.495-(0.029*BQ19)),IF(BQ19&lt;700,((0.00000000000000006*(BQ19^2))-(0.2008*BQ19) + 164.43),IF(BQ19&lt;1250,((0.0115*BQ19)+ 15.889))))</f>
        <v>27.03595</v>
      </c>
      <c r="BT19" s="17">
        <f>(BR19*$M$8)/($D$6^2)</f>
        <v>1.3611149118426329E-2</v>
      </c>
      <c r="BU19" s="18">
        <f>($C$8*$D$6)/BS19</f>
        <v>0.20401077084400585</v>
      </c>
      <c r="BV19" s="19">
        <f>(($C$13-$C$12)*(1-((T$4/$D$4)^2)))+($C$12)</f>
        <v>961.2</v>
      </c>
      <c r="BW19" s="15">
        <f>IF(BV19&gt;=650,((0.00002*BV19)+0.035)/10000,IF(BV19&lt;650,((-0.0000000000003*(BV19^4))+(0.0000000004*(BV19^3))-(0.0000002*(BV19^2))-(0.0001*BV19)+0.1409)/10000))</f>
        <v>5.4224000000000008E-6</v>
      </c>
      <c r="BX19" s="16">
        <f>IF(BV19&lt;650,(53.495-(0.029*BV19)),IF(BV19&lt;700,((0.00000000000000006*(BV19^2))-(0.2008*BV19) + 164.43),IF(BV19&lt;1250,((0.0115*BV19)+ 15.889))))</f>
        <v>26.942799999999998</v>
      </c>
      <c r="BY19" s="17">
        <f>(BW19*$M$8)/($D$6^2)</f>
        <v>1.3570605482983659E-2</v>
      </c>
      <c r="BZ19" s="18">
        <f>($C$8*$D$6)/BX19</f>
        <v>0.20471610226108647</v>
      </c>
      <c r="CA19" s="19">
        <f>(($C$13-$C$12)*(1-((U$4/$D$4)^2)))+($C$12)</f>
        <v>952.5</v>
      </c>
      <c r="CB19" s="15">
        <f>IF(CA19&gt;=650,((0.00002*CA19)+0.035)/10000,IF(CA19&lt;650,((-0.0000000000003*(CA19^4))+(0.0000000004*(CA19^3))-(0.0000002*(CA19^2))-(0.0001*CA19)+0.1409)/10000))</f>
        <v>5.4049999999999999E-6</v>
      </c>
      <c r="CC19" s="16">
        <f>IF(CA19&lt;650,(53.495-(0.029*CA19)),IF(CA19&lt;700,((0.00000000000000006*(CA19^2))-(0.2008*CA19) + 164.43),IF(CA19&lt;1250,((0.0115*CA19)+ 15.889))))</f>
        <v>26.842749999999999</v>
      </c>
      <c r="CD19" s="17">
        <f>(CB19*$M$8)/($D$6^2)</f>
        <v>1.3527058615285973E-2</v>
      </c>
      <c r="CE19" s="18">
        <f>($C$8*$D$6)/CC19</f>
        <v>0.205479133099254</v>
      </c>
      <c r="CF19" s="19">
        <f>(($C$13-$C$12)*(1-((V$4/$D$4)^2)))+($C$12)</f>
        <v>943.2</v>
      </c>
      <c r="CG19" s="15">
        <f>IF(CF19&gt;=650,((0.00002*CF19)+0.035)/10000,IF(CF19&lt;650,((-0.0000000000003*(CF19^4))+(0.0000000004*(CF19^3))-(0.0000002*(CF19^2))-(0.0001*CF19)+0.1409)/10000))</f>
        <v>5.3864000000000006E-6</v>
      </c>
      <c r="CH19" s="16">
        <f>IF(CF19&lt;650,(53.495-(0.029*CF19)),IF(CF19&lt;700,((0.00000000000000006*(CF19^2))-(0.2008*CF19) + 164.43),IF(CF19&lt;1250,((0.0115*CF19)+ 15.889))))</f>
        <v>26.735799999999998</v>
      </c>
      <c r="CI19" s="17">
        <f>(CG19*$M$8)/($D$6^2)</f>
        <v>1.348050851533328E-2</v>
      </c>
      <c r="CJ19" s="18">
        <f>($C$8*$D$6)/CH19</f>
        <v>0.20630110189334153</v>
      </c>
      <c r="CK19" s="19">
        <f>(($C$13-$C$12)*(1-((W$4/$D$4)^2)))+($C$12)</f>
        <v>933.3</v>
      </c>
      <c r="CL19" s="15">
        <f>IF(CK19&gt;=650,((0.00002*CK19)+0.035)/10000,IF(CK19&lt;650,((-0.0000000000003*(CK19^4))+(0.0000000004*(CK19^3))-(0.0000002*(CK19^2))-(0.0001*CK19)+0.1409)/10000))</f>
        <v>5.3666000000000004E-6</v>
      </c>
      <c r="CM19" s="16">
        <f>IF(CK19&lt;650,(53.495-(0.029*CK19)),IF(CK19&lt;700,((0.00000000000000006*(CK19^2))-(0.2008*CK19) + 164.43),IF(CK19&lt;1250,((0.0115*CK19)+ 15.889))))</f>
        <v>26.621949999999998</v>
      </c>
      <c r="CN19" s="17">
        <f>(CL19*$M$8)/($D$6^2)</f>
        <v>1.3430955183125572E-2</v>
      </c>
      <c r="CO19" s="18">
        <f>($C$8*$D$6)/CM19</f>
        <v>0.20718335809360322</v>
      </c>
      <c r="CP19" s="19">
        <f>(($C$13-$C$12)*(1-((X$4/$D$4)^2)))+($C$12)</f>
        <v>922.80000000000007</v>
      </c>
      <c r="CQ19" s="15">
        <f>IF(CP19&gt;=650,((0.00002*CP19)+0.035)/10000,IF(CP19&lt;650,((-0.0000000000003*(CP19^4))+(0.0000000004*(CP19^3))-(0.0000002*(CP19^2))-(0.0001*CP19)+0.1409)/10000))</f>
        <v>5.3456000000000001E-6</v>
      </c>
      <c r="CR19" s="16">
        <f>IF(CP19&lt;650,(53.495-(0.029*CP19)),IF(CP19&lt;700,((0.00000000000000006*(CP19^2))-(0.2008*CP19) + 164.43),IF(CP19&lt;1250,((0.0115*CP19)+ 15.889))))</f>
        <v>26.501200000000001</v>
      </c>
      <c r="CS19" s="17">
        <f>(CQ19*$M$8)/($D$6^2)</f>
        <v>1.3378398618662852E-2</v>
      </c>
      <c r="CT19" s="18">
        <f>($C$8*$D$6)/CR19</f>
        <v>0.20812736781730637</v>
      </c>
      <c r="CU19" s="19">
        <f>(($C$13-$C$12)*(1-((Y$4/$D$4)^2)))+($C$12)</f>
        <v>911.7</v>
      </c>
      <c r="CV19" s="15">
        <f>IF(CU19&gt;=650,((0.00002*CU19)+0.035)/10000,IF(CU19&lt;650,((-0.0000000000003*(CU19^4))+(0.0000000004*(CU19^3))-(0.0000002*(CU19^2))-(0.0001*CU19)+0.1409)/10000))</f>
        <v>5.3234000000000006E-6</v>
      </c>
      <c r="CW19" s="16">
        <f>IF(CU19&lt;650,(53.495-(0.029*CU19)),IF(CU19&lt;700,((0.00000000000000006*(CU19^2))-(0.2008*CU19) + 164.43),IF(CU19&lt;1250,((0.0115*CU19)+ 15.889))))</f>
        <v>26.373550000000002</v>
      </c>
      <c r="CX19" s="17">
        <f>(CV19*$M$8)/($D$6^2)</f>
        <v>1.3322838821945118E-2</v>
      </c>
      <c r="CY19" s="18">
        <f>($C$8*$D$6)/CW19</f>
        <v>0.20913472020262724</v>
      </c>
      <c r="CZ19" s="19">
        <f>(($C$13-$C$12)*(1-((Z$4/$D$4)^2)))+($C$12)</f>
        <v>900</v>
      </c>
      <c r="DA19" s="15">
        <f>IF(CZ19&gt;=650,((0.00002*CZ19)+0.035)/10000,IF(CZ19&lt;650,((-0.0000000000003*(CZ19^4))+(0.0000000004*(CZ19^3))-(0.0000002*(CZ19^2))-(0.0001*CZ19)+0.1409)/10000))</f>
        <v>5.3000000000000009E-6</v>
      </c>
      <c r="DB19" s="16">
        <f>IF(CZ19&lt;650,(53.495-(0.029*CZ19)),IF(CZ19&lt;700,((0.00000000000000006*(CZ19^2))-(0.2008*CZ19) + 164.43),IF(CZ19&lt;1250,((0.0115*CZ19)+ 15.889))))</f>
        <v>26.238999999999997</v>
      </c>
      <c r="DC19" s="17">
        <f>(DA19*$M$8)/($D$6^2)</f>
        <v>1.3264275792972373E-2</v>
      </c>
      <c r="DD19" s="18">
        <f>($C$8*$D$6)/DB19</f>
        <v>0.21020713441823241</v>
      </c>
    </row>
    <row r="20" spans="2:108" x14ac:dyDescent="0.25">
      <c r="B20">
        <v>1</v>
      </c>
      <c r="C20">
        <f>$B20*$M$8</f>
        <v>9.7761466634525146E-4</v>
      </c>
      <c r="D20" s="19">
        <f t="shared" ref="D20:D83" si="3">D19+(4*$H$7*(I19-D19))</f>
        <v>1019.9846835154995</v>
      </c>
      <c r="E20" s="15">
        <f t="shared" ref="E20:E83" si="4">IF($D20&gt;=650,((0.00002*$D20)+0.035)/10000,IF($D20&lt;650,((-0.0000000000003*($D20^4))+(0.0000000004*($D20^3))-(0.0000002*($D20^2))-(0.0001*$D20)+0.1409)/10000))</f>
        <v>5.5399693670309996E-6</v>
      </c>
      <c r="F20" s="16">
        <f t="shared" ref="F20:F83" si="5">IF($D20&lt;650,(53.495-(0.029*D20)),IF(D20&lt;700,((0.00000000000000006*(D20^2))-(0.2008*D20) + 164.43),IF(D20&lt;1250,((0.0115*D20)+ 15.889))))</f>
        <v>27.618823860428243</v>
      </c>
      <c r="G20" s="17">
        <f t="shared" si="1"/>
        <v>1.3864845579041087E-2</v>
      </c>
      <c r="H20" s="18">
        <f t="shared" ref="H20:H83" si="6">($C$8*$D$6)/F20</f>
        <v>0.19970528172644922</v>
      </c>
      <c r="I20" s="19">
        <f>I19+(G20*(D19+N19-(2*I19))+((G20/(2*$I$18))*(N19-D19)))</f>
        <v>1019.6833621853052</v>
      </c>
      <c r="J20" s="15">
        <f t="shared" ref="J20:J83" si="7">IF($I20&gt;=650,((0.00002*$I20)+0.035)/10000,IF($I20&lt;650,((-0.0000000000003*($I20^4))+(0.0000000004*($I20^3))-(0.0000002*($I20^2))-(0.0001*$I20)+0.1409)/10000))</f>
        <v>5.5393667243706106E-6</v>
      </c>
      <c r="K20" s="16">
        <f t="shared" ref="K20:K83" si="8">IF($I20&lt;650,(53.495-(0.029*I20)),IF(I20&lt;700,((0.00000000000000006*(I20^2))-(0.2008*I20) + 164.43),IF(I20&lt;1250,((0.0115*I20)+ 15.889))))</f>
        <v>27.615358665131009</v>
      </c>
      <c r="L20" s="17">
        <f t="shared" ref="L20:L83" si="9">($J20*$M$8)/($D$6^2)</f>
        <v>1.3863337349144482E-2</v>
      </c>
      <c r="M20" s="18">
        <f t="shared" ref="M20:M83" si="10">($C$8*$D$6)/K20</f>
        <v>0.19973034089049857</v>
      </c>
      <c r="N20" s="19">
        <f>N19+(L20*(I19+S19-(2*N19))+((L20/(2*N$18))*(S19-I19)))</f>
        <v>1018.7833639951809</v>
      </c>
      <c r="O20" s="15">
        <f t="shared" ref="O20:O83" si="11">IF($N20&gt;=650,((0.00002*$N20)+0.035)/10000,IF($N20&lt;650,((-0.0000000000003*($N20^4))+(0.0000000004*($N20^3))-(0.0000002*($N20^2))-(0.0001*$N20)+0.1409)/10000))</f>
        <v>5.5375667279903622E-6</v>
      </c>
      <c r="P20" s="16">
        <f t="shared" ref="P20:P83" si="12">IF($N20&lt;650,(53.495-(0.029*$N20)),IF($N20&lt;700,((0.00000000000000006*($N20^2))-(0.2008*$N20) + 164.43),IF($N20&lt;1250,((0.0115*$N20)+ 15.889))))</f>
        <v>27.605008685944579</v>
      </c>
      <c r="Q20" s="17">
        <f t="shared" si="2"/>
        <v>1.3864845579041087E-2</v>
      </c>
      <c r="R20" s="18">
        <f t="shared" ref="R20:R83" si="13">($C$8*$D$6)/P20</f>
        <v>0.19980522602799783</v>
      </c>
      <c r="S20" s="19">
        <f>S19+(Q20*(N19+X19-(2*S19))+((Q20/(2*S$18))*(X19-N19)))</f>
        <v>1017.2833621853051</v>
      </c>
      <c r="T20" s="15">
        <f t="shared" ref="T20:T83" si="14">IF($S20&gt;=650,((0.00002*$S20)+0.035)/10000,IF($S20&lt;650,((-0.0000000000003*($S20^4))+(0.0000000004*($S20^3))-(0.0000002*($S20^2))-(0.0001*$S20)+0.1409)/10000))</f>
        <v>5.5345667243706111E-6</v>
      </c>
      <c r="U20" s="16">
        <f t="shared" ref="U20:U83" si="15">IF($S20&lt;650,(53.495-(0.029*$S20)),IF($S20&lt;700,((0.00000000000000006*($S20^2))-(0.2008*$S20) + 164.43),IF($S20&lt;1250,((0.0115*$S20)+ 15.889))))</f>
        <v>27.587758665131009</v>
      </c>
      <c r="V20" s="17">
        <f t="shared" ref="V20:V83" si="16">($T20*$M$8)/($D$6^2)</f>
        <v>1.3851324420124432E-2</v>
      </c>
      <c r="W20" s="18">
        <f t="shared" ref="W20:W83" si="17">($C$8*$D$6)/U20</f>
        <v>0.19993015985642076</v>
      </c>
      <c r="X20" s="19">
        <f>X19+(V20*(S19+AC19-(2*X19))+((V20/(2*X$18))*(AC19-S19)))</f>
        <v>1015.1833784106959</v>
      </c>
      <c r="Y20" s="15">
        <f t="shared" ref="Y20:Y83" si="18">IF($X20&gt;=650,((0.00002*$X20)+0.035)/10000,IF($X20&lt;650,((-0.0000000000003*($X20^4))+(0.0000000004*($X20^3))-(0.0000002*($X20^2))-(0.0001*$X20)+0.1409)/10000))</f>
        <v>5.5303667568213921E-6</v>
      </c>
      <c r="Z20" s="16">
        <f t="shared" ref="Z20:Z83" si="19">IF($X20&lt;650,(53.495-(0.029*$X20)),IF($X20&lt;700,((0.00000000000000006*($X20^2))-(0.2008*$X20) + 164.43),IF($X20&lt;1250,((0.0115*$X20)+ 15.889))))</f>
        <v>27.563608851723004</v>
      </c>
      <c r="AA20" s="17">
        <f t="shared" ref="AA20:AA83" si="20">($Y20*$M$8)/($D$6^2)</f>
        <v>1.3840813188446247E-2</v>
      </c>
      <c r="AB20" s="18">
        <f t="shared" ref="AB20:AB83" si="21">($C$8*$D$6)/Z20</f>
        <v>0.20010532835780021</v>
      </c>
      <c r="AC20" s="19">
        <f>AC19+(AA20*(X19+AH19-(2*AC19))+((AA20/(2*AC$18))*(AH19-X19)))</f>
        <v>1012.4833910241739</v>
      </c>
      <c r="AD20" s="15">
        <f t="shared" ref="AD20:AD83" si="22">IF(AC20&gt;=650,((0.00002*AC20)+0.035)/10000,IF(AC20&lt;650,((-0.0000000000003*(AC20^4))+(0.0000000004*(AC20^3))-(0.0000002*(AC20^2))-(0.0001*AC20)+0.1409)/10000))</f>
        <v>5.5249667820483483E-6</v>
      </c>
      <c r="AE20" s="16">
        <f t="shared" ref="AE20:AE83" si="23">IF(AC20&lt;650,(53.495-(0.029*AC20)),IF(AC20&lt;700,((0.00000000000000006*(AC20^2))-(0.2008*AC20) + 164.43),IF(AC20&lt;1250,((0.0115*AC20)+ 15.889))))</f>
        <v>27.532558996778</v>
      </c>
      <c r="AF20" s="17">
        <f t="shared" ref="AF20:AF83" si="24">(AD20*$M$8)/($D$6^2)</f>
        <v>1.3827298706434031E-2</v>
      </c>
      <c r="AG20" s="18">
        <f t="shared" ref="AG20:AG83" si="25">($C$8*$D$6)/AE20</f>
        <v>0.20033099722570163</v>
      </c>
      <c r="AH20" s="19">
        <f>AH19+(AF20*(AC19+AM19-(2*AH19))+((AF20/(2*AH$18))*(AM19-AC19)))</f>
        <v>1009.1834072415523</v>
      </c>
      <c r="AI20" s="15">
        <f t="shared" ref="AI20:AI83" si="26">IF(AH20&gt;=650,((0.00002*AH20)+0.035)/10000,IF(AH20&lt;650,((-0.0000000000003*(AH20^4))+(0.0000000004*(AH20^3))-(0.0000002*(AH20^2))-(0.0001*AH20)+0.1409)/10000))</f>
        <v>5.5183668144831057E-6</v>
      </c>
      <c r="AJ20" s="16">
        <f t="shared" ref="AJ20:AJ83" si="27">IF(AH20&lt;650,(53.495-(0.029*AH20)),IF(AH20&lt;700,((0.00000000000000006*(AH20^2))-(0.2008*AH20) + 164.43),IF(AH20&lt;1250,((0.0115*AH20)+ 15.889))))</f>
        <v>27.494609183277852</v>
      </c>
      <c r="AK20" s="17">
        <f t="shared" ref="AK20:AK83" si="28">(AI20*$M$8)/($D$6^2)</f>
        <v>1.3810781010205719E-2</v>
      </c>
      <c r="AL20" s="18">
        <f t="shared" ref="AL20:AL83" si="29">($C$8*$D$6)/AJ20</f>
        <v>0.20060750684736367</v>
      </c>
      <c r="AM20" s="19">
        <f>AM19+(AK20*(AH19+AR19-(2*AM19))+((AK20/(2*AM$18))*(AR19-AH19)))</f>
        <v>1005.2834270627877</v>
      </c>
      <c r="AN20" s="15">
        <f t="shared" ref="AN20:AN83" si="30">IF(AM20&gt;=650,((0.00002*AM20)+0.035)/10000,IF(AM20&lt;650,((-0.0000000000003*(AM20^4))+(0.0000000004*(AM20^3))-(0.0000002*(AM20^2))-(0.0001*AM20)+0.1409)/10000))</f>
        <v>5.5105668541255757E-6</v>
      </c>
      <c r="AO20" s="16">
        <f t="shared" ref="AO20:AO83" si="31">IF(AM20&lt;650,(53.495-(0.029*AM20)),IF(AM20&lt;700,((0.00000000000000006*(AM20^2))-(0.2008*AM20) + 164.43),IF(AM20&lt;1250,((0.0115*AM20)+ 15.889))))</f>
        <v>27.449759411222058</v>
      </c>
      <c r="AP20" s="17">
        <f t="shared" ref="AP20:AP83" si="32">(AN20*$M$8)/($D$6^2)</f>
        <v>1.3791260099761091E-2</v>
      </c>
      <c r="AQ20" s="18">
        <f t="shared" ref="AQ20:AQ83" si="33">($C$8*$D$6)/AO20</f>
        <v>0.2009352766037393</v>
      </c>
      <c r="AR20" s="19">
        <f>AR19+(AP20*(AM19+AW19-(2*AR19))+((AP20/(2*AR$18))*(AW19-AM19)))</f>
        <v>1000.7834504878803</v>
      </c>
      <c r="AS20" s="15">
        <f t="shared" ref="AS20:AS83" si="34">IF(AR20&gt;=650,((0.00002*AR20)+0.035)/10000,IF(AR20&lt;650,((-0.0000000000003*(AR20^4))+(0.0000000004*(AR20^3))-(0.0000002*(AR20^2))-(0.0001*AR20)+0.1409)/10000))</f>
        <v>5.5015669009757614E-6</v>
      </c>
      <c r="AT20" s="16">
        <f t="shared" ref="AT20:AT83" si="35">IF(AR20&lt;650,(53.495-(0.029*AR20)),IF(AR20&lt;700,((0.00000000000000006*(AR20^2))-(0.2008*AR20) + 164.43),IF(AR20&lt;1250,((0.0115*AR20)+ 15.889))))</f>
        <v>27.39800968061062</v>
      </c>
      <c r="AU20" s="17">
        <f t="shared" ref="AU20:AU83" si="36">(AS20*$M$8)/($D$6^2)</f>
        <v>1.3768735975100154E-2</v>
      </c>
      <c r="AV20" s="18">
        <f t="shared" ref="AV20:AV83" si="37">($C$8*$D$6)/AT20</f>
        <v>0.20131480586720754</v>
      </c>
      <c r="AW20" s="19">
        <f>AW19+(AU20*(AR19+BB19-(2*AW19))+((AU20/(2*AW$18))*(BB19-AR19)))</f>
        <v>995.68347751682995</v>
      </c>
      <c r="AX20" s="15">
        <f t="shared" ref="AX20:AX83" si="38">IF(AW20&gt;=650,((0.00002*AW20)+0.035)/10000,IF(AW20&lt;650,((-0.0000000000003*(AW20^4))+(0.0000000004*(AW20^3))-(0.0000002*(AW20^2))-(0.0001*AW20)+0.1409)/10000))</f>
        <v>5.4913669550336604E-6</v>
      </c>
      <c r="AY20" s="16">
        <f t="shared" ref="AY20:AY83" si="39">IF(AW20&lt;650,(53.495-(0.029*AW20)),IF(AW20&lt;700,((0.00000000000000006*(AW20^2))-(0.2008*AW20) + 164.43),IF(AW20&lt;1250,((0.0115*AW20)+ 15.889))))</f>
        <v>27.339359991443544</v>
      </c>
      <c r="AZ20" s="17">
        <f t="shared" ref="AZ20:AZ83" si="40">(AX20*$M$8)/($D$6^2)</f>
        <v>1.3743208636222902E-2</v>
      </c>
      <c r="BA20" s="18">
        <f t="shared" ref="BA20:BA83" si="41">($C$8*$D$6)/AY20</f>
        <v>0.20174667591802575</v>
      </c>
      <c r="BB20" s="19">
        <f>BB19+(AZ20*(AW19+BG19-(2*BB19))+((AZ20/(2*BB$18))*(BG19-AW19)))</f>
        <v>989.98350814963658</v>
      </c>
      <c r="BC20" s="15">
        <f t="shared" ref="BC20:BC83" si="42">IF(BB20&gt;=650,((0.00002*BB20)+0.035)/10000,IF(BB20&lt;650,((-0.0000000000003*(BB20^4))+(0.0000000004*(BB20^3))-(0.0000002*(BB20^2))-(0.0001*BB20)+0.1409)/10000))</f>
        <v>5.4799670162992735E-6</v>
      </c>
      <c r="BD20" s="16">
        <f t="shared" ref="BD20:BD83" si="43">IF(BB20&lt;650,(53.495-(0.029*BB20)),IF(BB20&lt;700,((0.00000000000000006*(BB20^2))-(0.2008*BB20) + 164.43),IF(BB20&lt;1250,((0.0115*BB20)+ 15.889))))</f>
        <v>27.273810343720818</v>
      </c>
      <c r="BE20" s="17">
        <f t="shared" ref="BE20:BE83" si="44">(BC20*$M$8)/($D$6^2)</f>
        <v>1.3714678083129338E-2</v>
      </c>
      <c r="BF20" s="18">
        <f t="shared" ref="BF20:BF83" si="45">($C$8*$D$6)/BD20</f>
        <v>0.20223155219196751</v>
      </c>
      <c r="BG20" s="19">
        <f>BG19+(BE20*(BB19+BL19-(2*BG19))+((BE20/(2*BG$18))*(BL19-BB19)))</f>
        <v>983.68354238630025</v>
      </c>
      <c r="BH20" s="15">
        <f t="shared" ref="BH20:BH83" si="46">IF(BG20&gt;=650,((0.00002*BG20)+0.035)/10000,IF(BG20&lt;650,((-0.0000000000003*(BG20^4))+(0.0000000004*(BG20^3))-(0.0000002*(BG20^2))-(0.0001*BG20)+0.1409)/10000))</f>
        <v>5.4673670847726008E-6</v>
      </c>
      <c r="BI20" s="16">
        <f t="shared" ref="BI20:BI83" si="47">IF(BG20&lt;650,(53.495-(0.029*BG20)),IF(BG20&lt;700,((0.00000000000000006*(BG20^2))-(0.2008*BG20) + 164.43),IF(BG20&lt;1250,((0.0115*BG20)+ 15.889))))</f>
        <v>27.20136073744245</v>
      </c>
      <c r="BJ20" s="17">
        <f t="shared" ref="BJ20:BJ83" si="48">(BH20*$M$8)/($D$6^2)</f>
        <v>1.3683144315819459E-2</v>
      </c>
      <c r="BK20" s="18">
        <f t="shared" ref="BK20:BK83" si="49">($C$8*$D$6)/BI20</f>
        <v>0.2027701868755333</v>
      </c>
      <c r="BL20" s="19">
        <f>BL19+(BJ20*(BG19+BQ19-(2*BL19))+((BJ20/(2*BL$18))*(BQ19-BG19)))</f>
        <v>976.78358022682096</v>
      </c>
      <c r="BM20" s="15">
        <f t="shared" ref="BM20:BM83" si="50">IF(BL20&gt;=650,((0.00002*BL20)+0.035)/10000,IF(BL20&lt;650,((-0.0000000000003*(BL20^4))+(0.0000000004*(BL20^3))-(0.0000002*(BL20^2))-(0.0001*BL20)+0.1409)/10000))</f>
        <v>5.453567160453643E-6</v>
      </c>
      <c r="BN20" s="16">
        <f t="shared" ref="BN20:BN83" si="51">IF(BL20&lt;650,(53.495-(0.029*BL20)),IF(BL20&lt;700,((0.00000000000000006*(BL20^2))-(0.2008*BL20) + 164.43),IF(BL20&lt;1250,((0.0115*BL20)+ 15.889))))</f>
        <v>27.122011172608438</v>
      </c>
      <c r="BO20" s="17">
        <f t="shared" ref="BO20:BO83" si="52">(BM20*$M$8)/($D$6^2)</f>
        <v>1.3648607334293269E-2</v>
      </c>
      <c r="BP20" s="18">
        <f t="shared" ref="BP20:BP83" si="53">($C$8*$D$6)/BN20</f>
        <v>0.20336342186786066</v>
      </c>
      <c r="BQ20" s="19">
        <f>BQ19+(BO20*(BL19+BV19-(2*BQ19))+((BO20/(2*BQ$18))*(BV19-BL19)))</f>
        <v>969.28362167119883</v>
      </c>
      <c r="BR20" s="15">
        <f t="shared" ref="BR20:BR83" si="54">IF(BQ20&gt;=650,((0.00002*BQ20)+0.035)/10000,IF(BQ20&lt;650,((-0.0000000000003*(BQ20^4))+(0.0000000004*(BQ20^3))-(0.0000002*(BQ20^2))-(0.0001*BQ20)+0.1409)/10000))</f>
        <v>5.4385672433423984E-6</v>
      </c>
      <c r="BS20" s="16">
        <f t="shared" ref="BS20:BS83" si="55">IF(BQ20&lt;650,(53.495-(0.029*BQ20)),IF(BQ20&lt;700,((0.00000000000000006*(BQ20^2))-(0.2008*BQ20) + 164.43),IF(BQ20&lt;1250,((0.0115*BQ20)+ 15.889))))</f>
        <v>27.035761649218784</v>
      </c>
      <c r="BT20" s="17">
        <f t="shared" ref="BT20:BT83" si="56">(BR20*$M$8)/($D$6^2)</f>
        <v>1.3611067138550766E-2</v>
      </c>
      <c r="BU20" s="18">
        <f t="shared" ref="BU20:BU83" si="57">($C$8*$D$6)/BS20</f>
        <v>0.20401219213143112</v>
      </c>
      <c r="BV20" s="19">
        <f>BV19+(BT20*(BQ19+CA19-(2*BV19))+((BT20/(2*BV$18))*(CA19-BQ19)))</f>
        <v>961.18366671943375</v>
      </c>
      <c r="BW20" s="15">
        <f t="shared" ref="BW20:BW83" si="58">IF(BV20&gt;=650,((0.00002*BV20)+0.035)/10000,IF(BV20&lt;650,((-0.0000000000003*(BV20^4))+(0.0000000004*(BV20^3))-(0.0000002*(BV20^2))-(0.0001*BV20)+0.1409)/10000))</f>
        <v>5.422367333438868E-6</v>
      </c>
      <c r="BX20" s="16">
        <f t="shared" ref="BX20:BX83" si="59">IF(BV20&lt;650,(53.495-(0.029*BV20)),IF(BV20&lt;700,((0.00000000000000006*(BV20^2))-(0.2008*BV20) + 164.43),IF(BV20&lt;1250,((0.0115*BV20)+ 15.889))))</f>
        <v>26.942612167273488</v>
      </c>
      <c r="BY20" s="17">
        <f t="shared" ref="BY20:BY83" si="60">(BW20*$M$8)/($D$6^2)</f>
        <v>1.3570523728591946E-2</v>
      </c>
      <c r="BZ20" s="18">
        <f t="shared" ref="BZ20:BZ83" si="61">($C$8*$D$6)/BX20</f>
        <v>0.20471752945691327</v>
      </c>
      <c r="CA20" s="19">
        <f>CA19+(BY20*(BV19+CF19-(2*CA19))+((BY20/(2*CA$18))*(CF19-BV19)))</f>
        <v>952.4837153715257</v>
      </c>
      <c r="CB20" s="15">
        <f t="shared" ref="CB20:CB83" si="62">IF(CA20&gt;=650,((0.00002*CA20)+0.035)/10000,IF(CA20&lt;650,((-0.0000000000003*(CA20^4))+(0.0000000004*(CA20^3))-(0.0000002*(CA20^2))-(0.0001*CA20)+0.1409)/10000))</f>
        <v>5.4049674307430518E-6</v>
      </c>
      <c r="CC20" s="16">
        <f t="shared" ref="CC20:CC83" si="63">IF(CA20&lt;650,(53.495-(0.029*CA20)),IF(CA20&lt;700,((0.00000000000000006*(CA20^2))-(0.2008*CA20) + 164.43),IF(CA20&lt;1250,((0.0115*CA20)+ 15.889))))</f>
        <v>26.842562726772545</v>
      </c>
      <c r="CD20" s="17">
        <f t="shared" ref="CD20:CD83" si="64">(CB20*$M$8)/($D$6^2)</f>
        <v>1.3526977104416818E-2</v>
      </c>
      <c r="CE20" s="18">
        <f t="shared" ref="CE20:CE83" si="65">($C$8*$D$6)/CC20</f>
        <v>0.20548056667103407</v>
      </c>
      <c r="CF20" s="19">
        <f>CF19+(CD20*(CA19+CK19-(2*CF19))+((CD20/(2*CF$18))*(CK19-CA19)))</f>
        <v>943.18376762747471</v>
      </c>
      <c r="CG20" s="15">
        <f t="shared" ref="CG20:CG83" si="66">IF(CF20&gt;=650,((0.00002*CF20)+0.035)/10000,IF(CF20&lt;650,((-0.0000000000003*(CF20^4))+(0.0000000004*(CF20^3))-(0.0000002*(CF20^2))-(0.0001*CF20)+0.1409)/10000))</f>
        <v>5.3863675352549504E-6</v>
      </c>
      <c r="CH20" s="16">
        <f t="shared" ref="CH20:CH83" si="67">IF(CF20&lt;650,(53.495-(0.029*CF20)),IF(CF20&lt;700,((0.00000000000000006*(CF20^2))-(0.2008*CF20) + 164.43),IF(CF20&lt;1250,((0.0115*CF20)+ 15.889))))</f>
        <v>26.73561332771596</v>
      </c>
      <c r="CI20" s="17">
        <f t="shared" ref="CI20:CI83" si="68">(CG20*$M$8)/($D$6^2)</f>
        <v>1.3480427266025377E-2</v>
      </c>
      <c r="CJ20" s="18">
        <f t="shared" ref="CJ20:CJ83" si="69">($C$8*$D$6)/CH20</f>
        <v>0.20630254232028883</v>
      </c>
      <c r="CK20" s="19">
        <f>CK19+(CI20*(CF19+CP19-(2*CK19))+((CI20/(2*CK$18))*(CP19-CF19)))</f>
        <v>933.28382348728076</v>
      </c>
      <c r="CL20" s="15">
        <f t="shared" ref="CL20:CL83" si="70">IF(CK20&gt;=650,((0.00002*CK20)+0.035)/10000,IF(CK20&lt;650,((-0.0000000000003*(CK20^4))+(0.0000000004*(CK20^3))-(0.0000002*(CK20^2))-(0.0001*CK20)+0.1409)/10000))</f>
        <v>5.3665676469745624E-6</v>
      </c>
      <c r="CM20" s="16">
        <f t="shared" ref="CM20:CM83" si="71">IF(CK20&lt;650,(53.495-(0.029*CK20)),IF(CK20&lt;700,((0.00000000000000006*(CK20^2))-(0.2008*CK20) + 164.43),IF(CK20&lt;1250,((0.0115*CK20)+ 15.889))))</f>
        <v>26.621763970103729</v>
      </c>
      <c r="CN20" s="17">
        <f t="shared" ref="CN20:CN83" si="72">(CL20*$M$8)/($D$6^2)</f>
        <v>1.3430874213417619E-2</v>
      </c>
      <c r="CO20" s="18">
        <f t="shared" ref="CO20:CO83" si="73">($C$8*$D$6)/CM20</f>
        <v>0.20718480586763721</v>
      </c>
      <c r="CP20" s="19">
        <f>CP19+(CN20*(CK19+CU19-(2*CP19))+((CN20/(2*CP$18))*(CU19-CK19)))</f>
        <v>922.78388295094396</v>
      </c>
      <c r="CQ20" s="15">
        <f t="shared" ref="CQ20:CQ83" si="74">IF(CP20&gt;=650,((0.00002*CP20)+0.035)/10000,IF(CP20&lt;650,((-0.0000000000003*(CP20^4))+(0.0000000004*(CP20^3))-(0.0000002*(CP20^2))-(0.0001*CP20)+0.1409)/10000))</f>
        <v>5.3455677659018885E-6</v>
      </c>
      <c r="CR20" s="16">
        <f t="shared" ref="CR20:CR83" si="75">IF(CP20&lt;650,(53.495-(0.029*CP20)),IF(CP20&lt;700,((0.00000000000000006*(CP20^2))-(0.2008*CP20) + 164.43),IF(CP20&lt;1250,((0.0115*CP20)+ 15.889))))</f>
        <v>26.501014653935854</v>
      </c>
      <c r="CS20" s="17">
        <f t="shared" ref="CS20:CS83" si="76">(CQ20*$M$8)/($D$6^2)</f>
        <v>1.3378317946593551E-2</v>
      </c>
      <c r="CT20" s="18">
        <f t="shared" ref="CT20:CT83" si="77">($C$8*$D$6)/CR20</f>
        <v>0.20812882344415576</v>
      </c>
      <c r="CU20" s="19">
        <f>CU19+(CS20*(CP19+CZ19-(2*CU19))+((CS20/(2*CU$18))*(CZ19-CP19)))</f>
        <v>911.6839460184641</v>
      </c>
      <c r="CV20" s="15">
        <f t="shared" ref="CV20:CV83" si="78">IF(CU20&gt;=650,((0.00002*CU20)+0.035)/10000,IF(CU20&lt;650,((-0.0000000000003*(CU20^4))+(0.0000000004*(CU20^3))-(0.0000002*(CU20^2))-(0.0001*CU20)+0.1409)/10000))</f>
        <v>5.3233678920369287E-6</v>
      </c>
      <c r="CW20" s="16">
        <f t="shared" ref="CW20:CW83" si="79">IF(CU20&lt;650,(53.495-(0.029*CU20)),IF(CU20&lt;700,((0.00000000000000006*(CU20^2))-(0.2008*CU20) + 164.43),IF(CU20&lt;1250,((0.0115*CU20)+ 15.889))))</f>
        <v>26.373365379212338</v>
      </c>
      <c r="CX20" s="17">
        <f t="shared" ref="CX20:CX83" si="80">(CV20*$M$8)/($D$6^2)</f>
        <v>1.3322758465553168E-2</v>
      </c>
      <c r="CY20" s="18">
        <f t="shared" ref="CY20:CY83" si="81">($C$8*$D$6)/CW20</f>
        <v>0.20913618420300098</v>
      </c>
      <c r="CZ20" s="20">
        <f>CZ19+((2*$CX20)*(CU19-CZ19))+((2*$CX20*$CY20)*($C$14-CZ19))+((($CX20*$CY20)/$C$5)*($C$14-CZ19))+(((CZ19-$C$14)*$CX20*($D$6^2))/($CW20*($D$4/(2*$C$8))))</f>
        <v>895.55767787864067</v>
      </c>
      <c r="DA20" s="15">
        <f t="shared" ref="DA20:DA83" si="82">IF(CZ20&gt;=650,((0.00002*CZ20)+0.035)/10000,IF(CZ20&lt;650,((-0.0000000000003*(CZ20^4))+(0.0000000004*(CZ20^3))-(0.0000002*(CZ20^2))-(0.0001*CZ20)+0.1409)/10000))</f>
        <v>5.2911153557572813E-6</v>
      </c>
      <c r="DB20" s="16">
        <f t="shared" ref="DB20:DB83" si="83">IF(CZ20&lt;650,(53.495-(0.029*CZ20)),IF(CZ20&lt;700,((0.00000000000000006*(CZ20^2))-(0.2008*CZ20) + 164.43),IF(CZ20&lt;1250,((0.0115*CZ20)+ 15.889))))</f>
        <v>26.187913295604368</v>
      </c>
      <c r="DC20" s="17">
        <f t="shared" ref="DC20:DC83" si="84">(DA20*$M$8)/($D$6^2)</f>
        <v>1.3242040251169001E-2</v>
      </c>
      <c r="DD20" s="18">
        <f t="shared" ref="DD20:DD83" si="85">($C$8*$D$6)/DB20</f>
        <v>0.21061720106297266</v>
      </c>
    </row>
    <row r="21" spans="2:108" x14ac:dyDescent="0.25">
      <c r="B21">
        <v>2</v>
      </c>
      <c r="C21">
        <f t="shared" ref="C21:C84" si="86">$B21*$M$8</f>
        <v>1.9552293326905029E-3</v>
      </c>
      <c r="D21" s="19">
        <f t="shared" si="3"/>
        <v>1019.9692995705541</v>
      </c>
      <c r="E21" s="15">
        <f t="shared" si="4"/>
        <v>5.539938599141109E-6</v>
      </c>
      <c r="F21" s="16">
        <f t="shared" si="5"/>
        <v>27.618646945061371</v>
      </c>
      <c r="G21" s="17">
        <f t="shared" si="1"/>
        <v>1.3864768576441639E-2</v>
      </c>
      <c r="H21" s="18">
        <f t="shared" si="6"/>
        <v>0.19970656096845021</v>
      </c>
      <c r="I21" s="19">
        <f t="shared" ref="I21:I84" si="87">I20+(G21*(D20+N20-(2*I20))+((G21/(2*$I$18))*(N20-D20)))</f>
        <v>1019.6667336606224</v>
      </c>
      <c r="J21" s="15">
        <f t="shared" si="7"/>
        <v>5.5393334673212457E-6</v>
      </c>
      <c r="K21" s="16">
        <f t="shared" si="8"/>
        <v>27.615167437097156</v>
      </c>
      <c r="L21" s="17">
        <f t="shared" si="9"/>
        <v>1.386325411694168E-2</v>
      </c>
      <c r="M21" s="18">
        <f t="shared" si="10"/>
        <v>0.19973172397247613</v>
      </c>
      <c r="N21" s="19">
        <f t="shared" ref="N21:N84" si="88">N20+(L21*(I20+S20-(2*N20))+((L21/(2*N$18))*(S20-I20)))</f>
        <v>1018.7667280400591</v>
      </c>
      <c r="O21" s="15">
        <f t="shared" si="11"/>
        <v>5.5375334560801185E-6</v>
      </c>
      <c r="P21" s="16">
        <f t="shared" si="12"/>
        <v>27.60481737246068</v>
      </c>
      <c r="Q21" s="17">
        <f t="shared" si="2"/>
        <v>1.3864768576441639E-2</v>
      </c>
      <c r="R21" s="18">
        <f t="shared" si="13"/>
        <v>0.19980661076579112</v>
      </c>
      <c r="S21" s="19">
        <f t="shared" ref="S21:S84" si="89">S20+(Q21*(N20+X20-(2*S20))+((Q21/(2*S$18))*(X20-N20)))</f>
        <v>1017.2667247463795</v>
      </c>
      <c r="T21" s="15">
        <f t="shared" si="14"/>
        <v>5.5345334494927595E-6</v>
      </c>
      <c r="U21" s="16">
        <f t="shared" si="15"/>
        <v>27.587567334583362</v>
      </c>
      <c r="V21" s="17">
        <f t="shared" si="16"/>
        <v>1.3851241143302393E-2</v>
      </c>
      <c r="W21" s="18">
        <f t="shared" si="17"/>
        <v>0.1999315464501176</v>
      </c>
      <c r="X21" s="19">
        <f t="shared" ref="X21:X84" si="90">X20+(V21*(S20+AC20-(2*X20))+((V21/(2*X$18))*(AC20-S20)))</f>
        <v>1015.1667569212262</v>
      </c>
      <c r="Y21" s="15">
        <f t="shared" si="18"/>
        <v>5.5303335138424532E-6</v>
      </c>
      <c r="Z21" s="16">
        <f t="shared" si="19"/>
        <v>27.563417704594102</v>
      </c>
      <c r="AA21" s="17">
        <f t="shared" si="20"/>
        <v>1.3840729991457412E-2</v>
      </c>
      <c r="AB21" s="18">
        <f t="shared" si="21"/>
        <v>0.20010671605069821</v>
      </c>
      <c r="AC21" s="19">
        <f t="shared" ref="AC21:AC84" si="91">AC20+(AA21*(X20+AH20-(2*AC20))+((AA21/(2*AC$18))*(AH20-X20)))</f>
        <v>1012.4667822379688</v>
      </c>
      <c r="AD21" s="15">
        <f t="shared" si="22"/>
        <v>5.5249335644759381E-6</v>
      </c>
      <c r="AE21" s="16">
        <f t="shared" si="23"/>
        <v>27.532367995736642</v>
      </c>
      <c r="AF21" s="17">
        <f t="shared" si="24"/>
        <v>1.3827215573029952E-2</v>
      </c>
      <c r="AG21" s="18">
        <f t="shared" si="25"/>
        <v>0.20033238698734845</v>
      </c>
      <c r="AH21" s="19">
        <f t="shared" ref="AH21:AH84" si="92">AH20+(AF21*(AC20+AM20-(2*AH20))+((AF21/(2*AH$18))*(AM20-AC20)))</f>
        <v>1009.1668146742221</v>
      </c>
      <c r="AI21" s="15">
        <f t="shared" si="26"/>
        <v>5.5183336293484449E-6</v>
      </c>
      <c r="AJ21" s="16">
        <f t="shared" si="27"/>
        <v>27.494418368753553</v>
      </c>
      <c r="AK21" s="17">
        <f t="shared" si="28"/>
        <v>1.3810697957983387E-2</v>
      </c>
      <c r="AL21" s="18">
        <f t="shared" si="29"/>
        <v>0.2006088990872531</v>
      </c>
      <c r="AM21" s="19">
        <f t="shared" ref="AM21:AM84" si="93">AM20+(AK21*(AH20+AR20-(2*AM20))+((AK21/(2*AM$18))*(AR20-AH20)))</f>
        <v>1005.2668543176715</v>
      </c>
      <c r="AN21" s="15">
        <f t="shared" si="30"/>
        <v>5.5105337086353432E-6</v>
      </c>
      <c r="AO21" s="16">
        <f t="shared" si="31"/>
        <v>27.44956882465322</v>
      </c>
      <c r="AP21" s="17">
        <f t="shared" si="32"/>
        <v>1.3791177146756614E-2</v>
      </c>
      <c r="AQ21" s="18">
        <f t="shared" si="33"/>
        <v>0.20093667172820084</v>
      </c>
      <c r="AR21" s="19">
        <f t="shared" ref="AR21:AR84" si="94">AR20+(AP21*(AM20+AW20-(2*AR20))+((AP21/(2*AR$18))*(AW20-AM20)))</f>
        <v>1000.7669011684944</v>
      </c>
      <c r="AS21" s="15">
        <f t="shared" si="34"/>
        <v>5.5015338023369897E-6</v>
      </c>
      <c r="AT21" s="16">
        <f t="shared" si="35"/>
        <v>27.397819363437684</v>
      </c>
      <c r="AU21" s="17">
        <f t="shared" si="36"/>
        <v>1.3768653139350525E-2</v>
      </c>
      <c r="AV21" s="18">
        <f t="shared" si="37"/>
        <v>0.20131620428743269</v>
      </c>
      <c r="AW21" s="19">
        <f t="shared" ref="AW21:AW84" si="95">AW20+(AU21*(AR20+BB20-(2*AW20))+((AU21/(2*AW$18))*(BB20-AR20)))</f>
        <v>995.66695522678992</v>
      </c>
      <c r="AX21" s="15">
        <f t="shared" si="38"/>
        <v>5.49133391045358E-6</v>
      </c>
      <c r="AY21" s="16">
        <f t="shared" si="39"/>
        <v>27.339169985108086</v>
      </c>
      <c r="AZ21" s="17">
        <f t="shared" si="40"/>
        <v>1.3743125935765611E-2</v>
      </c>
      <c r="BA21" s="18">
        <f t="shared" si="41"/>
        <v>0.20174807805081191</v>
      </c>
      <c r="BB21" s="19">
        <f t="shared" ref="BB21:BB84" si="96">BB20+(AZ21*(AW20+BG20-(2*BB20))+((AZ21/(2*BB$18))*(BG20-AW20)))</f>
        <v>989.9670164926174</v>
      </c>
      <c r="BC21" s="15">
        <f t="shared" si="42"/>
        <v>5.4799340329852353E-6</v>
      </c>
      <c r="BD21" s="16">
        <f t="shared" si="43"/>
        <v>27.273620689665101</v>
      </c>
      <c r="BE21" s="17">
        <f t="shared" si="44"/>
        <v>1.3714595536002173E-2</v>
      </c>
      <c r="BF21" s="18">
        <f t="shared" si="45"/>
        <v>0.20223295846048256</v>
      </c>
      <c r="BG21" s="19">
        <f t="shared" ref="BG21:BG84" si="97">BG20+(BE21*(BB20+BL20-(2*BG20))+((BE21/(2*BG$18))*(BL20-BB20)))</f>
        <v>983.66708496601473</v>
      </c>
      <c r="BH21" s="15">
        <f t="shared" si="46"/>
        <v>5.4673341699320292E-6</v>
      </c>
      <c r="BI21" s="16">
        <f t="shared" si="47"/>
        <v>27.20117147710917</v>
      </c>
      <c r="BJ21" s="17">
        <f t="shared" si="48"/>
        <v>1.3683061940060397E-2</v>
      </c>
      <c r="BK21" s="18">
        <f t="shared" si="49"/>
        <v>0.20277159771010636</v>
      </c>
      <c r="BL21" s="19">
        <f t="shared" ref="BL21:BL84" si="98">BL20+(BJ21*(BG20+BQ20-(2*BL20))+((BJ21/(2*BL$18))*(BQ20-BG20)))</f>
        <v>976.76716064700724</v>
      </c>
      <c r="BM21" s="15">
        <f t="shared" si="50"/>
        <v>5.4535343212940151E-6</v>
      </c>
      <c r="BN21" s="16">
        <f t="shared" si="51"/>
        <v>27.121822347440585</v>
      </c>
      <c r="BO21" s="17">
        <f t="shared" si="52"/>
        <v>1.3648525147940418E-2</v>
      </c>
      <c r="BP21" s="18">
        <f t="shared" si="53"/>
        <v>0.20336483770680311</v>
      </c>
      <c r="BQ21" s="19">
        <f t="shared" ref="BQ21:BQ84" si="99">BQ20+(BO21*(BL20+BV20-(2*BQ20))+((BO21/(2*BQ$18))*(BV20-BL20)))</f>
        <v>969.26724353561235</v>
      </c>
      <c r="BR21" s="15">
        <f t="shared" si="54"/>
        <v>5.4385344870712253E-6</v>
      </c>
      <c r="BS21" s="16">
        <f t="shared" si="55"/>
        <v>27.035573300659543</v>
      </c>
      <c r="BT21" s="17">
        <f t="shared" si="56"/>
        <v>1.3610985159642312E-2</v>
      </c>
      <c r="BU21" s="18">
        <f t="shared" si="57"/>
        <v>0.20401361342189273</v>
      </c>
      <c r="BV21" s="19">
        <f t="shared" ref="BV21:BV84" si="100">BV20+(BT21*(BQ20+CA20-(2*BV20))+((BT21/(2*BV$18))*(CA20-BQ20)))</f>
        <v>961.16733363184255</v>
      </c>
      <c r="BW21" s="15">
        <f t="shared" si="58"/>
        <v>5.4223346672636858E-6</v>
      </c>
      <c r="BX21" s="16">
        <f t="shared" si="59"/>
        <v>26.942424336766187</v>
      </c>
      <c r="BY21" s="17">
        <f t="shared" si="60"/>
        <v>1.357044197516615E-2</v>
      </c>
      <c r="BZ21" s="18">
        <f t="shared" si="61"/>
        <v>0.20471895665577744</v>
      </c>
      <c r="CA21" s="19">
        <f t="shared" ref="CA21:CA84" si="101">CA20+(BY21*(BV20+CF20-(2*CA20))+((BY21/(2*CA$18))*(CF20-BV20)))</f>
        <v>952.46743093570694</v>
      </c>
      <c r="CB21" s="15">
        <f t="shared" si="62"/>
        <v>5.4049348618714146E-6</v>
      </c>
      <c r="CC21" s="16">
        <f t="shared" si="63"/>
        <v>26.842375455760632</v>
      </c>
      <c r="CD21" s="17">
        <f t="shared" si="64"/>
        <v>1.3526895594511975E-2</v>
      </c>
      <c r="CE21" s="18">
        <f t="shared" si="65"/>
        <v>0.2054820002458573</v>
      </c>
      <c r="CF21" s="19">
        <f t="shared" ref="CF21:CF84" si="102">CF20+(CD21*(CA20+CK20-(2*CF20))+((CD21/(2*CF$18))*(CK20-CA20)))</f>
        <v>943.16753544721246</v>
      </c>
      <c r="CG21" s="15">
        <f t="shared" si="66"/>
        <v>5.3863350708944252E-6</v>
      </c>
      <c r="CH21" s="16">
        <f t="shared" si="67"/>
        <v>26.735426657642943</v>
      </c>
      <c r="CI21" s="17">
        <f t="shared" si="68"/>
        <v>1.348034601767982E-2</v>
      </c>
      <c r="CJ21" s="18">
        <f t="shared" si="69"/>
        <v>0.20630398275028949</v>
      </c>
      <c r="CK21" s="19">
        <f t="shared" ref="CK21:CK84" si="103">CK20+(CI21*(CF20+CP20-(2*CK20))+((CI21/(2*CK$18))*(CP20-CF20)))</f>
        <v>933.26764716636433</v>
      </c>
      <c r="CL21" s="15">
        <f t="shared" si="70"/>
        <v>5.3665352943327295E-6</v>
      </c>
      <c r="CM21" s="16">
        <f t="shared" si="71"/>
        <v>26.62157794241319</v>
      </c>
      <c r="CN21" s="17">
        <f t="shared" si="72"/>
        <v>1.3430793244669713E-2</v>
      </c>
      <c r="CO21" s="18">
        <f t="shared" si="73"/>
        <v>0.20718625364473869</v>
      </c>
      <c r="CP21" s="19">
        <f t="shared" ref="CP21:CP84" si="104">CP20+(CN21*(CK20+CU20-(2*CP20))+((CN21/(2*CP$18))*(CU20-CK20)))</f>
        <v>922.76776609316664</v>
      </c>
      <c r="CQ21" s="15">
        <f t="shared" si="74"/>
        <v>5.3455355321863342E-6</v>
      </c>
      <c r="CR21" s="16">
        <f t="shared" si="75"/>
        <v>26.500829310071417</v>
      </c>
      <c r="CS21" s="17">
        <f t="shared" si="76"/>
        <v>1.3378237275481673E-2</v>
      </c>
      <c r="CT21" s="18">
        <f t="shared" si="77"/>
        <v>0.20813027907409046</v>
      </c>
      <c r="CU21" s="19">
        <f t="shared" ref="CU21:CU84" si="105">CU20+(CS21*(CP20+CZ20-(2*CU20))+((CS21/(2*CU$18))*(CZ20-CP20)))</f>
        <v>911.60711733980054</v>
      </c>
      <c r="CV21" s="15">
        <f t="shared" si="78"/>
        <v>5.3232142346796015E-6</v>
      </c>
      <c r="CW21" s="16">
        <f t="shared" si="79"/>
        <v>26.372481849407706</v>
      </c>
      <c r="CX21" s="17">
        <f t="shared" si="80"/>
        <v>1.3322373908276714E-2</v>
      </c>
      <c r="CY21" s="18">
        <f t="shared" si="81"/>
        <v>0.20914319067486151</v>
      </c>
      <c r="CZ21" s="20">
        <f t="shared" ref="CZ21:CZ84" si="106">CZ20+((2*$CX21)*(CU20-CZ20))+((2*$CX21*$CY21)*($C$14-CZ20))+((($CX21*$CY21)/$C$5)*($C$14-CZ20))+(((CZ20-$C$14)*$CX21*($D$6^2))/($CW21*($D$4/(2*$C$8))))</f>
        <v>891.25739777736123</v>
      </c>
      <c r="DA21" s="15">
        <f t="shared" si="82"/>
        <v>5.282514795554723E-6</v>
      </c>
      <c r="DB21" s="16">
        <f t="shared" si="83"/>
        <v>26.138460074439653</v>
      </c>
      <c r="DC21" s="17">
        <f t="shared" si="84"/>
        <v>1.3220515684659416E-2</v>
      </c>
      <c r="DD21" s="18">
        <f t="shared" si="85"/>
        <v>0.21101568280197325</v>
      </c>
    </row>
    <row r="22" spans="2:108" x14ac:dyDescent="0.25">
      <c r="B22">
        <v>3</v>
      </c>
      <c r="C22">
        <f t="shared" si="86"/>
        <v>2.9328439990357544E-3</v>
      </c>
      <c r="D22" s="19">
        <f t="shared" si="3"/>
        <v>1019.9538520836545</v>
      </c>
      <c r="E22" s="15">
        <f t="shared" si="4"/>
        <v>5.5399077041673094E-6</v>
      </c>
      <c r="F22" s="16">
        <f t="shared" si="5"/>
        <v>27.618469298962026</v>
      </c>
      <c r="G22" s="17">
        <f t="shared" si="1"/>
        <v>1.386469125579011E-2</v>
      </c>
      <c r="H22" s="18">
        <f t="shared" si="6"/>
        <v>0.1997078455107319</v>
      </c>
      <c r="I22" s="19">
        <f t="shared" si="87"/>
        <v>1019.6501137019989</v>
      </c>
      <c r="J22" s="15">
        <f t="shared" si="7"/>
        <v>5.539300227403998E-6</v>
      </c>
      <c r="K22" s="16">
        <f t="shared" si="8"/>
        <v>27.614976307572988</v>
      </c>
      <c r="L22" s="17">
        <f t="shared" si="9"/>
        <v>1.3863170927615321E-2</v>
      </c>
      <c r="M22" s="18">
        <f t="shared" si="10"/>
        <v>0.19973310636110969</v>
      </c>
      <c r="N22" s="19">
        <f t="shared" si="88"/>
        <v>1018.750092236309</v>
      </c>
      <c r="O22" s="15">
        <f t="shared" si="11"/>
        <v>5.5375001844726187E-6</v>
      </c>
      <c r="P22" s="16">
        <f t="shared" si="12"/>
        <v>27.604626060717553</v>
      </c>
      <c r="Q22" s="17">
        <f t="shared" si="2"/>
        <v>1.386469125579011E-2</v>
      </c>
      <c r="R22" s="18">
        <f t="shared" si="13"/>
        <v>0.19980799551017817</v>
      </c>
      <c r="S22" s="19">
        <f t="shared" si="89"/>
        <v>1017.2500876753708</v>
      </c>
      <c r="T22" s="15">
        <f t="shared" si="14"/>
        <v>5.5345001753507424E-6</v>
      </c>
      <c r="U22" s="16">
        <f t="shared" si="15"/>
        <v>27.587376008266762</v>
      </c>
      <c r="V22" s="17">
        <f t="shared" si="16"/>
        <v>1.3851157868321924E-2</v>
      </c>
      <c r="W22" s="18">
        <f t="shared" si="17"/>
        <v>0.19993293303238416</v>
      </c>
      <c r="X22" s="19">
        <f t="shared" si="90"/>
        <v>1015.1501355363322</v>
      </c>
      <c r="Y22" s="15">
        <f t="shared" si="18"/>
        <v>5.5303002710726645E-6</v>
      </c>
      <c r="Z22" s="16">
        <f t="shared" si="19"/>
        <v>27.563226558667822</v>
      </c>
      <c r="AA22" s="17">
        <f t="shared" si="20"/>
        <v>1.3840646794992017E-2</v>
      </c>
      <c r="AB22" s="18">
        <f t="shared" si="21"/>
        <v>0.20010810375411214</v>
      </c>
      <c r="AC22" s="19">
        <f t="shared" si="91"/>
        <v>1012.4501736402873</v>
      </c>
      <c r="AD22" s="15">
        <f t="shared" si="22"/>
        <v>5.5249003472805753E-6</v>
      </c>
      <c r="AE22" s="16">
        <f t="shared" si="23"/>
        <v>27.532176996863303</v>
      </c>
      <c r="AF22" s="17">
        <f t="shared" si="24"/>
        <v>1.3827132440569507E-2</v>
      </c>
      <c r="AG22" s="18">
        <f t="shared" si="25"/>
        <v>0.20033377675250258</v>
      </c>
      <c r="AH22" s="19">
        <f t="shared" si="92"/>
        <v>1009.1502222980029</v>
      </c>
      <c r="AI22" s="15">
        <f t="shared" si="26"/>
        <v>5.5183004445960059E-6</v>
      </c>
      <c r="AJ22" s="16">
        <f t="shared" si="27"/>
        <v>27.494227556427035</v>
      </c>
      <c r="AK22" s="17">
        <f t="shared" si="28"/>
        <v>1.3810614906717636E-2</v>
      </c>
      <c r="AL22" s="18">
        <f t="shared" si="29"/>
        <v>0.20061029133043132</v>
      </c>
      <c r="AM22" s="19">
        <f t="shared" si="93"/>
        <v>1005.2502817646459</v>
      </c>
      <c r="AN22" s="15">
        <f t="shared" si="30"/>
        <v>5.5105005635292927E-6</v>
      </c>
      <c r="AO22" s="16">
        <f t="shared" si="31"/>
        <v>27.449378240293427</v>
      </c>
      <c r="AP22" s="17">
        <f t="shared" si="32"/>
        <v>1.3791094194713624E-2</v>
      </c>
      <c r="AQ22" s="18">
        <f t="shared" si="33"/>
        <v>0.20093806685586477</v>
      </c>
      <c r="AR22" s="19">
        <f t="shared" si="94"/>
        <v>1000.7503520418377</v>
      </c>
      <c r="AS22" s="15">
        <f t="shared" si="34"/>
        <v>5.5015007040836756E-6</v>
      </c>
      <c r="AT22" s="16">
        <f t="shared" si="35"/>
        <v>27.397629048481132</v>
      </c>
      <c r="AU22" s="17">
        <f t="shared" si="36"/>
        <v>1.3768570304565575E-2</v>
      </c>
      <c r="AV22" s="18">
        <f t="shared" si="37"/>
        <v>0.20131760271080007</v>
      </c>
      <c r="AW22" s="19">
        <f t="shared" si="95"/>
        <v>995.65043312987564</v>
      </c>
      <c r="AX22" s="15">
        <f t="shared" si="38"/>
        <v>5.4913008662597518E-6</v>
      </c>
      <c r="AY22" s="16">
        <f t="shared" si="39"/>
        <v>27.338979980993571</v>
      </c>
      <c r="AZ22" s="17">
        <f t="shared" si="40"/>
        <v>1.3743043236274989E-2</v>
      </c>
      <c r="BA22" s="18">
        <f t="shared" si="41"/>
        <v>0.20174948018669817</v>
      </c>
      <c r="BB22" s="19">
        <f t="shared" si="96"/>
        <v>989.95052502893839</v>
      </c>
      <c r="BC22" s="15">
        <f t="shared" si="42"/>
        <v>5.479901050057877E-6</v>
      </c>
      <c r="BD22" s="16">
        <f t="shared" si="43"/>
        <v>27.27343103783279</v>
      </c>
      <c r="BE22" s="17">
        <f t="shared" si="44"/>
        <v>1.3714512989842749E-2</v>
      </c>
      <c r="BF22" s="18">
        <f t="shared" si="45"/>
        <v>0.20223436473206871</v>
      </c>
      <c r="BG22" s="19">
        <f t="shared" si="97"/>
        <v>983.65062773913951</v>
      </c>
      <c r="BH22" s="15">
        <f t="shared" si="46"/>
        <v>5.4673012554782798E-6</v>
      </c>
      <c r="BI22" s="16">
        <f t="shared" si="47"/>
        <v>27.200982219000103</v>
      </c>
      <c r="BJ22" s="17">
        <f t="shared" si="48"/>
        <v>1.3682979565269435E-2</v>
      </c>
      <c r="BK22" s="18">
        <f t="shared" si="49"/>
        <v>0.20277300854773148</v>
      </c>
      <c r="BL22" s="19">
        <f t="shared" si="98"/>
        <v>976.75074126055495</v>
      </c>
      <c r="BM22" s="15">
        <f t="shared" si="50"/>
        <v>5.4535014825211104E-6</v>
      </c>
      <c r="BN22" s="16">
        <f t="shared" si="51"/>
        <v>27.121633524496382</v>
      </c>
      <c r="BO22" s="17">
        <f t="shared" si="52"/>
        <v>1.3648442962555416E-2</v>
      </c>
      <c r="BP22" s="18">
        <f t="shared" si="53"/>
        <v>0.20336625354878654</v>
      </c>
      <c r="BQ22" s="19">
        <f t="shared" si="99"/>
        <v>969.25086559323677</v>
      </c>
      <c r="BR22" s="15">
        <f t="shared" si="54"/>
        <v>5.4385017311864736E-6</v>
      </c>
      <c r="BS22" s="16">
        <f t="shared" si="55"/>
        <v>27.035384954322222</v>
      </c>
      <c r="BT22" s="17">
        <f t="shared" si="56"/>
        <v>1.3610903181700959E-2</v>
      </c>
      <c r="BU22" s="18">
        <f t="shared" si="57"/>
        <v>0.20401503471539073</v>
      </c>
      <c r="BV22" s="19">
        <f t="shared" si="100"/>
        <v>961.15100073722283</v>
      </c>
      <c r="BW22" s="15">
        <f t="shared" si="58"/>
        <v>5.4223020014744466E-6</v>
      </c>
      <c r="BX22" s="16">
        <f t="shared" si="59"/>
        <v>26.942236508478061</v>
      </c>
      <c r="BY22" s="17">
        <f t="shared" si="60"/>
        <v>1.3570360222706255E-2</v>
      </c>
      <c r="BZ22" s="18">
        <f t="shared" si="61"/>
        <v>0.20472038385767893</v>
      </c>
      <c r="CA22" s="19">
        <f t="shared" si="101"/>
        <v>952.45114669254019</v>
      </c>
      <c r="CB22" s="15">
        <f t="shared" si="62"/>
        <v>5.4049022933850801E-6</v>
      </c>
      <c r="CC22" s="16">
        <f t="shared" si="63"/>
        <v>26.842188186964211</v>
      </c>
      <c r="CD22" s="17">
        <f t="shared" si="64"/>
        <v>1.352681408557143E-2</v>
      </c>
      <c r="CE22" s="18">
        <f t="shared" si="65"/>
        <v>0.20548343382372375</v>
      </c>
      <c r="CF22" s="19">
        <f t="shared" si="102"/>
        <v>943.15130345920977</v>
      </c>
      <c r="CG22" s="15">
        <f t="shared" si="66"/>
        <v>5.38630260691842E-6</v>
      </c>
      <c r="CH22" s="16">
        <f t="shared" si="67"/>
        <v>26.735239989780911</v>
      </c>
      <c r="CI22" s="17">
        <f t="shared" si="68"/>
        <v>1.34802647702966E-2</v>
      </c>
      <c r="CJ22" s="18">
        <f t="shared" si="69"/>
        <v>0.20630542318334352</v>
      </c>
      <c r="CK22" s="19">
        <f t="shared" si="103"/>
        <v>933.25147103724714</v>
      </c>
      <c r="CL22" s="15">
        <f t="shared" si="70"/>
        <v>5.3665029420744949E-6</v>
      </c>
      <c r="CM22" s="16">
        <f t="shared" si="71"/>
        <v>26.621391916928342</v>
      </c>
      <c r="CN22" s="17">
        <f t="shared" si="72"/>
        <v>1.3430712276881838E-2</v>
      </c>
      <c r="CO22" s="18">
        <f t="shared" si="73"/>
        <v>0.20718770142490767</v>
      </c>
      <c r="CP22" s="19">
        <f t="shared" si="104"/>
        <v>922.7508105030206</v>
      </c>
      <c r="CQ22" s="15">
        <f t="shared" si="74"/>
        <v>5.3455016210060425E-6</v>
      </c>
      <c r="CR22" s="16">
        <f t="shared" si="75"/>
        <v>26.500634320784734</v>
      </c>
      <c r="CS22" s="17">
        <f t="shared" si="76"/>
        <v>1.3378152406189626E-2</v>
      </c>
      <c r="CT22" s="18">
        <f t="shared" si="77"/>
        <v>0.20813181047798679</v>
      </c>
      <c r="CU22" s="19">
        <f t="shared" si="105"/>
        <v>911.47309111557956</v>
      </c>
      <c r="CV22" s="15">
        <f t="shared" si="78"/>
        <v>5.3229461822311599E-6</v>
      </c>
      <c r="CW22" s="16">
        <f t="shared" si="79"/>
        <v>26.370940547829164</v>
      </c>
      <c r="CX22" s="17">
        <f t="shared" si="80"/>
        <v>1.3321703055144053E-2</v>
      </c>
      <c r="CY22" s="18">
        <f t="shared" si="81"/>
        <v>0.20915541446071184</v>
      </c>
      <c r="CZ22" s="20">
        <f t="shared" si="106"/>
        <v>887.09294961220007</v>
      </c>
      <c r="DA22" s="15">
        <f t="shared" si="82"/>
        <v>5.2741858992244002E-6</v>
      </c>
      <c r="DB22" s="16">
        <f t="shared" si="83"/>
        <v>26.090568920540299</v>
      </c>
      <c r="DC22" s="17">
        <f t="shared" si="84"/>
        <v>1.3199671009569515E-2</v>
      </c>
      <c r="DD22" s="18">
        <f t="shared" si="85"/>
        <v>0.21140301757305563</v>
      </c>
    </row>
    <row r="23" spans="2:108" x14ac:dyDescent="0.25">
      <c r="B23">
        <v>4</v>
      </c>
      <c r="C23">
        <f t="shared" si="86"/>
        <v>3.9104586653810058E-3</v>
      </c>
      <c r="D23" s="19">
        <f t="shared" si="3"/>
        <v>1019.9383447362717</v>
      </c>
      <c r="E23" s="15">
        <f t="shared" si="4"/>
        <v>5.5398766894725433E-6</v>
      </c>
      <c r="F23" s="16">
        <f t="shared" si="5"/>
        <v>27.618290964467121</v>
      </c>
      <c r="G23" s="17">
        <f t="shared" si="1"/>
        <v>1.3864613635513693E-2</v>
      </c>
      <c r="H23" s="18">
        <f t="shared" si="6"/>
        <v>0.19970913504735829</v>
      </c>
      <c r="I23" s="19">
        <f t="shared" si="87"/>
        <v>1019.6335016348246</v>
      </c>
      <c r="J23" s="15">
        <f t="shared" si="7"/>
        <v>5.5392670032696499E-6</v>
      </c>
      <c r="K23" s="16">
        <f t="shared" si="8"/>
        <v>27.614785268800482</v>
      </c>
      <c r="L23" s="17">
        <f t="shared" si="9"/>
        <v>1.386308777778872E-2</v>
      </c>
      <c r="M23" s="18">
        <f t="shared" si="10"/>
        <v>0.19973448811248298</v>
      </c>
      <c r="N23" s="19">
        <f t="shared" si="88"/>
        <v>1018.7334566751254</v>
      </c>
      <c r="O23" s="15">
        <f t="shared" si="11"/>
        <v>5.537466913350252E-6</v>
      </c>
      <c r="P23" s="16">
        <f t="shared" si="12"/>
        <v>27.604434751763939</v>
      </c>
      <c r="Q23" s="17">
        <f t="shared" si="2"/>
        <v>1.3864613635513693E-2</v>
      </c>
      <c r="R23" s="18">
        <f t="shared" si="13"/>
        <v>0.1998093802535677</v>
      </c>
      <c r="S23" s="19">
        <f t="shared" si="89"/>
        <v>1017.2334509658739</v>
      </c>
      <c r="T23" s="15">
        <f t="shared" si="14"/>
        <v>5.5344669019317483E-6</v>
      </c>
      <c r="U23" s="16">
        <f t="shared" si="15"/>
        <v>27.587184686107548</v>
      </c>
      <c r="V23" s="17">
        <f t="shared" si="16"/>
        <v>1.3851074595150958E-2</v>
      </c>
      <c r="W23" s="18">
        <f t="shared" si="17"/>
        <v>0.19993431960375346</v>
      </c>
      <c r="X23" s="19">
        <f t="shared" si="90"/>
        <v>1015.1335142605113</v>
      </c>
      <c r="Y23" s="15">
        <f t="shared" si="18"/>
        <v>5.5302670285210231E-6</v>
      </c>
      <c r="Z23" s="16">
        <f t="shared" si="19"/>
        <v>27.563035413995877</v>
      </c>
      <c r="AA23" s="17">
        <f t="shared" si="20"/>
        <v>1.3840563599072575E-2</v>
      </c>
      <c r="AB23" s="18">
        <f t="shared" si="21"/>
        <v>0.2001094914676666</v>
      </c>
      <c r="AC23" s="19">
        <f t="shared" si="91"/>
        <v>1012.4335652301214</v>
      </c>
      <c r="AD23" s="15">
        <f t="shared" si="22"/>
        <v>5.5248671304602432E-6</v>
      </c>
      <c r="AE23" s="16">
        <f t="shared" si="23"/>
        <v>27.531986000146397</v>
      </c>
      <c r="AF23" s="17">
        <f t="shared" si="24"/>
        <v>1.3827049309047648E-2</v>
      </c>
      <c r="AG23" s="18">
        <f t="shared" si="25"/>
        <v>0.20033516652124811</v>
      </c>
      <c r="AH23" s="19">
        <f t="shared" si="92"/>
        <v>1009.1336301128744</v>
      </c>
      <c r="AI23" s="15">
        <f t="shared" si="26"/>
        <v>5.5182672602257499E-6</v>
      </c>
      <c r="AJ23" s="16">
        <f t="shared" si="27"/>
        <v>27.494036746298054</v>
      </c>
      <c r="AK23" s="17">
        <f t="shared" si="28"/>
        <v>1.3810531856408374E-2</v>
      </c>
      <c r="AL23" s="18">
        <f t="shared" si="29"/>
        <v>0.20061168357689976</v>
      </c>
      <c r="AM23" s="19">
        <f t="shared" si="93"/>
        <v>1005.2337094037056</v>
      </c>
      <c r="AN23" s="15">
        <f t="shared" si="30"/>
        <v>5.5104674188074115E-6</v>
      </c>
      <c r="AO23" s="16">
        <f t="shared" si="31"/>
        <v>27.449187658142613</v>
      </c>
      <c r="AP23" s="17">
        <f t="shared" si="32"/>
        <v>1.3791011243632093E-2</v>
      </c>
      <c r="AQ23" s="18">
        <f t="shared" si="33"/>
        <v>0.20093946198673124</v>
      </c>
      <c r="AR23" s="19">
        <f t="shared" si="94"/>
        <v>1000.7338031079053</v>
      </c>
      <c r="AS23" s="15">
        <f t="shared" si="34"/>
        <v>5.5014676062158106E-6</v>
      </c>
      <c r="AT23" s="16">
        <f t="shared" si="35"/>
        <v>27.397438735740909</v>
      </c>
      <c r="AU23" s="17">
        <f t="shared" si="36"/>
        <v>1.3768487470745289E-2</v>
      </c>
      <c r="AV23" s="18">
        <f t="shared" si="37"/>
        <v>0.2013190011373098</v>
      </c>
      <c r="AW23" s="19">
        <f t="shared" si="95"/>
        <v>995.63391122608277</v>
      </c>
      <c r="AX23" s="15">
        <f t="shared" si="38"/>
        <v>5.4912678224521655E-6</v>
      </c>
      <c r="AY23" s="16">
        <f t="shared" si="39"/>
        <v>27.33878997909995</v>
      </c>
      <c r="AZ23" s="17">
        <f t="shared" si="40"/>
        <v>1.3742960537751012E-2</v>
      </c>
      <c r="BA23" s="18">
        <f t="shared" si="41"/>
        <v>0.20175088232568464</v>
      </c>
      <c r="BB23" s="19">
        <f t="shared" si="96"/>
        <v>989.93403375859555</v>
      </c>
      <c r="BC23" s="15">
        <f t="shared" si="42"/>
        <v>5.4798680675171917E-6</v>
      </c>
      <c r="BD23" s="16">
        <f t="shared" si="43"/>
        <v>27.273241388223848</v>
      </c>
      <c r="BE23" s="17">
        <f t="shared" si="44"/>
        <v>1.371443044465105E-2</v>
      </c>
      <c r="BF23" s="18">
        <f t="shared" si="45"/>
        <v>0.20223577100672599</v>
      </c>
      <c r="BG23" s="19">
        <f t="shared" si="97"/>
        <v>983.63417070567073</v>
      </c>
      <c r="BH23" s="15">
        <f t="shared" si="46"/>
        <v>5.4672683414113425E-6</v>
      </c>
      <c r="BI23" s="16">
        <f t="shared" si="47"/>
        <v>27.200792963115212</v>
      </c>
      <c r="BJ23" s="17">
        <f t="shared" si="48"/>
        <v>1.3682897191446542E-2</v>
      </c>
      <c r="BK23" s="18">
        <f t="shared" si="49"/>
        <v>0.20277441938840868</v>
      </c>
      <c r="BL23" s="19">
        <f t="shared" si="98"/>
        <v>976.7343220674602</v>
      </c>
      <c r="BM23" s="15">
        <f t="shared" si="50"/>
        <v>5.4534686441349202E-6</v>
      </c>
      <c r="BN23" s="16">
        <f t="shared" si="51"/>
        <v>27.121444703775794</v>
      </c>
      <c r="BO23" s="17">
        <f t="shared" si="52"/>
        <v>1.3648360778138243E-2</v>
      </c>
      <c r="BP23" s="18">
        <f t="shared" si="53"/>
        <v>0.20336766939381093</v>
      </c>
      <c r="BQ23" s="19">
        <f t="shared" si="99"/>
        <v>969.23448784406844</v>
      </c>
      <c r="BR23" s="15">
        <f t="shared" si="54"/>
        <v>5.4384689756881375E-6</v>
      </c>
      <c r="BS23" s="16">
        <f t="shared" si="55"/>
        <v>27.035196610206786</v>
      </c>
      <c r="BT23" s="17">
        <f t="shared" si="56"/>
        <v>1.3610821204726682E-2</v>
      </c>
      <c r="BU23" s="18">
        <f t="shared" si="57"/>
        <v>0.20401645601192514</v>
      </c>
      <c r="BV23" s="19">
        <f t="shared" si="100"/>
        <v>961.13466803557083</v>
      </c>
      <c r="BW23" s="15">
        <f t="shared" si="58"/>
        <v>5.4222693360711418E-6</v>
      </c>
      <c r="BX23" s="16">
        <f t="shared" si="59"/>
        <v>26.942048682409066</v>
      </c>
      <c r="BY23" s="17">
        <f t="shared" si="60"/>
        <v>1.3570278471212231E-2</v>
      </c>
      <c r="BZ23" s="18">
        <f t="shared" si="61"/>
        <v>0.2047218110626178</v>
      </c>
      <c r="CA23" s="19">
        <f t="shared" si="101"/>
        <v>952.43486264202181</v>
      </c>
      <c r="CB23" s="15">
        <f t="shared" si="62"/>
        <v>5.4048697252840439E-6</v>
      </c>
      <c r="CC23" s="16">
        <f t="shared" si="63"/>
        <v>26.842000920383249</v>
      </c>
      <c r="CD23" s="17">
        <f t="shared" si="64"/>
        <v>1.3526732577595164E-2</v>
      </c>
      <c r="CE23" s="18">
        <f t="shared" si="65"/>
        <v>0.20548486740463343</v>
      </c>
      <c r="CF23" s="19">
        <f t="shared" si="102"/>
        <v>943.13507166346301</v>
      </c>
      <c r="CG23" s="15">
        <f t="shared" si="66"/>
        <v>5.386270143326927E-6</v>
      </c>
      <c r="CH23" s="16">
        <f t="shared" si="67"/>
        <v>26.735053324129822</v>
      </c>
      <c r="CI23" s="17">
        <f t="shared" si="68"/>
        <v>1.3480183523875696E-2</v>
      </c>
      <c r="CJ23" s="18">
        <f t="shared" si="69"/>
        <v>0.20630686361945094</v>
      </c>
      <c r="CK23" s="19">
        <f t="shared" si="103"/>
        <v>933.23528345846796</v>
      </c>
      <c r="CL23" s="15">
        <f t="shared" si="70"/>
        <v>5.3664705669169364E-6</v>
      </c>
      <c r="CM23" s="16">
        <f t="shared" si="71"/>
        <v>26.62120575977238</v>
      </c>
      <c r="CN23" s="17">
        <f t="shared" si="72"/>
        <v>1.3430631251783971E-2</v>
      </c>
      <c r="CO23" s="18">
        <f t="shared" si="73"/>
        <v>0.20718915025008847</v>
      </c>
      <c r="CP23" s="19">
        <f t="shared" si="104"/>
        <v>922.73224918460244</v>
      </c>
      <c r="CQ23" s="15">
        <f t="shared" si="74"/>
        <v>5.3454644983692052E-6</v>
      </c>
      <c r="CR23" s="16">
        <f t="shared" si="75"/>
        <v>26.500420865622928</v>
      </c>
      <c r="CS23" s="17">
        <f t="shared" si="76"/>
        <v>1.3378059499606009E-2</v>
      </c>
      <c r="CT23" s="18">
        <f t="shared" si="77"/>
        <v>0.20813348693473091</v>
      </c>
      <c r="CU23" s="19">
        <f t="shared" si="105"/>
        <v>911.28525263332813</v>
      </c>
      <c r="CV23" s="15">
        <f t="shared" si="78"/>
        <v>5.3225705052666567E-6</v>
      </c>
      <c r="CW23" s="16">
        <f t="shared" si="79"/>
        <v>26.368780405283275</v>
      </c>
      <c r="CX23" s="17">
        <f t="shared" si="80"/>
        <v>1.3320762850829667E-2</v>
      </c>
      <c r="CY23" s="18">
        <f t="shared" si="81"/>
        <v>0.20917254856788461</v>
      </c>
      <c r="CZ23" s="20">
        <f t="shared" si="106"/>
        <v>883.05841334979129</v>
      </c>
      <c r="DA23" s="15">
        <f t="shared" si="82"/>
        <v>5.2661168266995833E-6</v>
      </c>
      <c r="DB23" s="16">
        <f t="shared" si="83"/>
        <v>26.044171753522598</v>
      </c>
      <c r="DC23" s="17">
        <f t="shared" si="84"/>
        <v>1.317947659384071E-2</v>
      </c>
      <c r="DD23" s="18">
        <f t="shared" si="85"/>
        <v>0.2117796277877021</v>
      </c>
    </row>
    <row r="24" spans="2:108" x14ac:dyDescent="0.25">
      <c r="B24">
        <v>5</v>
      </c>
      <c r="C24">
        <f t="shared" si="86"/>
        <v>4.8880733317262573E-3</v>
      </c>
      <c r="D24" s="19">
        <f t="shared" si="3"/>
        <v>1019.9227809874769</v>
      </c>
      <c r="E24" s="15">
        <f t="shared" si="4"/>
        <v>5.5398455619749539E-6</v>
      </c>
      <c r="F24" s="16">
        <f t="shared" si="5"/>
        <v>27.618111981355984</v>
      </c>
      <c r="G24" s="17">
        <f t="shared" si="1"/>
        <v>1.3864535732926378E-2</v>
      </c>
      <c r="H24" s="18">
        <f t="shared" si="6"/>
        <v>0.19971042929087277</v>
      </c>
      <c r="I24" s="19">
        <f t="shared" si="87"/>
        <v>1019.6168968306035</v>
      </c>
      <c r="J24" s="15">
        <f t="shared" si="7"/>
        <v>5.5392337936612078E-6</v>
      </c>
      <c r="K24" s="16">
        <f t="shared" si="8"/>
        <v>27.61459431355194</v>
      </c>
      <c r="L24" s="17">
        <f t="shared" si="9"/>
        <v>1.3863004664316014E-2</v>
      </c>
      <c r="M24" s="18">
        <f t="shared" si="10"/>
        <v>0.19973586927884693</v>
      </c>
      <c r="N24" s="19">
        <f t="shared" si="88"/>
        <v>1018.7168214380513</v>
      </c>
      <c r="O24" s="15">
        <f t="shared" si="11"/>
        <v>5.5374336428761027E-6</v>
      </c>
      <c r="P24" s="16">
        <f t="shared" si="12"/>
        <v>27.604243446537588</v>
      </c>
      <c r="Q24" s="17">
        <f t="shared" si="2"/>
        <v>1.3864535732926378E-2</v>
      </c>
      <c r="R24" s="18">
        <f t="shared" si="13"/>
        <v>0.19981076498917152</v>
      </c>
      <c r="S24" s="19">
        <f t="shared" si="89"/>
        <v>1017.2168146127671</v>
      </c>
      <c r="T24" s="15">
        <f t="shared" si="14"/>
        <v>5.5344336292255342E-6</v>
      </c>
      <c r="U24" s="16">
        <f t="shared" si="15"/>
        <v>27.586993368046819</v>
      </c>
      <c r="V24" s="17">
        <f t="shared" si="16"/>
        <v>1.3850991323763863E-2</v>
      </c>
      <c r="W24" s="18">
        <f t="shared" si="17"/>
        <v>0.19993570616465156</v>
      </c>
      <c r="X24" s="19">
        <f t="shared" si="90"/>
        <v>1015.1168930980431</v>
      </c>
      <c r="Y24" s="15">
        <f t="shared" si="18"/>
        <v>5.5302337861960868E-6</v>
      </c>
      <c r="Z24" s="16">
        <f t="shared" si="19"/>
        <v>27.562844270627494</v>
      </c>
      <c r="AA24" s="17">
        <f t="shared" si="20"/>
        <v>1.3840480403720509E-2</v>
      </c>
      <c r="AB24" s="18">
        <f t="shared" si="21"/>
        <v>0.20011087919100418</v>
      </c>
      <c r="AC24" s="19">
        <f t="shared" si="91"/>
        <v>1012.4169570065468</v>
      </c>
      <c r="AD24" s="15">
        <f t="shared" si="22"/>
        <v>5.5248339140130943E-6</v>
      </c>
      <c r="AE24" s="16">
        <f t="shared" si="23"/>
        <v>27.531795005575287</v>
      </c>
      <c r="AF24" s="17">
        <f t="shared" si="24"/>
        <v>1.3826966178459752E-2</v>
      </c>
      <c r="AG24" s="18">
        <f t="shared" si="25"/>
        <v>0.20033655629366215</v>
      </c>
      <c r="AH24" s="19">
        <f t="shared" si="92"/>
        <v>1009.1170381188039</v>
      </c>
      <c r="AI24" s="15">
        <f t="shared" si="26"/>
        <v>5.5182340762376083E-6</v>
      </c>
      <c r="AJ24" s="16">
        <f t="shared" si="27"/>
        <v>27.493845938366242</v>
      </c>
      <c r="AK24" s="17">
        <f t="shared" si="28"/>
        <v>1.3810448807055427E-2</v>
      </c>
      <c r="AL24" s="18">
        <f t="shared" si="29"/>
        <v>0.20061307582666091</v>
      </c>
      <c r="AM24" s="19">
        <f t="shared" si="93"/>
        <v>1005.217137234845</v>
      </c>
      <c r="AN24" s="15">
        <f t="shared" si="30"/>
        <v>5.5104342744696902E-6</v>
      </c>
      <c r="AO24" s="16">
        <f t="shared" si="31"/>
        <v>27.448997078200719</v>
      </c>
      <c r="AP24" s="17">
        <f t="shared" si="32"/>
        <v>1.3790928293511997E-2</v>
      </c>
      <c r="AQ24" s="18">
        <f t="shared" si="33"/>
        <v>0.20094085712080045</v>
      </c>
      <c r="AR24" s="19">
        <f t="shared" si="94"/>
        <v>1000.7172543666926</v>
      </c>
      <c r="AS24" s="15">
        <f t="shared" si="34"/>
        <v>5.5014345087333855E-6</v>
      </c>
      <c r="AT24" s="16">
        <f t="shared" si="35"/>
        <v>27.397248425216965</v>
      </c>
      <c r="AU24" s="17">
        <f t="shared" si="36"/>
        <v>1.3768404637889642E-2</v>
      </c>
      <c r="AV24" s="18">
        <f t="shared" si="37"/>
        <v>0.20132039956696202</v>
      </c>
      <c r="AW24" s="19">
        <f t="shared" si="95"/>
        <v>995.61738951540701</v>
      </c>
      <c r="AX24" s="15">
        <f t="shared" si="38"/>
        <v>5.4912347790308143E-6</v>
      </c>
      <c r="AY24" s="16">
        <f t="shared" si="39"/>
        <v>27.33859997942718</v>
      </c>
      <c r="AZ24" s="17">
        <f t="shared" si="40"/>
        <v>1.3742877840193663E-2</v>
      </c>
      <c r="BA24" s="18">
        <f t="shared" si="41"/>
        <v>0.20175228446777133</v>
      </c>
      <c r="BB24" s="19">
        <f t="shared" si="96"/>
        <v>989.91754268158468</v>
      </c>
      <c r="BC24" s="15">
        <f t="shared" si="42"/>
        <v>5.4798350853631702E-6</v>
      </c>
      <c r="BD24" s="16">
        <f t="shared" si="43"/>
        <v>27.273051740838223</v>
      </c>
      <c r="BE24" s="17">
        <f t="shared" si="44"/>
        <v>1.3714347900427054E-2</v>
      </c>
      <c r="BF24" s="18">
        <f t="shared" si="45"/>
        <v>0.20223717728445451</v>
      </c>
      <c r="BG24" s="19">
        <f t="shared" si="97"/>
        <v>983.6177138656044</v>
      </c>
      <c r="BH24" s="15">
        <f t="shared" si="46"/>
        <v>5.4672354277312095E-6</v>
      </c>
      <c r="BI24" s="16">
        <f t="shared" si="47"/>
        <v>27.200603709454448</v>
      </c>
      <c r="BJ24" s="17">
        <f t="shared" si="48"/>
        <v>1.3682814818591705E-2</v>
      </c>
      <c r="BK24" s="18">
        <f t="shared" si="49"/>
        <v>0.20277583023213805</v>
      </c>
      <c r="BL24" s="19">
        <f t="shared" si="98"/>
        <v>976.71790306771925</v>
      </c>
      <c r="BM24" s="15">
        <f t="shared" si="50"/>
        <v>5.4534358061354387E-6</v>
      </c>
      <c r="BN24" s="16">
        <f t="shared" si="51"/>
        <v>27.121255885278771</v>
      </c>
      <c r="BO24" s="17">
        <f t="shared" si="52"/>
        <v>1.3648278594688881E-2</v>
      </c>
      <c r="BP24" s="18">
        <f t="shared" si="53"/>
        <v>0.20336908524187639</v>
      </c>
      <c r="BQ24" s="19">
        <f t="shared" si="99"/>
        <v>969.21811028810362</v>
      </c>
      <c r="BR24" s="15">
        <f t="shared" si="54"/>
        <v>5.4384362205762077E-6</v>
      </c>
      <c r="BS24" s="16">
        <f t="shared" si="55"/>
        <v>27.035008268313192</v>
      </c>
      <c r="BT24" s="17">
        <f t="shared" si="56"/>
        <v>1.361073922871946E-2</v>
      </c>
      <c r="BU24" s="18">
        <f t="shared" si="57"/>
        <v>0.20401787731149598</v>
      </c>
      <c r="BV24" s="19">
        <f t="shared" si="100"/>
        <v>961.1183355268829</v>
      </c>
      <c r="BW24" s="15">
        <f t="shared" si="58"/>
        <v>5.4222366710537664E-6</v>
      </c>
      <c r="BX24" s="16">
        <f t="shared" si="59"/>
        <v>26.941860858559153</v>
      </c>
      <c r="BY24" s="17">
        <f t="shared" si="60"/>
        <v>1.3570196720684068E-2</v>
      </c>
      <c r="BZ24" s="18">
        <f t="shared" si="61"/>
        <v>0.20472323827059416</v>
      </c>
      <c r="CA24" s="19">
        <f t="shared" si="101"/>
        <v>952.41857878414828</v>
      </c>
      <c r="CB24" s="15">
        <f t="shared" si="62"/>
        <v>5.4048371575682968E-6</v>
      </c>
      <c r="CC24" s="16">
        <f t="shared" si="63"/>
        <v>26.841813656017706</v>
      </c>
      <c r="CD24" s="17">
        <f t="shared" si="64"/>
        <v>1.3526651070583161E-2</v>
      </c>
      <c r="CE24" s="18">
        <f t="shared" si="65"/>
        <v>0.20548630098858628</v>
      </c>
      <c r="CF24" s="19">
        <f t="shared" si="102"/>
        <v>943.1188398975778</v>
      </c>
      <c r="CG24" s="15">
        <f t="shared" si="66"/>
        <v>5.3862376797951566E-6</v>
      </c>
      <c r="CH24" s="16">
        <f t="shared" si="67"/>
        <v>26.734866658822142</v>
      </c>
      <c r="CI24" s="17">
        <f t="shared" si="68"/>
        <v>1.3480102277604258E-2</v>
      </c>
      <c r="CJ24" s="18">
        <f t="shared" si="69"/>
        <v>0.20630830407302289</v>
      </c>
      <c r="CK24" s="19">
        <f t="shared" si="103"/>
        <v>933.21906245935611</v>
      </c>
      <c r="CL24" s="15">
        <f t="shared" si="70"/>
        <v>5.3664381249187129E-6</v>
      </c>
      <c r="CM24" s="16">
        <f t="shared" si="71"/>
        <v>26.621019218282594</v>
      </c>
      <c r="CN24" s="17">
        <f t="shared" si="72"/>
        <v>1.3430550059404401E-2</v>
      </c>
      <c r="CO24" s="18">
        <f t="shared" si="73"/>
        <v>0.20719060208679083</v>
      </c>
      <c r="CP24" s="19">
        <f t="shared" si="104"/>
        <v>922.71138233565364</v>
      </c>
      <c r="CQ24" s="15">
        <f t="shared" si="74"/>
        <v>5.345422764671308E-6</v>
      </c>
      <c r="CR24" s="16">
        <f t="shared" si="75"/>
        <v>26.500180896860016</v>
      </c>
      <c r="CS24" s="17">
        <f t="shared" si="76"/>
        <v>1.3377955052949638E-2</v>
      </c>
      <c r="CT24" s="18">
        <f t="shared" si="77"/>
        <v>0.20813537165904938</v>
      </c>
      <c r="CU24" s="19">
        <f t="shared" si="105"/>
        <v>911.04680542007679</v>
      </c>
      <c r="CV24" s="15">
        <f t="shared" si="78"/>
        <v>5.3220936108401539E-6</v>
      </c>
      <c r="CW24" s="16">
        <f t="shared" si="79"/>
        <v>26.366038262330882</v>
      </c>
      <c r="CX24" s="17">
        <f t="shared" si="80"/>
        <v>1.331956933022641E-2</v>
      </c>
      <c r="CY24" s="18">
        <f t="shared" si="81"/>
        <v>0.20919430310772799</v>
      </c>
      <c r="CZ24" s="20">
        <f t="shared" si="106"/>
        <v>879.14814557864145</v>
      </c>
      <c r="DA24" s="15">
        <f t="shared" si="82"/>
        <v>5.2582962911572833E-6</v>
      </c>
      <c r="DB24" s="16">
        <f t="shared" si="83"/>
        <v>25.999203674154376</v>
      </c>
      <c r="DC24" s="17">
        <f t="shared" si="84"/>
        <v>1.3159904190013953E-2</v>
      </c>
      <c r="DD24" s="18">
        <f t="shared" si="85"/>
        <v>0.21214592066460264</v>
      </c>
    </row>
    <row r="25" spans="2:108" x14ac:dyDescent="0.25">
      <c r="B25">
        <v>6</v>
      </c>
      <c r="C25">
        <f t="shared" si="86"/>
        <v>5.8656879980715088E-3</v>
      </c>
      <c r="D25" s="19">
        <f t="shared" si="3"/>
        <v>1019.9071640876512</v>
      </c>
      <c r="E25" s="15">
        <f t="shared" si="4"/>
        <v>5.539814328175303E-6</v>
      </c>
      <c r="F25" s="16">
        <f t="shared" si="5"/>
        <v>27.61793238700799</v>
      </c>
      <c r="G25" s="17">
        <f t="shared" si="1"/>
        <v>1.3864457564297579E-2</v>
      </c>
      <c r="H25" s="18">
        <f t="shared" si="6"/>
        <v>0.19971172797115894</v>
      </c>
      <c r="I25" s="19">
        <f t="shared" si="87"/>
        <v>1019.6002987039327</v>
      </c>
      <c r="J25" s="15">
        <f t="shared" si="7"/>
        <v>5.5392005974078656E-6</v>
      </c>
      <c r="K25" s="16">
        <f t="shared" si="8"/>
        <v>27.614403435095227</v>
      </c>
      <c r="L25" s="17">
        <f t="shared" si="9"/>
        <v>1.3862921584267029E-2</v>
      </c>
      <c r="M25" s="18">
        <f t="shared" si="10"/>
        <v>0.19973724990887096</v>
      </c>
      <c r="N25" s="19">
        <f t="shared" si="88"/>
        <v>1018.7001865977479</v>
      </c>
      <c r="O25" s="15">
        <f t="shared" si="11"/>
        <v>5.5374003731954962E-6</v>
      </c>
      <c r="P25" s="16">
        <f t="shared" si="12"/>
        <v>27.6040521458741</v>
      </c>
      <c r="Q25" s="17">
        <f t="shared" si="2"/>
        <v>1.3864457564297579E-2</v>
      </c>
      <c r="R25" s="18">
        <f t="shared" si="13"/>
        <v>0.19981214971094036</v>
      </c>
      <c r="S25" s="19">
        <f t="shared" si="89"/>
        <v>1017.2001786120624</v>
      </c>
      <c r="T25" s="15">
        <f t="shared" si="14"/>
        <v>5.534400357224126E-6</v>
      </c>
      <c r="U25" s="16">
        <f t="shared" si="15"/>
        <v>27.586802054038717</v>
      </c>
      <c r="V25" s="17">
        <f t="shared" si="16"/>
        <v>1.3850908054140682E-2</v>
      </c>
      <c r="W25" s="18">
        <f t="shared" si="17"/>
        <v>0.19993709271540994</v>
      </c>
      <c r="X25" s="19">
        <f t="shared" si="90"/>
        <v>1015.100272053012</v>
      </c>
      <c r="Y25" s="15">
        <f t="shared" si="18"/>
        <v>5.5302005441060242E-6</v>
      </c>
      <c r="Z25" s="16">
        <f t="shared" si="19"/>
        <v>27.562653128609636</v>
      </c>
      <c r="AA25" s="17">
        <f t="shared" si="20"/>
        <v>1.3840397208956259E-2</v>
      </c>
      <c r="AB25" s="18">
        <f t="shared" si="21"/>
        <v>0.20011226692378395</v>
      </c>
      <c r="AC25" s="19">
        <f t="shared" si="91"/>
        <v>1012.4003489687174</v>
      </c>
      <c r="AD25" s="15">
        <f t="shared" si="22"/>
        <v>5.5248006979374346E-6</v>
      </c>
      <c r="AE25" s="16">
        <f t="shared" si="23"/>
        <v>27.53160401314025</v>
      </c>
      <c r="AF25" s="17">
        <f t="shared" si="24"/>
        <v>1.3826883048801581E-2</v>
      </c>
      <c r="AG25" s="18">
        <f t="shared" si="25"/>
        <v>0.20033794606981523</v>
      </c>
      <c r="AH25" s="19">
        <f t="shared" si="92"/>
        <v>1009.1004463157478</v>
      </c>
      <c r="AI25" s="15">
        <f t="shared" si="26"/>
        <v>5.5182008926314963E-6</v>
      </c>
      <c r="AJ25" s="16">
        <f t="shared" si="27"/>
        <v>27.493655132631098</v>
      </c>
      <c r="AK25" s="17">
        <f t="shared" si="28"/>
        <v>1.3810365758658582E-2</v>
      </c>
      <c r="AL25" s="18">
        <f t="shared" si="29"/>
        <v>0.20061446807971814</v>
      </c>
      <c r="AM25" s="19">
        <f t="shared" si="93"/>
        <v>1005.2005652580583</v>
      </c>
      <c r="AN25" s="15">
        <f t="shared" si="30"/>
        <v>5.5104011305161169E-6</v>
      </c>
      <c r="AO25" s="16">
        <f t="shared" si="31"/>
        <v>27.448806500467668</v>
      </c>
      <c r="AP25" s="17">
        <f t="shared" si="32"/>
        <v>1.3790845344353304E-2</v>
      </c>
      <c r="AQ25" s="18">
        <f t="shared" si="33"/>
        <v>0.20094225225807269</v>
      </c>
      <c r="AR25" s="19">
        <f t="shared" si="94"/>
        <v>1000.7007058181948</v>
      </c>
      <c r="AS25" s="15">
        <f t="shared" si="34"/>
        <v>5.5014014116363908E-6</v>
      </c>
      <c r="AT25" s="16">
        <f t="shared" si="35"/>
        <v>27.397058116909239</v>
      </c>
      <c r="AU25" s="17">
        <f t="shared" si="36"/>
        <v>1.3768321805998606E-2</v>
      </c>
      <c r="AV25" s="18">
        <f t="shared" si="37"/>
        <v>0.20132179799975683</v>
      </c>
      <c r="AW25" s="19">
        <f t="shared" si="95"/>
        <v>995.60086799784403</v>
      </c>
      <c r="AX25" s="15">
        <f t="shared" si="38"/>
        <v>5.4912017359956882E-6</v>
      </c>
      <c r="AY25" s="16">
        <f t="shared" si="39"/>
        <v>27.338409981975204</v>
      </c>
      <c r="AZ25" s="17">
        <f t="shared" si="40"/>
        <v>1.3742795143602918E-2</v>
      </c>
      <c r="BA25" s="18">
        <f t="shared" si="41"/>
        <v>0.20175368661295845</v>
      </c>
      <c r="BB25" s="19">
        <f t="shared" si="96"/>
        <v>989.9010517979018</v>
      </c>
      <c r="BC25" s="15">
        <f t="shared" si="42"/>
        <v>5.4798021035958048E-6</v>
      </c>
      <c r="BD25" s="16">
        <f t="shared" si="43"/>
        <v>27.272862095675869</v>
      </c>
      <c r="BE25" s="17">
        <f t="shared" si="44"/>
        <v>1.3714265357170737E-2</v>
      </c>
      <c r="BF25" s="18">
        <f t="shared" si="45"/>
        <v>0.20223858356525426</v>
      </c>
      <c r="BG25" s="19">
        <f t="shared" si="97"/>
        <v>983.60125721893667</v>
      </c>
      <c r="BH25" s="15">
        <f t="shared" si="46"/>
        <v>5.4672025144378741E-6</v>
      </c>
      <c r="BI25" s="16">
        <f t="shared" si="47"/>
        <v>27.200414458017772</v>
      </c>
      <c r="BJ25" s="17">
        <f t="shared" si="48"/>
        <v>1.36827324467049E-2</v>
      </c>
      <c r="BK25" s="18">
        <f t="shared" si="49"/>
        <v>0.20277724107891962</v>
      </c>
      <c r="BL25" s="19">
        <f t="shared" si="98"/>
        <v>976.70148426132835</v>
      </c>
      <c r="BM25" s="15">
        <f t="shared" si="50"/>
        <v>5.4534029685226565E-6</v>
      </c>
      <c r="BN25" s="16">
        <f t="shared" si="51"/>
        <v>27.121067069005274</v>
      </c>
      <c r="BO25" s="17">
        <f t="shared" si="52"/>
        <v>1.364819641220731E-2</v>
      </c>
      <c r="BP25" s="18">
        <f t="shared" si="53"/>
        <v>0.20337050109298291</v>
      </c>
      <c r="BQ25" s="19">
        <f t="shared" si="99"/>
        <v>969.20173292533866</v>
      </c>
      <c r="BR25" s="15">
        <f t="shared" si="54"/>
        <v>5.4384034658506774E-6</v>
      </c>
      <c r="BS25" s="16">
        <f t="shared" si="55"/>
        <v>27.034819928641394</v>
      </c>
      <c r="BT25" s="17">
        <f t="shared" si="56"/>
        <v>1.3610657253679281E-2</v>
      </c>
      <c r="BU25" s="18">
        <f t="shared" si="57"/>
        <v>0.20401929861410331</v>
      </c>
      <c r="BV25" s="19">
        <f t="shared" si="100"/>
        <v>961.10200321115542</v>
      </c>
      <c r="BW25" s="15">
        <f t="shared" si="58"/>
        <v>5.422204006422311E-6</v>
      </c>
      <c r="BX25" s="16">
        <f t="shared" si="59"/>
        <v>26.941673036928286</v>
      </c>
      <c r="BY25" s="17">
        <f t="shared" si="60"/>
        <v>1.3570114971121748E-2</v>
      </c>
      <c r="BZ25" s="18">
        <f t="shared" si="61"/>
        <v>0.20472466548160795</v>
      </c>
      <c r="CA25" s="19">
        <f t="shared" si="101"/>
        <v>952.4022951166387</v>
      </c>
      <c r="CB25" s="15">
        <f t="shared" si="62"/>
        <v>5.4048045902332782E-6</v>
      </c>
      <c r="CC25" s="16">
        <f t="shared" si="63"/>
        <v>26.841626393841345</v>
      </c>
      <c r="CD25" s="17">
        <f t="shared" si="64"/>
        <v>1.3526569564524006E-2</v>
      </c>
      <c r="CE25" s="18">
        <f t="shared" si="65"/>
        <v>0.20548773457578293</v>
      </c>
      <c r="CF25" s="19">
        <f t="shared" si="102"/>
        <v>943.10260769708088</v>
      </c>
      <c r="CG25" s="15">
        <f t="shared" si="66"/>
        <v>5.3862052153941627E-6</v>
      </c>
      <c r="CH25" s="16">
        <f t="shared" si="67"/>
        <v>26.734679988516429</v>
      </c>
      <c r="CI25" s="17">
        <f t="shared" si="68"/>
        <v>1.3480021029157421E-2</v>
      </c>
      <c r="CJ25" s="18">
        <f t="shared" si="69"/>
        <v>0.2063097445852792</v>
      </c>
      <c r="CK25" s="19">
        <f t="shared" si="103"/>
        <v>933.2027769490461</v>
      </c>
      <c r="CL25" s="15">
        <f t="shared" si="70"/>
        <v>5.3664055538980931E-6</v>
      </c>
      <c r="CM25" s="16">
        <f t="shared" si="71"/>
        <v>26.62083193491403</v>
      </c>
      <c r="CN25" s="17">
        <f t="shared" si="72"/>
        <v>1.3430468544121315E-2</v>
      </c>
      <c r="CO25" s="18">
        <f t="shared" si="73"/>
        <v>0.2071920597179418</v>
      </c>
      <c r="CP25" s="19">
        <f t="shared" si="104"/>
        <v>922.6875728974394</v>
      </c>
      <c r="CQ25" s="15">
        <f t="shared" si="74"/>
        <v>5.3453751457948799E-6</v>
      </c>
      <c r="CR25" s="16">
        <f t="shared" si="75"/>
        <v>26.499907088320555</v>
      </c>
      <c r="CS25" s="17">
        <f t="shared" si="76"/>
        <v>1.3377835877494941E-2</v>
      </c>
      <c r="CT25" s="18">
        <f t="shared" si="77"/>
        <v>0.20813752220402806</v>
      </c>
      <c r="CU25" s="19">
        <f t="shared" si="105"/>
        <v>910.76078081557284</v>
      </c>
      <c r="CV25" s="15">
        <f t="shared" si="78"/>
        <v>5.3215215616311467E-6</v>
      </c>
      <c r="CW25" s="16">
        <f t="shared" si="79"/>
        <v>26.362748979379084</v>
      </c>
      <c r="CX25" s="17">
        <f t="shared" si="80"/>
        <v>1.3318137666363123E-2</v>
      </c>
      <c r="CY25" s="18">
        <f t="shared" si="81"/>
        <v>0.20922040430284097</v>
      </c>
      <c r="CZ25" s="20">
        <f t="shared" si="106"/>
        <v>875.35676664853622</v>
      </c>
      <c r="DA25" s="15">
        <f t="shared" si="82"/>
        <v>5.2507135332970733E-6</v>
      </c>
      <c r="DB25" s="16">
        <f t="shared" si="83"/>
        <v>25.955602816458168</v>
      </c>
      <c r="DC25" s="17">
        <f t="shared" si="84"/>
        <v>1.3140926870857508E-2</v>
      </c>
      <c r="DD25" s="18">
        <f t="shared" si="85"/>
        <v>0.21250228858112291</v>
      </c>
    </row>
    <row r="26" spans="2:108" x14ac:dyDescent="0.25">
      <c r="B26">
        <v>7</v>
      </c>
      <c r="C26">
        <f t="shared" si="86"/>
        <v>6.8433026644167602E-3</v>
      </c>
      <c r="D26" s="19">
        <f t="shared" si="3"/>
        <v>1019.8914970913395</v>
      </c>
      <c r="E26" s="15">
        <f t="shared" si="4"/>
        <v>5.5397829941826794E-6</v>
      </c>
      <c r="F26" s="16">
        <f t="shared" si="5"/>
        <v>27.617752216550404</v>
      </c>
      <c r="G26" s="17">
        <f t="shared" si="1"/>
        <v>1.3864379144916476E-2</v>
      </c>
      <c r="H26" s="18">
        <f t="shared" si="6"/>
        <v>0.19971303083437286</v>
      </c>
      <c r="I26" s="19">
        <f t="shared" si="87"/>
        <v>1019.5837067096762</v>
      </c>
      <c r="J26" s="15">
        <f t="shared" si="7"/>
        <v>5.539167413419353E-6</v>
      </c>
      <c r="K26" s="16">
        <f t="shared" si="8"/>
        <v>27.614212627161276</v>
      </c>
      <c r="L26" s="17">
        <f t="shared" si="9"/>
        <v>1.3862838534913153E-2</v>
      </c>
      <c r="M26" s="18">
        <f t="shared" si="10"/>
        <v>0.19973863004787773</v>
      </c>
      <c r="N26" s="19">
        <f t="shared" si="88"/>
        <v>1018.6835522187081</v>
      </c>
      <c r="O26" s="15">
        <f t="shared" si="11"/>
        <v>5.5373671044374169E-6</v>
      </c>
      <c r="P26" s="16">
        <f t="shared" si="12"/>
        <v>27.60386085051514</v>
      </c>
      <c r="Q26" s="17">
        <f t="shared" si="2"/>
        <v>1.3864379144916476E-2</v>
      </c>
      <c r="R26" s="18">
        <f t="shared" si="13"/>
        <v>0.19981353441350463</v>
      </c>
      <c r="S26" s="19">
        <f t="shared" si="89"/>
        <v>1017.1835429607698</v>
      </c>
      <c r="T26" s="15">
        <f t="shared" si="14"/>
        <v>5.5343670859215403E-6</v>
      </c>
      <c r="U26" s="16">
        <f t="shared" si="15"/>
        <v>27.586610744048855</v>
      </c>
      <c r="V26" s="17">
        <f t="shared" si="16"/>
        <v>1.385082478626644E-2</v>
      </c>
      <c r="W26" s="18">
        <f t="shared" si="17"/>
        <v>0.199938479256277</v>
      </c>
      <c r="X26" s="19">
        <f t="shared" si="90"/>
        <v>1015.0836511293277</v>
      </c>
      <c r="Y26" s="15">
        <f t="shared" si="18"/>
        <v>5.5301673022586561E-6</v>
      </c>
      <c r="Z26" s="16">
        <f t="shared" si="19"/>
        <v>27.56246198798727</v>
      </c>
      <c r="AA26" s="17">
        <f t="shared" si="20"/>
        <v>1.3840314014799399E-2</v>
      </c>
      <c r="AB26" s="18">
        <f t="shared" si="21"/>
        <v>0.2001136546656794</v>
      </c>
      <c r="AC26" s="19">
        <f t="shared" si="91"/>
        <v>1012.3837411158606</v>
      </c>
      <c r="AD26" s="15">
        <f t="shared" si="22"/>
        <v>5.5247674822317215E-6</v>
      </c>
      <c r="AE26" s="16">
        <f t="shared" si="23"/>
        <v>27.531413022832396</v>
      </c>
      <c r="AF26" s="17">
        <f t="shared" si="24"/>
        <v>1.3826799920069271E-2</v>
      </c>
      <c r="AG26" s="18">
        <f t="shared" si="25"/>
        <v>0.20033933584977179</v>
      </c>
      <c r="AH26" s="19">
        <f t="shared" si="92"/>
        <v>1009.0838547036532</v>
      </c>
      <c r="AI26" s="15">
        <f t="shared" si="26"/>
        <v>5.5181677094073064E-6</v>
      </c>
      <c r="AJ26" s="16">
        <f t="shared" si="27"/>
        <v>27.49346432909201</v>
      </c>
      <c r="AK26" s="17">
        <f t="shared" si="28"/>
        <v>1.3810282711217573E-2</v>
      </c>
      <c r="AL26" s="18">
        <f t="shared" si="29"/>
        <v>0.20061586033607562</v>
      </c>
      <c r="AM26" s="19">
        <f t="shared" si="93"/>
        <v>1005.183993473339</v>
      </c>
      <c r="AN26" s="15">
        <f t="shared" si="30"/>
        <v>5.5103679869466782E-6</v>
      </c>
      <c r="AO26" s="16">
        <f t="shared" si="31"/>
        <v>27.448615924943397</v>
      </c>
      <c r="AP26" s="17">
        <f t="shared" si="32"/>
        <v>1.3790762396155985E-2</v>
      </c>
      <c r="AQ26" s="18">
        <f t="shared" si="33"/>
        <v>0.20094364739854817</v>
      </c>
      <c r="AR26" s="19">
        <f t="shared" si="94"/>
        <v>1000.6841574624073</v>
      </c>
      <c r="AS26" s="15">
        <f t="shared" si="34"/>
        <v>5.5013683149248147E-6</v>
      </c>
      <c r="AT26" s="16">
        <f t="shared" si="35"/>
        <v>27.396867810817682</v>
      </c>
      <c r="AU26" s="17">
        <f t="shared" si="36"/>
        <v>1.3768238975072155E-2</v>
      </c>
      <c r="AV26" s="18">
        <f t="shared" si="37"/>
        <v>0.20132319643569438</v>
      </c>
      <c r="AW26" s="19">
        <f t="shared" si="95"/>
        <v>995.58434667338952</v>
      </c>
      <c r="AX26" s="15">
        <f t="shared" si="38"/>
        <v>5.4911686933467794E-6</v>
      </c>
      <c r="AY26" s="16">
        <f t="shared" si="39"/>
        <v>27.338219986743979</v>
      </c>
      <c r="AZ26" s="17">
        <f t="shared" si="40"/>
        <v>1.3742712447978757E-2</v>
      </c>
      <c r="BA26" s="18">
        <f t="shared" si="41"/>
        <v>0.20175508876124595</v>
      </c>
      <c r="BB26" s="19">
        <f t="shared" si="96"/>
        <v>989.88456110754282</v>
      </c>
      <c r="BC26" s="15">
        <f t="shared" si="42"/>
        <v>5.4797691222150863E-6</v>
      </c>
      <c r="BD26" s="16">
        <f t="shared" si="43"/>
        <v>27.272672452736742</v>
      </c>
      <c r="BE26" s="17">
        <f t="shared" si="44"/>
        <v>1.3714182814882082E-2</v>
      </c>
      <c r="BF26" s="18">
        <f t="shared" si="45"/>
        <v>0.20223998984912536</v>
      </c>
      <c r="BG26" s="19">
        <f t="shared" si="97"/>
        <v>983.58480076566366</v>
      </c>
      <c r="BH26" s="15">
        <f t="shared" si="46"/>
        <v>5.4671696015313278E-6</v>
      </c>
      <c r="BI26" s="16">
        <f t="shared" si="47"/>
        <v>27.200225208805129</v>
      </c>
      <c r="BJ26" s="17">
        <f t="shared" si="48"/>
        <v>1.3682650075786113E-2</v>
      </c>
      <c r="BK26" s="18">
        <f t="shared" si="49"/>
        <v>0.20277865192875344</v>
      </c>
      <c r="BL26" s="19">
        <f t="shared" si="98"/>
        <v>976.68506564828363</v>
      </c>
      <c r="BM26" s="15">
        <f t="shared" si="50"/>
        <v>5.4533701312965678E-6</v>
      </c>
      <c r="BN26" s="16">
        <f t="shared" si="51"/>
        <v>27.120878254955262</v>
      </c>
      <c r="BO26" s="17">
        <f t="shared" si="52"/>
        <v>1.3648114230693514E-2</v>
      </c>
      <c r="BP26" s="18">
        <f t="shared" si="53"/>
        <v>0.20337191694713053</v>
      </c>
      <c r="BQ26" s="19">
        <f t="shared" si="99"/>
        <v>969.18535575576971</v>
      </c>
      <c r="BR26" s="15">
        <f t="shared" si="54"/>
        <v>5.4383707115115398E-6</v>
      </c>
      <c r="BS26" s="16">
        <f t="shared" si="55"/>
        <v>27.034631591191349</v>
      </c>
      <c r="BT26" s="17">
        <f t="shared" si="56"/>
        <v>1.3610575279606121E-2</v>
      </c>
      <c r="BU26" s="18">
        <f t="shared" si="57"/>
        <v>0.20402071991974721</v>
      </c>
      <c r="BV26" s="19">
        <f t="shared" si="100"/>
        <v>961.08567108835268</v>
      </c>
      <c r="BW26" s="15">
        <f t="shared" si="58"/>
        <v>5.4221713421767054E-6</v>
      </c>
      <c r="BX26" s="16">
        <f t="shared" si="59"/>
        <v>26.941485217516053</v>
      </c>
      <c r="BY26" s="17">
        <f t="shared" si="60"/>
        <v>1.3570033222525093E-2</v>
      </c>
      <c r="BZ26" s="18">
        <f t="shared" si="61"/>
        <v>0.20472609269566203</v>
      </c>
      <c r="CA26" s="19">
        <f t="shared" si="101"/>
        <v>952.38601163076135</v>
      </c>
      <c r="CB26" s="15">
        <f t="shared" si="62"/>
        <v>5.4047720232615233E-6</v>
      </c>
      <c r="CC26" s="16">
        <f t="shared" si="63"/>
        <v>26.841439133753752</v>
      </c>
      <c r="CD26" s="17">
        <f t="shared" si="64"/>
        <v>1.3526488059373986E-2</v>
      </c>
      <c r="CE26" s="18">
        <f t="shared" si="65"/>
        <v>0.20548916816699181</v>
      </c>
      <c r="CF26" s="19">
        <f t="shared" si="102"/>
        <v>943.08637417635055</v>
      </c>
      <c r="CG26" s="15">
        <f t="shared" si="66"/>
        <v>5.3861727483527012E-6</v>
      </c>
      <c r="CH26" s="16">
        <f t="shared" si="67"/>
        <v>26.734493303028032</v>
      </c>
      <c r="CI26" s="17">
        <f t="shared" si="68"/>
        <v>1.3479939774102301E-2</v>
      </c>
      <c r="CJ26" s="18">
        <f t="shared" si="69"/>
        <v>0.20631118523481734</v>
      </c>
      <c r="CK26" s="19">
        <f t="shared" si="103"/>
        <v>933.18638782928167</v>
      </c>
      <c r="CL26" s="15">
        <f t="shared" si="70"/>
        <v>5.3663727756585639E-6</v>
      </c>
      <c r="CM26" s="16">
        <f t="shared" si="71"/>
        <v>26.620643460036739</v>
      </c>
      <c r="CN26" s="17">
        <f t="shared" si="72"/>
        <v>1.3430386510232799E-2</v>
      </c>
      <c r="CO26" s="18">
        <f t="shared" si="73"/>
        <v>0.20719352664334087</v>
      </c>
      <c r="CP26" s="19">
        <f t="shared" si="104"/>
        <v>922.66024237231829</v>
      </c>
      <c r="CQ26" s="15">
        <f t="shared" si="74"/>
        <v>5.3453204847446365E-6</v>
      </c>
      <c r="CR26" s="16">
        <f t="shared" si="75"/>
        <v>26.49959278728166</v>
      </c>
      <c r="CS26" s="17">
        <f t="shared" si="76"/>
        <v>1.3377699077637289E-2</v>
      </c>
      <c r="CT26" s="18">
        <f t="shared" si="77"/>
        <v>0.20813999083967794</v>
      </c>
      <c r="CU26" s="19">
        <f t="shared" si="105"/>
        <v>910.43004704325699</v>
      </c>
      <c r="CV26" s="15">
        <f t="shared" si="78"/>
        <v>5.3208600940865147E-6</v>
      </c>
      <c r="CW26" s="16">
        <f t="shared" si="79"/>
        <v>26.358945540997453</v>
      </c>
      <c r="CX26" s="17">
        <f t="shared" si="80"/>
        <v>1.3316482215808386E-2</v>
      </c>
      <c r="CY26" s="18">
        <f t="shared" si="81"/>
        <v>0.20925059355736589</v>
      </c>
      <c r="CZ26" s="20">
        <f t="shared" si="106"/>
        <v>871.67914836086845</v>
      </c>
      <c r="DA26" s="15">
        <f t="shared" si="82"/>
        <v>5.2433582967217373E-6</v>
      </c>
      <c r="DB26" s="16">
        <f t="shared" si="83"/>
        <v>25.913310206149987</v>
      </c>
      <c r="DC26" s="17">
        <f t="shared" si="84"/>
        <v>1.312251896775226E-2</v>
      </c>
      <c r="DD26" s="18">
        <f t="shared" si="85"/>
        <v>0.21284910943917079</v>
      </c>
    </row>
    <row r="27" spans="2:108" x14ac:dyDescent="0.25">
      <c r="B27">
        <v>8</v>
      </c>
      <c r="C27">
        <f t="shared" si="86"/>
        <v>7.8209173307620117E-3</v>
      </c>
      <c r="D27" s="19">
        <f t="shared" si="3"/>
        <v>1019.8757828693056</v>
      </c>
      <c r="E27" s="15">
        <f t="shared" si="4"/>
        <v>5.5397515657386113E-6</v>
      </c>
      <c r="F27" s="16">
        <f t="shared" si="5"/>
        <v>27.617571502997013</v>
      </c>
      <c r="G27" s="17">
        <f t="shared" si="1"/>
        <v>1.386430048915235E-2</v>
      </c>
      <c r="H27" s="18">
        <f t="shared" si="6"/>
        <v>0.19971433764194124</v>
      </c>
      <c r="I27" s="19">
        <f t="shared" si="87"/>
        <v>1019.5671203403216</v>
      </c>
      <c r="J27" s="15">
        <f t="shared" si="7"/>
        <v>5.5391342406806432E-6</v>
      </c>
      <c r="K27" s="16">
        <f t="shared" si="8"/>
        <v>27.614021883913697</v>
      </c>
      <c r="L27" s="17">
        <f t="shared" si="9"/>
        <v>1.3862755513714086E-2</v>
      </c>
      <c r="M27" s="18">
        <f t="shared" si="10"/>
        <v>0.19974000973806275</v>
      </c>
      <c r="N27" s="19">
        <f t="shared" si="88"/>
        <v>1018.6669183579188</v>
      </c>
      <c r="O27" s="15">
        <f t="shared" si="11"/>
        <v>5.5373338367158384E-6</v>
      </c>
      <c r="P27" s="16">
        <f t="shared" si="12"/>
        <v>27.603669561116064</v>
      </c>
      <c r="Q27" s="17">
        <f t="shared" si="2"/>
        <v>1.386430048915235E-2</v>
      </c>
      <c r="R27" s="18">
        <f t="shared" si="13"/>
        <v>0.19981491909211921</v>
      </c>
      <c r="S27" s="19">
        <f t="shared" si="89"/>
        <v>1017.1669076567736</v>
      </c>
      <c r="T27" s="15">
        <f t="shared" si="14"/>
        <v>5.5343338153135479E-6</v>
      </c>
      <c r="U27" s="16">
        <f t="shared" si="15"/>
        <v>27.586419438052893</v>
      </c>
      <c r="V27" s="17">
        <f t="shared" si="16"/>
        <v>1.3850741520130551E-2</v>
      </c>
      <c r="W27" s="18">
        <f t="shared" si="17"/>
        <v>0.19993986578742834</v>
      </c>
      <c r="X27" s="19">
        <f t="shared" si="90"/>
        <v>1015.0670303307434</v>
      </c>
      <c r="Y27" s="15">
        <f t="shared" si="18"/>
        <v>5.5301340606614871E-6</v>
      </c>
      <c r="Z27" s="16">
        <f t="shared" si="19"/>
        <v>27.56227084880355</v>
      </c>
      <c r="AA27" s="17">
        <f t="shared" si="20"/>
        <v>1.384023082126871E-2</v>
      </c>
      <c r="AB27" s="18">
        <f t="shared" si="21"/>
        <v>0.20011504241637723</v>
      </c>
      <c r="AC27" s="19">
        <f t="shared" si="91"/>
        <v>1012.3671334472735</v>
      </c>
      <c r="AD27" s="15">
        <f t="shared" si="22"/>
        <v>5.5247342668945475E-6</v>
      </c>
      <c r="AE27" s="16">
        <f t="shared" si="23"/>
        <v>27.531222034643644</v>
      </c>
      <c r="AF27" s="17">
        <f t="shared" si="24"/>
        <v>1.3826716792259303E-2</v>
      </c>
      <c r="AG27" s="18">
        <f t="shared" si="25"/>
        <v>0.20034072563359037</v>
      </c>
      <c r="AH27" s="19">
        <f t="shared" si="92"/>
        <v>1009.0672632824583</v>
      </c>
      <c r="AI27" s="15">
        <f t="shared" si="26"/>
        <v>5.5181345265649166E-6</v>
      </c>
      <c r="AJ27" s="16">
        <f t="shared" si="27"/>
        <v>27.493273527748268</v>
      </c>
      <c r="AK27" s="17">
        <f t="shared" si="28"/>
        <v>1.3810199664732091E-2</v>
      </c>
      <c r="AL27" s="18">
        <f t="shared" si="29"/>
        <v>0.20061725259573832</v>
      </c>
      <c r="AM27" s="19">
        <f t="shared" si="93"/>
        <v>1005.1674218806802</v>
      </c>
      <c r="AN27" s="15">
        <f t="shared" si="30"/>
        <v>5.5103348437613605E-6</v>
      </c>
      <c r="AO27" s="16">
        <f t="shared" si="31"/>
        <v>27.448425351627822</v>
      </c>
      <c r="AP27" s="17">
        <f t="shared" si="32"/>
        <v>1.3790679448920002E-2</v>
      </c>
      <c r="AQ27" s="18">
        <f t="shared" si="33"/>
        <v>0.2009450425422272</v>
      </c>
      <c r="AR27" s="19">
        <f t="shared" si="94"/>
        <v>1000.6676092993251</v>
      </c>
      <c r="AS27" s="15">
        <f t="shared" si="34"/>
        <v>5.5013352185986505E-6</v>
      </c>
      <c r="AT27" s="16">
        <f t="shared" si="35"/>
        <v>27.39667750694224</v>
      </c>
      <c r="AU27" s="17">
        <f t="shared" si="36"/>
        <v>1.3768156145110275E-2</v>
      </c>
      <c r="AV27" s="18">
        <f t="shared" si="37"/>
        <v>0.20132459487477475</v>
      </c>
      <c r="AW27" s="19">
        <f t="shared" si="95"/>
        <v>995.56782554203915</v>
      </c>
      <c r="AX27" s="15">
        <f t="shared" si="38"/>
        <v>5.4911356510840787E-6</v>
      </c>
      <c r="AY27" s="16">
        <f t="shared" si="39"/>
        <v>27.33802999373345</v>
      </c>
      <c r="AZ27" s="17">
        <f t="shared" si="40"/>
        <v>1.3742629753321156E-2</v>
      </c>
      <c r="BA27" s="18">
        <f t="shared" si="41"/>
        <v>0.20175649091263406</v>
      </c>
      <c r="BB27" s="19">
        <f t="shared" si="96"/>
        <v>989.86807061050354</v>
      </c>
      <c r="BC27" s="15">
        <f t="shared" si="42"/>
        <v>5.4797361412210078E-6</v>
      </c>
      <c r="BD27" s="16">
        <f t="shared" si="43"/>
        <v>27.27248281202079</v>
      </c>
      <c r="BE27" s="17">
        <f t="shared" si="44"/>
        <v>1.3714100273561066E-2</v>
      </c>
      <c r="BF27" s="18">
        <f t="shared" si="45"/>
        <v>0.20224139613606792</v>
      </c>
      <c r="BG27" s="19">
        <f t="shared" si="97"/>
        <v>983.5683445057814</v>
      </c>
      <c r="BH27" s="15">
        <f t="shared" si="46"/>
        <v>5.467136689011563E-6</v>
      </c>
      <c r="BI27" s="16">
        <f t="shared" si="47"/>
        <v>27.200035961816486</v>
      </c>
      <c r="BJ27" s="17">
        <f t="shared" si="48"/>
        <v>1.3682567705835319E-2</v>
      </c>
      <c r="BK27" s="18">
        <f t="shared" si="49"/>
        <v>0.20278006278163954</v>
      </c>
      <c r="BL27" s="19">
        <f t="shared" si="98"/>
        <v>976.66864722858134</v>
      </c>
      <c r="BM27" s="15">
        <f t="shared" si="50"/>
        <v>5.4533372944571631E-6</v>
      </c>
      <c r="BN27" s="16">
        <f t="shared" si="51"/>
        <v>27.120689443128683</v>
      </c>
      <c r="BO27" s="17">
        <f t="shared" si="52"/>
        <v>1.364803205014747E-2</v>
      </c>
      <c r="BP27" s="18">
        <f t="shared" si="53"/>
        <v>0.20337333280431935</v>
      </c>
      <c r="BQ27" s="19">
        <f t="shared" si="99"/>
        <v>969.16897877939266</v>
      </c>
      <c r="BR27" s="15">
        <f t="shared" si="54"/>
        <v>5.4383379575587855E-6</v>
      </c>
      <c r="BS27" s="16">
        <f t="shared" si="55"/>
        <v>27.034443255963012</v>
      </c>
      <c r="BT27" s="17">
        <f t="shared" si="56"/>
        <v>1.3610493306499962E-2</v>
      </c>
      <c r="BU27" s="18">
        <f t="shared" si="57"/>
        <v>0.20402214122842768</v>
      </c>
      <c r="BV27" s="19">
        <f t="shared" si="100"/>
        <v>961.06933915831667</v>
      </c>
      <c r="BW27" s="15">
        <f t="shared" si="58"/>
        <v>5.4221386783166337E-6</v>
      </c>
      <c r="BX27" s="16">
        <f t="shared" si="59"/>
        <v>26.941297400320643</v>
      </c>
      <c r="BY27" s="17">
        <f t="shared" si="60"/>
        <v>1.3569951474893309E-2</v>
      </c>
      <c r="BZ27" s="18">
        <f t="shared" si="61"/>
        <v>0.20472751991276988</v>
      </c>
      <c r="CA27" s="19">
        <f t="shared" si="101"/>
        <v>952.36972830560262</v>
      </c>
      <c r="CB27" s="15">
        <f t="shared" si="62"/>
        <v>5.4047394566112055E-6</v>
      </c>
      <c r="CC27" s="16">
        <f t="shared" si="63"/>
        <v>26.84125187551443</v>
      </c>
      <c r="CD27" s="17">
        <f t="shared" si="64"/>
        <v>1.3526406555028427E-2</v>
      </c>
      <c r="CE27" s="18">
        <f t="shared" si="65"/>
        <v>0.20549060176405387</v>
      </c>
      <c r="CF27" s="19">
        <f t="shared" si="102"/>
        <v>943.07013792823977</v>
      </c>
      <c r="CG27" s="15">
        <f t="shared" si="66"/>
        <v>5.3861402758564796E-6</v>
      </c>
      <c r="CH27" s="16">
        <f t="shared" si="67"/>
        <v>26.734306586174757</v>
      </c>
      <c r="CI27" s="17">
        <f t="shared" si="68"/>
        <v>1.3479858505395591E-2</v>
      </c>
      <c r="CJ27" s="18">
        <f t="shared" si="69"/>
        <v>0.20631262614652299</v>
      </c>
      <c r="CK27" s="19">
        <f t="shared" si="103"/>
        <v>933.16984901759224</v>
      </c>
      <c r="CL27" s="15">
        <f t="shared" si="70"/>
        <v>5.3663396980351853E-6</v>
      </c>
      <c r="CM27" s="16">
        <f t="shared" si="71"/>
        <v>26.620453263702309</v>
      </c>
      <c r="CN27" s="17">
        <f t="shared" si="72"/>
        <v>1.343030372707826E-2</v>
      </c>
      <c r="CO27" s="18">
        <f t="shared" si="73"/>
        <v>0.20719500698813045</v>
      </c>
      <c r="CP27" s="19">
        <f t="shared" si="104"/>
        <v>922.62886689362347</v>
      </c>
      <c r="CQ27" s="15">
        <f t="shared" si="74"/>
        <v>5.345257733787247E-6</v>
      </c>
      <c r="CR27" s="16">
        <f t="shared" si="75"/>
        <v>26.499231969276671</v>
      </c>
      <c r="CS27" s="17">
        <f t="shared" si="76"/>
        <v>1.3377542031221233E-2</v>
      </c>
      <c r="CT27" s="18">
        <f t="shared" si="77"/>
        <v>0.20814282490884417</v>
      </c>
      <c r="CU27" s="19">
        <f t="shared" si="105"/>
        <v>910.0573178055572</v>
      </c>
      <c r="CV27" s="15">
        <f t="shared" si="78"/>
        <v>5.3201146356111147E-6</v>
      </c>
      <c r="CW27" s="16">
        <f t="shared" si="79"/>
        <v>26.354659154763908</v>
      </c>
      <c r="CX27" s="17">
        <f t="shared" si="80"/>
        <v>1.3314616561693308E-2</v>
      </c>
      <c r="CY27" s="18">
        <f t="shared" si="81"/>
        <v>0.20928462658576966</v>
      </c>
      <c r="CZ27" s="20">
        <f t="shared" si="106"/>
        <v>868.1104021923561</v>
      </c>
      <c r="DA27" s="15">
        <f t="shared" si="82"/>
        <v>5.2362208043847126E-6</v>
      </c>
      <c r="DB27" s="16">
        <f t="shared" si="83"/>
        <v>25.872269625212095</v>
      </c>
      <c r="DC27" s="17">
        <f t="shared" si="84"/>
        <v>1.310465601174688E-2</v>
      </c>
      <c r="DD27" s="18">
        <f t="shared" si="85"/>
        <v>0.21318674704228946</v>
      </c>
    </row>
    <row r="28" spans="2:108" x14ac:dyDescent="0.25">
      <c r="B28">
        <v>9</v>
      </c>
      <c r="C28">
        <f t="shared" si="86"/>
        <v>8.7985319971072631E-3</v>
      </c>
      <c r="D28" s="19">
        <f t="shared" si="3"/>
        <v>1019.8600241198353</v>
      </c>
      <c r="E28" s="15">
        <f t="shared" si="4"/>
        <v>5.5397200482396717E-6</v>
      </c>
      <c r="F28" s="16">
        <f t="shared" si="5"/>
        <v>27.617390277378107</v>
      </c>
      <c r="G28" s="17">
        <f t="shared" si="1"/>
        <v>1.3864221610511172E-2</v>
      </c>
      <c r="H28" s="18">
        <f t="shared" si="6"/>
        <v>0.19971564816962253</v>
      </c>
      <c r="I28" s="19">
        <f t="shared" si="87"/>
        <v>1019.5505391235066</v>
      </c>
      <c r="J28" s="15">
        <f t="shared" si="7"/>
        <v>5.5391010782470134E-6</v>
      </c>
      <c r="K28" s="16">
        <f t="shared" si="8"/>
        <v>27.613831199920327</v>
      </c>
      <c r="L28" s="17">
        <f t="shared" si="9"/>
        <v>1.3862672518305476E-2</v>
      </c>
      <c r="M28" s="18">
        <f t="shared" si="10"/>
        <v>0.19974138901869995</v>
      </c>
      <c r="N28" s="19">
        <f t="shared" si="88"/>
        <v>1018.6502850654757</v>
      </c>
      <c r="O28" s="15">
        <f t="shared" si="11"/>
        <v>5.5373005701309518E-6</v>
      </c>
      <c r="P28" s="16">
        <f t="shared" si="12"/>
        <v>27.603478278252972</v>
      </c>
      <c r="Q28" s="17">
        <f t="shared" si="2"/>
        <v>1.3864221610511172E-2</v>
      </c>
      <c r="R28" s="18">
        <f t="shared" si="13"/>
        <v>0.19981630374261242</v>
      </c>
      <c r="S28" s="19">
        <f t="shared" si="89"/>
        <v>1017.1502726987192</v>
      </c>
      <c r="T28" s="15">
        <f t="shared" si="14"/>
        <v>5.5343005453974383E-6</v>
      </c>
      <c r="U28" s="16">
        <f t="shared" si="15"/>
        <v>27.58622813603527</v>
      </c>
      <c r="V28" s="17">
        <f t="shared" si="16"/>
        <v>1.3850658255726234E-2</v>
      </c>
      <c r="W28" s="18">
        <f t="shared" si="17"/>
        <v>0.19994125230897597</v>
      </c>
      <c r="X28" s="19">
        <f t="shared" si="90"/>
        <v>1015.0504096608714</v>
      </c>
      <c r="Y28" s="15">
        <f t="shared" si="18"/>
        <v>5.5301008193217432E-6</v>
      </c>
      <c r="Z28" s="16">
        <f t="shared" si="19"/>
        <v>27.562079711100019</v>
      </c>
      <c r="AA28" s="17">
        <f t="shared" si="20"/>
        <v>1.3840147628382277E-2</v>
      </c>
      <c r="AB28" s="18">
        <f t="shared" si="21"/>
        <v>0.20011643017557576</v>
      </c>
      <c r="AC28" s="19">
        <f t="shared" si="91"/>
        <v>1012.3505259623182</v>
      </c>
      <c r="AD28" s="15">
        <f t="shared" si="22"/>
        <v>5.5247010519246367E-6</v>
      </c>
      <c r="AE28" s="16">
        <f t="shared" si="23"/>
        <v>27.531031048566661</v>
      </c>
      <c r="AF28" s="17">
        <f t="shared" si="24"/>
        <v>1.3826633665368482E-2</v>
      </c>
      <c r="AG28" s="18">
        <f t="shared" si="25"/>
        <v>0.20034211542132413</v>
      </c>
      <c r="AH28" s="19">
        <f t="shared" si="92"/>
        <v>1009.0506720520943</v>
      </c>
      <c r="AI28" s="15">
        <f t="shared" si="26"/>
        <v>5.5181013441041888E-6</v>
      </c>
      <c r="AJ28" s="16">
        <f t="shared" si="27"/>
        <v>27.493082728599084</v>
      </c>
      <c r="AK28" s="17">
        <f t="shared" si="28"/>
        <v>1.3810116619201791E-2</v>
      </c>
      <c r="AL28" s="18">
        <f t="shared" si="29"/>
        <v>0.2006186448587117</v>
      </c>
      <c r="AM28" s="19">
        <f t="shared" si="93"/>
        <v>1005.1508504800744</v>
      </c>
      <c r="AN28" s="15">
        <f t="shared" si="30"/>
        <v>5.5103017009601493E-6</v>
      </c>
      <c r="AO28" s="16">
        <f t="shared" si="31"/>
        <v>27.448234780520856</v>
      </c>
      <c r="AP28" s="17">
        <f t="shared" si="32"/>
        <v>1.379059650264532E-2</v>
      </c>
      <c r="AQ28" s="18">
        <f t="shared" si="33"/>
        <v>0.20094643768911014</v>
      </c>
      <c r="AR28" s="19">
        <f t="shared" si="94"/>
        <v>1000.6510613289438</v>
      </c>
      <c r="AS28" s="15">
        <f t="shared" si="34"/>
        <v>5.501302122657888E-6</v>
      </c>
      <c r="AT28" s="16">
        <f t="shared" si="35"/>
        <v>27.396487205282853</v>
      </c>
      <c r="AU28" s="17">
        <f t="shared" si="36"/>
        <v>1.3768073316112933E-2</v>
      </c>
      <c r="AV28" s="18">
        <f t="shared" si="37"/>
        <v>0.20132599331699813</v>
      </c>
      <c r="AW28" s="19">
        <f t="shared" si="95"/>
        <v>995.55130460378848</v>
      </c>
      <c r="AX28" s="15">
        <f t="shared" si="38"/>
        <v>5.4911026092075776E-6</v>
      </c>
      <c r="AY28" s="16">
        <f t="shared" si="39"/>
        <v>27.337840002943565</v>
      </c>
      <c r="AZ28" s="17">
        <f t="shared" si="40"/>
        <v>1.3742547059630093E-2</v>
      </c>
      <c r="BA28" s="18">
        <f t="shared" si="41"/>
        <v>0.2017578930671228</v>
      </c>
      <c r="BB28" s="19">
        <f t="shared" si="96"/>
        <v>989.85158030677997</v>
      </c>
      <c r="BC28" s="15">
        <f t="shared" si="42"/>
        <v>5.47970316061356E-6</v>
      </c>
      <c r="BD28" s="16">
        <f t="shared" si="43"/>
        <v>27.27229317352797</v>
      </c>
      <c r="BE28" s="17">
        <f t="shared" si="44"/>
        <v>1.3714017733207667E-2</v>
      </c>
      <c r="BF28" s="18">
        <f t="shared" si="45"/>
        <v>0.20224280242608192</v>
      </c>
      <c r="BG28" s="19">
        <f t="shared" si="97"/>
        <v>983.5518884392859</v>
      </c>
      <c r="BH28" s="15">
        <f t="shared" si="46"/>
        <v>5.4671037768785721E-6</v>
      </c>
      <c r="BI28" s="16">
        <f t="shared" si="47"/>
        <v>27.199846717051788</v>
      </c>
      <c r="BJ28" s="17">
        <f t="shared" si="48"/>
        <v>1.3682485336852504E-2</v>
      </c>
      <c r="BK28" s="18">
        <f t="shared" si="49"/>
        <v>0.20278147363757801</v>
      </c>
      <c r="BL28" s="19">
        <f t="shared" si="98"/>
        <v>976.65222900221761</v>
      </c>
      <c r="BM28" s="15">
        <f t="shared" si="50"/>
        <v>5.4533044580044357E-6</v>
      </c>
      <c r="BN28" s="16">
        <f t="shared" si="51"/>
        <v>27.120500633525502</v>
      </c>
      <c r="BO28" s="17">
        <f t="shared" si="52"/>
        <v>1.3647949870569161E-2</v>
      </c>
      <c r="BP28" s="18">
        <f t="shared" si="53"/>
        <v>0.20337474866454933</v>
      </c>
      <c r="BQ28" s="19">
        <f t="shared" si="99"/>
        <v>969.15260199620116</v>
      </c>
      <c r="BR28" s="15">
        <f t="shared" si="54"/>
        <v>5.438305203992402E-6</v>
      </c>
      <c r="BS28" s="16">
        <f t="shared" si="55"/>
        <v>27.034254922956315</v>
      </c>
      <c r="BT28" s="17">
        <f t="shared" si="56"/>
        <v>1.3610411334360773E-2</v>
      </c>
      <c r="BU28" s="18">
        <f t="shared" si="57"/>
        <v>0.20402356254014498</v>
      </c>
      <c r="BV28" s="19">
        <f t="shared" si="100"/>
        <v>961.05300742059899</v>
      </c>
      <c r="BW28" s="15">
        <f t="shared" si="58"/>
        <v>5.4221060148411987E-6</v>
      </c>
      <c r="BX28" s="16">
        <f t="shared" si="59"/>
        <v>26.941109585336889</v>
      </c>
      <c r="BY28" s="17">
        <f t="shared" si="60"/>
        <v>1.3569869728224151E-2</v>
      </c>
      <c r="BZ28" s="18">
        <f t="shared" si="61"/>
        <v>0.20472894713297046</v>
      </c>
      <c r="CA28" s="19">
        <f t="shared" si="101"/>
        <v>952.35344510108337</v>
      </c>
      <c r="CB28" s="15">
        <f t="shared" si="62"/>
        <v>5.4047068902021668E-6</v>
      </c>
      <c r="CC28" s="16">
        <f t="shared" si="63"/>
        <v>26.841064618662458</v>
      </c>
      <c r="CD28" s="17">
        <f t="shared" si="64"/>
        <v>1.3526325051286715E-2</v>
      </c>
      <c r="CE28" s="18">
        <f t="shared" si="65"/>
        <v>0.20549203537049771</v>
      </c>
      <c r="CF28" s="19">
        <f t="shared" si="102"/>
        <v>943.05389694061466</v>
      </c>
      <c r="CG28" s="15">
        <f t="shared" si="66"/>
        <v>5.38610779388123E-6</v>
      </c>
      <c r="CH28" s="16">
        <f t="shared" si="67"/>
        <v>26.73411981481707</v>
      </c>
      <c r="CI28" s="17">
        <f t="shared" si="68"/>
        <v>1.3479777212965777E-2</v>
      </c>
      <c r="CJ28" s="18">
        <f t="shared" si="69"/>
        <v>0.20631406749898046</v>
      </c>
      <c r="CK28" s="19">
        <f t="shared" si="103"/>
        <v>933.15310838700611</v>
      </c>
      <c r="CL28" s="15">
        <f t="shared" si="70"/>
        <v>5.3663062167740122E-6</v>
      </c>
      <c r="CM28" s="16">
        <f t="shared" si="71"/>
        <v>26.620260746450569</v>
      </c>
      <c r="CN28" s="17">
        <f t="shared" si="72"/>
        <v>1.3430219933742014E-2</v>
      </c>
      <c r="CO28" s="18">
        <f t="shared" si="73"/>
        <v>0.20719650541873186</v>
      </c>
      <c r="CP28" s="19">
        <f t="shared" si="104"/>
        <v>922.59297353333318</v>
      </c>
      <c r="CQ28" s="15">
        <f t="shared" si="74"/>
        <v>5.3451859470666666E-6</v>
      </c>
      <c r="CR28" s="16">
        <f t="shared" si="75"/>
        <v>26.498819195633331</v>
      </c>
      <c r="CS28" s="17">
        <f t="shared" si="76"/>
        <v>1.337736237105896E-2</v>
      </c>
      <c r="CT28" s="18">
        <f t="shared" si="77"/>
        <v>0.20814606716169848</v>
      </c>
      <c r="CU28" s="19">
        <f t="shared" si="105"/>
        <v>909.64516042860407</v>
      </c>
      <c r="CV28" s="15">
        <f t="shared" si="78"/>
        <v>5.3192903208572089E-6</v>
      </c>
      <c r="CW28" s="16">
        <f t="shared" si="79"/>
        <v>26.349919344928946</v>
      </c>
      <c r="CX28" s="17">
        <f t="shared" si="80"/>
        <v>1.3312553554478966E-2</v>
      </c>
      <c r="CY28" s="18">
        <f t="shared" si="81"/>
        <v>0.20932227259593053</v>
      </c>
      <c r="CZ28" s="20">
        <f t="shared" si="106"/>
        <v>864.64586803443024</v>
      </c>
      <c r="DA28" s="15">
        <f t="shared" si="82"/>
        <v>5.229291736068861E-6</v>
      </c>
      <c r="DB28" s="16">
        <f t="shared" si="83"/>
        <v>25.832427482395946</v>
      </c>
      <c r="DC28" s="17">
        <f t="shared" si="84"/>
        <v>1.3087314677194086E-2</v>
      </c>
      <c r="DD28" s="18">
        <f t="shared" si="85"/>
        <v>0.21351555148112733</v>
      </c>
    </row>
    <row r="29" spans="2:108" x14ac:dyDescent="0.25">
      <c r="B29">
        <v>10</v>
      </c>
      <c r="C29">
        <f t="shared" si="86"/>
        <v>9.7761466634525146E-3</v>
      </c>
      <c r="D29" s="19">
        <f t="shared" si="3"/>
        <v>1019.8442233793372</v>
      </c>
      <c r="E29" s="15">
        <f t="shared" si="4"/>
        <v>5.5396884467586759E-6</v>
      </c>
      <c r="F29" s="16">
        <f t="shared" si="5"/>
        <v>27.617208568862377</v>
      </c>
      <c r="G29" s="17">
        <f t="shared" si="1"/>
        <v>1.3864142521688645E-2</v>
      </c>
      <c r="H29" s="18">
        <f t="shared" si="6"/>
        <v>0.19971696220662619</v>
      </c>
      <c r="I29" s="19">
        <f t="shared" si="87"/>
        <v>1019.5339626197059</v>
      </c>
      <c r="J29" s="15">
        <f t="shared" si="7"/>
        <v>5.5390679252394126E-6</v>
      </c>
      <c r="K29" s="16">
        <f t="shared" si="8"/>
        <v>27.613640570126616</v>
      </c>
      <c r="L29" s="17">
        <f t="shared" si="9"/>
        <v>1.3862589546487329E-2</v>
      </c>
      <c r="M29" s="18">
        <f t="shared" si="10"/>
        <v>0.19974276792633391</v>
      </c>
      <c r="N29" s="19">
        <f t="shared" si="88"/>
        <v>1018.6336523851525</v>
      </c>
      <c r="O29" s="15">
        <f t="shared" si="11"/>
        <v>5.5372673047703056E-6</v>
      </c>
      <c r="P29" s="16">
        <f t="shared" si="12"/>
        <v>27.603287002429255</v>
      </c>
      <c r="Q29" s="17">
        <f t="shared" si="2"/>
        <v>1.3864142521688645E-2</v>
      </c>
      <c r="R29" s="18">
        <f t="shared" si="13"/>
        <v>0.1998176883613387</v>
      </c>
      <c r="S29" s="19">
        <f t="shared" si="89"/>
        <v>1017.1336380859118</v>
      </c>
      <c r="T29" s="15">
        <f t="shared" si="14"/>
        <v>5.534267276171824E-6</v>
      </c>
      <c r="U29" s="16">
        <f t="shared" si="15"/>
        <v>27.586036837987983</v>
      </c>
      <c r="V29" s="17">
        <f t="shared" si="16"/>
        <v>1.3850574993050013E-2</v>
      </c>
      <c r="W29" s="18">
        <f t="shared" si="17"/>
        <v>0.19994263882097707</v>
      </c>
      <c r="X29" s="19">
        <f t="shared" si="90"/>
        <v>1015.0337891231979</v>
      </c>
      <c r="Y29" s="15">
        <f t="shared" si="18"/>
        <v>5.5300675782463965E-6</v>
      </c>
      <c r="Z29" s="16">
        <f t="shared" si="19"/>
        <v>27.561888574916775</v>
      </c>
      <c r="AA29" s="17">
        <f t="shared" si="20"/>
        <v>1.3840064436157552E-2</v>
      </c>
      <c r="AB29" s="18">
        <f t="shared" si="21"/>
        <v>0.20011781794298378</v>
      </c>
      <c r="AC29" s="19">
        <f t="shared" si="91"/>
        <v>1012.3339186604184</v>
      </c>
      <c r="AD29" s="15">
        <f t="shared" si="22"/>
        <v>5.5246678373208374E-6</v>
      </c>
      <c r="AE29" s="16">
        <f t="shared" si="23"/>
        <v>27.530840064594813</v>
      </c>
      <c r="AF29" s="17">
        <f t="shared" si="24"/>
        <v>1.3826550539393925E-2</v>
      </c>
      <c r="AG29" s="18">
        <f t="shared" si="25"/>
        <v>0.20034350521302105</v>
      </c>
      <c r="AH29" s="19">
        <f t="shared" si="92"/>
        <v>1009.0340810124864</v>
      </c>
      <c r="AI29" s="15">
        <f t="shared" si="26"/>
        <v>5.518068162024974E-6</v>
      </c>
      <c r="AJ29" s="16">
        <f t="shared" si="27"/>
        <v>27.492891931643591</v>
      </c>
      <c r="AK29" s="17">
        <f t="shared" si="28"/>
        <v>1.3810033574626302E-2</v>
      </c>
      <c r="AL29" s="18">
        <f t="shared" si="29"/>
        <v>0.20062003712500182</v>
      </c>
      <c r="AM29" s="19">
        <f t="shared" si="93"/>
        <v>1005.1342792715132</v>
      </c>
      <c r="AN29" s="15">
        <f t="shared" si="30"/>
        <v>5.510268558543027E-6</v>
      </c>
      <c r="AO29" s="16">
        <f t="shared" si="31"/>
        <v>27.448044211622403</v>
      </c>
      <c r="AP29" s="17">
        <f t="shared" si="32"/>
        <v>1.3790513557331891E-2</v>
      </c>
      <c r="AQ29" s="18">
        <f t="shared" si="33"/>
        <v>0.20094783283919745</v>
      </c>
      <c r="AR29" s="19">
        <f t="shared" si="94"/>
        <v>1000.6345135512584</v>
      </c>
      <c r="AS29" s="15">
        <f t="shared" si="34"/>
        <v>5.501269027102517E-6</v>
      </c>
      <c r="AT29" s="16">
        <f t="shared" si="35"/>
        <v>27.396296905839471</v>
      </c>
      <c r="AU29" s="17">
        <f t="shared" si="36"/>
        <v>1.376799048808011E-2</v>
      </c>
      <c r="AV29" s="18">
        <f t="shared" si="37"/>
        <v>0.20132739176236458</v>
      </c>
      <c r="AW29" s="19">
        <f t="shared" si="95"/>
        <v>995.53478385863332</v>
      </c>
      <c r="AX29" s="15">
        <f t="shared" si="38"/>
        <v>5.4910695677172676E-6</v>
      </c>
      <c r="AY29" s="16">
        <f t="shared" si="39"/>
        <v>27.337650014374283</v>
      </c>
      <c r="AZ29" s="17">
        <f t="shared" si="40"/>
        <v>1.374246436690555E-2</v>
      </c>
      <c r="BA29" s="18">
        <f t="shared" si="41"/>
        <v>0.20175929522471225</v>
      </c>
      <c r="BB29" s="19">
        <f t="shared" si="96"/>
        <v>989.83509019636801</v>
      </c>
      <c r="BC29" s="15">
        <f t="shared" si="42"/>
        <v>5.4796701803927362E-6</v>
      </c>
      <c r="BD29" s="16">
        <f t="shared" si="43"/>
        <v>27.272103537258232</v>
      </c>
      <c r="BE29" s="17">
        <f t="shared" si="44"/>
        <v>1.3713935193821872E-2</v>
      </c>
      <c r="BF29" s="18">
        <f t="shared" si="45"/>
        <v>0.20224420871916748</v>
      </c>
      <c r="BG29" s="19">
        <f t="shared" si="97"/>
        <v>983.53543256617331</v>
      </c>
      <c r="BH29" s="15">
        <f t="shared" si="46"/>
        <v>5.4670708651323474E-6</v>
      </c>
      <c r="BI29" s="16">
        <f t="shared" si="47"/>
        <v>27.199657474510992</v>
      </c>
      <c r="BJ29" s="17">
        <f t="shared" si="48"/>
        <v>1.3682402968837644E-2</v>
      </c>
      <c r="BK29" s="18">
        <f t="shared" si="49"/>
        <v>0.20278288449656892</v>
      </c>
      <c r="BL29" s="19">
        <f t="shared" si="98"/>
        <v>976.63581096918858</v>
      </c>
      <c r="BM29" s="15">
        <f t="shared" si="50"/>
        <v>5.4532716219383781E-6</v>
      </c>
      <c r="BN29" s="16">
        <f t="shared" si="51"/>
        <v>27.120311826145667</v>
      </c>
      <c r="BO29" s="17">
        <f t="shared" si="52"/>
        <v>1.3647867691958568E-2</v>
      </c>
      <c r="BP29" s="18">
        <f t="shared" si="53"/>
        <v>0.20337616452782062</v>
      </c>
      <c r="BQ29" s="19">
        <f t="shared" si="99"/>
        <v>969.13622540618258</v>
      </c>
      <c r="BR29" s="15">
        <f t="shared" si="54"/>
        <v>5.4382724508123663E-6</v>
      </c>
      <c r="BS29" s="16">
        <f t="shared" si="55"/>
        <v>27.034066592171101</v>
      </c>
      <c r="BT29" s="17">
        <f t="shared" si="56"/>
        <v>1.3610329363188491E-2</v>
      </c>
      <c r="BU29" s="18">
        <f t="shared" si="57"/>
        <v>0.20402498385489998</v>
      </c>
      <c r="BV29" s="19">
        <f t="shared" si="100"/>
        <v>961.03667587419818</v>
      </c>
      <c r="BW29" s="15">
        <f t="shared" si="58"/>
        <v>5.4220733517483965E-6</v>
      </c>
      <c r="BX29" s="16">
        <f t="shared" si="59"/>
        <v>26.940921772553278</v>
      </c>
      <c r="BY29" s="17">
        <f t="shared" si="60"/>
        <v>1.3569787982512609E-2</v>
      </c>
      <c r="BZ29" s="18">
        <f t="shared" si="61"/>
        <v>0.204730374356351</v>
      </c>
      <c r="CA29" s="19">
        <f t="shared" si="101"/>
        <v>952.33716194999283</v>
      </c>
      <c r="CB29" s="15">
        <f t="shared" si="62"/>
        <v>5.4046743238999863E-6</v>
      </c>
      <c r="CC29" s="16">
        <f t="shared" si="63"/>
        <v>26.840877362424919</v>
      </c>
      <c r="CD29" s="17">
        <f t="shared" si="64"/>
        <v>1.3526243547812435E-2</v>
      </c>
      <c r="CE29" s="18">
        <f t="shared" si="65"/>
        <v>0.20549346899224069</v>
      </c>
      <c r="CF29" s="19">
        <f t="shared" si="102"/>
        <v>943.03764852817017</v>
      </c>
      <c r="CG29" s="15">
        <f t="shared" si="66"/>
        <v>5.3860752970563409E-6</v>
      </c>
      <c r="CH29" s="16">
        <f t="shared" si="67"/>
        <v>26.733932958073957</v>
      </c>
      <c r="CI29" s="17">
        <f t="shared" si="68"/>
        <v>1.3479695883371867E-2</v>
      </c>
      <c r="CJ29" s="18">
        <f t="shared" si="69"/>
        <v>0.20631550953052785</v>
      </c>
      <c r="CK29" s="19">
        <f t="shared" si="103"/>
        <v>933.13610862807525</v>
      </c>
      <c r="CL29" s="15">
        <f t="shared" si="70"/>
        <v>5.3662722172561513E-6</v>
      </c>
      <c r="CM29" s="16">
        <f t="shared" si="71"/>
        <v>26.620065249222865</v>
      </c>
      <c r="CN29" s="17">
        <f t="shared" si="72"/>
        <v>1.3430134843368103E-2</v>
      </c>
      <c r="CO29" s="18">
        <f t="shared" si="73"/>
        <v>0.20719802706573084</v>
      </c>
      <c r="CP29" s="19">
        <f t="shared" si="104"/>
        <v>922.55213683382078</v>
      </c>
      <c r="CQ29" s="15">
        <f t="shared" si="74"/>
        <v>5.345104273667642E-6</v>
      </c>
      <c r="CR29" s="16">
        <f t="shared" si="75"/>
        <v>26.498349573588939</v>
      </c>
      <c r="CS29" s="17">
        <f t="shared" si="76"/>
        <v>1.3377157967570353E-2</v>
      </c>
      <c r="CT29" s="18">
        <f t="shared" si="77"/>
        <v>0.20814975606999525</v>
      </c>
      <c r="CU29" s="19">
        <f t="shared" si="105"/>
        <v>909.19600358010689</v>
      </c>
      <c r="CV29" s="15">
        <f t="shared" si="78"/>
        <v>5.3183920071602147E-6</v>
      </c>
      <c r="CW29" s="16">
        <f t="shared" si="79"/>
        <v>26.344754041171228</v>
      </c>
      <c r="CX29" s="17">
        <f t="shared" si="80"/>
        <v>1.3310305350587356E-2</v>
      </c>
      <c r="CY29" s="18">
        <f t="shared" si="81"/>
        <v>0.20936331352269433</v>
      </c>
      <c r="CZ29" s="20">
        <f t="shared" si="106"/>
        <v>861.28110343050378</v>
      </c>
      <c r="DA29" s="15">
        <f t="shared" si="82"/>
        <v>5.2225622068610074E-6</v>
      </c>
      <c r="DB29" s="16">
        <f t="shared" si="83"/>
        <v>25.793732689450792</v>
      </c>
      <c r="DC29" s="17">
        <f t="shared" si="84"/>
        <v>1.3070472727879024E-2</v>
      </c>
      <c r="DD29" s="18">
        <f t="shared" si="85"/>
        <v>0.21383585952473638</v>
      </c>
    </row>
    <row r="30" spans="2:108" x14ac:dyDescent="0.25">
      <c r="B30">
        <v>11</v>
      </c>
      <c r="C30">
        <f t="shared" si="86"/>
        <v>1.0753761329797766E-2</v>
      </c>
      <c r="D30" s="19">
        <f t="shared" si="3"/>
        <v>1019.8283830322838</v>
      </c>
      <c r="E30" s="15">
        <f t="shared" si="4"/>
        <v>5.5396567660645682E-6</v>
      </c>
      <c r="F30" s="16">
        <f t="shared" si="5"/>
        <v>27.617026404871261</v>
      </c>
      <c r="G30" s="17">
        <f t="shared" si="1"/>
        <v>1.3864063234619974E-2</v>
      </c>
      <c r="H30" s="18">
        <f t="shared" si="6"/>
        <v>0.19971827955478655</v>
      </c>
      <c r="I30" s="19">
        <f t="shared" si="87"/>
        <v>1019.5173904200674</v>
      </c>
      <c r="J30" s="15">
        <f t="shared" si="7"/>
        <v>5.5390347808401349E-6</v>
      </c>
      <c r="K30" s="16">
        <f t="shared" si="8"/>
        <v>27.613449989830777</v>
      </c>
      <c r="L30" s="17">
        <f t="shared" si="9"/>
        <v>1.3862506596213174E-2</v>
      </c>
      <c r="M30" s="18">
        <f t="shared" si="10"/>
        <v>0.19974414649495961</v>
      </c>
      <c r="N30" s="19">
        <f t="shared" si="88"/>
        <v>1018.6170203549293</v>
      </c>
      <c r="O30" s="15">
        <f t="shared" si="11"/>
        <v>5.5372340407098593E-6</v>
      </c>
      <c r="P30" s="16">
        <f t="shared" si="12"/>
        <v>27.603095734081684</v>
      </c>
      <c r="Q30" s="17">
        <f t="shared" si="2"/>
        <v>1.3864063234619974E-2</v>
      </c>
      <c r="R30" s="18">
        <f t="shared" si="13"/>
        <v>0.19981907294513454</v>
      </c>
      <c r="S30" s="19">
        <f t="shared" si="89"/>
        <v>1017.1170038182238</v>
      </c>
      <c r="T30" s="15">
        <f t="shared" si="14"/>
        <v>5.5342340076364484E-6</v>
      </c>
      <c r="U30" s="16">
        <f t="shared" si="15"/>
        <v>27.585845543909571</v>
      </c>
      <c r="V30" s="17">
        <f t="shared" si="16"/>
        <v>1.3850491732101247E-2</v>
      </c>
      <c r="W30" s="18">
        <f t="shared" si="17"/>
        <v>0.19994402532344147</v>
      </c>
      <c r="X30" s="19">
        <f t="shared" si="90"/>
        <v>1015.0171687210948</v>
      </c>
      <c r="Y30" s="15">
        <f t="shared" si="18"/>
        <v>5.5300343374421901E-6</v>
      </c>
      <c r="Z30" s="16">
        <f t="shared" si="19"/>
        <v>27.56169744029259</v>
      </c>
      <c r="AA30" s="17">
        <f t="shared" si="20"/>
        <v>1.3839981244611405E-2</v>
      </c>
      <c r="AB30" s="18">
        <f t="shared" si="21"/>
        <v>0.20011920571831976</v>
      </c>
      <c r="AC30" s="19">
        <f t="shared" si="91"/>
        <v>1012.3173115410559</v>
      </c>
      <c r="AD30" s="15">
        <f t="shared" si="22"/>
        <v>5.5246346230821126E-6</v>
      </c>
      <c r="AE30" s="16">
        <f t="shared" si="23"/>
        <v>27.530649082722142</v>
      </c>
      <c r="AF30" s="17">
        <f t="shared" si="24"/>
        <v>1.3826467414333039E-2</v>
      </c>
      <c r="AG30" s="18">
        <f t="shared" si="25"/>
        <v>0.20034489500872432</v>
      </c>
      <c r="AH30" s="19">
        <f t="shared" si="92"/>
        <v>1009.0174901635537</v>
      </c>
      <c r="AI30" s="15">
        <f t="shared" si="26"/>
        <v>5.5180349803271078E-6</v>
      </c>
      <c r="AJ30" s="16">
        <f t="shared" si="27"/>
        <v>27.492701136880868</v>
      </c>
      <c r="AK30" s="17">
        <f t="shared" si="28"/>
        <v>1.3809950531005213E-2</v>
      </c>
      <c r="AL30" s="18">
        <f t="shared" si="29"/>
        <v>0.20062142939461514</v>
      </c>
      <c r="AM30" s="19">
        <f t="shared" si="93"/>
        <v>1005.1177082549874</v>
      </c>
      <c r="AN30" s="15">
        <f t="shared" si="30"/>
        <v>5.5102354165099756E-6</v>
      </c>
      <c r="AO30" s="16">
        <f t="shared" si="31"/>
        <v>27.447853644932355</v>
      </c>
      <c r="AP30" s="17">
        <f t="shared" si="32"/>
        <v>1.379043061297968E-2</v>
      </c>
      <c r="AQ30" s="18">
        <f t="shared" si="33"/>
        <v>0.20094922799248965</v>
      </c>
      <c r="AR30" s="19">
        <f t="shared" si="94"/>
        <v>1000.6179659662639</v>
      </c>
      <c r="AS30" s="15">
        <f t="shared" si="34"/>
        <v>5.5012359319325282E-6</v>
      </c>
      <c r="AT30" s="16">
        <f t="shared" si="35"/>
        <v>27.396106608612033</v>
      </c>
      <c r="AU30" s="17">
        <f t="shared" si="36"/>
        <v>1.3767907661011781E-2</v>
      </c>
      <c r="AV30" s="18">
        <f t="shared" si="37"/>
        <v>0.20132879021087433</v>
      </c>
      <c r="AW30" s="19">
        <f t="shared" si="95"/>
        <v>995.51826330656922</v>
      </c>
      <c r="AX30" s="15">
        <f t="shared" si="38"/>
        <v>5.4910365266131394E-6</v>
      </c>
      <c r="AY30" s="16">
        <f t="shared" si="39"/>
        <v>27.337460028025546</v>
      </c>
      <c r="AZ30" s="17">
        <f t="shared" si="40"/>
        <v>1.37423816751475E-2</v>
      </c>
      <c r="BA30" s="18">
        <f t="shared" si="41"/>
        <v>0.20176069738540253</v>
      </c>
      <c r="BB30" s="19">
        <f t="shared" si="96"/>
        <v>989.81860027926359</v>
      </c>
      <c r="BC30" s="15">
        <f t="shared" si="42"/>
        <v>5.4796372005585279E-6</v>
      </c>
      <c r="BD30" s="16">
        <f t="shared" si="43"/>
        <v>27.27191390321153</v>
      </c>
      <c r="BE30" s="17">
        <f t="shared" si="44"/>
        <v>1.3713852655403655E-2</v>
      </c>
      <c r="BF30" s="18">
        <f t="shared" si="45"/>
        <v>0.2022456150153247</v>
      </c>
      <c r="BG30" s="19">
        <f t="shared" si="97"/>
        <v>983.51897688643965</v>
      </c>
      <c r="BH30" s="15">
        <f t="shared" si="46"/>
        <v>5.4670379537728797E-6</v>
      </c>
      <c r="BI30" s="16">
        <f t="shared" si="47"/>
        <v>27.199468234194057</v>
      </c>
      <c r="BJ30" s="17">
        <f t="shared" si="48"/>
        <v>1.3682320601790719E-2</v>
      </c>
      <c r="BK30" s="18">
        <f t="shared" si="49"/>
        <v>0.20278429535861228</v>
      </c>
      <c r="BL30" s="19">
        <f t="shared" si="98"/>
        <v>976.61939312949039</v>
      </c>
      <c r="BM30" s="15">
        <f t="shared" si="50"/>
        <v>5.4532387862589816E-6</v>
      </c>
      <c r="BN30" s="16">
        <f t="shared" si="51"/>
        <v>27.120123020989141</v>
      </c>
      <c r="BO30" s="17">
        <f t="shared" si="52"/>
        <v>1.3647785514315669E-2</v>
      </c>
      <c r="BP30" s="18">
        <f t="shared" si="53"/>
        <v>0.20337758039413315</v>
      </c>
      <c r="BQ30" s="19">
        <f t="shared" si="99"/>
        <v>969.11984900931054</v>
      </c>
      <c r="BR30" s="15">
        <f t="shared" si="54"/>
        <v>5.4382396980186217E-6</v>
      </c>
      <c r="BS30" s="16">
        <f t="shared" si="55"/>
        <v>27.033878263607072</v>
      </c>
      <c r="BT30" s="17">
        <f t="shared" si="56"/>
        <v>1.3610247392982978E-2</v>
      </c>
      <c r="BU30" s="18">
        <f t="shared" si="57"/>
        <v>0.20402640517269469</v>
      </c>
      <c r="BV30" s="19">
        <f t="shared" si="100"/>
        <v>961.02034451719271</v>
      </c>
      <c r="BW30" s="15">
        <f t="shared" si="58"/>
        <v>5.4220406890343858E-6</v>
      </c>
      <c r="BX30" s="16">
        <f t="shared" si="59"/>
        <v>26.940733961947714</v>
      </c>
      <c r="BY30" s="17">
        <f t="shared" si="60"/>
        <v>1.3569706237749064E-2</v>
      </c>
      <c r="BZ30" s="18">
        <f t="shared" si="61"/>
        <v>0.2047318015830791</v>
      </c>
      <c r="CA30" s="19">
        <f t="shared" si="101"/>
        <v>952.32087874927902</v>
      </c>
      <c r="CB30" s="15">
        <f t="shared" si="62"/>
        <v>5.404641757498559E-6</v>
      </c>
      <c r="CC30" s="16">
        <f t="shared" si="63"/>
        <v>26.840690105616709</v>
      </c>
      <c r="CD30" s="17">
        <f t="shared" si="64"/>
        <v>1.3526162044089771E-2</v>
      </c>
      <c r="CE30" s="18">
        <f t="shared" si="65"/>
        <v>0.20549490263835635</v>
      </c>
      <c r="CF30" s="19">
        <f t="shared" si="102"/>
        <v>943.02138927801241</v>
      </c>
      <c r="CG30" s="15">
        <f t="shared" si="66"/>
        <v>5.386042778556026E-6</v>
      </c>
      <c r="CH30" s="16">
        <f t="shared" si="67"/>
        <v>26.733745976697143</v>
      </c>
      <c r="CI30" s="17">
        <f t="shared" si="68"/>
        <v>1.3479614499531008E-2</v>
      </c>
      <c r="CJ30" s="18">
        <f t="shared" si="69"/>
        <v>0.20631695254409069</v>
      </c>
      <c r="CK30" s="19">
        <f t="shared" si="103"/>
        <v>933.11878803861782</v>
      </c>
      <c r="CL30" s="15">
        <f t="shared" si="70"/>
        <v>5.3662375760772362E-6</v>
      </c>
      <c r="CM30" s="16">
        <f t="shared" si="71"/>
        <v>26.619866062444103</v>
      </c>
      <c r="CN30" s="17">
        <f t="shared" si="72"/>
        <v>1.343004814711321E-2</v>
      </c>
      <c r="CO30" s="18">
        <f t="shared" si="73"/>
        <v>0.20719957745323017</v>
      </c>
      <c r="CP30" s="19">
        <f t="shared" si="104"/>
        <v>922.50597555074194</v>
      </c>
      <c r="CQ30" s="15">
        <f t="shared" si="74"/>
        <v>5.3450119511014842E-6</v>
      </c>
      <c r="CR30" s="16">
        <f t="shared" si="75"/>
        <v>26.497818718833532</v>
      </c>
      <c r="CS30" s="17">
        <f t="shared" si="76"/>
        <v>1.3376926912479893E-2</v>
      </c>
      <c r="CT30" s="18">
        <f t="shared" si="77"/>
        <v>0.208153926122218</v>
      </c>
      <c r="CU30" s="19">
        <f t="shared" si="105"/>
        <v>908.7121445828476</v>
      </c>
      <c r="CV30" s="15">
        <f t="shared" si="78"/>
        <v>5.3174242891656953E-6</v>
      </c>
      <c r="CW30" s="16">
        <f t="shared" si="79"/>
        <v>26.339189662702747</v>
      </c>
      <c r="CX30" s="17">
        <f t="shared" si="80"/>
        <v>1.3307883449008275E-2</v>
      </c>
      <c r="CY30" s="18">
        <f t="shared" si="81"/>
        <v>0.20940754330837771</v>
      </c>
      <c r="CZ30" s="20">
        <f t="shared" si="106"/>
        <v>858.0118732933646</v>
      </c>
      <c r="DA30" s="15">
        <f t="shared" si="82"/>
        <v>5.2160237465867305E-6</v>
      </c>
      <c r="DB30" s="16">
        <f t="shared" si="83"/>
        <v>25.756136542873691</v>
      </c>
      <c r="DC30" s="17">
        <f t="shared" si="84"/>
        <v>1.3054108965550834E-2</v>
      </c>
      <c r="DD30" s="18">
        <f t="shared" si="85"/>
        <v>0.21414799501542808</v>
      </c>
    </row>
    <row r="31" spans="2:108" x14ac:dyDescent="0.25">
      <c r="B31">
        <v>12</v>
      </c>
      <c r="C31">
        <f t="shared" si="86"/>
        <v>1.1731375996143018E-2</v>
      </c>
      <c r="D31" s="19">
        <f t="shared" si="3"/>
        <v>1019.8125053205345</v>
      </c>
      <c r="E31" s="15">
        <f t="shared" si="4"/>
        <v>5.5396250106410694E-6</v>
      </c>
      <c r="F31" s="16">
        <f t="shared" si="5"/>
        <v>27.616843811186143</v>
      </c>
      <c r="G31" s="17">
        <f t="shared" si="1"/>
        <v>1.3863983760526539E-2</v>
      </c>
      <c r="H31" s="18">
        <f t="shared" si="6"/>
        <v>0.19971960002778841</v>
      </c>
      <c r="I31" s="19">
        <f t="shared" si="87"/>
        <v>1019.5008221443878</v>
      </c>
      <c r="J31" s="15">
        <f t="shared" si="7"/>
        <v>5.5390016442887758E-6</v>
      </c>
      <c r="K31" s="16">
        <f t="shared" si="8"/>
        <v>27.613259454660458</v>
      </c>
      <c r="L31" s="17">
        <f t="shared" si="9"/>
        <v>1.3862423665579958E-2</v>
      </c>
      <c r="M31" s="18">
        <f t="shared" si="10"/>
        <v>0.19974552475619078</v>
      </c>
      <c r="N31" s="19">
        <f t="shared" si="88"/>
        <v>1018.6003890074819</v>
      </c>
      <c r="O31" s="15">
        <f t="shared" si="11"/>
        <v>5.5372007780149639E-6</v>
      </c>
      <c r="P31" s="16">
        <f t="shared" si="12"/>
        <v>27.60290447358604</v>
      </c>
      <c r="Q31" s="17">
        <f t="shared" si="2"/>
        <v>1.3863983760526539E-2</v>
      </c>
      <c r="R31" s="18">
        <f t="shared" si="13"/>
        <v>0.19982045749127775</v>
      </c>
      <c r="S31" s="19">
        <f t="shared" si="89"/>
        <v>1017.1003698960109</v>
      </c>
      <c r="T31" s="15">
        <f t="shared" si="14"/>
        <v>5.5342007397920221E-6</v>
      </c>
      <c r="U31" s="16">
        <f t="shared" si="15"/>
        <v>27.585654253804123</v>
      </c>
      <c r="V31" s="17">
        <f t="shared" si="16"/>
        <v>1.385040847288172E-2</v>
      </c>
      <c r="W31" s="18">
        <f t="shared" si="17"/>
        <v>0.19994541181633868</v>
      </c>
      <c r="X31" s="19">
        <f t="shared" si="90"/>
        <v>1015.0005484578309</v>
      </c>
      <c r="Y31" s="15">
        <f t="shared" si="18"/>
        <v>5.5300010969156623E-6</v>
      </c>
      <c r="Z31" s="16">
        <f t="shared" si="19"/>
        <v>27.561506307265056</v>
      </c>
      <c r="AA31" s="17">
        <f t="shared" si="20"/>
        <v>1.3839898053760203E-2</v>
      </c>
      <c r="AB31" s="18">
        <f t="shared" si="21"/>
        <v>0.20012059350131065</v>
      </c>
      <c r="AC31" s="19">
        <f t="shared" si="91"/>
        <v>1012.3007046037679</v>
      </c>
      <c r="AD31" s="15">
        <f t="shared" si="22"/>
        <v>5.5246014092075366E-6</v>
      </c>
      <c r="AE31" s="16">
        <f t="shared" si="23"/>
        <v>27.530458102943328</v>
      </c>
      <c r="AF31" s="17">
        <f t="shared" si="24"/>
        <v>1.3826384290183506E-2</v>
      </c>
      <c r="AG31" s="18">
        <f t="shared" si="25"/>
        <v>0.20034628480847239</v>
      </c>
      <c r="AH31" s="19">
        <f t="shared" si="92"/>
        <v>1009.0008995052115</v>
      </c>
      <c r="AI31" s="15">
        <f t="shared" si="26"/>
        <v>5.5180017990104234E-6</v>
      </c>
      <c r="AJ31" s="16">
        <f t="shared" si="27"/>
        <v>27.492510344309931</v>
      </c>
      <c r="AK31" s="17">
        <f t="shared" si="28"/>
        <v>1.3809867488338104E-2</v>
      </c>
      <c r="AL31" s="18">
        <f t="shared" si="29"/>
        <v>0.20062282166755854</v>
      </c>
      <c r="AM31" s="19">
        <f t="shared" si="93"/>
        <v>1005.101137430487</v>
      </c>
      <c r="AN31" s="15">
        <f t="shared" si="30"/>
        <v>5.510202274860974E-6</v>
      </c>
      <c r="AO31" s="16">
        <f t="shared" si="31"/>
        <v>27.447663080450599</v>
      </c>
      <c r="AP31" s="17">
        <f t="shared" si="32"/>
        <v>1.3790347669588624E-2</v>
      </c>
      <c r="AQ31" s="18">
        <f t="shared" si="33"/>
        <v>0.20095062314898729</v>
      </c>
      <c r="AR31" s="19">
        <f t="shared" si="94"/>
        <v>1000.6014185739556</v>
      </c>
      <c r="AS31" s="15">
        <f t="shared" si="34"/>
        <v>5.5012028371479114E-6</v>
      </c>
      <c r="AT31" s="16">
        <f t="shared" si="35"/>
        <v>27.395916313600488</v>
      </c>
      <c r="AU31" s="17">
        <f t="shared" si="36"/>
        <v>1.376782483490792E-2</v>
      </c>
      <c r="AV31" s="18">
        <f t="shared" si="37"/>
        <v>0.20133018866252747</v>
      </c>
      <c r="AW31" s="19">
        <f t="shared" si="95"/>
        <v>995.50174294759188</v>
      </c>
      <c r="AX31" s="15">
        <f t="shared" si="38"/>
        <v>5.4910034858951845E-6</v>
      </c>
      <c r="AY31" s="16">
        <f t="shared" si="39"/>
        <v>27.337270043897306</v>
      </c>
      <c r="AZ31" s="17">
        <f t="shared" si="40"/>
        <v>1.3742298984355925E-2</v>
      </c>
      <c r="BA31" s="18">
        <f t="shared" si="41"/>
        <v>0.20176209954919375</v>
      </c>
      <c r="BB31" s="19">
        <f t="shared" si="96"/>
        <v>989.8021105554626</v>
      </c>
      <c r="BC31" s="15">
        <f t="shared" si="42"/>
        <v>5.4796042211109257E-6</v>
      </c>
      <c r="BD31" s="16">
        <f t="shared" si="43"/>
        <v>27.271724271387818</v>
      </c>
      <c r="BE31" s="17">
        <f t="shared" si="44"/>
        <v>1.3713770117952995E-2</v>
      </c>
      <c r="BF31" s="18">
        <f t="shared" si="45"/>
        <v>0.20224702131455358</v>
      </c>
      <c r="BG31" s="19">
        <f t="shared" si="97"/>
        <v>983.50252140008104</v>
      </c>
      <c r="BH31" s="15">
        <f t="shared" si="46"/>
        <v>5.4670050428001622E-6</v>
      </c>
      <c r="BI31" s="16">
        <f t="shared" si="47"/>
        <v>27.199278996100929</v>
      </c>
      <c r="BJ31" s="17">
        <f t="shared" si="48"/>
        <v>1.3682238235711712E-2</v>
      </c>
      <c r="BK31" s="18">
        <f t="shared" si="49"/>
        <v>0.2027857062237082</v>
      </c>
      <c r="BL31" s="19">
        <f t="shared" si="98"/>
        <v>976.6029754831186</v>
      </c>
      <c r="BM31" s="15">
        <f t="shared" si="50"/>
        <v>5.4532059509662379E-6</v>
      </c>
      <c r="BN31" s="16">
        <f t="shared" si="51"/>
        <v>27.119934218055864</v>
      </c>
      <c r="BO31" s="17">
        <f t="shared" si="52"/>
        <v>1.3647703337640442E-2</v>
      </c>
      <c r="BP31" s="18">
        <f t="shared" si="53"/>
        <v>0.20337899626348713</v>
      </c>
      <c r="BQ31" s="19">
        <f t="shared" si="99"/>
        <v>969.10347280553196</v>
      </c>
      <c r="BR31" s="15">
        <f t="shared" si="54"/>
        <v>5.4382069456110639E-6</v>
      </c>
      <c r="BS31" s="16">
        <f t="shared" si="55"/>
        <v>27.033689937263617</v>
      </c>
      <c r="BT31" s="17">
        <f t="shared" si="56"/>
        <v>1.3610165423743973E-2</v>
      </c>
      <c r="BU31" s="18">
        <f t="shared" si="57"/>
        <v>0.20402782649353335</v>
      </c>
      <c r="BV31" s="19">
        <f t="shared" si="100"/>
        <v>961.00401334626031</v>
      </c>
      <c r="BW31" s="15">
        <f t="shared" si="58"/>
        <v>5.4220080266925206E-6</v>
      </c>
      <c r="BX31" s="16">
        <f t="shared" si="59"/>
        <v>26.940546153481993</v>
      </c>
      <c r="BY31" s="17">
        <f t="shared" si="60"/>
        <v>1.3569624493916887E-2</v>
      </c>
      <c r="BZ31" s="18">
        <f t="shared" si="61"/>
        <v>0.20473322881344483</v>
      </c>
      <c r="CA31" s="19">
        <f t="shared" si="101"/>
        <v>952.30459535080774</v>
      </c>
      <c r="CB31" s="15">
        <f t="shared" si="62"/>
        <v>5.4046091907016164E-6</v>
      </c>
      <c r="CC31" s="16">
        <f t="shared" si="63"/>
        <v>26.840502846534289</v>
      </c>
      <c r="CD31" s="17">
        <f t="shared" si="64"/>
        <v>1.3526080539377254E-2</v>
      </c>
      <c r="CE31" s="18">
        <f t="shared" si="65"/>
        <v>0.20549633632188791</v>
      </c>
      <c r="CF31" s="19">
        <f t="shared" si="102"/>
        <v>943.00511500761627</v>
      </c>
      <c r="CG31" s="15">
        <f t="shared" si="66"/>
        <v>5.3860102300152329E-6</v>
      </c>
      <c r="CH31" s="16">
        <f t="shared" si="67"/>
        <v>26.733558822587586</v>
      </c>
      <c r="CI31" s="17">
        <f t="shared" si="68"/>
        <v>1.347953304050804E-2</v>
      </c>
      <c r="CJ31" s="18">
        <f t="shared" si="69"/>
        <v>0.20631839691091802</v>
      </c>
      <c r="CK31" s="19">
        <f t="shared" si="103"/>
        <v>933.1010812462406</v>
      </c>
      <c r="CL31" s="15">
        <f t="shared" si="70"/>
        <v>5.3662021624924814E-6</v>
      </c>
      <c r="CM31" s="16">
        <f t="shared" si="71"/>
        <v>26.619662434331765</v>
      </c>
      <c r="CN31" s="17">
        <f t="shared" si="72"/>
        <v>1.3429959517763211E-2</v>
      </c>
      <c r="CO31" s="18">
        <f t="shared" si="73"/>
        <v>0.20720116243421699</v>
      </c>
      <c r="CP31" s="19">
        <f t="shared" si="104"/>
        <v>922.45414959484185</v>
      </c>
      <c r="CQ31" s="15">
        <f t="shared" si="74"/>
        <v>5.3449082991896837E-6</v>
      </c>
      <c r="CR31" s="16">
        <f t="shared" si="75"/>
        <v>26.49722272034068</v>
      </c>
      <c r="CS31" s="17">
        <f t="shared" si="76"/>
        <v>1.3376667503509217E-2</v>
      </c>
      <c r="CT31" s="18">
        <f t="shared" si="77"/>
        <v>0.20815860810068643</v>
      </c>
      <c r="CU31" s="19">
        <f t="shared" si="105"/>
        <v>908.19575634503724</v>
      </c>
      <c r="CV31" s="15">
        <f t="shared" si="78"/>
        <v>5.3163915126900745E-6</v>
      </c>
      <c r="CW31" s="16">
        <f t="shared" si="79"/>
        <v>26.333251197967925</v>
      </c>
      <c r="CX31" s="17">
        <f t="shared" si="80"/>
        <v>1.3305298725988438E-2</v>
      </c>
      <c r="CY31" s="18">
        <f t="shared" si="81"/>
        <v>0.20945476722698136</v>
      </c>
      <c r="CZ31" s="20">
        <f t="shared" si="106"/>
        <v>854.83414008505599</v>
      </c>
      <c r="DA31" s="15">
        <f t="shared" si="82"/>
        <v>5.2096682801701126E-6</v>
      </c>
      <c r="DB31" s="16">
        <f t="shared" si="83"/>
        <v>25.719592610978143</v>
      </c>
      <c r="DC31" s="17">
        <f t="shared" si="84"/>
        <v>1.3038203180769139E-2</v>
      </c>
      <c r="DD31" s="18">
        <f t="shared" si="85"/>
        <v>0.2144522692651715</v>
      </c>
    </row>
    <row r="32" spans="2:108" x14ac:dyDescent="0.25">
      <c r="B32">
        <v>13</v>
      </c>
      <c r="C32">
        <f t="shared" si="86"/>
        <v>1.2708990662488269E-2</v>
      </c>
      <c r="D32" s="19">
        <f t="shared" si="3"/>
        <v>1019.7965923520793</v>
      </c>
      <c r="E32" s="15">
        <f t="shared" si="4"/>
        <v>5.5395931847041589E-6</v>
      </c>
      <c r="F32" s="16">
        <f t="shared" si="5"/>
        <v>27.616660812048913</v>
      </c>
      <c r="G32" s="17">
        <f t="shared" si="1"/>
        <v>1.3863904109959642E-2</v>
      </c>
      <c r="H32" s="18">
        <f t="shared" si="6"/>
        <v>0.19972092345044046</v>
      </c>
      <c r="I32" s="19">
        <f t="shared" si="87"/>
        <v>1019.48425743922</v>
      </c>
      <c r="J32" s="15">
        <f t="shared" si="7"/>
        <v>5.5389685148784398E-6</v>
      </c>
      <c r="K32" s="16">
        <f t="shared" si="8"/>
        <v>27.613068960551029</v>
      </c>
      <c r="L32" s="17">
        <f t="shared" si="9"/>
        <v>1.3862340752818531E-2</v>
      </c>
      <c r="M32" s="18">
        <f t="shared" si="10"/>
        <v>0.19974690273941698</v>
      </c>
      <c r="N32" s="19">
        <f t="shared" si="88"/>
        <v>1018.5837583706349</v>
      </c>
      <c r="O32" s="15">
        <f t="shared" si="11"/>
        <v>5.5371675167412703E-6</v>
      </c>
      <c r="P32" s="16">
        <f t="shared" si="12"/>
        <v>27.602713221262299</v>
      </c>
      <c r="Q32" s="17">
        <f t="shared" si="2"/>
        <v>1.3863904109959642E-2</v>
      </c>
      <c r="R32" s="18">
        <f t="shared" si="13"/>
        <v>0.19982184199745004</v>
      </c>
      <c r="S32" s="19">
        <f t="shared" si="89"/>
        <v>1017.0837363200366</v>
      </c>
      <c r="T32" s="15">
        <f t="shared" si="14"/>
        <v>5.5341674726400741E-6</v>
      </c>
      <c r="U32" s="16">
        <f t="shared" si="15"/>
        <v>27.585462967680421</v>
      </c>
      <c r="V32" s="17">
        <f t="shared" si="16"/>
        <v>1.385032521539525E-2</v>
      </c>
      <c r="W32" s="18">
        <f t="shared" si="17"/>
        <v>0.19994679829960427</v>
      </c>
      <c r="X32" s="19">
        <f t="shared" si="90"/>
        <v>1014.9839283365816</v>
      </c>
      <c r="Y32" s="15">
        <f t="shared" si="18"/>
        <v>5.529967856673164E-6</v>
      </c>
      <c r="Z32" s="16">
        <f t="shared" si="19"/>
        <v>27.561315175870689</v>
      </c>
      <c r="AA32" s="17">
        <f t="shared" si="20"/>
        <v>1.3839814863619841E-2</v>
      </c>
      <c r="AB32" s="18">
        <f t="shared" si="21"/>
        <v>0.20012198129169123</v>
      </c>
      <c r="AC32" s="19">
        <f t="shared" si="91"/>
        <v>1012.2840978481437</v>
      </c>
      <c r="AD32" s="15">
        <f t="shared" si="22"/>
        <v>5.5245681956962877E-6</v>
      </c>
      <c r="AE32" s="16">
        <f t="shared" si="23"/>
        <v>27.530267125253651</v>
      </c>
      <c r="AF32" s="17">
        <f t="shared" si="24"/>
        <v>1.3826301166943267E-2</v>
      </c>
      <c r="AG32" s="18">
        <f t="shared" si="25"/>
        <v>0.20034767461229933</v>
      </c>
      <c r="AH32" s="19">
        <f t="shared" si="92"/>
        <v>1008.984309037371</v>
      </c>
      <c r="AI32" s="15">
        <f t="shared" si="26"/>
        <v>5.517968618074742E-6</v>
      </c>
      <c r="AJ32" s="16">
        <f t="shared" si="27"/>
        <v>27.492319553929764</v>
      </c>
      <c r="AK32" s="17">
        <f t="shared" si="28"/>
        <v>1.3809784446624529E-2</v>
      </c>
      <c r="AL32" s="18">
        <f t="shared" si="29"/>
        <v>0.20062421394383922</v>
      </c>
      <c r="AM32" s="19">
        <f t="shared" si="93"/>
        <v>1005.0845667980012</v>
      </c>
      <c r="AN32" s="15">
        <f t="shared" si="30"/>
        <v>5.5101691335960028E-6</v>
      </c>
      <c r="AO32" s="16">
        <f t="shared" si="31"/>
        <v>27.447472518177015</v>
      </c>
      <c r="AP32" s="17">
        <f t="shared" si="32"/>
        <v>1.379026472715868E-2</v>
      </c>
      <c r="AQ32" s="18">
        <f t="shared" si="33"/>
        <v>0.20095201830869097</v>
      </c>
      <c r="AR32" s="19">
        <f t="shared" si="94"/>
        <v>1000.5848713743285</v>
      </c>
      <c r="AS32" s="15">
        <f t="shared" si="34"/>
        <v>5.5011697427486574E-6</v>
      </c>
      <c r="AT32" s="16">
        <f t="shared" si="35"/>
        <v>27.395726020804776</v>
      </c>
      <c r="AU32" s="17">
        <f t="shared" si="36"/>
        <v>1.3767742009768503E-2</v>
      </c>
      <c r="AV32" s="18">
        <f t="shared" si="37"/>
        <v>0.20133158711732413</v>
      </c>
      <c r="AW32" s="19">
        <f t="shared" si="95"/>
        <v>995.48522278169696</v>
      </c>
      <c r="AX32" s="15">
        <f t="shared" si="38"/>
        <v>5.4909704455633945E-6</v>
      </c>
      <c r="AY32" s="16">
        <f t="shared" si="39"/>
        <v>27.337080061989514</v>
      </c>
      <c r="AZ32" s="17">
        <f t="shared" si="40"/>
        <v>1.3742216294530801E-2</v>
      </c>
      <c r="BA32" s="18">
        <f t="shared" si="41"/>
        <v>0.20176350171608592</v>
      </c>
      <c r="BB32" s="19">
        <f t="shared" si="96"/>
        <v>989.78562102496107</v>
      </c>
      <c r="BC32" s="15">
        <f t="shared" si="42"/>
        <v>5.4795712420499229E-6</v>
      </c>
      <c r="BD32" s="16">
        <f t="shared" si="43"/>
        <v>27.271534641787049</v>
      </c>
      <c r="BE32" s="17">
        <f t="shared" si="44"/>
        <v>1.3713687581469876E-2</v>
      </c>
      <c r="BF32" s="18">
        <f t="shared" si="45"/>
        <v>0.20224842761685421</v>
      </c>
      <c r="BG32" s="19">
        <f t="shared" si="97"/>
        <v>983.48606610709362</v>
      </c>
      <c r="BH32" s="15">
        <f t="shared" si="46"/>
        <v>5.4669721322141872E-6</v>
      </c>
      <c r="BI32" s="16">
        <f t="shared" si="47"/>
        <v>27.199089760231576</v>
      </c>
      <c r="BJ32" s="17">
        <f t="shared" si="48"/>
        <v>1.3682155870600603E-2</v>
      </c>
      <c r="BK32" s="18">
        <f t="shared" si="49"/>
        <v>0.20278711709185665</v>
      </c>
      <c r="BL32" s="19">
        <f t="shared" si="98"/>
        <v>976.58655803006832</v>
      </c>
      <c r="BM32" s="15">
        <f t="shared" si="50"/>
        <v>5.4531731160601368E-6</v>
      </c>
      <c r="BN32" s="16">
        <f t="shared" si="51"/>
        <v>27.119745417345783</v>
      </c>
      <c r="BO32" s="17">
        <f t="shared" si="52"/>
        <v>1.3647621161932865E-2</v>
      </c>
      <c r="BP32" s="18">
        <f t="shared" si="53"/>
        <v>0.20338041213588265</v>
      </c>
      <c r="BQ32" s="19">
        <f t="shared" si="99"/>
        <v>969.08709679474805</v>
      </c>
      <c r="BR32" s="15">
        <f t="shared" si="54"/>
        <v>5.4381741935894974E-6</v>
      </c>
      <c r="BS32" s="16">
        <f t="shared" si="55"/>
        <v>27.033501613139602</v>
      </c>
      <c r="BT32" s="17">
        <f t="shared" si="56"/>
        <v>1.3610083455470984E-2</v>
      </c>
      <c r="BU32" s="18">
        <f t="shared" si="57"/>
        <v>0.20402924781742432</v>
      </c>
      <c r="BV32" s="19">
        <f t="shared" si="100"/>
        <v>960.98768235608031</v>
      </c>
      <c r="BW32" s="15">
        <f t="shared" si="58"/>
        <v>5.4219753647121615E-6</v>
      </c>
      <c r="BX32" s="16">
        <f t="shared" si="59"/>
        <v>26.940358347094921</v>
      </c>
      <c r="BY32" s="17">
        <f t="shared" si="60"/>
        <v>1.3569542750989448E-2</v>
      </c>
      <c r="BZ32" s="18">
        <f t="shared" si="61"/>
        <v>0.20473465604791297</v>
      </c>
      <c r="CA32" s="19">
        <f t="shared" si="101"/>
        <v>952.28831155177761</v>
      </c>
      <c r="CB32" s="15">
        <f t="shared" si="62"/>
        <v>5.404576623103556E-6</v>
      </c>
      <c r="CC32" s="16">
        <f t="shared" si="63"/>
        <v>26.840315582845442</v>
      </c>
      <c r="CD32" s="17">
        <f t="shared" si="64"/>
        <v>1.3525999032659787E-2</v>
      </c>
      <c r="CE32" s="18">
        <f t="shared" si="65"/>
        <v>0.2054977700606927</v>
      </c>
      <c r="CF32" s="19">
        <f t="shared" si="102"/>
        <v>942.98882073387915</v>
      </c>
      <c r="CG32" s="15">
        <f t="shared" si="66"/>
        <v>5.385977641467759E-6</v>
      </c>
      <c r="CH32" s="16">
        <f t="shared" si="67"/>
        <v>26.733371438439612</v>
      </c>
      <c r="CI32" s="17">
        <f t="shared" si="68"/>
        <v>1.3479451481360606E-2</v>
      </c>
      <c r="CJ32" s="18">
        <f t="shared" si="69"/>
        <v>0.20631984307333362</v>
      </c>
      <c r="CK32" s="19">
        <f t="shared" si="103"/>
        <v>933.08291986837708</v>
      </c>
      <c r="CL32" s="15">
        <f t="shared" si="70"/>
        <v>5.3661658397367542E-6</v>
      </c>
      <c r="CM32" s="16">
        <f t="shared" si="71"/>
        <v>26.619453578486336</v>
      </c>
      <c r="CN32" s="17">
        <f t="shared" si="72"/>
        <v>1.3429868613036883E-2</v>
      </c>
      <c r="CO32" s="18">
        <f t="shared" si="73"/>
        <v>0.2072027881315224</v>
      </c>
      <c r="CP32" s="19">
        <f t="shared" si="104"/>
        <v>922.39635716115231</v>
      </c>
      <c r="CQ32" s="15">
        <f t="shared" si="74"/>
        <v>5.344792714322305E-6</v>
      </c>
      <c r="CR32" s="16">
        <f t="shared" si="75"/>
        <v>26.496558107353252</v>
      </c>
      <c r="CS32" s="17">
        <f t="shared" si="76"/>
        <v>1.3376378230007631E-2</v>
      </c>
      <c r="CT32" s="18">
        <f t="shared" si="77"/>
        <v>0.20816382934164263</v>
      </c>
      <c r="CU32" s="19">
        <f t="shared" si="105"/>
        <v>907.64889392764292</v>
      </c>
      <c r="CV32" s="15">
        <f t="shared" si="78"/>
        <v>5.3152977878552859E-6</v>
      </c>
      <c r="CW32" s="16">
        <f t="shared" si="79"/>
        <v>26.326962280167891</v>
      </c>
      <c r="CX32" s="17">
        <f t="shared" si="80"/>
        <v>1.3302561467903483E-2</v>
      </c>
      <c r="CY32" s="18">
        <f t="shared" si="81"/>
        <v>0.20950480124913318</v>
      </c>
      <c r="CZ32" s="20">
        <f t="shared" si="106"/>
        <v>851.74405444179808</v>
      </c>
      <c r="DA32" s="15">
        <f t="shared" si="82"/>
        <v>5.2034881088835975E-6</v>
      </c>
      <c r="DB32" s="16">
        <f t="shared" si="83"/>
        <v>25.684056626080675</v>
      </c>
      <c r="DC32" s="17">
        <f t="shared" si="84"/>
        <v>1.3022736105978167E-2</v>
      </c>
      <c r="DD32" s="18">
        <f t="shared" si="85"/>
        <v>0.21474898145175406</v>
      </c>
    </row>
    <row r="33" spans="2:108" x14ac:dyDescent="0.25">
      <c r="B33">
        <v>14</v>
      </c>
      <c r="C33">
        <f t="shared" si="86"/>
        <v>1.368660532883352E-2</v>
      </c>
      <c r="D33" s="19">
        <f t="shared" si="3"/>
        <v>1019.78064610924</v>
      </c>
      <c r="E33" s="15">
        <f t="shared" si="4"/>
        <v>5.5395612922184804E-6</v>
      </c>
      <c r="F33" s="16">
        <f t="shared" si="5"/>
        <v>27.616477430256261</v>
      </c>
      <c r="G33" s="17">
        <f t="shared" si="1"/>
        <v>1.3863824292841574E-2</v>
      </c>
      <c r="H33" s="18">
        <f t="shared" si="6"/>
        <v>0.19972224965799409</v>
      </c>
      <c r="I33" s="19">
        <f t="shared" si="87"/>
        <v>1019.467695976102</v>
      </c>
      <c r="J33" s="15">
        <f t="shared" si="7"/>
        <v>5.5389353919522046E-6</v>
      </c>
      <c r="K33" s="16">
        <f t="shared" si="8"/>
        <v>27.61287850372517</v>
      </c>
      <c r="L33" s="17">
        <f t="shared" si="9"/>
        <v>1.3862257856284824E-2</v>
      </c>
      <c r="M33" s="18">
        <f t="shared" si="10"/>
        <v>0.19974828047195092</v>
      </c>
      <c r="N33" s="19">
        <f t="shared" si="88"/>
        <v>1018.5671284677816</v>
      </c>
      <c r="O33" s="15">
        <f t="shared" si="11"/>
        <v>5.5371342569355636E-6</v>
      </c>
      <c r="P33" s="16">
        <f t="shared" si="12"/>
        <v>27.602521977379489</v>
      </c>
      <c r="Q33" s="17">
        <f t="shared" si="2"/>
        <v>1.3863824292841574E-2</v>
      </c>
      <c r="R33" s="18">
        <f t="shared" si="13"/>
        <v>0.1998232264617017</v>
      </c>
      <c r="S33" s="19">
        <f t="shared" si="89"/>
        <v>1017.0671030914041</v>
      </c>
      <c r="T33" s="15">
        <f t="shared" si="14"/>
        <v>5.5341342061828082E-6</v>
      </c>
      <c r="U33" s="16">
        <f t="shared" si="15"/>
        <v>27.585271685551145</v>
      </c>
      <c r="V33" s="17">
        <f t="shared" si="16"/>
        <v>1.3850241959647357E-2</v>
      </c>
      <c r="W33" s="18">
        <f t="shared" si="17"/>
        <v>0.19994818477314552</v>
      </c>
      <c r="X33" s="19">
        <f t="shared" si="90"/>
        <v>1014.9673083604371</v>
      </c>
      <c r="Y33" s="15">
        <f t="shared" si="18"/>
        <v>5.5299346167208746E-6</v>
      </c>
      <c r="Z33" s="16">
        <f t="shared" si="19"/>
        <v>27.561124046145025</v>
      </c>
      <c r="AA33" s="17">
        <f t="shared" si="20"/>
        <v>1.3839731674205782E-2</v>
      </c>
      <c r="AB33" s="18">
        <f t="shared" si="21"/>
        <v>0.20012336908920342</v>
      </c>
      <c r="AC33" s="19">
        <f t="shared" si="91"/>
        <v>1012.267491273822</v>
      </c>
      <c r="AD33" s="15">
        <f t="shared" si="22"/>
        <v>5.5245349825476443E-6</v>
      </c>
      <c r="AE33" s="16">
        <f t="shared" si="23"/>
        <v>27.530076149648952</v>
      </c>
      <c r="AF33" s="17">
        <f t="shared" si="24"/>
        <v>1.382621804461052E-2</v>
      </c>
      <c r="AG33" s="18">
        <f t="shared" si="25"/>
        <v>0.20034906442023526</v>
      </c>
      <c r="AH33" s="19">
        <f t="shared" si="92"/>
        <v>1008.9677187599407</v>
      </c>
      <c r="AI33" s="15">
        <f t="shared" si="26"/>
        <v>5.5179354375198816E-6</v>
      </c>
      <c r="AJ33" s="16">
        <f t="shared" si="27"/>
        <v>27.492128765739317</v>
      </c>
      <c r="AK33" s="17">
        <f t="shared" si="28"/>
        <v>1.3809701405864032E-2</v>
      </c>
      <c r="AL33" s="18">
        <f t="shared" si="29"/>
        <v>0.20062560622346459</v>
      </c>
      <c r="AM33" s="19">
        <f t="shared" si="93"/>
        <v>1005.0679963575183</v>
      </c>
      <c r="AN33" s="15">
        <f t="shared" si="30"/>
        <v>5.5101359927150374E-6</v>
      </c>
      <c r="AO33" s="16">
        <f t="shared" si="31"/>
        <v>27.447281958111461</v>
      </c>
      <c r="AP33" s="17">
        <f t="shared" si="32"/>
        <v>1.3790181785689784E-2</v>
      </c>
      <c r="AQ33" s="18">
        <f t="shared" si="33"/>
        <v>0.20095341347160148</v>
      </c>
      <c r="AR33" s="19">
        <f t="shared" si="94"/>
        <v>1000.5683243673776</v>
      </c>
      <c r="AS33" s="15">
        <f t="shared" si="34"/>
        <v>5.5011366487347559E-6</v>
      </c>
      <c r="AT33" s="16">
        <f t="shared" si="35"/>
        <v>27.395535730224843</v>
      </c>
      <c r="AU33" s="17">
        <f t="shared" si="36"/>
        <v>1.3767659185593506E-2</v>
      </c>
      <c r="AV33" s="18">
        <f t="shared" si="37"/>
        <v>0.20133298557526444</v>
      </c>
      <c r="AW33" s="19">
        <f t="shared" si="95"/>
        <v>995.46870280888015</v>
      </c>
      <c r="AX33" s="15">
        <f t="shared" si="38"/>
        <v>5.4909374056177609E-6</v>
      </c>
      <c r="AY33" s="16">
        <f t="shared" si="39"/>
        <v>27.336890082302119</v>
      </c>
      <c r="AZ33" s="17">
        <f t="shared" si="40"/>
        <v>1.374213360567211E-2</v>
      </c>
      <c r="BA33" s="18">
        <f t="shared" si="41"/>
        <v>0.20176490388607923</v>
      </c>
      <c r="BB33" s="19">
        <f t="shared" si="96"/>
        <v>989.76913168775479</v>
      </c>
      <c r="BC33" s="15">
        <f t="shared" si="42"/>
        <v>5.4795382633755102E-6</v>
      </c>
      <c r="BD33" s="16">
        <f t="shared" si="43"/>
        <v>27.271345014409178</v>
      </c>
      <c r="BE33" s="17">
        <f t="shared" si="44"/>
        <v>1.3713605045954272E-2</v>
      </c>
      <c r="BF33" s="18">
        <f t="shared" si="45"/>
        <v>0.20224983392222665</v>
      </c>
      <c r="BG33" s="19">
        <f t="shared" si="97"/>
        <v>983.46961100747342</v>
      </c>
      <c r="BH33" s="15">
        <f t="shared" si="46"/>
        <v>5.4669392220149471E-6</v>
      </c>
      <c r="BI33" s="16">
        <f t="shared" si="47"/>
        <v>27.198900526585945</v>
      </c>
      <c r="BJ33" s="17">
        <f t="shared" si="48"/>
        <v>1.3682073506457372E-2</v>
      </c>
      <c r="BK33" s="18">
        <f t="shared" si="49"/>
        <v>0.20278852796305774</v>
      </c>
      <c r="BL33" s="19">
        <f t="shared" si="98"/>
        <v>976.57014077033318</v>
      </c>
      <c r="BM33" s="15">
        <f t="shared" si="50"/>
        <v>5.4531402815406665E-6</v>
      </c>
      <c r="BN33" s="16">
        <f t="shared" si="51"/>
        <v>27.11955661885883</v>
      </c>
      <c r="BO33" s="17">
        <f t="shared" si="52"/>
        <v>1.3647538987192906E-2</v>
      </c>
      <c r="BP33" s="18">
        <f t="shared" si="53"/>
        <v>0.20338182801131993</v>
      </c>
      <c r="BQ33" s="19">
        <f t="shared" si="99"/>
        <v>969.07072097678724</v>
      </c>
      <c r="BR33" s="15">
        <f t="shared" si="54"/>
        <v>5.4381414419535748E-6</v>
      </c>
      <c r="BS33" s="16">
        <f t="shared" si="55"/>
        <v>27.03331329123305</v>
      </c>
      <c r="BT33" s="17">
        <f t="shared" si="56"/>
        <v>1.3610001488163145E-2</v>
      </c>
      <c r="BU33" s="18">
        <f t="shared" si="57"/>
        <v>0.2040306691443822</v>
      </c>
      <c r="BV33" s="19">
        <f t="shared" si="100"/>
        <v>960.971351538617</v>
      </c>
      <c r="BW33" s="15">
        <f t="shared" si="58"/>
        <v>5.4219427030772343E-6</v>
      </c>
      <c r="BX33" s="16">
        <f t="shared" si="59"/>
        <v>26.940170542694094</v>
      </c>
      <c r="BY33" s="17">
        <f t="shared" si="60"/>
        <v>1.3569461008926517E-2</v>
      </c>
      <c r="BZ33" s="18">
        <f t="shared" si="61"/>
        <v>0.20473608328718551</v>
      </c>
      <c r="CA33" s="19">
        <f t="shared" si="101"/>
        <v>952.27202708495281</v>
      </c>
      <c r="CB33" s="15">
        <f t="shared" si="62"/>
        <v>5.4045440541699059E-6</v>
      </c>
      <c r="CC33" s="16">
        <f t="shared" si="63"/>
        <v>26.840128311476956</v>
      </c>
      <c r="CD33" s="17">
        <f t="shared" si="64"/>
        <v>1.3525917522599743E-2</v>
      </c>
      <c r="CE33" s="18">
        <f t="shared" si="65"/>
        <v>0.20549920387830242</v>
      </c>
      <c r="CF33" s="19">
        <f t="shared" si="102"/>
        <v>942.97250065209357</v>
      </c>
      <c r="CG33" s="15">
        <f t="shared" si="66"/>
        <v>5.3859450013041878E-6</v>
      </c>
      <c r="CH33" s="16">
        <f t="shared" si="67"/>
        <v>26.733183757499077</v>
      </c>
      <c r="CI33" s="17">
        <f t="shared" si="68"/>
        <v>1.3479369793033902E-2</v>
      </c>
      <c r="CJ33" s="18">
        <f t="shared" si="69"/>
        <v>0.20632129154660753</v>
      </c>
      <c r="CK33" s="19">
        <f t="shared" si="103"/>
        <v>933.06423311427488</v>
      </c>
      <c r="CL33" s="15">
        <f t="shared" si="70"/>
        <v>5.3661284662285497E-6</v>
      </c>
      <c r="CM33" s="16">
        <f t="shared" si="71"/>
        <v>26.61923868081416</v>
      </c>
      <c r="CN33" s="17">
        <f t="shared" si="72"/>
        <v>1.3429775078599115E-2</v>
      </c>
      <c r="CO33" s="18">
        <f t="shared" si="73"/>
        <v>0.20720446088397682</v>
      </c>
      <c r="CP33" s="19">
        <f t="shared" si="104"/>
        <v>922.33233203469752</v>
      </c>
      <c r="CQ33" s="15">
        <f t="shared" si="74"/>
        <v>5.3446646640693953E-6</v>
      </c>
      <c r="CR33" s="16">
        <f t="shared" si="75"/>
        <v>26.495821818399023</v>
      </c>
      <c r="CS33" s="17">
        <f t="shared" si="76"/>
        <v>1.3376057759466131E-2</v>
      </c>
      <c r="CT33" s="18">
        <f t="shared" si="77"/>
        <v>0.20816961397928344</v>
      </c>
      <c r="CU33" s="19">
        <f t="shared" si="105"/>
        <v>907.07350076771593</v>
      </c>
      <c r="CV33" s="15">
        <f t="shared" si="78"/>
        <v>5.3141470015354326E-6</v>
      </c>
      <c r="CW33" s="16">
        <f t="shared" si="79"/>
        <v>26.320345258828731</v>
      </c>
      <c r="CX33" s="17">
        <f t="shared" si="80"/>
        <v>1.3299681402408142E-2</v>
      </c>
      <c r="CY33" s="18">
        <f t="shared" si="81"/>
        <v>0.20955747144501738</v>
      </c>
      <c r="CZ33" s="20">
        <f t="shared" si="106"/>
        <v>848.73794622676155</v>
      </c>
      <c r="DA33" s="15">
        <f t="shared" si="82"/>
        <v>5.1974758924535235E-6</v>
      </c>
      <c r="DB33" s="16">
        <f t="shared" si="83"/>
        <v>25.649486381607758</v>
      </c>
      <c r="DC33" s="17">
        <f t="shared" si="84"/>
        <v>1.3007689370722404E-2</v>
      </c>
      <c r="DD33" s="18">
        <f t="shared" si="85"/>
        <v>0.21503841901314011</v>
      </c>
    </row>
    <row r="34" spans="2:108" x14ac:dyDescent="0.25">
      <c r="B34">
        <v>15</v>
      </c>
      <c r="C34">
        <f t="shared" si="86"/>
        <v>1.4664219995178772E-2</v>
      </c>
      <c r="D34" s="19">
        <f t="shared" si="3"/>
        <v>1019.7646684563612</v>
      </c>
      <c r="E34" s="15">
        <f t="shared" si="4"/>
        <v>5.5395293369127227E-6</v>
      </c>
      <c r="F34" s="16">
        <f t="shared" si="5"/>
        <v>27.616293687248152</v>
      </c>
      <c r="G34" s="17">
        <f t="shared" si="1"/>
        <v>1.3863744318504099E-2</v>
      </c>
      <c r="H34" s="18">
        <f t="shared" si="6"/>
        <v>0.19972357849550407</v>
      </c>
      <c r="I34" s="19">
        <f t="shared" si="87"/>
        <v>1019.4511374499018</v>
      </c>
      <c r="J34" s="15">
        <f t="shared" si="7"/>
        <v>5.538902274899804E-6</v>
      </c>
      <c r="K34" s="16">
        <f t="shared" si="8"/>
        <v>27.61268808067387</v>
      </c>
      <c r="L34" s="17">
        <f t="shared" si="9"/>
        <v>1.3862174974451523E-2</v>
      </c>
      <c r="M34" s="18">
        <f t="shared" si="10"/>
        <v>0.19974965797916602</v>
      </c>
      <c r="N34" s="19">
        <f t="shared" si="88"/>
        <v>1018.5504993182723</v>
      </c>
      <c r="O34" s="15">
        <f t="shared" si="11"/>
        <v>5.5371009986365447E-6</v>
      </c>
      <c r="P34" s="16">
        <f t="shared" si="12"/>
        <v>27.602330742160131</v>
      </c>
      <c r="Q34" s="17">
        <f t="shared" si="2"/>
        <v>1.3863744318504099E-2</v>
      </c>
      <c r="R34" s="18">
        <f t="shared" si="13"/>
        <v>0.19982461088241973</v>
      </c>
      <c r="S34" s="19">
        <f t="shared" si="89"/>
        <v>1017.0504702114952</v>
      </c>
      <c r="T34" s="15">
        <f t="shared" si="14"/>
        <v>5.534100940422991E-6</v>
      </c>
      <c r="U34" s="16">
        <f t="shared" si="15"/>
        <v>27.585080407432194</v>
      </c>
      <c r="V34" s="17">
        <f t="shared" si="16"/>
        <v>1.3850158705644964E-2</v>
      </c>
      <c r="W34" s="18">
        <f t="shared" si="17"/>
        <v>0.19994957123684642</v>
      </c>
      <c r="X34" s="19">
        <f t="shared" si="90"/>
        <v>1014.9506885324096</v>
      </c>
      <c r="Y34" s="15">
        <f t="shared" si="18"/>
        <v>5.5299013770648196E-6</v>
      </c>
      <c r="Z34" s="16">
        <f t="shared" si="19"/>
        <v>27.56093291812271</v>
      </c>
      <c r="AA34" s="17">
        <f t="shared" si="20"/>
        <v>1.3839648485533106E-2</v>
      </c>
      <c r="AB34" s="18">
        <f t="shared" si="21"/>
        <v>0.20012475689359546</v>
      </c>
      <c r="AC34" s="19">
        <f t="shared" si="91"/>
        <v>1012.2508848804888</v>
      </c>
      <c r="AD34" s="15">
        <f t="shared" si="22"/>
        <v>5.524501769760978E-6</v>
      </c>
      <c r="AE34" s="16">
        <f t="shared" si="23"/>
        <v>27.529885176125621</v>
      </c>
      <c r="AF34" s="17">
        <f t="shared" si="24"/>
        <v>1.3826134923183691E-2</v>
      </c>
      <c r="AG34" s="18">
        <f t="shared" si="25"/>
        <v>0.20035045423230616</v>
      </c>
      <c r="AH34" s="19">
        <f t="shared" si="92"/>
        <v>1008.9511286728269</v>
      </c>
      <c r="AI34" s="15">
        <f t="shared" si="26"/>
        <v>5.517902257345654E-6</v>
      </c>
      <c r="AJ34" s="16">
        <f t="shared" si="27"/>
        <v>27.491937979737507</v>
      </c>
      <c r="AK34" s="17">
        <f t="shared" si="28"/>
        <v>1.3809618366056143E-2</v>
      </c>
      <c r="AL34" s="18">
        <f t="shared" si="29"/>
        <v>0.20062699850644225</v>
      </c>
      <c r="AM34" s="19">
        <f t="shared" si="93"/>
        <v>1005.0514261090253</v>
      </c>
      <c r="AN34" s="15">
        <f t="shared" si="30"/>
        <v>5.5101028522180514E-6</v>
      </c>
      <c r="AO34" s="16">
        <f t="shared" si="31"/>
        <v>27.44709140025379</v>
      </c>
      <c r="AP34" s="17">
        <f t="shared" si="32"/>
        <v>1.3790098845181871E-2</v>
      </c>
      <c r="AQ34" s="18">
        <f t="shared" si="33"/>
        <v>0.20095480863771961</v>
      </c>
      <c r="AR34" s="19">
        <f t="shared" si="94"/>
        <v>1000.5517775530978</v>
      </c>
      <c r="AS34" s="15">
        <f t="shared" si="34"/>
        <v>5.5011035551061959E-6</v>
      </c>
      <c r="AT34" s="16">
        <f t="shared" si="35"/>
        <v>27.395345441860627</v>
      </c>
      <c r="AU34" s="17">
        <f t="shared" si="36"/>
        <v>1.37675763623829E-2</v>
      </c>
      <c r="AV34" s="18">
        <f t="shared" si="37"/>
        <v>0.20133438403634862</v>
      </c>
      <c r="AW34" s="19">
        <f t="shared" si="95"/>
        <v>995.45218302913702</v>
      </c>
      <c r="AX34" s="15">
        <f t="shared" si="38"/>
        <v>5.4909043660582744E-6</v>
      </c>
      <c r="AY34" s="16">
        <f t="shared" si="39"/>
        <v>27.336700104835074</v>
      </c>
      <c r="AZ34" s="17">
        <f t="shared" si="40"/>
        <v>1.3742050917779827E-2</v>
      </c>
      <c r="BA34" s="18">
        <f t="shared" si="41"/>
        <v>0.20176630605917373</v>
      </c>
      <c r="BB34" s="19">
        <f t="shared" si="96"/>
        <v>989.75264254383967</v>
      </c>
      <c r="BC34" s="15">
        <f t="shared" si="42"/>
        <v>5.47950528508768E-6</v>
      </c>
      <c r="BD34" s="16">
        <f t="shared" si="43"/>
        <v>27.271155389254154</v>
      </c>
      <c r="BE34" s="17">
        <f t="shared" si="44"/>
        <v>1.3713522511406168E-2</v>
      </c>
      <c r="BF34" s="18">
        <f t="shared" si="45"/>
        <v>0.20225124023067101</v>
      </c>
      <c r="BG34" s="19">
        <f t="shared" si="97"/>
        <v>983.45315610121634</v>
      </c>
      <c r="BH34" s="15">
        <f t="shared" si="46"/>
        <v>5.4669063122024334E-6</v>
      </c>
      <c r="BI34" s="16">
        <f t="shared" si="47"/>
        <v>27.198711295163989</v>
      </c>
      <c r="BJ34" s="17">
        <f t="shared" si="48"/>
        <v>1.3681991143281998E-2</v>
      </c>
      <c r="BK34" s="18">
        <f t="shared" si="49"/>
        <v>0.20278993883731156</v>
      </c>
      <c r="BL34" s="19">
        <f t="shared" si="98"/>
        <v>976.55372370390467</v>
      </c>
      <c r="BM34" s="15">
        <f t="shared" si="50"/>
        <v>5.4531074474078099E-6</v>
      </c>
      <c r="BN34" s="16">
        <f t="shared" si="51"/>
        <v>27.119367822594903</v>
      </c>
      <c r="BO34" s="17">
        <f t="shared" si="52"/>
        <v>1.3647456813420522E-2</v>
      </c>
      <c r="BP34" s="18">
        <f t="shared" si="53"/>
        <v>0.2033832438897995</v>
      </c>
      <c r="BQ34" s="19">
        <f t="shared" si="99"/>
        <v>969.05434535136885</v>
      </c>
      <c r="BR34" s="15">
        <f t="shared" si="54"/>
        <v>5.438108690702738E-6</v>
      </c>
      <c r="BS34" s="16">
        <f t="shared" si="55"/>
        <v>27.03312497154074</v>
      </c>
      <c r="BT34" s="17">
        <f t="shared" si="56"/>
        <v>1.3609919521819058E-2</v>
      </c>
      <c r="BU34" s="18">
        <f t="shared" si="57"/>
        <v>0.20403209047443099</v>
      </c>
      <c r="BV34" s="19">
        <f t="shared" si="100"/>
        <v>960.95502088228443</v>
      </c>
      <c r="BW34" s="15">
        <f t="shared" si="58"/>
        <v>5.4219100417645692E-6</v>
      </c>
      <c r="BX34" s="16">
        <f t="shared" si="59"/>
        <v>26.93998274014627</v>
      </c>
      <c r="BY34" s="17">
        <f t="shared" si="60"/>
        <v>1.3569379267670111E-2</v>
      </c>
      <c r="BZ34" s="18">
        <f t="shared" si="61"/>
        <v>0.20473751053227487</v>
      </c>
      <c r="CA34" s="19">
        <f t="shared" si="101"/>
        <v>952.25574160885787</v>
      </c>
      <c r="CB34" s="15">
        <f t="shared" si="62"/>
        <v>5.4045114832177162E-6</v>
      </c>
      <c r="CC34" s="16">
        <f t="shared" si="63"/>
        <v>26.839941028501865</v>
      </c>
      <c r="CD34" s="17">
        <f t="shared" si="64"/>
        <v>1.3525836007487916E-2</v>
      </c>
      <c r="CE34" s="18">
        <f t="shared" si="65"/>
        <v>0.20550063780478683</v>
      </c>
      <c r="CF34" s="19">
        <f t="shared" si="102"/>
        <v>942.95614812375834</v>
      </c>
      <c r="CG34" s="15">
        <f t="shared" si="66"/>
        <v>5.3859122962475175E-6</v>
      </c>
      <c r="CH34" s="16">
        <f t="shared" si="67"/>
        <v>26.732995703423221</v>
      </c>
      <c r="CI34" s="17">
        <f t="shared" si="68"/>
        <v>1.3479287942299656E-2</v>
      </c>
      <c r="CJ34" s="18">
        <f t="shared" si="69"/>
        <v>0.20632274292004288</v>
      </c>
      <c r="CK34" s="19">
        <f t="shared" si="103"/>
        <v>933.04494833307797</v>
      </c>
      <c r="CL34" s="15">
        <f t="shared" si="70"/>
        <v>5.3660898966661566E-6</v>
      </c>
      <c r="CM34" s="16">
        <f t="shared" si="71"/>
        <v>26.619016905830396</v>
      </c>
      <c r="CN34" s="17">
        <f t="shared" si="72"/>
        <v>1.3429678550804246E-2</v>
      </c>
      <c r="CO34" s="18">
        <f t="shared" si="73"/>
        <v>0.20720618719739067</v>
      </c>
      <c r="CP34" s="19">
        <f t="shared" si="104"/>
        <v>922.26184106243886</v>
      </c>
      <c r="CQ34" s="15">
        <f t="shared" si="74"/>
        <v>5.3445236821248785E-6</v>
      </c>
      <c r="CR34" s="16">
        <f t="shared" si="75"/>
        <v>26.495011172218046</v>
      </c>
      <c r="CS34" s="17">
        <f t="shared" si="76"/>
        <v>1.3375704924863507E-2</v>
      </c>
      <c r="CT34" s="18">
        <f t="shared" si="77"/>
        <v>0.20817598317465649</v>
      </c>
      <c r="CU34" s="19">
        <f t="shared" si="105"/>
        <v>906.47141457573923</v>
      </c>
      <c r="CV34" s="15">
        <f t="shared" si="78"/>
        <v>5.312942829151479E-6</v>
      </c>
      <c r="CW34" s="16">
        <f t="shared" si="79"/>
        <v>26.313421267621003</v>
      </c>
      <c r="CX34" s="17">
        <f t="shared" si="80"/>
        <v>1.3296667727954736E-2</v>
      </c>
      <c r="CY34" s="18">
        <f t="shared" si="81"/>
        <v>0.20961261342275725</v>
      </c>
      <c r="CZ34" s="20">
        <f t="shared" si="106"/>
        <v>845.81231599380885</v>
      </c>
      <c r="DA34" s="15">
        <f t="shared" si="82"/>
        <v>5.191624631987618E-6</v>
      </c>
      <c r="DB34" s="16">
        <f t="shared" si="83"/>
        <v>25.615841633928802</v>
      </c>
      <c r="DC34" s="17">
        <f t="shared" si="84"/>
        <v>1.2993045458919331E-2</v>
      </c>
      <c r="DD34" s="18">
        <f t="shared" si="85"/>
        <v>0.21532085803866077</v>
      </c>
    </row>
    <row r="35" spans="2:108" x14ac:dyDescent="0.25">
      <c r="B35">
        <v>16</v>
      </c>
      <c r="C35">
        <f t="shared" si="86"/>
        <v>1.5641834661524023E-2</v>
      </c>
      <c r="D35" s="19">
        <f t="shared" si="3"/>
        <v>1019.7486611470249</v>
      </c>
      <c r="E35" s="15">
        <f t="shared" si="4"/>
        <v>5.5394973222940503E-6</v>
      </c>
      <c r="F35" s="16">
        <f t="shared" si="5"/>
        <v>27.616109603190786</v>
      </c>
      <c r="G35" s="17">
        <f t="shared" si="1"/>
        <v>1.3863664195724575E-2</v>
      </c>
      <c r="H35" s="18">
        <f t="shared" si="6"/>
        <v>0.19972490981722932</v>
      </c>
      <c r="I35" s="19">
        <f t="shared" si="87"/>
        <v>1019.4345815772679</v>
      </c>
      <c r="J35" s="15">
        <f t="shared" si="7"/>
        <v>5.5388691631545357E-6</v>
      </c>
      <c r="K35" s="16">
        <f t="shared" si="8"/>
        <v>27.612497688138582</v>
      </c>
      <c r="L35" s="17">
        <f t="shared" si="9"/>
        <v>1.3862092105900347E-2</v>
      </c>
      <c r="M35" s="18">
        <f t="shared" si="10"/>
        <v>0.19975103528462515</v>
      </c>
      <c r="N35" s="19">
        <f t="shared" si="88"/>
        <v>1018.5338709377737</v>
      </c>
      <c r="O35" s="15">
        <f t="shared" si="11"/>
        <v>5.537067741875548E-6</v>
      </c>
      <c r="P35" s="16">
        <f t="shared" si="12"/>
        <v>27.602139515784398</v>
      </c>
      <c r="Q35" s="17">
        <f t="shared" si="2"/>
        <v>1.3863664195724575E-2</v>
      </c>
      <c r="R35" s="18">
        <f t="shared" si="13"/>
        <v>0.19982599525829753</v>
      </c>
      <c r="S35" s="19">
        <f t="shared" si="89"/>
        <v>1017.033837681915</v>
      </c>
      <c r="T35" s="15">
        <f t="shared" si="14"/>
        <v>5.5340676753638301E-6</v>
      </c>
      <c r="U35" s="16">
        <f t="shared" si="15"/>
        <v>27.584889133342021</v>
      </c>
      <c r="V35" s="17">
        <f t="shared" si="16"/>
        <v>1.38500754533961E-2</v>
      </c>
      <c r="W35" s="18">
        <f t="shared" si="17"/>
        <v>0.19995095769057236</v>
      </c>
      <c r="X35" s="19">
        <f t="shared" si="90"/>
        <v>1014.9340688554397</v>
      </c>
      <c r="Y35" s="15">
        <f t="shared" si="18"/>
        <v>5.5298681377108802E-6</v>
      </c>
      <c r="Z35" s="16">
        <f t="shared" si="19"/>
        <v>27.560741791837557</v>
      </c>
      <c r="AA35" s="17">
        <f t="shared" si="20"/>
        <v>1.3839565297616534E-2</v>
      </c>
      <c r="AB35" s="18">
        <f t="shared" si="21"/>
        <v>0.20012614470462178</v>
      </c>
      <c r="AC35" s="19">
        <f t="shared" si="91"/>
        <v>1012.2342786678748</v>
      </c>
      <c r="AD35" s="15">
        <f t="shared" si="22"/>
        <v>5.5244685573357499E-6</v>
      </c>
      <c r="AE35" s="16">
        <f t="shared" si="23"/>
        <v>27.52969420468056</v>
      </c>
      <c r="AF35" s="17">
        <f t="shared" si="24"/>
        <v>1.3826051802661431E-2</v>
      </c>
      <c r="AG35" s="18">
        <f t="shared" si="25"/>
        <v>0.20035184404853437</v>
      </c>
      <c r="AH35" s="19">
        <f t="shared" si="92"/>
        <v>1008.9345387759344</v>
      </c>
      <c r="AI35" s="15">
        <f t="shared" si="26"/>
        <v>5.5178690775518696E-6</v>
      </c>
      <c r="AJ35" s="16">
        <f t="shared" si="27"/>
        <v>27.491747195923246</v>
      </c>
      <c r="AK35" s="17">
        <f t="shared" si="28"/>
        <v>1.3809535327200388E-2</v>
      </c>
      <c r="AL35" s="18">
        <f t="shared" si="29"/>
        <v>0.20062839079277991</v>
      </c>
      <c r="AM35" s="19">
        <f t="shared" si="93"/>
        <v>1005.0348560525089</v>
      </c>
      <c r="AN35" s="15">
        <f t="shared" si="30"/>
        <v>5.5100697121050179E-6</v>
      </c>
      <c r="AO35" s="16">
        <f t="shared" si="31"/>
        <v>27.446900844603853</v>
      </c>
      <c r="AP35" s="17">
        <f t="shared" si="32"/>
        <v>1.3790015905634874E-2</v>
      </c>
      <c r="AQ35" s="18">
        <f t="shared" si="33"/>
        <v>0.20095620380704618</v>
      </c>
      <c r="AR35" s="19">
        <f t="shared" si="94"/>
        <v>1000.5352309314841</v>
      </c>
      <c r="AS35" s="15">
        <f t="shared" si="34"/>
        <v>5.5010704618629682E-6</v>
      </c>
      <c r="AT35" s="16">
        <f t="shared" si="35"/>
        <v>27.395155155712068</v>
      </c>
      <c r="AU35" s="17">
        <f t="shared" si="36"/>
        <v>1.3767493540136662E-2</v>
      </c>
      <c r="AV35" s="18">
        <f t="shared" si="37"/>
        <v>0.20133578250057679</v>
      </c>
      <c r="AW35" s="19">
        <f t="shared" si="95"/>
        <v>995.43566344246324</v>
      </c>
      <c r="AX35" s="15">
        <f t="shared" si="38"/>
        <v>5.4908713268849273E-6</v>
      </c>
      <c r="AY35" s="16">
        <f t="shared" si="39"/>
        <v>27.336510129588326</v>
      </c>
      <c r="AZ35" s="17">
        <f t="shared" si="40"/>
        <v>1.3741968230853928E-2</v>
      </c>
      <c r="BA35" s="18">
        <f t="shared" si="41"/>
        <v>0.20176770823536949</v>
      </c>
      <c r="BB35" s="19">
        <f t="shared" si="96"/>
        <v>989.73615359321161</v>
      </c>
      <c r="BC35" s="15">
        <f t="shared" si="42"/>
        <v>5.4794723071864237E-6</v>
      </c>
      <c r="BD35" s="16">
        <f t="shared" si="43"/>
        <v>27.270965766321932</v>
      </c>
      <c r="BE35" s="17">
        <f t="shared" si="44"/>
        <v>1.3713439977825537E-2</v>
      </c>
      <c r="BF35" s="18">
        <f t="shared" si="45"/>
        <v>0.2022526465421873</v>
      </c>
      <c r="BG35" s="19">
        <f t="shared" si="97"/>
        <v>983.4367013883184</v>
      </c>
      <c r="BH35" s="15">
        <f t="shared" si="46"/>
        <v>5.4668734027766369E-6</v>
      </c>
      <c r="BI35" s="16">
        <f t="shared" si="47"/>
        <v>27.198522065965662</v>
      </c>
      <c r="BJ35" s="17">
        <f t="shared" si="48"/>
        <v>1.3681908781074462E-2</v>
      </c>
      <c r="BK35" s="18">
        <f t="shared" si="49"/>
        <v>0.2027913497146181</v>
      </c>
      <c r="BL35" s="19">
        <f t="shared" si="98"/>
        <v>976.53730683077026</v>
      </c>
      <c r="BM35" s="15">
        <f t="shared" si="50"/>
        <v>5.4530746136615408E-6</v>
      </c>
      <c r="BN35" s="16">
        <f t="shared" si="51"/>
        <v>27.119179028553859</v>
      </c>
      <c r="BO35" s="17">
        <f t="shared" si="52"/>
        <v>1.3647374640615651E-2</v>
      </c>
      <c r="BP35" s="18">
        <f t="shared" si="53"/>
        <v>0.20338465977132211</v>
      </c>
      <c r="BQ35" s="19">
        <f t="shared" si="99"/>
        <v>969.03796991805541</v>
      </c>
      <c r="BR35" s="15">
        <f t="shared" si="54"/>
        <v>5.438075939836111E-6</v>
      </c>
      <c r="BS35" s="16">
        <f t="shared" si="55"/>
        <v>27.032936654057636</v>
      </c>
      <c r="BT35" s="17">
        <f t="shared" si="56"/>
        <v>1.3609837556436528E-2</v>
      </c>
      <c r="BU35" s="18">
        <f t="shared" si="57"/>
        <v>0.20403351180760845</v>
      </c>
      <c r="BV35" s="19">
        <f t="shared" si="100"/>
        <v>960.938690370995</v>
      </c>
      <c r="BW35" s="15">
        <f t="shared" si="58"/>
        <v>5.4218773807419909E-6</v>
      </c>
      <c r="BX35" s="16">
        <f t="shared" si="59"/>
        <v>26.939794939266442</v>
      </c>
      <c r="BY35" s="17">
        <f t="shared" si="60"/>
        <v>1.3569297527139704E-2</v>
      </c>
      <c r="BZ35" s="18">
        <f t="shared" si="61"/>
        <v>0.20473893778458685</v>
      </c>
      <c r="CA35" s="19">
        <f t="shared" si="101"/>
        <v>952.23945469805608</v>
      </c>
      <c r="CB35" s="15">
        <f t="shared" si="62"/>
        <v>5.4044789093961126E-6</v>
      </c>
      <c r="CC35" s="16">
        <f t="shared" si="63"/>
        <v>26.839753729027642</v>
      </c>
      <c r="CD35" s="17">
        <f t="shared" si="64"/>
        <v>1.3525754485194826E-2</v>
      </c>
      <c r="CE35" s="18">
        <f t="shared" si="65"/>
        <v>0.20550207187761038</v>
      </c>
      <c r="CF35" s="19">
        <f t="shared" si="102"/>
        <v>942.9397556722364</v>
      </c>
      <c r="CG35" s="15">
        <f t="shared" si="66"/>
        <v>5.3858795113444733E-6</v>
      </c>
      <c r="CH35" s="16">
        <f t="shared" si="67"/>
        <v>26.732807190230716</v>
      </c>
      <c r="CI35" s="17">
        <f t="shared" si="68"/>
        <v>1.3479205891734408E-2</v>
      </c>
      <c r="CJ35" s="18">
        <f t="shared" si="69"/>
        <v>0.2063241978573668</v>
      </c>
      <c r="CK35" s="19">
        <f t="shared" si="103"/>
        <v>933.02499151188215</v>
      </c>
      <c r="CL35" s="15">
        <f t="shared" si="70"/>
        <v>5.366049983023764E-6</v>
      </c>
      <c r="CM35" s="16">
        <f t="shared" si="71"/>
        <v>26.618787402386644</v>
      </c>
      <c r="CN35" s="17">
        <f t="shared" si="72"/>
        <v>1.3429578659189041E-2</v>
      </c>
      <c r="CO35" s="18">
        <f t="shared" si="73"/>
        <v>0.20720797370001415</v>
      </c>
      <c r="CP35" s="19">
        <f t="shared" si="104"/>
        <v>922.18468178177045</v>
      </c>
      <c r="CQ35" s="15">
        <f t="shared" si="74"/>
        <v>5.3443693635635411E-6</v>
      </c>
      <c r="CR35" s="16">
        <f t="shared" si="75"/>
        <v>26.49412384049036</v>
      </c>
      <c r="CS35" s="17">
        <f t="shared" si="76"/>
        <v>1.3375318712796045E-2</v>
      </c>
      <c r="CT35" s="18">
        <f t="shared" si="77"/>
        <v>0.20818295533029091</v>
      </c>
      <c r="CU35" s="19">
        <f t="shared" si="105"/>
        <v>905.84437292405516</v>
      </c>
      <c r="CV35" s="15">
        <f t="shared" si="78"/>
        <v>5.3116887458481108E-6</v>
      </c>
      <c r="CW35" s="16">
        <f t="shared" si="79"/>
        <v>26.306210288626634</v>
      </c>
      <c r="CX35" s="17">
        <f t="shared" si="80"/>
        <v>1.3293529141765447E-2</v>
      </c>
      <c r="CY35" s="18">
        <f t="shared" si="81"/>
        <v>0.20967007179991465</v>
      </c>
      <c r="CZ35" s="20">
        <f t="shared" si="106"/>
        <v>842.96382684566561</v>
      </c>
      <c r="DA35" s="15">
        <f t="shared" si="82"/>
        <v>5.1859276536913314E-6</v>
      </c>
      <c r="DB35" s="16">
        <f t="shared" si="83"/>
        <v>25.583084008725152</v>
      </c>
      <c r="DC35" s="17">
        <f t="shared" si="84"/>
        <v>1.2978787668106402E-2</v>
      </c>
      <c r="DD35" s="18">
        <f t="shared" si="85"/>
        <v>0.21559656365584726</v>
      </c>
    </row>
    <row r="36" spans="2:108" x14ac:dyDescent="0.25">
      <c r="B36">
        <v>17</v>
      </c>
      <c r="C36">
        <f t="shared" si="86"/>
        <v>1.6619449327869275E-2</v>
      </c>
      <c r="D36" s="19">
        <f t="shared" si="3"/>
        <v>1019.7326258308178</v>
      </c>
      <c r="E36" s="15">
        <f t="shared" si="4"/>
        <v>5.5394652516616364E-6</v>
      </c>
      <c r="F36" s="16">
        <f t="shared" si="5"/>
        <v>27.615925197054402</v>
      </c>
      <c r="G36" s="17">
        <f t="shared" si="1"/>
        <v>1.386358393275982E-2</v>
      </c>
      <c r="H36" s="18">
        <f t="shared" si="6"/>
        <v>0.1997262434860706</v>
      </c>
      <c r="I36" s="19">
        <f t="shared" si="87"/>
        <v>1019.4180280951816</v>
      </c>
      <c r="J36" s="15">
        <f t="shared" si="7"/>
        <v>5.5388360561903636E-6</v>
      </c>
      <c r="K36" s="16">
        <f t="shared" si="8"/>
        <v>27.612307323094587</v>
      </c>
      <c r="L36" s="17">
        <f t="shared" si="9"/>
        <v>1.3862009249314793E-2</v>
      </c>
      <c r="M36" s="18">
        <f t="shared" si="10"/>
        <v>0.19975241241020089</v>
      </c>
      <c r="N36" s="19">
        <f t="shared" si="88"/>
        <v>1018.5172433386017</v>
      </c>
      <c r="O36" s="15">
        <f t="shared" si="11"/>
        <v>5.5370344866772042E-6</v>
      </c>
      <c r="P36" s="16">
        <f t="shared" si="12"/>
        <v>27.601948298393921</v>
      </c>
      <c r="Q36" s="17">
        <f t="shared" si="2"/>
        <v>1.386358393275982E-2</v>
      </c>
      <c r="R36" s="18">
        <f t="shared" si="13"/>
        <v>0.19982737958830749</v>
      </c>
      <c r="S36" s="19">
        <f t="shared" si="89"/>
        <v>1017.0172055044427</v>
      </c>
      <c r="T36" s="15">
        <f t="shared" si="14"/>
        <v>5.5340344110088857E-6</v>
      </c>
      <c r="U36" s="16">
        <f t="shared" si="15"/>
        <v>27.584697863301088</v>
      </c>
      <c r="V36" s="17">
        <f t="shared" si="16"/>
        <v>1.3849992202909674E-2</v>
      </c>
      <c r="W36" s="18">
        <f t="shared" si="17"/>
        <v>0.19995234413417423</v>
      </c>
      <c r="X36" s="19">
        <f t="shared" si="90"/>
        <v>1014.9174493324018</v>
      </c>
      <c r="Y36" s="15">
        <f t="shared" si="18"/>
        <v>5.5298348986648041E-6</v>
      </c>
      <c r="Z36" s="16">
        <f t="shared" si="19"/>
        <v>27.560550667322619</v>
      </c>
      <c r="AA36" s="17">
        <f t="shared" si="20"/>
        <v>1.3839482110470451E-2</v>
      </c>
      <c r="AB36" s="18">
        <f t="shared" si="21"/>
        <v>0.20012753252204221</v>
      </c>
      <c r="AC36" s="19">
        <f t="shared" si="91"/>
        <v>1012.2176726357533</v>
      </c>
      <c r="AD36" s="15">
        <f t="shared" si="22"/>
        <v>5.5244353452715069E-6</v>
      </c>
      <c r="AE36" s="16">
        <f t="shared" si="23"/>
        <v>27.529503235311161</v>
      </c>
      <c r="AF36" s="17">
        <f t="shared" si="24"/>
        <v>1.3825968683042608E-2</v>
      </c>
      <c r="AG36" s="18">
        <f t="shared" si="25"/>
        <v>0.20035323386893863</v>
      </c>
      <c r="AH36" s="19">
        <f t="shared" si="92"/>
        <v>1008.9179490691666</v>
      </c>
      <c r="AI36" s="15">
        <f t="shared" si="26"/>
        <v>5.5178358981383335E-6</v>
      </c>
      <c r="AJ36" s="16">
        <f t="shared" si="27"/>
        <v>27.491556414295417</v>
      </c>
      <c r="AK36" s="17">
        <f t="shared" si="28"/>
        <v>1.3809452289296276E-2</v>
      </c>
      <c r="AL36" s="18">
        <f t="shared" si="29"/>
        <v>0.20062978308248541</v>
      </c>
      <c r="AM36" s="19">
        <f t="shared" si="93"/>
        <v>1005.0182861879542</v>
      </c>
      <c r="AN36" s="15">
        <f t="shared" si="30"/>
        <v>5.5100365723759089E-6</v>
      </c>
      <c r="AO36" s="16">
        <f t="shared" si="31"/>
        <v>27.446710291161473</v>
      </c>
      <c r="AP36" s="17">
        <f t="shared" si="32"/>
        <v>1.3789932967048722E-2</v>
      </c>
      <c r="AQ36" s="18">
        <f t="shared" si="33"/>
        <v>0.20095759897958224</v>
      </c>
      <c r="AR36" s="19">
        <f t="shared" si="94"/>
        <v>1000.518684502531</v>
      </c>
      <c r="AS36" s="15">
        <f t="shared" si="34"/>
        <v>5.5010373690050626E-6</v>
      </c>
      <c r="AT36" s="16">
        <f t="shared" si="35"/>
        <v>27.394964871779106</v>
      </c>
      <c r="AU36" s="17">
        <f t="shared" si="36"/>
        <v>1.3767410718854768E-2</v>
      </c>
      <c r="AV36" s="18">
        <f t="shared" si="37"/>
        <v>0.20133718096794917</v>
      </c>
      <c r="AW36" s="19">
        <f t="shared" si="95"/>
        <v>995.41914404885449</v>
      </c>
      <c r="AX36" s="15">
        <f t="shared" si="38"/>
        <v>5.4908382880977095E-6</v>
      </c>
      <c r="AY36" s="16">
        <f t="shared" si="39"/>
        <v>27.336320156561825</v>
      </c>
      <c r="AZ36" s="17">
        <f t="shared" si="40"/>
        <v>1.3741885544894396E-2</v>
      </c>
      <c r="BA36" s="18">
        <f t="shared" si="41"/>
        <v>0.20176911041466664</v>
      </c>
      <c r="BB36" s="19">
        <f t="shared" si="96"/>
        <v>989.71966483586652</v>
      </c>
      <c r="BC36" s="15">
        <f t="shared" si="42"/>
        <v>5.4794393296717338E-6</v>
      </c>
      <c r="BD36" s="16">
        <f t="shared" si="43"/>
        <v>27.270776145612466</v>
      </c>
      <c r="BE36" s="17">
        <f t="shared" si="44"/>
        <v>1.3713357445212364E-2</v>
      </c>
      <c r="BF36" s="18">
        <f t="shared" si="45"/>
        <v>0.20225405285677564</v>
      </c>
      <c r="BG36" s="19">
        <f t="shared" si="97"/>
        <v>983.42024686877551</v>
      </c>
      <c r="BH36" s="15">
        <f t="shared" si="46"/>
        <v>5.4668404937375515E-6</v>
      </c>
      <c r="BI36" s="16">
        <f t="shared" si="47"/>
        <v>27.198332838990918</v>
      </c>
      <c r="BJ36" s="17">
        <f t="shared" si="48"/>
        <v>1.3681826419834741E-2</v>
      </c>
      <c r="BK36" s="18">
        <f t="shared" si="49"/>
        <v>0.2027927605949775</v>
      </c>
      <c r="BL36" s="19">
        <f t="shared" si="98"/>
        <v>976.52089015091155</v>
      </c>
      <c r="BM36" s="15">
        <f t="shared" si="50"/>
        <v>5.4530417803018229E-6</v>
      </c>
      <c r="BN36" s="16">
        <f t="shared" si="51"/>
        <v>27.118990236735485</v>
      </c>
      <c r="BO36" s="17">
        <f t="shared" si="52"/>
        <v>1.3647292468778193E-2</v>
      </c>
      <c r="BP36" s="18">
        <f t="shared" si="53"/>
        <v>0.20338607565588906</v>
      </c>
      <c r="BQ36" s="19">
        <f t="shared" si="99"/>
        <v>969.02159467619333</v>
      </c>
      <c r="BR36" s="15">
        <f t="shared" si="54"/>
        <v>5.438043189352387E-6</v>
      </c>
      <c r="BS36" s="16">
        <f t="shared" si="55"/>
        <v>27.032748338776223</v>
      </c>
      <c r="BT36" s="17">
        <f t="shared" si="56"/>
        <v>1.3609755592012291E-2</v>
      </c>
      <c r="BU36" s="18">
        <f t="shared" si="57"/>
        <v>0.204034933143971</v>
      </c>
      <c r="BV36" s="19">
        <f t="shared" si="100"/>
        <v>960.92235998309684</v>
      </c>
      <c r="BW36" s="15">
        <f t="shared" si="58"/>
        <v>5.421844719966194E-6</v>
      </c>
      <c r="BX36" s="16">
        <f t="shared" si="59"/>
        <v>26.939607139805613</v>
      </c>
      <c r="BY36" s="17">
        <f t="shared" si="60"/>
        <v>1.3569215787226916E-2</v>
      </c>
      <c r="BZ36" s="18">
        <f t="shared" si="61"/>
        <v>0.20474036504601376</v>
      </c>
      <c r="CA36" s="19">
        <f t="shared" si="101"/>
        <v>952.22316583361965</v>
      </c>
      <c r="CB36" s="15">
        <f t="shared" si="62"/>
        <v>5.4044463316672399E-6</v>
      </c>
      <c r="CC36" s="16">
        <f t="shared" si="63"/>
        <v>26.839566407086625</v>
      </c>
      <c r="CD36" s="17">
        <f t="shared" si="64"/>
        <v>1.3525672953123038E-2</v>
      </c>
      <c r="CE36" s="18">
        <f t="shared" si="65"/>
        <v>0.20550350614247156</v>
      </c>
      <c r="CF36" s="19">
        <f t="shared" si="102"/>
        <v>942.92331498534975</v>
      </c>
      <c r="CG36" s="15">
        <f t="shared" si="66"/>
        <v>5.3858466299707004E-6</v>
      </c>
      <c r="CH36" s="16">
        <f t="shared" si="67"/>
        <v>26.732618122331523</v>
      </c>
      <c r="CI36" s="17">
        <f t="shared" si="68"/>
        <v>1.3479123599732487E-2</v>
      </c>
      <c r="CJ36" s="18">
        <f t="shared" si="69"/>
        <v>0.20632565709650541</v>
      </c>
      <c r="CK36" s="19">
        <f t="shared" si="103"/>
        <v>933.00428772738871</v>
      </c>
      <c r="CL36" s="15">
        <f t="shared" si="70"/>
        <v>5.3660085754547782E-6</v>
      </c>
      <c r="CM36" s="16">
        <f t="shared" si="71"/>
        <v>26.618549308864971</v>
      </c>
      <c r="CN36" s="17">
        <f t="shared" si="72"/>
        <v>1.342947502873339E-2</v>
      </c>
      <c r="CO36" s="18">
        <f t="shared" si="73"/>
        <v>0.20720982710215133</v>
      </c>
      <c r="CP36" s="19">
        <f t="shared" si="104"/>
        <v>922.1006801964229</v>
      </c>
      <c r="CQ36" s="15">
        <f t="shared" si="74"/>
        <v>5.3442013603928457E-6</v>
      </c>
      <c r="CR36" s="16">
        <f t="shared" si="75"/>
        <v>26.493157822258862</v>
      </c>
      <c r="CS36" s="17">
        <f t="shared" si="76"/>
        <v>1.3374898252345065E-2</v>
      </c>
      <c r="CT36" s="18">
        <f t="shared" si="77"/>
        <v>0.20819054629138681</v>
      </c>
      <c r="CU36" s="19">
        <f t="shared" si="105"/>
        <v>905.19401854252988</v>
      </c>
      <c r="CV36" s="15">
        <f t="shared" si="78"/>
        <v>5.3103880370850605E-6</v>
      </c>
      <c r="CW36" s="16">
        <f t="shared" si="79"/>
        <v>26.298731213239094</v>
      </c>
      <c r="CX36" s="17">
        <f t="shared" si="80"/>
        <v>1.3290273866339138E-2</v>
      </c>
      <c r="CY36" s="18">
        <f t="shared" si="81"/>
        <v>0.20972969970594507</v>
      </c>
      <c r="CZ36" s="20">
        <f t="shared" si="106"/>
        <v>840.18929667037389</v>
      </c>
      <c r="DA36" s="15">
        <f t="shared" si="82"/>
        <v>5.180378593340748E-6</v>
      </c>
      <c r="DB36" s="16">
        <f t="shared" si="83"/>
        <v>25.551176911709298</v>
      </c>
      <c r="DC36" s="17">
        <f t="shared" si="84"/>
        <v>1.2964900070581499E-2</v>
      </c>
      <c r="DD36" s="18">
        <f t="shared" si="85"/>
        <v>0.21586579041188364</v>
      </c>
    </row>
    <row r="37" spans="2:108" x14ac:dyDescent="0.25">
      <c r="B37">
        <v>18</v>
      </c>
      <c r="C37">
        <f t="shared" si="86"/>
        <v>1.7597063994214526E-2</v>
      </c>
      <c r="D37" s="19">
        <f t="shared" si="3"/>
        <v>1019.7165640596785</v>
      </c>
      <c r="E37" s="15">
        <f t="shared" si="4"/>
        <v>5.5394331281193577E-6</v>
      </c>
      <c r="F37" s="16">
        <f t="shared" si="5"/>
        <v>27.615740486686303</v>
      </c>
      <c r="G37" s="17">
        <f t="shared" si="1"/>
        <v>1.386350353737789E-2</v>
      </c>
      <c r="H37" s="18">
        <f t="shared" si="6"/>
        <v>0.19972757937304317</v>
      </c>
      <c r="I37" s="19">
        <f t="shared" si="87"/>
        <v>1019.4014767596032</v>
      </c>
      <c r="J37" s="15">
        <f t="shared" si="7"/>
        <v>5.5388029535192069E-6</v>
      </c>
      <c r="K37" s="16">
        <f t="shared" si="8"/>
        <v>27.612116982735436</v>
      </c>
      <c r="L37" s="17">
        <f t="shared" si="9"/>
        <v>1.3861926403473338E-2</v>
      </c>
      <c r="M37" s="18">
        <f t="shared" si="10"/>
        <v>0.19975378937618807</v>
      </c>
      <c r="N37" s="19">
        <f t="shared" si="88"/>
        <v>1018.5006165300281</v>
      </c>
      <c r="O37" s="15">
        <f t="shared" si="11"/>
        <v>5.5370012330600574E-6</v>
      </c>
      <c r="P37" s="16">
        <f t="shared" si="12"/>
        <v>27.601757090095322</v>
      </c>
      <c r="Q37" s="17">
        <f t="shared" si="2"/>
        <v>1.386350353737789E-2</v>
      </c>
      <c r="R37" s="18">
        <f t="shared" si="13"/>
        <v>0.19982876387167539</v>
      </c>
      <c r="S37" s="19">
        <f t="shared" si="89"/>
        <v>1017.0005736809876</v>
      </c>
      <c r="T37" s="15">
        <f t="shared" si="14"/>
        <v>5.5340011473619752E-6</v>
      </c>
      <c r="U37" s="16">
        <f t="shared" si="15"/>
        <v>27.584506597331355</v>
      </c>
      <c r="V37" s="17">
        <f t="shared" si="16"/>
        <v>1.3849908954195241E-2</v>
      </c>
      <c r="W37" s="18">
        <f t="shared" si="17"/>
        <v>0.19995373056749202</v>
      </c>
      <c r="X37" s="19">
        <f t="shared" si="90"/>
        <v>1014.9008299661086</v>
      </c>
      <c r="Y37" s="15">
        <f t="shared" si="18"/>
        <v>5.5298016599322184E-6</v>
      </c>
      <c r="Z37" s="16">
        <f t="shared" si="19"/>
        <v>27.56035954461025</v>
      </c>
      <c r="AA37" s="17">
        <f t="shared" si="20"/>
        <v>1.3839398924108936E-2</v>
      </c>
      <c r="AB37" s="18">
        <f t="shared" si="21"/>
        <v>0.20012892034562171</v>
      </c>
      <c r="AC37" s="19">
        <f t="shared" si="91"/>
        <v>1012.2010667839381</v>
      </c>
      <c r="AD37" s="15">
        <f t="shared" si="22"/>
        <v>5.5244021335678763E-6</v>
      </c>
      <c r="AE37" s="16">
        <f t="shared" si="23"/>
        <v>27.529312268015289</v>
      </c>
      <c r="AF37" s="17">
        <f t="shared" si="24"/>
        <v>1.3825885564326283E-2</v>
      </c>
      <c r="AG37" s="18">
        <f t="shared" si="25"/>
        <v>0.2003546236935343</v>
      </c>
      <c r="AH37" s="19">
        <f t="shared" si="92"/>
        <v>1008.901359552427</v>
      </c>
      <c r="AI37" s="15">
        <f t="shared" si="26"/>
        <v>5.5178027191048544E-6</v>
      </c>
      <c r="AJ37" s="16">
        <f t="shared" si="27"/>
        <v>27.491365634852912</v>
      </c>
      <c r="AK37" s="17">
        <f t="shared" si="28"/>
        <v>1.380936925234333E-2</v>
      </c>
      <c r="AL37" s="18">
        <f t="shared" si="29"/>
        <v>0.20063117537556663</v>
      </c>
      <c r="AM37" s="19">
        <f t="shared" si="93"/>
        <v>1005.0017165153461</v>
      </c>
      <c r="AN37" s="15">
        <f t="shared" si="30"/>
        <v>5.5100034330306929E-6</v>
      </c>
      <c r="AO37" s="16">
        <f t="shared" si="31"/>
        <v>27.44651973992648</v>
      </c>
      <c r="AP37" s="17">
        <f t="shared" si="32"/>
        <v>1.3789850029423336E-2</v>
      </c>
      <c r="AQ37" s="18">
        <f t="shared" si="33"/>
        <v>0.20095899415532872</v>
      </c>
      <c r="AR37" s="19">
        <f t="shared" si="94"/>
        <v>1000.502138266233</v>
      </c>
      <c r="AS37" s="15">
        <f t="shared" si="34"/>
        <v>5.5010042765324663E-6</v>
      </c>
      <c r="AT37" s="16">
        <f t="shared" si="35"/>
        <v>27.394774590061679</v>
      </c>
      <c r="AU37" s="17">
        <f t="shared" si="36"/>
        <v>1.3767327898537187E-2</v>
      </c>
      <c r="AV37" s="18">
        <f t="shared" si="37"/>
        <v>0.20133857943846589</v>
      </c>
      <c r="AW37" s="19">
        <f t="shared" si="95"/>
        <v>995.40262484830635</v>
      </c>
      <c r="AX37" s="15">
        <f t="shared" si="38"/>
        <v>5.4908052496966133E-6</v>
      </c>
      <c r="AY37" s="16">
        <f t="shared" si="39"/>
        <v>27.336130185755522</v>
      </c>
      <c r="AZ37" s="17">
        <f t="shared" si="40"/>
        <v>1.3741802859901207E-2</v>
      </c>
      <c r="BA37" s="18">
        <f t="shared" si="41"/>
        <v>0.20177051259706524</v>
      </c>
      <c r="BB37" s="19">
        <f t="shared" si="96"/>
        <v>989.70317627180043</v>
      </c>
      <c r="BC37" s="15">
        <f t="shared" si="42"/>
        <v>5.4794063525436018E-6</v>
      </c>
      <c r="BD37" s="16">
        <f t="shared" si="43"/>
        <v>27.270586527125705</v>
      </c>
      <c r="BE37" s="17">
        <f t="shared" si="44"/>
        <v>1.3713274913566628E-2</v>
      </c>
      <c r="BF37" s="18">
        <f t="shared" si="45"/>
        <v>0.2022554591744361</v>
      </c>
      <c r="BG37" s="19">
        <f t="shared" si="97"/>
        <v>983.40379254258312</v>
      </c>
      <c r="BH37" s="15">
        <f t="shared" si="46"/>
        <v>5.4668075850851664E-6</v>
      </c>
      <c r="BI37" s="16">
        <f t="shared" si="47"/>
        <v>27.198143614239704</v>
      </c>
      <c r="BJ37" s="17">
        <f t="shared" si="48"/>
        <v>1.3681744059562816E-2</v>
      </c>
      <c r="BK37" s="18">
        <f t="shared" si="49"/>
        <v>0.20279417147838982</v>
      </c>
      <c r="BL37" s="19">
        <f t="shared" si="98"/>
        <v>976.50447366430126</v>
      </c>
      <c r="BM37" s="15">
        <f t="shared" si="50"/>
        <v>5.4530089473286027E-6</v>
      </c>
      <c r="BN37" s="16">
        <f t="shared" si="51"/>
        <v>27.118801447139464</v>
      </c>
      <c r="BO37" s="17">
        <f t="shared" si="52"/>
        <v>1.3647210297908026E-2</v>
      </c>
      <c r="BP37" s="18">
        <f t="shared" si="53"/>
        <v>0.20338749154350247</v>
      </c>
      <c r="BQ37" s="19">
        <f t="shared" si="99"/>
        <v>969.00521962483958</v>
      </c>
      <c r="BR37" s="15">
        <f t="shared" si="54"/>
        <v>5.4380104392496796E-6</v>
      </c>
      <c r="BS37" s="16">
        <f t="shared" si="55"/>
        <v>27.032560025685655</v>
      </c>
      <c r="BT37" s="17">
        <f t="shared" si="56"/>
        <v>1.3609673628541619E-2</v>
      </c>
      <c r="BU37" s="18">
        <f t="shared" si="57"/>
        <v>0.20403635448360025</v>
      </c>
      <c r="BV37" s="19">
        <f t="shared" si="100"/>
        <v>960.90602969020449</v>
      </c>
      <c r="BW37" s="15">
        <f t="shared" si="58"/>
        <v>5.4218120593804094E-6</v>
      </c>
      <c r="BX37" s="16">
        <f t="shared" si="59"/>
        <v>26.93941934143735</v>
      </c>
      <c r="BY37" s="17">
        <f t="shared" si="60"/>
        <v>1.3569134047789668E-2</v>
      </c>
      <c r="BZ37" s="18">
        <f t="shared" si="61"/>
        <v>0.20474179231903647</v>
      </c>
      <c r="CA37" s="19">
        <f t="shared" si="101"/>
        <v>952.20687439388018</v>
      </c>
      <c r="CB37" s="15">
        <f t="shared" si="62"/>
        <v>5.4044137487877607E-6</v>
      </c>
      <c r="CC37" s="16">
        <f t="shared" si="63"/>
        <v>26.839379055529619</v>
      </c>
      <c r="CD37" s="17">
        <f t="shared" si="64"/>
        <v>1.3525591408160861E-2</v>
      </c>
      <c r="CE37" s="18">
        <f t="shared" si="65"/>
        <v>0.20550494065411828</v>
      </c>
      <c r="CF37" s="19">
        <f t="shared" si="102"/>
        <v>942.90681692407929</v>
      </c>
      <c r="CG37" s="15">
        <f t="shared" si="66"/>
        <v>5.3858136338481595E-6</v>
      </c>
      <c r="CH37" s="16">
        <f t="shared" si="67"/>
        <v>26.732428394626911</v>
      </c>
      <c r="CI37" s="17">
        <f t="shared" si="68"/>
        <v>1.3479041020549566E-2</v>
      </c>
      <c r="CJ37" s="18">
        <f t="shared" si="69"/>
        <v>0.20632712144881735</v>
      </c>
      <c r="CK37" s="19">
        <f t="shared" si="103"/>
        <v>932.98276155454573</v>
      </c>
      <c r="CL37" s="15">
        <f t="shared" si="70"/>
        <v>5.3659655231090914E-6</v>
      </c>
      <c r="CM37" s="16">
        <f t="shared" si="71"/>
        <v>26.618301757877276</v>
      </c>
      <c r="CN37" s="17">
        <f t="shared" si="72"/>
        <v>1.3429367281905706E-2</v>
      </c>
      <c r="CO37" s="18">
        <f t="shared" si="73"/>
        <v>0.20721175415962576</v>
      </c>
      <c r="CP37" s="19">
        <f t="shared" si="104"/>
        <v>922.0096886911515</v>
      </c>
      <c r="CQ37" s="15">
        <f t="shared" si="74"/>
        <v>5.3440193773823027E-6</v>
      </c>
      <c r="CR37" s="16">
        <f t="shared" si="75"/>
        <v>26.492111419948241</v>
      </c>
      <c r="CS37" s="17">
        <f t="shared" si="76"/>
        <v>1.3374442804639125E-2</v>
      </c>
      <c r="CT37" s="18">
        <f t="shared" si="77"/>
        <v>0.20819876953434527</v>
      </c>
      <c r="CU37" s="19">
        <f t="shared" si="105"/>
        <v>904.52190433675776</v>
      </c>
      <c r="CV37" s="15">
        <f t="shared" si="78"/>
        <v>5.3090438086735166E-6</v>
      </c>
      <c r="CW37" s="16">
        <f t="shared" si="79"/>
        <v>26.291001899872711</v>
      </c>
      <c r="CX37" s="17">
        <f t="shared" si="80"/>
        <v>1.3286909674569428E-2</v>
      </c>
      <c r="CY37" s="18">
        <f t="shared" si="81"/>
        <v>0.20979135831361009</v>
      </c>
      <c r="CZ37" s="20">
        <f t="shared" si="106"/>
        <v>837.48569074028308</v>
      </c>
      <c r="DA37" s="15">
        <f t="shared" si="82"/>
        <v>5.1749713814805674E-6</v>
      </c>
      <c r="DB37" s="16">
        <f t="shared" si="83"/>
        <v>25.520085443513253</v>
      </c>
      <c r="DC37" s="17">
        <f t="shared" si="84"/>
        <v>1.2951367476358016E-2</v>
      </c>
      <c r="DD37" s="18">
        <f t="shared" si="85"/>
        <v>0.21612878264880467</v>
      </c>
    </row>
    <row r="38" spans="2:108" x14ac:dyDescent="0.25">
      <c r="B38">
        <v>19</v>
      </c>
      <c r="C38">
        <f t="shared" si="86"/>
        <v>1.8574678660559778E-2</v>
      </c>
      <c r="D38" s="19">
        <f t="shared" si="3"/>
        <v>1019.700477293852</v>
      </c>
      <c r="E38" s="15">
        <f t="shared" si="4"/>
        <v>5.5394009545877042E-6</v>
      </c>
      <c r="F38" s="16">
        <f t="shared" si="5"/>
        <v>27.615555488879295</v>
      </c>
      <c r="G38" s="17">
        <f t="shared" si="1"/>
        <v>1.3863423016887874E-2</v>
      </c>
      <c r="H38" s="18">
        <f t="shared" si="6"/>
        <v>0.199728917356782</v>
      </c>
      <c r="I38" s="19">
        <f t="shared" si="87"/>
        <v>1019.3849273442047</v>
      </c>
      <c r="J38" s="15">
        <f t="shared" si="7"/>
        <v>5.5387698546884103E-6</v>
      </c>
      <c r="K38" s="16">
        <f t="shared" si="8"/>
        <v>27.611926664458352</v>
      </c>
      <c r="L38" s="17">
        <f t="shared" si="9"/>
        <v>1.3861843567243128E-2</v>
      </c>
      <c r="M38" s="18">
        <f t="shared" si="10"/>
        <v>0.19975516620140918</v>
      </c>
      <c r="N38" s="19">
        <f t="shared" si="88"/>
        <v>1018.4839905185648</v>
      </c>
      <c r="O38" s="15">
        <f t="shared" si="11"/>
        <v>5.53696798103713E-6</v>
      </c>
      <c r="P38" s="16">
        <f t="shared" si="12"/>
        <v>27.601565890963492</v>
      </c>
      <c r="Q38" s="17">
        <f t="shared" si="2"/>
        <v>1.3863423016887874E-2</v>
      </c>
      <c r="R38" s="18">
        <f t="shared" si="13"/>
        <v>0.19983014810785668</v>
      </c>
      <c r="S38" s="19">
        <f t="shared" si="89"/>
        <v>1016.9839422135499</v>
      </c>
      <c r="T38" s="15">
        <f t="shared" si="14"/>
        <v>5.5339678844271001E-6</v>
      </c>
      <c r="U38" s="16">
        <f t="shared" si="15"/>
        <v>27.584315335455823</v>
      </c>
      <c r="V38" s="17">
        <f t="shared" si="16"/>
        <v>1.3849825707262812E-2</v>
      </c>
      <c r="W38" s="18">
        <f t="shared" si="17"/>
        <v>0.19995511699035817</v>
      </c>
      <c r="X38" s="19">
        <f t="shared" si="90"/>
        <v>1014.884210759315</v>
      </c>
      <c r="Y38" s="15">
        <f t="shared" si="18"/>
        <v>5.5297684215186303E-6</v>
      </c>
      <c r="Z38" s="16">
        <f t="shared" si="19"/>
        <v>27.560168423732122</v>
      </c>
      <c r="AA38" s="17">
        <f t="shared" si="20"/>
        <v>1.3839315738545774E-2</v>
      </c>
      <c r="AB38" s="18">
        <f t="shared" si="21"/>
        <v>0.20013030817513014</v>
      </c>
      <c r="AC38" s="19">
        <f t="shared" si="91"/>
        <v>1012.184461112282</v>
      </c>
      <c r="AD38" s="15">
        <f t="shared" si="22"/>
        <v>5.5243689222245642E-6</v>
      </c>
      <c r="AE38" s="16">
        <f t="shared" si="23"/>
        <v>27.529121302791239</v>
      </c>
      <c r="AF38" s="17">
        <f t="shared" si="24"/>
        <v>1.3825802446511729E-2</v>
      </c>
      <c r="AG38" s="18">
        <f t="shared" si="25"/>
        <v>0.20035601352233348</v>
      </c>
      <c r="AH38" s="19">
        <f t="shared" si="92"/>
        <v>1008.8847702256189</v>
      </c>
      <c r="AI38" s="15">
        <f t="shared" si="26"/>
        <v>5.5177695404512381E-6</v>
      </c>
      <c r="AJ38" s="16">
        <f t="shared" si="27"/>
        <v>27.491174857594615</v>
      </c>
      <c r="AK38" s="17">
        <f t="shared" si="28"/>
        <v>1.3809286216341065E-2</v>
      </c>
      <c r="AL38" s="18">
        <f t="shared" si="29"/>
        <v>0.20063256767203141</v>
      </c>
      <c r="AM38" s="19">
        <f t="shared" si="93"/>
        <v>1004.9851470346679</v>
      </c>
      <c r="AN38" s="15">
        <f t="shared" si="30"/>
        <v>5.5099702940693362E-6</v>
      </c>
      <c r="AO38" s="16">
        <f t="shared" si="31"/>
        <v>27.44632919089868</v>
      </c>
      <c r="AP38" s="17">
        <f t="shared" si="32"/>
        <v>1.3789767092758632E-2</v>
      </c>
      <c r="AQ38" s="18">
        <f t="shared" si="33"/>
        <v>0.20096038933428681</v>
      </c>
      <c r="AR38" s="19">
        <f t="shared" si="94"/>
        <v>1000.485592222585</v>
      </c>
      <c r="AS38" s="15">
        <f t="shared" si="34"/>
        <v>5.5009711844451709E-6</v>
      </c>
      <c r="AT38" s="16">
        <f t="shared" si="35"/>
        <v>27.394584310559726</v>
      </c>
      <c r="AU38" s="17">
        <f t="shared" si="36"/>
        <v>1.3767245079183893E-2</v>
      </c>
      <c r="AV38" s="18">
        <f t="shared" si="37"/>
        <v>0.20133997791212715</v>
      </c>
      <c r="AW38" s="19">
        <f t="shared" si="95"/>
        <v>995.38610584081448</v>
      </c>
      <c r="AX38" s="15">
        <f t="shared" si="38"/>
        <v>5.4907722116816295E-6</v>
      </c>
      <c r="AY38" s="16">
        <f t="shared" si="39"/>
        <v>27.335940217169366</v>
      </c>
      <c r="AZ38" s="17">
        <f t="shared" si="40"/>
        <v>1.3741720175874342E-2</v>
      </c>
      <c r="BA38" s="18">
        <f t="shared" si="41"/>
        <v>0.20177191478256543</v>
      </c>
      <c r="BB38" s="19">
        <f t="shared" si="96"/>
        <v>989.68668790100912</v>
      </c>
      <c r="BC38" s="15">
        <f t="shared" si="42"/>
        <v>5.4793733758020183E-6</v>
      </c>
      <c r="BD38" s="16">
        <f t="shared" si="43"/>
        <v>27.270396910861606</v>
      </c>
      <c r="BE38" s="17">
        <f t="shared" si="44"/>
        <v>1.3713192382888305E-2</v>
      </c>
      <c r="BF38" s="18">
        <f t="shared" si="45"/>
        <v>0.20225686549516869</v>
      </c>
      <c r="BG38" s="19">
        <f t="shared" si="97"/>
        <v>983.38733840973669</v>
      </c>
      <c r="BH38" s="15">
        <f t="shared" si="46"/>
        <v>5.4667746768194738E-6</v>
      </c>
      <c r="BI38" s="16">
        <f t="shared" si="47"/>
        <v>27.197954391711971</v>
      </c>
      <c r="BJ38" s="17">
        <f t="shared" si="48"/>
        <v>1.3681661700258661E-2</v>
      </c>
      <c r="BK38" s="18">
        <f t="shared" si="49"/>
        <v>0.2027955823648552</v>
      </c>
      <c r="BL38" s="19">
        <f t="shared" si="98"/>
        <v>976.48805737089947</v>
      </c>
      <c r="BM38" s="15">
        <f t="shared" si="50"/>
        <v>5.4529761147417989E-6</v>
      </c>
      <c r="BN38" s="16">
        <f t="shared" si="51"/>
        <v>27.118612659765343</v>
      </c>
      <c r="BO38" s="17">
        <f t="shared" si="52"/>
        <v>1.3647128128004938E-2</v>
      </c>
      <c r="BP38" s="18">
        <f t="shared" si="53"/>
        <v>0.20338890743416543</v>
      </c>
      <c r="BQ38" s="19">
        <f t="shared" si="99"/>
        <v>968.98884476267449</v>
      </c>
      <c r="BR38" s="15">
        <f t="shared" si="54"/>
        <v>5.4379776895253494E-6</v>
      </c>
      <c r="BS38" s="16">
        <f t="shared" si="55"/>
        <v>27.032371714770754</v>
      </c>
      <c r="BT38" s="17">
        <f t="shared" si="56"/>
        <v>1.3609591666017908E-2</v>
      </c>
      <c r="BU38" s="18">
        <f t="shared" si="57"/>
        <v>0.20403777582661045</v>
      </c>
      <c r="BV38" s="19">
        <f t="shared" si="100"/>
        <v>960.88969945593033</v>
      </c>
      <c r="BW38" s="15">
        <f t="shared" si="58"/>
        <v>5.421779398911861E-6</v>
      </c>
      <c r="BX38" s="16">
        <f t="shared" si="59"/>
        <v>26.939231543743198</v>
      </c>
      <c r="BY38" s="17">
        <f t="shared" si="60"/>
        <v>1.3569052308645827E-2</v>
      </c>
      <c r="BZ38" s="18">
        <f t="shared" si="61"/>
        <v>0.20474321960683536</v>
      </c>
      <c r="CA38" s="19">
        <f t="shared" si="101"/>
        <v>952.19057964553792</v>
      </c>
      <c r="CB38" s="15">
        <f t="shared" si="62"/>
        <v>5.4043811592910763E-6</v>
      </c>
      <c r="CC38" s="16">
        <f t="shared" si="63"/>
        <v>26.839191665923686</v>
      </c>
      <c r="CD38" s="17">
        <f t="shared" si="64"/>
        <v>1.3525509846637845E-2</v>
      </c>
      <c r="CE38" s="18">
        <f t="shared" si="65"/>
        <v>0.20550637547713108</v>
      </c>
      <c r="CF38" s="19">
        <f t="shared" si="102"/>
        <v>942.89025153660771</v>
      </c>
      <c r="CG38" s="15">
        <f t="shared" si="66"/>
        <v>5.3857805030732161E-6</v>
      </c>
      <c r="CH38" s="16">
        <f t="shared" si="67"/>
        <v>26.732237892670987</v>
      </c>
      <c r="CI38" s="17">
        <f t="shared" si="68"/>
        <v>1.3478958104372947E-2</v>
      </c>
      <c r="CJ38" s="18">
        <f t="shared" si="69"/>
        <v>0.20632859179785262</v>
      </c>
      <c r="CK38" s="19">
        <f t="shared" si="103"/>
        <v>932.96033743534372</v>
      </c>
      <c r="CL38" s="15">
        <f t="shared" si="70"/>
        <v>5.3659206748706872E-6</v>
      </c>
      <c r="CM38" s="16">
        <f t="shared" si="71"/>
        <v>26.618043880506452</v>
      </c>
      <c r="CN38" s="17">
        <f t="shared" si="72"/>
        <v>1.342925504050891E-2</v>
      </c>
      <c r="CO38" s="18">
        <f t="shared" si="73"/>
        <v>0.20721376164081431</v>
      </c>
      <c r="CP38" s="19">
        <f t="shared" si="104"/>
        <v>921.91158407707212</v>
      </c>
      <c r="CQ38" s="15">
        <f t="shared" si="74"/>
        <v>5.3438231681541453E-6</v>
      </c>
      <c r="CR38" s="16">
        <f t="shared" si="75"/>
        <v>26.490983216886328</v>
      </c>
      <c r="CS38" s="17">
        <f t="shared" si="76"/>
        <v>1.3373951753070181E-2</v>
      </c>
      <c r="CT38" s="18">
        <f t="shared" si="77"/>
        <v>0.20820763634337805</v>
      </c>
      <c r="CU38" s="19">
        <f t="shared" si="105"/>
        <v>903.82949814330289</v>
      </c>
      <c r="CV38" s="15">
        <f t="shared" si="78"/>
        <v>5.3076589962866054E-6</v>
      </c>
      <c r="CW38" s="16">
        <f t="shared" si="79"/>
        <v>26.283039228647983</v>
      </c>
      <c r="CX38" s="17">
        <f t="shared" si="80"/>
        <v>1.3283443913546501E-2</v>
      </c>
      <c r="CY38" s="18">
        <f t="shared" si="81"/>
        <v>0.20985491639749485</v>
      </c>
      <c r="CZ38" s="20">
        <f t="shared" si="106"/>
        <v>834.85011465827233</v>
      </c>
      <c r="DA38" s="15">
        <f t="shared" si="82"/>
        <v>5.1697002293165452E-6</v>
      </c>
      <c r="DB38" s="16">
        <f t="shared" si="83"/>
        <v>25.489776318570129</v>
      </c>
      <c r="DC38" s="17">
        <f t="shared" si="84"/>
        <v>1.2938175397857956E-2</v>
      </c>
      <c r="DD38" s="18">
        <f t="shared" si="85"/>
        <v>0.21638577487169583</v>
      </c>
    </row>
    <row r="39" spans="2:108" x14ac:dyDescent="0.25">
      <c r="B39">
        <v>20</v>
      </c>
      <c r="C39">
        <f t="shared" si="86"/>
        <v>1.9552293326905029E-2</v>
      </c>
      <c r="D39" s="19">
        <f t="shared" si="3"/>
        <v>1019.6843669074756</v>
      </c>
      <c r="E39" s="15">
        <f t="shared" si="4"/>
        <v>5.5393687338149522E-6</v>
      </c>
      <c r="F39" s="16">
        <f t="shared" si="5"/>
        <v>27.615370219435967</v>
      </c>
      <c r="G39" s="17">
        <f t="shared" si="1"/>
        <v>1.3863342378167866E-2</v>
      </c>
      <c r="H39" s="18">
        <f t="shared" si="6"/>
        <v>0.19973025732307761</v>
      </c>
      <c r="I39" s="19">
        <f t="shared" si="87"/>
        <v>1019.368379639187</v>
      </c>
      <c r="J39" s="15">
        <f t="shared" si="7"/>
        <v>5.5387367592783749E-6</v>
      </c>
      <c r="K39" s="16">
        <f t="shared" si="8"/>
        <v>27.61173636585065</v>
      </c>
      <c r="L39" s="17">
        <f t="shared" si="9"/>
        <v>1.3861760739574035E-2</v>
      </c>
      <c r="M39" s="18">
        <f t="shared" si="10"/>
        <v>0.19975654290331252</v>
      </c>
      <c r="N39" s="19">
        <f t="shared" si="88"/>
        <v>1018.4673653082262</v>
      </c>
      <c r="O39" s="15">
        <f t="shared" si="11"/>
        <v>5.5369347306164527E-6</v>
      </c>
      <c r="P39" s="16">
        <f t="shared" si="12"/>
        <v>27.601374701044602</v>
      </c>
      <c r="Q39" s="17">
        <f t="shared" si="2"/>
        <v>1.3863342378167866E-2</v>
      </c>
      <c r="R39" s="18">
        <f t="shared" si="13"/>
        <v>0.19983153229651476</v>
      </c>
      <c r="S39" s="19">
        <f t="shared" si="89"/>
        <v>1016.9673111041858</v>
      </c>
      <c r="T39" s="15">
        <f t="shared" si="14"/>
        <v>5.5339346222083727E-6</v>
      </c>
      <c r="U39" s="16">
        <f t="shared" si="15"/>
        <v>27.584124077698135</v>
      </c>
      <c r="V39" s="17">
        <f t="shared" si="16"/>
        <v>1.3849742462122684E-2</v>
      </c>
      <c r="W39" s="18">
        <f t="shared" si="17"/>
        <v>0.19995650340260043</v>
      </c>
      <c r="X39" s="19">
        <f t="shared" si="90"/>
        <v>1014.8675917147216</v>
      </c>
      <c r="Y39" s="15">
        <f t="shared" si="18"/>
        <v>5.5297351834294432E-6</v>
      </c>
      <c r="Z39" s="16">
        <f t="shared" si="19"/>
        <v>27.559977304719297</v>
      </c>
      <c r="AA39" s="17">
        <f t="shared" si="20"/>
        <v>1.3839232553794491E-2</v>
      </c>
      <c r="AB39" s="18">
        <f t="shared" si="21"/>
        <v>0.20013169601034175</v>
      </c>
      <c r="AC39" s="19">
        <f t="shared" si="91"/>
        <v>1012.1678556206742</v>
      </c>
      <c r="AD39" s="15">
        <f t="shared" si="22"/>
        <v>5.5243357112413487E-6</v>
      </c>
      <c r="AE39" s="16">
        <f t="shared" si="23"/>
        <v>27.528930339637753</v>
      </c>
      <c r="AF39" s="17">
        <f t="shared" si="24"/>
        <v>1.3825719329598384E-2</v>
      </c>
      <c r="AG39" s="18">
        <f t="shared" si="25"/>
        <v>0.20035740335534516</v>
      </c>
      <c r="AH39" s="19">
        <f t="shared" si="92"/>
        <v>1008.8681810886462</v>
      </c>
      <c r="AI39" s="15">
        <f t="shared" si="26"/>
        <v>5.5177363621772934E-6</v>
      </c>
      <c r="AJ39" s="16">
        <f t="shared" si="27"/>
        <v>27.490984082519432</v>
      </c>
      <c r="AK39" s="17">
        <f t="shared" si="28"/>
        <v>1.3809203181289002E-2</v>
      </c>
      <c r="AL39" s="18">
        <f t="shared" si="29"/>
        <v>0.20063395997188749</v>
      </c>
      <c r="AM39" s="19">
        <f t="shared" si="93"/>
        <v>1004.9685777459025</v>
      </c>
      <c r="AN39" s="15">
        <f t="shared" si="30"/>
        <v>5.5099371554918049E-6</v>
      </c>
      <c r="AO39" s="16">
        <f t="shared" si="31"/>
        <v>27.446138644077877</v>
      </c>
      <c r="AP39" s="17">
        <f t="shared" si="32"/>
        <v>1.3789684157054527E-2</v>
      </c>
      <c r="AQ39" s="18">
        <f t="shared" si="33"/>
        <v>0.20096178451645766</v>
      </c>
      <c r="AR39" s="19">
        <f t="shared" si="94"/>
        <v>1000.469046371581</v>
      </c>
      <c r="AS39" s="15">
        <f t="shared" si="34"/>
        <v>5.5009380927431628E-6</v>
      </c>
      <c r="AT39" s="16">
        <f t="shared" si="35"/>
        <v>27.39439403327318</v>
      </c>
      <c r="AU39" s="17">
        <f t="shared" si="36"/>
        <v>1.3767162260794856E-2</v>
      </c>
      <c r="AV39" s="18">
        <f t="shared" si="37"/>
        <v>0.20134137638893315</v>
      </c>
      <c r="AW39" s="19">
        <f t="shared" si="95"/>
        <v>995.36958702637446</v>
      </c>
      <c r="AX39" s="15">
        <f t="shared" si="38"/>
        <v>5.4907391740527496E-6</v>
      </c>
      <c r="AY39" s="16">
        <f t="shared" si="39"/>
        <v>27.335750250803308</v>
      </c>
      <c r="AZ39" s="17">
        <f t="shared" si="40"/>
        <v>1.3741637492813773E-2</v>
      </c>
      <c r="BA39" s="18">
        <f t="shared" si="41"/>
        <v>0.20177331697116724</v>
      </c>
      <c r="BB39" s="19">
        <f t="shared" si="96"/>
        <v>989.67019972348839</v>
      </c>
      <c r="BC39" s="15">
        <f t="shared" si="42"/>
        <v>5.4793403994469775E-6</v>
      </c>
      <c r="BD39" s="16">
        <f t="shared" si="43"/>
        <v>27.270207296820118</v>
      </c>
      <c r="BE39" s="17">
        <f t="shared" si="44"/>
        <v>1.3713109853177379E-2</v>
      </c>
      <c r="BF39" s="18">
        <f t="shared" si="45"/>
        <v>0.20225827181897357</v>
      </c>
      <c r="BG39" s="19">
        <f t="shared" si="97"/>
        <v>983.37088447023098</v>
      </c>
      <c r="BH39" s="15">
        <f t="shared" si="46"/>
        <v>5.4667417689404628E-6</v>
      </c>
      <c r="BI39" s="16">
        <f t="shared" si="47"/>
        <v>27.197765171407653</v>
      </c>
      <c r="BJ39" s="17">
        <f t="shared" si="48"/>
        <v>1.3681579341922254E-2</v>
      </c>
      <c r="BK39" s="18">
        <f t="shared" si="49"/>
        <v>0.20279699325437378</v>
      </c>
      <c r="BL39" s="19">
        <f t="shared" si="98"/>
        <v>976.47164127064832</v>
      </c>
      <c r="BM39" s="15">
        <f t="shared" si="50"/>
        <v>5.4529432825412973E-6</v>
      </c>
      <c r="BN39" s="16">
        <f t="shared" si="51"/>
        <v>27.118423874612454</v>
      </c>
      <c r="BO39" s="17">
        <f t="shared" si="52"/>
        <v>1.3647045959068646E-2</v>
      </c>
      <c r="BP39" s="18">
        <f t="shared" si="53"/>
        <v>0.20339032332788268</v>
      </c>
      <c r="BQ39" s="19">
        <f t="shared" si="99"/>
        <v>968.97247008789805</v>
      </c>
      <c r="BR39" s="15">
        <f t="shared" si="54"/>
        <v>5.4379449401757966E-6</v>
      </c>
      <c r="BS39" s="16">
        <f t="shared" si="55"/>
        <v>27.032183406010827</v>
      </c>
      <c r="BT39" s="17">
        <f t="shared" si="56"/>
        <v>1.3609509704432152E-2</v>
      </c>
      <c r="BU39" s="18">
        <f t="shared" si="57"/>
        <v>0.20403919717315752</v>
      </c>
      <c r="BV39" s="19">
        <f t="shared" si="100"/>
        <v>960.87336923452449</v>
      </c>
      <c r="BW39" s="15">
        <f t="shared" si="58"/>
        <v>5.4217467384690496E-6</v>
      </c>
      <c r="BX39" s="16">
        <f t="shared" si="59"/>
        <v>26.939043746197029</v>
      </c>
      <c r="BY39" s="17">
        <f t="shared" si="60"/>
        <v>1.3568970569566401E-2</v>
      </c>
      <c r="BZ39" s="18">
        <f t="shared" si="61"/>
        <v>0.20474464691340938</v>
      </c>
      <c r="CA39" s="19">
        <f t="shared" si="101"/>
        <v>952.17428073519272</v>
      </c>
      <c r="CB39" s="15">
        <f t="shared" si="62"/>
        <v>5.4043485614703857E-6</v>
      </c>
      <c r="CC39" s="16">
        <f t="shared" si="63"/>
        <v>26.839004228454716</v>
      </c>
      <c r="CD39" s="17">
        <f t="shared" si="64"/>
        <v>1.3525428264282395E-2</v>
      </c>
      <c r="CE39" s="18">
        <f t="shared" si="65"/>
        <v>0.20550781068666973</v>
      </c>
      <c r="CF39" s="19">
        <f t="shared" si="102"/>
        <v>942.87360807700975</v>
      </c>
      <c r="CG39" s="15">
        <f t="shared" si="66"/>
        <v>5.3857472161540204E-6</v>
      </c>
      <c r="CH39" s="16">
        <f t="shared" si="67"/>
        <v>26.732046492885612</v>
      </c>
      <c r="CI39" s="17">
        <f t="shared" si="68"/>
        <v>1.3478874797415115E-2</v>
      </c>
      <c r="CJ39" s="18">
        <f t="shared" si="69"/>
        <v>0.20633006909769935</v>
      </c>
      <c r="CK39" s="19">
        <f t="shared" si="103"/>
        <v>932.93694001072413</v>
      </c>
      <c r="CL39" s="15">
        <f t="shared" si="70"/>
        <v>5.3658738800214493E-6</v>
      </c>
      <c r="CM39" s="16">
        <f t="shared" si="71"/>
        <v>26.617774810123329</v>
      </c>
      <c r="CN39" s="17">
        <f t="shared" si="72"/>
        <v>1.3429137927341744E-2</v>
      </c>
      <c r="CO39" s="18">
        <f t="shared" si="73"/>
        <v>0.20721585629698414</v>
      </c>
      <c r="CP39" s="19">
        <f t="shared" si="104"/>
        <v>921.80626575997155</v>
      </c>
      <c r="CQ39" s="15">
        <f t="shared" si="74"/>
        <v>5.3436125315199433E-6</v>
      </c>
      <c r="CR39" s="16">
        <f t="shared" si="75"/>
        <v>26.489772056239673</v>
      </c>
      <c r="CS39" s="17">
        <f t="shared" si="76"/>
        <v>1.3373424594125246E-2</v>
      </c>
      <c r="CT39" s="18">
        <f t="shared" si="77"/>
        <v>0.20821715597589649</v>
      </c>
      <c r="CU39" s="19">
        <f t="shared" si="105"/>
        <v>903.11818723571093</v>
      </c>
      <c r="CV39" s="15">
        <f t="shared" si="78"/>
        <v>5.3062363744714223E-6</v>
      </c>
      <c r="CW39" s="16">
        <f t="shared" si="79"/>
        <v>26.274859153210677</v>
      </c>
      <c r="CX39" s="17">
        <f t="shared" si="80"/>
        <v>1.3279883527111465E-2</v>
      </c>
      <c r="CY39" s="18">
        <f t="shared" si="81"/>
        <v>0.20992024991791494</v>
      </c>
      <c r="CZ39" s="20">
        <f t="shared" si="106"/>
        <v>832.27980763634309</v>
      </c>
      <c r="DA39" s="15">
        <f t="shared" si="82"/>
        <v>5.1645596152726864E-6</v>
      </c>
      <c r="DB39" s="16">
        <f t="shared" si="83"/>
        <v>25.460217787817946</v>
      </c>
      <c r="DC39" s="17">
        <f t="shared" si="84"/>
        <v>1.2925310016268716E-2</v>
      </c>
      <c r="DD39" s="18">
        <f t="shared" si="85"/>
        <v>0.21663699210927739</v>
      </c>
    </row>
    <row r="40" spans="2:108" x14ac:dyDescent="0.25">
      <c r="B40">
        <v>21</v>
      </c>
      <c r="C40">
        <f t="shared" si="86"/>
        <v>2.0529907993250281E-2</v>
      </c>
      <c r="D40" s="19">
        <f t="shared" si="3"/>
        <v>1019.6682341938185</v>
      </c>
      <c r="E40" s="15">
        <f t="shared" si="4"/>
        <v>5.5393364683876372E-6</v>
      </c>
      <c r="F40" s="16">
        <f t="shared" si="5"/>
        <v>27.615184693228912</v>
      </c>
      <c r="G40" s="17">
        <f t="shared" si="1"/>
        <v>1.3863261627691172E-2</v>
      </c>
      <c r="H40" s="18">
        <f t="shared" si="6"/>
        <v>0.19973159916444086</v>
      </c>
      <c r="I40" s="19">
        <f t="shared" si="87"/>
        <v>1019.351833450172</v>
      </c>
      <c r="J40" s="15">
        <f t="shared" si="7"/>
        <v>5.5387036669003447E-6</v>
      </c>
      <c r="K40" s="16">
        <f t="shared" si="8"/>
        <v>27.611546084676977</v>
      </c>
      <c r="L40" s="17">
        <f t="shared" si="9"/>
        <v>1.3861677919493122E-2</v>
      </c>
      <c r="M40" s="18">
        <f t="shared" si="10"/>
        <v>0.19975791949806443</v>
      </c>
      <c r="N40" s="19">
        <f t="shared" si="88"/>
        <v>1018.4507409007709</v>
      </c>
      <c r="O40" s="15">
        <f t="shared" si="11"/>
        <v>5.5369014818015431E-6</v>
      </c>
      <c r="P40" s="16">
        <f t="shared" si="12"/>
        <v>27.601183520358866</v>
      </c>
      <c r="Q40" s="17">
        <f t="shared" si="2"/>
        <v>1.3863261627691172E-2</v>
      </c>
      <c r="R40" s="18">
        <f t="shared" si="13"/>
        <v>0.1998329164375009</v>
      </c>
      <c r="S40" s="19">
        <f t="shared" si="89"/>
        <v>1016.9506803549767</v>
      </c>
      <c r="T40" s="15">
        <f t="shared" si="14"/>
        <v>5.5339013607099546E-6</v>
      </c>
      <c r="U40" s="16">
        <f t="shared" si="15"/>
        <v>27.583932824082233</v>
      </c>
      <c r="V40" s="17">
        <f t="shared" si="16"/>
        <v>1.3849659218785266E-2</v>
      </c>
      <c r="W40" s="18">
        <f t="shared" si="17"/>
        <v>0.19995788980404447</v>
      </c>
      <c r="X40" s="19">
        <f t="shared" si="90"/>
        <v>1014.8509728349773</v>
      </c>
      <c r="Y40" s="15">
        <f t="shared" si="18"/>
        <v>5.5297019456699551E-6</v>
      </c>
      <c r="Z40" s="16">
        <f t="shared" si="19"/>
        <v>27.559786187602235</v>
      </c>
      <c r="AA40" s="17">
        <f t="shared" si="20"/>
        <v>1.3839149369868341E-2</v>
      </c>
      <c r="AB40" s="18">
        <f t="shared" si="21"/>
        <v>0.2001330838510352</v>
      </c>
      <c r="AC40" s="19">
        <f t="shared" si="91"/>
        <v>1012.1512503090397</v>
      </c>
      <c r="AD40" s="15">
        <f t="shared" si="22"/>
        <v>5.5243025006180799E-6</v>
      </c>
      <c r="AE40" s="16">
        <f t="shared" si="23"/>
        <v>27.528739378553958</v>
      </c>
      <c r="AF40" s="17">
        <f t="shared" si="24"/>
        <v>1.3825636213585875E-2</v>
      </c>
      <c r="AG40" s="18">
        <f t="shared" si="25"/>
        <v>0.20035879319257544</v>
      </c>
      <c r="AH40" s="19">
        <f t="shared" si="92"/>
        <v>1008.8515921414138</v>
      </c>
      <c r="AI40" s="15">
        <f t="shared" si="26"/>
        <v>5.5177031842828279E-6</v>
      </c>
      <c r="AJ40" s="16">
        <f t="shared" si="27"/>
        <v>27.490793309626255</v>
      </c>
      <c r="AK40" s="17">
        <f t="shared" si="28"/>
        <v>1.3809120147186658E-2</v>
      </c>
      <c r="AL40" s="18">
        <f t="shared" si="29"/>
        <v>0.2006353522751427</v>
      </c>
      <c r="AM40" s="19">
        <f t="shared" si="93"/>
        <v>1004.9520086490319</v>
      </c>
      <c r="AN40" s="15">
        <f t="shared" si="30"/>
        <v>5.5099040172980641E-6</v>
      </c>
      <c r="AO40" s="16">
        <f t="shared" si="31"/>
        <v>27.445948099463866</v>
      </c>
      <c r="AP40" s="17">
        <f t="shared" si="32"/>
        <v>1.378960122231093E-2</v>
      </c>
      <c r="AQ40" s="18">
        <f t="shared" si="33"/>
        <v>0.20096317970184252</v>
      </c>
      <c r="AR40" s="19">
        <f t="shared" si="94"/>
        <v>1000.4525007132155</v>
      </c>
      <c r="AS40" s="15">
        <f t="shared" si="34"/>
        <v>5.5009050014264319E-6</v>
      </c>
      <c r="AT40" s="16">
        <f t="shared" si="35"/>
        <v>27.394203758201975</v>
      </c>
      <c r="AU40" s="17">
        <f t="shared" si="36"/>
        <v>1.3767079443370051E-2</v>
      </c>
      <c r="AV40" s="18">
        <f t="shared" si="37"/>
        <v>0.20134277486888413</v>
      </c>
      <c r="AW40" s="19">
        <f t="shared" si="95"/>
        <v>995.35306840498185</v>
      </c>
      <c r="AX40" s="15">
        <f t="shared" si="38"/>
        <v>5.4907061368099643E-6</v>
      </c>
      <c r="AY40" s="16">
        <f t="shared" si="39"/>
        <v>27.335560286657291</v>
      </c>
      <c r="AZ40" s="17">
        <f t="shared" si="40"/>
        <v>1.3741554810719482E-2</v>
      </c>
      <c r="BA40" s="18">
        <f t="shared" si="41"/>
        <v>0.20177471916287085</v>
      </c>
      <c r="BB40" s="19">
        <f t="shared" si="96"/>
        <v>989.65371173923427</v>
      </c>
      <c r="BC40" s="15">
        <f t="shared" si="42"/>
        <v>5.4793074234784691E-6</v>
      </c>
      <c r="BD40" s="16">
        <f t="shared" si="43"/>
        <v>27.270017685001193</v>
      </c>
      <c r="BE40" s="17">
        <f t="shared" si="44"/>
        <v>1.3713027324433826E-2</v>
      </c>
      <c r="BF40" s="18">
        <f t="shared" si="45"/>
        <v>0.20225967814585077</v>
      </c>
      <c r="BG40" s="19">
        <f t="shared" si="97"/>
        <v>983.35443072405997</v>
      </c>
      <c r="BH40" s="15">
        <f t="shared" si="46"/>
        <v>5.4667088614481206E-6</v>
      </c>
      <c r="BI40" s="16">
        <f t="shared" si="47"/>
        <v>27.197575953326691</v>
      </c>
      <c r="BJ40" s="17">
        <f t="shared" si="48"/>
        <v>1.368149698455356E-2</v>
      </c>
      <c r="BK40" s="18">
        <f t="shared" si="49"/>
        <v>0.20279840414694578</v>
      </c>
      <c r="BL40" s="19">
        <f t="shared" si="98"/>
        <v>976.45522536346596</v>
      </c>
      <c r="BM40" s="15">
        <f t="shared" si="50"/>
        <v>5.4529104507269325E-6</v>
      </c>
      <c r="BN40" s="16">
        <f t="shared" si="51"/>
        <v>27.118235091679857</v>
      </c>
      <c r="BO40" s="17">
        <f t="shared" si="52"/>
        <v>1.3646963791098738E-2</v>
      </c>
      <c r="BP40" s="18">
        <f t="shared" si="53"/>
        <v>0.203391739224661</v>
      </c>
      <c r="BQ40" s="19">
        <f t="shared" si="99"/>
        <v>968.95609559811044</v>
      </c>
      <c r="BR40" s="15">
        <f t="shared" si="54"/>
        <v>5.4379121911962219E-6</v>
      </c>
      <c r="BS40" s="16">
        <f t="shared" si="55"/>
        <v>27.031995099378271</v>
      </c>
      <c r="BT40" s="17">
        <f t="shared" si="56"/>
        <v>1.3609427743772337E-2</v>
      </c>
      <c r="BU40" s="18">
        <f t="shared" si="57"/>
        <v>0.20404061852344957</v>
      </c>
      <c r="BV40" s="19">
        <f t="shared" si="100"/>
        <v>960.85703896943028</v>
      </c>
      <c r="BW40" s="15">
        <f t="shared" si="58"/>
        <v>5.4217140779388609E-6</v>
      </c>
      <c r="BX40" s="16">
        <f t="shared" si="59"/>
        <v>26.938855948148447</v>
      </c>
      <c r="BY40" s="17">
        <f t="shared" si="60"/>
        <v>1.3568888830268295E-2</v>
      </c>
      <c r="BZ40" s="18">
        <f t="shared" si="61"/>
        <v>0.20474607424370217</v>
      </c>
      <c r="CA40" s="19">
        <f t="shared" si="101"/>
        <v>952.1579766813486</v>
      </c>
      <c r="CB40" s="15">
        <f t="shared" si="62"/>
        <v>5.4043159533626976E-6</v>
      </c>
      <c r="CC40" s="16">
        <f t="shared" si="63"/>
        <v>26.838816731835507</v>
      </c>
      <c r="CD40" s="17">
        <f t="shared" si="64"/>
        <v>1.3525346656181741E-2</v>
      </c>
      <c r="CE40" s="18">
        <f t="shared" si="65"/>
        <v>0.205509246369178</v>
      </c>
      <c r="CF40" s="19">
        <f t="shared" si="102"/>
        <v>942.85687502795463</v>
      </c>
      <c r="CG40" s="15">
        <f t="shared" si="66"/>
        <v>5.3857137500559093E-6</v>
      </c>
      <c r="CH40" s="16">
        <f t="shared" si="67"/>
        <v>26.731854062821476</v>
      </c>
      <c r="CI40" s="17">
        <f t="shared" si="68"/>
        <v>1.3478791042027366E-2</v>
      </c>
      <c r="CJ40" s="18">
        <f t="shared" si="69"/>
        <v>0.20633155437097431</v>
      </c>
      <c r="CK40" s="19">
        <f t="shared" si="103"/>
        <v>932.91249441836374</v>
      </c>
      <c r="CL40" s="15">
        <f t="shared" si="70"/>
        <v>5.3658249888367279E-6</v>
      </c>
      <c r="CM40" s="16">
        <f t="shared" si="71"/>
        <v>26.617493685811183</v>
      </c>
      <c r="CN40" s="17">
        <f t="shared" si="72"/>
        <v>1.3429015567689292E-2</v>
      </c>
      <c r="CO40" s="18">
        <f t="shared" si="73"/>
        <v>0.20721804483568559</v>
      </c>
      <c r="CP40" s="19">
        <f t="shared" si="104"/>
        <v>921.69365402435278</v>
      </c>
      <c r="CQ40" s="15">
        <f t="shared" si="74"/>
        <v>5.3433873080487057E-6</v>
      </c>
      <c r="CR40" s="16">
        <f t="shared" si="75"/>
        <v>26.488477021280055</v>
      </c>
      <c r="CS40" s="17">
        <f t="shared" si="76"/>
        <v>1.3372860928797404E-2</v>
      </c>
      <c r="CT40" s="18">
        <f t="shared" si="77"/>
        <v>0.2082273358173409</v>
      </c>
      <c r="CU40" s="19">
        <f t="shared" si="105"/>
        <v>902.38928259430349</v>
      </c>
      <c r="CV40" s="15">
        <f t="shared" si="78"/>
        <v>5.3047785651886076E-6</v>
      </c>
      <c r="CW40" s="16">
        <f t="shared" si="79"/>
        <v>26.266476749834489</v>
      </c>
      <c r="CX40" s="17">
        <f t="shared" si="80"/>
        <v>1.3276235077228292E-2</v>
      </c>
      <c r="CY40" s="18">
        <f t="shared" si="81"/>
        <v>0.20998724162861909</v>
      </c>
      <c r="CZ40" s="20">
        <f t="shared" si="106"/>
        <v>829.77213609218461</v>
      </c>
      <c r="DA40" s="15">
        <f t="shared" si="82"/>
        <v>5.1595442721843703E-6</v>
      </c>
      <c r="DB40" s="16">
        <f t="shared" si="83"/>
        <v>25.431379565060123</v>
      </c>
      <c r="DC40" s="17">
        <f t="shared" si="84"/>
        <v>1.2912758149491395E-2</v>
      </c>
      <c r="DD40" s="18">
        <f t="shared" si="85"/>
        <v>0.21688265026636042</v>
      </c>
    </row>
    <row r="41" spans="2:108" x14ac:dyDescent="0.25">
      <c r="B41">
        <v>22</v>
      </c>
      <c r="C41">
        <f t="shared" si="86"/>
        <v>2.1507522659595532E-2</v>
      </c>
      <c r="D41" s="19">
        <f t="shared" si="3"/>
        <v>1019.6520803701984</v>
      </c>
      <c r="E41" s="15">
        <f t="shared" si="4"/>
        <v>5.5393041607403969E-6</v>
      </c>
      <c r="F41" s="16">
        <f t="shared" si="5"/>
        <v>27.614998924257279</v>
      </c>
      <c r="G41" s="17">
        <f t="shared" si="1"/>
        <v>1.386318077155094E-2</v>
      </c>
      <c r="H41" s="18">
        <f t="shared" si="6"/>
        <v>0.19973294277969436</v>
      </c>
      <c r="I41" s="19">
        <f t="shared" si="87"/>
        <v>1019.3352885971683</v>
      </c>
      <c r="J41" s="15">
        <f t="shared" si="7"/>
        <v>5.5386705771943368E-6</v>
      </c>
      <c r="K41" s="16">
        <f t="shared" si="8"/>
        <v>27.611355818867434</v>
      </c>
      <c r="L41" s="17">
        <f t="shared" si="9"/>
        <v>1.3861595106099463E-2</v>
      </c>
      <c r="M41" s="18">
        <f t="shared" si="10"/>
        <v>0.19975929600063516</v>
      </c>
      <c r="N41" s="19">
        <f t="shared" si="88"/>
        <v>1018.434117295925</v>
      </c>
      <c r="O41" s="15">
        <f t="shared" si="11"/>
        <v>5.5368682345918508E-6</v>
      </c>
      <c r="P41" s="16">
        <f t="shared" si="12"/>
        <v>27.600992348903137</v>
      </c>
      <c r="Q41" s="17">
        <f t="shared" si="2"/>
        <v>1.386318077155094E-2</v>
      </c>
      <c r="R41" s="18">
        <f t="shared" si="13"/>
        <v>0.19983430053083548</v>
      </c>
      <c r="S41" s="19">
        <f t="shared" si="89"/>
        <v>1016.9340499680022</v>
      </c>
      <c r="T41" s="15">
        <f t="shared" si="14"/>
        <v>5.5338680999360054E-6</v>
      </c>
      <c r="U41" s="16">
        <f t="shared" si="15"/>
        <v>27.583741574632025</v>
      </c>
      <c r="V41" s="17">
        <f t="shared" si="16"/>
        <v>1.3849575977260975E-2</v>
      </c>
      <c r="W41" s="18">
        <f t="shared" si="17"/>
        <v>0.19995927619451603</v>
      </c>
      <c r="X41" s="19">
        <f t="shared" si="90"/>
        <v>1014.8343541226815</v>
      </c>
      <c r="Y41" s="15">
        <f t="shared" si="18"/>
        <v>5.5296687082453636E-6</v>
      </c>
      <c r="Z41" s="16">
        <f t="shared" si="19"/>
        <v>27.559595072410836</v>
      </c>
      <c r="AA41" s="17">
        <f t="shared" si="20"/>
        <v>1.3839066186780337E-2</v>
      </c>
      <c r="AB41" s="18">
        <f t="shared" si="21"/>
        <v>0.20013447169699322</v>
      </c>
      <c r="AC41" s="19">
        <f t="shared" si="91"/>
        <v>1012.1346451773368</v>
      </c>
      <c r="AD41" s="15">
        <f t="shared" si="22"/>
        <v>5.5242692903546738E-6</v>
      </c>
      <c r="AE41" s="16">
        <f t="shared" si="23"/>
        <v>27.528548419539373</v>
      </c>
      <c r="AF41" s="17">
        <f t="shared" si="24"/>
        <v>1.3825553098473994E-2</v>
      </c>
      <c r="AG41" s="18">
        <f t="shared" si="25"/>
        <v>0.20036018303402761</v>
      </c>
      <c r="AH41" s="19">
        <f t="shared" si="92"/>
        <v>1008.8350033838279</v>
      </c>
      <c r="AI41" s="15">
        <f t="shared" si="26"/>
        <v>5.517670006767657E-6</v>
      </c>
      <c r="AJ41" s="16">
        <f t="shared" si="27"/>
        <v>27.490602538914018</v>
      </c>
      <c r="AK41" s="17">
        <f t="shared" si="28"/>
        <v>1.3809037114033572E-2</v>
      </c>
      <c r="AL41" s="18">
        <f t="shared" si="29"/>
        <v>0.20063674458180455</v>
      </c>
      <c r="AM41" s="19">
        <f t="shared" si="93"/>
        <v>1004.9354397440371</v>
      </c>
      <c r="AN41" s="15">
        <f t="shared" si="30"/>
        <v>5.5098708794880751E-6</v>
      </c>
      <c r="AO41" s="16">
        <f t="shared" si="31"/>
        <v>27.445757557056425</v>
      </c>
      <c r="AP41" s="17">
        <f t="shared" si="32"/>
        <v>1.3789518288527747E-2</v>
      </c>
      <c r="AQ41" s="18">
        <f t="shared" si="33"/>
        <v>0.20096457489044273</v>
      </c>
      <c r="AR41" s="19">
        <f t="shared" si="94"/>
        <v>1000.4359552474824</v>
      </c>
      <c r="AS41" s="15">
        <f t="shared" si="34"/>
        <v>5.5008719104949655E-6</v>
      </c>
      <c r="AT41" s="16">
        <f t="shared" si="35"/>
        <v>27.394013485346047</v>
      </c>
      <c r="AU41" s="17">
        <f t="shared" si="36"/>
        <v>1.3766996626909443E-2</v>
      </c>
      <c r="AV41" s="18">
        <f t="shared" si="37"/>
        <v>0.20134417335198029</v>
      </c>
      <c r="AW41" s="19">
        <f t="shared" si="95"/>
        <v>995.33654997663223</v>
      </c>
      <c r="AX41" s="15">
        <f t="shared" si="38"/>
        <v>5.490673099953265E-6</v>
      </c>
      <c r="AY41" s="16">
        <f t="shared" si="39"/>
        <v>27.335370324731272</v>
      </c>
      <c r="AZ41" s="17">
        <f t="shared" si="40"/>
        <v>1.3741472129591445E-2</v>
      </c>
      <c r="BA41" s="18">
        <f t="shared" si="41"/>
        <v>0.20177612135767628</v>
      </c>
      <c r="BB41" s="19">
        <f t="shared" si="96"/>
        <v>989.63722394824254</v>
      </c>
      <c r="BC41" s="15">
        <f t="shared" si="42"/>
        <v>5.4792744478964856E-6</v>
      </c>
      <c r="BD41" s="16">
        <f t="shared" si="43"/>
        <v>27.269828075404789</v>
      </c>
      <c r="BE41" s="17">
        <f t="shared" si="44"/>
        <v>1.3712944796657625E-2</v>
      </c>
      <c r="BF41" s="18">
        <f t="shared" si="45"/>
        <v>0.20226108447580035</v>
      </c>
      <c r="BG41" s="19">
        <f t="shared" si="97"/>
        <v>983.33797717121672</v>
      </c>
      <c r="BH41" s="15">
        <f t="shared" si="46"/>
        <v>5.4666759543424346E-6</v>
      </c>
      <c r="BI41" s="16">
        <f t="shared" si="47"/>
        <v>27.197386737468989</v>
      </c>
      <c r="BJ41" s="17">
        <f t="shared" si="48"/>
        <v>1.3681414628152545E-2</v>
      </c>
      <c r="BK41" s="18">
        <f t="shared" si="49"/>
        <v>0.20279981504257158</v>
      </c>
      <c r="BL41" s="19">
        <f t="shared" si="98"/>
        <v>976.43880964923835</v>
      </c>
      <c r="BM41" s="15">
        <f t="shared" si="50"/>
        <v>5.4528776192984768E-6</v>
      </c>
      <c r="BN41" s="16">
        <f t="shared" si="51"/>
        <v>27.118046310966243</v>
      </c>
      <c r="BO41" s="17">
        <f t="shared" si="52"/>
        <v>1.3646881624094642E-2</v>
      </c>
      <c r="BP41" s="18">
        <f t="shared" si="53"/>
        <v>0.20339315512450989</v>
      </c>
      <c r="BQ41" s="19">
        <f t="shared" si="99"/>
        <v>968.9397212901747</v>
      </c>
      <c r="BR41" s="15">
        <f t="shared" si="54"/>
        <v>5.4378794425803495E-6</v>
      </c>
      <c r="BS41" s="16">
        <f t="shared" si="55"/>
        <v>27.03180679483701</v>
      </c>
      <c r="BT41" s="17">
        <f t="shared" si="56"/>
        <v>1.3609345784022758E-2</v>
      </c>
      <c r="BU41" s="18">
        <f t="shared" si="57"/>
        <v>0.20404203987775862</v>
      </c>
      <c r="BV41" s="19">
        <f t="shared" si="100"/>
        <v>960.84070859176552</v>
      </c>
      <c r="BW41" s="15">
        <f t="shared" si="58"/>
        <v>5.4216814171835308E-6</v>
      </c>
      <c r="BX41" s="16">
        <f t="shared" si="59"/>
        <v>26.938668148805302</v>
      </c>
      <c r="BY41" s="17">
        <f t="shared" si="60"/>
        <v>1.3568807090406726E-2</v>
      </c>
      <c r="BZ41" s="18">
        <f t="shared" si="61"/>
        <v>0.20474750160373506</v>
      </c>
      <c r="CA41" s="19">
        <f t="shared" si="101"/>
        <v>952.14166636693597</v>
      </c>
      <c r="CB41" s="15">
        <f t="shared" si="62"/>
        <v>5.4042833327338721E-6</v>
      </c>
      <c r="CC41" s="16">
        <f t="shared" si="63"/>
        <v>26.838629163219764</v>
      </c>
      <c r="CD41" s="17">
        <f t="shared" si="64"/>
        <v>1.3525265016744519E-2</v>
      </c>
      <c r="CE41" s="18">
        <f t="shared" si="65"/>
        <v>0.2055106826230429</v>
      </c>
      <c r="CF41" s="19">
        <f t="shared" si="102"/>
        <v>942.84004012684295</v>
      </c>
      <c r="CG41" s="15">
        <f t="shared" si="66"/>
        <v>5.3856800802536869E-6</v>
      </c>
      <c r="CH41" s="16">
        <f t="shared" si="67"/>
        <v>26.731660461458695</v>
      </c>
      <c r="CI41" s="17">
        <f t="shared" si="68"/>
        <v>1.3478706776830655E-2</v>
      </c>
      <c r="CJ41" s="18">
        <f t="shared" si="69"/>
        <v>0.20633304870650834</v>
      </c>
      <c r="CK41" s="19">
        <f t="shared" si="103"/>
        <v>932.88692655891418</v>
      </c>
      <c r="CL41" s="15">
        <f t="shared" si="70"/>
        <v>5.3657738531178293E-6</v>
      </c>
      <c r="CM41" s="16">
        <f t="shared" si="71"/>
        <v>26.617199655427513</v>
      </c>
      <c r="CN41" s="17">
        <f t="shared" si="72"/>
        <v>1.3428887590655645E-2</v>
      </c>
      <c r="CO41" s="18">
        <f t="shared" si="73"/>
        <v>0.20722033389696984</v>
      </c>
      <c r="CP41" s="19">
        <f t="shared" si="104"/>
        <v>921.57368842638982</v>
      </c>
      <c r="CQ41" s="15">
        <f t="shared" si="74"/>
        <v>5.3431473768527805E-6</v>
      </c>
      <c r="CR41" s="16">
        <f t="shared" si="75"/>
        <v>26.487097416903481</v>
      </c>
      <c r="CS41" s="17">
        <f t="shared" si="76"/>
        <v>1.3372260454541917E-2</v>
      </c>
      <c r="CT41" s="18">
        <f t="shared" si="77"/>
        <v>0.20823818152607579</v>
      </c>
      <c r="CU41" s="19">
        <f t="shared" si="105"/>
        <v>901.64402295208629</v>
      </c>
      <c r="CV41" s="15">
        <f t="shared" si="78"/>
        <v>5.3032880459041724E-6</v>
      </c>
      <c r="CW41" s="16">
        <f t="shared" si="79"/>
        <v>26.257906263948989</v>
      </c>
      <c r="CX41" s="17">
        <f t="shared" si="80"/>
        <v>1.3272504764235183E-2</v>
      </c>
      <c r="CY41" s="18">
        <f t="shared" si="81"/>
        <v>0.21005578070680841</v>
      </c>
      <c r="CZ41" s="20">
        <f t="shared" si="106"/>
        <v>827.32458754977824</v>
      </c>
      <c r="DA41" s="15">
        <f t="shared" si="82"/>
        <v>5.1546491750995568E-6</v>
      </c>
      <c r="DB41" s="16">
        <f t="shared" si="83"/>
        <v>25.403232756822447</v>
      </c>
      <c r="DC41" s="17">
        <f t="shared" si="84"/>
        <v>1.2900507221610954E-2</v>
      </c>
      <c r="DD41" s="18">
        <f t="shared" si="85"/>
        <v>0.21712295646776256</v>
      </c>
    </row>
    <row r="42" spans="2:108" x14ac:dyDescent="0.25">
      <c r="B42">
        <v>23</v>
      </c>
      <c r="C42">
        <f t="shared" si="86"/>
        <v>2.2485137325940784E-2</v>
      </c>
      <c r="D42" s="19">
        <f t="shared" si="3"/>
        <v>1019.6359065825933</v>
      </c>
      <c r="E42" s="15">
        <f t="shared" si="4"/>
        <v>5.5392718131651873E-6</v>
      </c>
      <c r="F42" s="16">
        <f t="shared" si="5"/>
        <v>27.614812925699823</v>
      </c>
      <c r="G42" s="17">
        <f t="shared" si="1"/>
        <v>1.386309981548324E-2</v>
      </c>
      <c r="H42" s="18">
        <f t="shared" si="6"/>
        <v>0.19973428807358909</v>
      </c>
      <c r="I42" s="19">
        <f t="shared" si="87"/>
        <v>1019.3187449136035</v>
      </c>
      <c r="J42" s="15">
        <f t="shared" si="7"/>
        <v>5.538637489827207E-6</v>
      </c>
      <c r="K42" s="16">
        <f t="shared" si="8"/>
        <v>27.61116556650644</v>
      </c>
      <c r="L42" s="17">
        <f t="shared" si="9"/>
        <v>1.3861512298559298E-2</v>
      </c>
      <c r="M42" s="18">
        <f t="shared" si="10"/>
        <v>0.1997606724248793</v>
      </c>
      <c r="N42" s="19">
        <f t="shared" si="88"/>
        <v>1018.4174944915882</v>
      </c>
      <c r="O42" s="15">
        <f t="shared" si="11"/>
        <v>5.5368349889831769E-6</v>
      </c>
      <c r="P42" s="16">
        <f t="shared" si="12"/>
        <v>27.600801186653264</v>
      </c>
      <c r="Q42" s="17">
        <f t="shared" si="2"/>
        <v>1.386309981548324E-2</v>
      </c>
      <c r="R42" s="18">
        <f t="shared" si="13"/>
        <v>0.19983568457669099</v>
      </c>
      <c r="S42" s="19">
        <f t="shared" si="89"/>
        <v>1016.9174199453162</v>
      </c>
      <c r="T42" s="15">
        <f t="shared" si="14"/>
        <v>5.5338348398906324E-6</v>
      </c>
      <c r="U42" s="16">
        <f t="shared" si="15"/>
        <v>27.583550329371135</v>
      </c>
      <c r="V42" s="17">
        <f t="shared" si="16"/>
        <v>1.3849492737560086E-2</v>
      </c>
      <c r="W42" s="18">
        <f t="shared" si="17"/>
        <v>0.1999606625738431</v>
      </c>
      <c r="X42" s="19">
        <f t="shared" si="90"/>
        <v>1014.8177355803862</v>
      </c>
      <c r="Y42" s="15">
        <f t="shared" si="18"/>
        <v>5.5296354711607728E-6</v>
      </c>
      <c r="Z42" s="16">
        <f t="shared" si="19"/>
        <v>27.559403959174439</v>
      </c>
      <c r="AA42" s="17">
        <f t="shared" si="20"/>
        <v>1.3838983004543247E-2</v>
      </c>
      <c r="AB42" s="18">
        <f t="shared" si="21"/>
        <v>0.2001358595480025</v>
      </c>
      <c r="AC42" s="19">
        <f t="shared" si="91"/>
        <v>1012.1180402255559</v>
      </c>
      <c r="AD42" s="15">
        <f t="shared" si="22"/>
        <v>5.524236080451112E-6</v>
      </c>
      <c r="AE42" s="16">
        <f t="shared" si="23"/>
        <v>27.528357462593892</v>
      </c>
      <c r="AF42" s="17">
        <f t="shared" si="24"/>
        <v>1.382546998426269E-2</v>
      </c>
      <c r="AG42" s="18">
        <f t="shared" si="25"/>
        <v>0.20036157287970219</v>
      </c>
      <c r="AH42" s="19">
        <f t="shared" si="92"/>
        <v>1008.8184148157969</v>
      </c>
      <c r="AI42" s="15">
        <f t="shared" si="26"/>
        <v>5.5176368296315943E-6</v>
      </c>
      <c r="AJ42" s="16">
        <f t="shared" si="27"/>
        <v>27.490411770381662</v>
      </c>
      <c r="AK42" s="17">
        <f t="shared" si="28"/>
        <v>1.3808954081829278E-2</v>
      </c>
      <c r="AL42" s="18">
        <f t="shared" si="29"/>
        <v>0.20063813689188054</v>
      </c>
      <c r="AM42" s="19">
        <f t="shared" si="93"/>
        <v>1004.9188710308987</v>
      </c>
      <c r="AN42" s="15">
        <f t="shared" si="30"/>
        <v>5.5098377420617979E-6</v>
      </c>
      <c r="AO42" s="16">
        <f t="shared" si="31"/>
        <v>27.445567016855335</v>
      </c>
      <c r="AP42" s="17">
        <f t="shared" si="32"/>
        <v>1.3789435355704878E-2</v>
      </c>
      <c r="AQ42" s="18">
        <f t="shared" si="33"/>
        <v>0.20096597008225958</v>
      </c>
      <c r="AR42" s="19">
        <f t="shared" si="94"/>
        <v>1000.4194099743759</v>
      </c>
      <c r="AS42" s="15">
        <f t="shared" si="34"/>
        <v>5.5008388199487525E-6</v>
      </c>
      <c r="AT42" s="16">
        <f t="shared" si="35"/>
        <v>27.393823214705321</v>
      </c>
      <c r="AU42" s="17">
        <f t="shared" si="36"/>
        <v>1.3766913811413008E-2</v>
      </c>
      <c r="AV42" s="18">
        <f t="shared" si="37"/>
        <v>0.20134557183822185</v>
      </c>
      <c r="AW42" s="19">
        <f t="shared" si="95"/>
        <v>995.32003174132126</v>
      </c>
      <c r="AX42" s="15">
        <f t="shared" si="38"/>
        <v>5.4906400634826425E-6</v>
      </c>
      <c r="AY42" s="16">
        <f t="shared" si="39"/>
        <v>27.335180365025195</v>
      </c>
      <c r="AZ42" s="17">
        <f t="shared" si="40"/>
        <v>1.3741389449429641E-2</v>
      </c>
      <c r="BA42" s="18">
        <f t="shared" si="41"/>
        <v>0.20177752355558368</v>
      </c>
      <c r="BB42" s="19">
        <f t="shared" si="96"/>
        <v>989.62073635050888</v>
      </c>
      <c r="BC42" s="15">
        <f t="shared" si="42"/>
        <v>5.4792414727010185E-6</v>
      </c>
      <c r="BD42" s="16">
        <f t="shared" si="43"/>
        <v>27.269638468030852</v>
      </c>
      <c r="BE42" s="17">
        <f t="shared" si="44"/>
        <v>1.3712862269848755E-2</v>
      </c>
      <c r="BF42" s="18">
        <f t="shared" si="45"/>
        <v>0.20226249080882241</v>
      </c>
      <c r="BG42" s="19">
        <f t="shared" si="97"/>
        <v>983.32152381169283</v>
      </c>
      <c r="BH42" s="15">
        <f t="shared" si="46"/>
        <v>5.466643047623386E-6</v>
      </c>
      <c r="BI42" s="16">
        <f t="shared" si="47"/>
        <v>27.197197523834468</v>
      </c>
      <c r="BJ42" s="17">
        <f t="shared" si="48"/>
        <v>1.3681332272719168E-2</v>
      </c>
      <c r="BK42" s="18">
        <f t="shared" si="49"/>
        <v>0.2028012259412515</v>
      </c>
      <c r="BL42" s="19">
        <f t="shared" si="98"/>
        <v>976.42239412780987</v>
      </c>
      <c r="BM42" s="15">
        <f t="shared" si="50"/>
        <v>5.4528447882556201E-6</v>
      </c>
      <c r="BN42" s="16">
        <f t="shared" si="51"/>
        <v>27.117857532469813</v>
      </c>
      <c r="BO42" s="17">
        <f t="shared" si="52"/>
        <v>1.3646799458055581E-2</v>
      </c>
      <c r="BP42" s="18">
        <f t="shared" si="53"/>
        <v>0.20339457102744257</v>
      </c>
      <c r="BQ42" s="19">
        <f t="shared" si="99"/>
        <v>968.92334716006189</v>
      </c>
      <c r="BR42" s="15">
        <f t="shared" si="54"/>
        <v>5.4378466943201243E-6</v>
      </c>
      <c r="BS42" s="16">
        <f t="shared" si="55"/>
        <v>27.031618492340712</v>
      </c>
      <c r="BT42" s="17">
        <f t="shared" si="56"/>
        <v>1.3609263825163255E-2</v>
      </c>
      <c r="BU42" s="18">
        <f t="shared" si="57"/>
        <v>0.20404346123643419</v>
      </c>
      <c r="BV42" s="19">
        <f t="shared" si="100"/>
        <v>960.82437801873755</v>
      </c>
      <c r="BW42" s="15">
        <f t="shared" si="58"/>
        <v>5.4216487560374754E-6</v>
      </c>
      <c r="BX42" s="16">
        <f t="shared" si="59"/>
        <v>26.938480347215481</v>
      </c>
      <c r="BY42" s="17">
        <f t="shared" si="60"/>
        <v>1.3568725349567294E-2</v>
      </c>
      <c r="BZ42" s="18">
        <f t="shared" si="61"/>
        <v>0.20474892900074548</v>
      </c>
      <c r="CA42" s="19">
        <f t="shared" si="101"/>
        <v>952.12534853238253</v>
      </c>
      <c r="CB42" s="15">
        <f t="shared" si="62"/>
        <v>5.4042506970647653E-6</v>
      </c>
      <c r="CC42" s="16">
        <f t="shared" si="63"/>
        <v>26.838441508122401</v>
      </c>
      <c r="CD42" s="17">
        <f t="shared" si="64"/>
        <v>1.3525183339666081E-2</v>
      </c>
      <c r="CE42" s="18">
        <f t="shared" si="65"/>
        <v>0.2055121195592057</v>
      </c>
      <c r="CF42" s="19">
        <f t="shared" si="102"/>
        <v>942.82309039485108</v>
      </c>
      <c r="CG42" s="15">
        <f t="shared" si="66"/>
        <v>5.3856461807897023E-6</v>
      </c>
      <c r="CH42" s="16">
        <f t="shared" si="67"/>
        <v>26.731465539540785</v>
      </c>
      <c r="CI42" s="17">
        <f t="shared" si="68"/>
        <v>1.3478621936860934E-2</v>
      </c>
      <c r="CJ42" s="18">
        <f t="shared" si="69"/>
        <v>0.20633455325677411</v>
      </c>
      <c r="CK42" s="19">
        <f t="shared" si="103"/>
        <v>932.86016333310488</v>
      </c>
      <c r="CL42" s="15">
        <f t="shared" si="70"/>
        <v>5.3657203266662104E-6</v>
      </c>
      <c r="CM42" s="16">
        <f t="shared" si="71"/>
        <v>26.616891878330705</v>
      </c>
      <c r="CN42" s="17">
        <f t="shared" si="72"/>
        <v>1.3428753630350645E-2</v>
      </c>
      <c r="CO42" s="18">
        <f t="shared" si="73"/>
        <v>0.20722273003221575</v>
      </c>
      <c r="CP42" s="19">
        <f t="shared" si="104"/>
        <v>921.44632628935346</v>
      </c>
      <c r="CQ42" s="15">
        <f t="shared" si="74"/>
        <v>5.3428926525787075E-6</v>
      </c>
      <c r="CR42" s="16">
        <f t="shared" si="75"/>
        <v>26.485632752327565</v>
      </c>
      <c r="CS42" s="17">
        <f t="shared" si="76"/>
        <v>1.3371622957745225E-2</v>
      </c>
      <c r="CT42" s="18">
        <f t="shared" si="77"/>
        <v>0.20824969716894098</v>
      </c>
      <c r="CU42" s="19">
        <f t="shared" si="105"/>
        <v>900.88357862845498</v>
      </c>
      <c r="CV42" s="15">
        <f t="shared" si="78"/>
        <v>5.3017671572569102E-6</v>
      </c>
      <c r="CW42" s="16">
        <f t="shared" si="79"/>
        <v>26.249161154227231</v>
      </c>
      <c r="CX42" s="17">
        <f t="shared" si="80"/>
        <v>1.3268698446033731E-2</v>
      </c>
      <c r="CY42" s="18">
        <f t="shared" si="81"/>
        <v>0.21012576240409686</v>
      </c>
      <c r="CZ42" s="20">
        <f t="shared" si="106"/>
        <v>824.93476483058203</v>
      </c>
      <c r="DA42" s="15">
        <f t="shared" si="82"/>
        <v>5.1498695296611646E-6</v>
      </c>
      <c r="DB42" s="16">
        <f t="shared" si="83"/>
        <v>25.375749795551691</v>
      </c>
      <c r="DC42" s="17">
        <f t="shared" si="84"/>
        <v>1.2888545233820867E-2</v>
      </c>
      <c r="DD42" s="18">
        <f t="shared" si="85"/>
        <v>0.21735810939335776</v>
      </c>
    </row>
    <row r="43" spans="2:108" x14ac:dyDescent="0.25">
      <c r="B43">
        <v>24</v>
      </c>
      <c r="C43">
        <f t="shared" si="86"/>
        <v>2.3462751992286035E-2</v>
      </c>
      <c r="D43" s="19">
        <f t="shared" si="3"/>
        <v>1019.6197139099692</v>
      </c>
      <c r="E43" s="15">
        <f t="shared" si="4"/>
        <v>5.5392394278199391E-6</v>
      </c>
      <c r="F43" s="16">
        <f t="shared" si="5"/>
        <v>27.614626709964647</v>
      </c>
      <c r="G43" s="17">
        <f t="shared" si="1"/>
        <v>1.3863018764888707E-2</v>
      </c>
      <c r="H43" s="18">
        <f t="shared" si="6"/>
        <v>0.1997356349564452</v>
      </c>
      <c r="I43" s="19">
        <f t="shared" si="87"/>
        <v>1019.3022022454195</v>
      </c>
      <c r="J43" s="15">
        <f t="shared" si="7"/>
        <v>5.5386044044908396E-6</v>
      </c>
      <c r="K43" s="16">
        <f t="shared" si="8"/>
        <v>27.610975325822324</v>
      </c>
      <c r="L43" s="17">
        <f t="shared" si="9"/>
        <v>1.386142949610151E-2</v>
      </c>
      <c r="M43" s="18">
        <f t="shared" si="10"/>
        <v>0.19976204878361106</v>
      </c>
      <c r="N43" s="19">
        <f t="shared" si="88"/>
        <v>1018.4008724840229</v>
      </c>
      <c r="O43" s="15">
        <f t="shared" si="11"/>
        <v>5.5368017449680465E-6</v>
      </c>
      <c r="P43" s="16">
        <f t="shared" si="12"/>
        <v>27.600610033566262</v>
      </c>
      <c r="Q43" s="17">
        <f t="shared" si="2"/>
        <v>1.3863018764888707E-2</v>
      </c>
      <c r="R43" s="18">
        <f t="shared" si="13"/>
        <v>0.19983706857537628</v>
      </c>
      <c r="S43" s="19">
        <f t="shared" si="89"/>
        <v>1016.900790288926</v>
      </c>
      <c r="T43" s="15">
        <f t="shared" si="14"/>
        <v>5.5338015805778523E-6</v>
      </c>
      <c r="U43" s="16">
        <f t="shared" si="15"/>
        <v>27.583359088322648</v>
      </c>
      <c r="V43" s="17">
        <f t="shared" si="16"/>
        <v>1.384940949969265E-2</v>
      </c>
      <c r="W43" s="18">
        <f t="shared" si="17"/>
        <v>0.19996204894185737</v>
      </c>
      <c r="X43" s="19">
        <f t="shared" si="90"/>
        <v>1014.8011172105973</v>
      </c>
      <c r="Y43" s="15">
        <f t="shared" si="18"/>
        <v>5.5296022344211954E-6</v>
      </c>
      <c r="Z43" s="16">
        <f t="shared" si="19"/>
        <v>27.55921284792187</v>
      </c>
      <c r="AA43" s="17">
        <f t="shared" si="20"/>
        <v>1.3838899823169623E-2</v>
      </c>
      <c r="AB43" s="18">
        <f t="shared" si="21"/>
        <v>0.20013724740385361</v>
      </c>
      <c r="AC43" s="19">
        <f t="shared" si="91"/>
        <v>1012.101435453718</v>
      </c>
      <c r="AD43" s="15">
        <f t="shared" si="22"/>
        <v>5.5242028709074366E-6</v>
      </c>
      <c r="AE43" s="16">
        <f t="shared" si="23"/>
        <v>27.528166507717756</v>
      </c>
      <c r="AF43" s="17">
        <f t="shared" si="24"/>
        <v>1.3825386870952073E-2</v>
      </c>
      <c r="AG43" s="18">
        <f t="shared" si="25"/>
        <v>0.20036296272959725</v>
      </c>
      <c r="AH43" s="19">
        <f t="shared" si="92"/>
        <v>1008.8018264372308</v>
      </c>
      <c r="AI43" s="15">
        <f t="shared" si="26"/>
        <v>5.517603652874462E-6</v>
      </c>
      <c r="AJ43" s="16">
        <f t="shared" si="27"/>
        <v>27.490221004028154</v>
      </c>
      <c r="AK43" s="17">
        <f t="shared" si="28"/>
        <v>1.3808871050573332E-2</v>
      </c>
      <c r="AL43" s="18">
        <f t="shared" si="29"/>
        <v>0.20063952920537792</v>
      </c>
      <c r="AM43" s="19">
        <f t="shared" si="93"/>
        <v>1004.9023025095961</v>
      </c>
      <c r="AN43" s="15">
        <f t="shared" si="30"/>
        <v>5.5098046050191927E-6</v>
      </c>
      <c r="AO43" s="16">
        <f t="shared" si="31"/>
        <v>27.445376478860354</v>
      </c>
      <c r="AP43" s="17">
        <f t="shared" si="32"/>
        <v>1.3789352423842221E-2</v>
      </c>
      <c r="AQ43" s="18">
        <f t="shared" si="33"/>
        <v>0.20096736527729467</v>
      </c>
      <c r="AR43" s="19">
        <f t="shared" si="94"/>
        <v>1000.4028648938896</v>
      </c>
      <c r="AS43" s="15">
        <f t="shared" si="34"/>
        <v>5.5008057297877794E-6</v>
      </c>
      <c r="AT43" s="16">
        <f t="shared" si="35"/>
        <v>27.39363294627973</v>
      </c>
      <c r="AU43" s="17">
        <f t="shared" si="36"/>
        <v>1.3766830996880709E-2</v>
      </c>
      <c r="AV43" s="18">
        <f t="shared" si="37"/>
        <v>0.20134697032760909</v>
      </c>
      <c r="AW43" s="19">
        <f t="shared" si="95"/>
        <v>995.3035136990444</v>
      </c>
      <c r="AX43" s="15">
        <f t="shared" si="38"/>
        <v>5.4906070273980892E-6</v>
      </c>
      <c r="AY43" s="16">
        <f t="shared" si="39"/>
        <v>27.33499040753901</v>
      </c>
      <c r="AZ43" s="17">
        <f t="shared" si="40"/>
        <v>1.374130677023405E-2</v>
      </c>
      <c r="BA43" s="18">
        <f t="shared" si="41"/>
        <v>0.20177892575659315</v>
      </c>
      <c r="BB43" s="19">
        <f t="shared" si="96"/>
        <v>989.60424894602909</v>
      </c>
      <c r="BC43" s="15">
        <f t="shared" si="42"/>
        <v>5.4792084978920585E-6</v>
      </c>
      <c r="BD43" s="16">
        <f t="shared" si="43"/>
        <v>27.269448862879333</v>
      </c>
      <c r="BE43" s="17">
        <f t="shared" si="44"/>
        <v>1.3712779744007196E-2</v>
      </c>
      <c r="BF43" s="18">
        <f t="shared" si="45"/>
        <v>0.20226389714491702</v>
      </c>
      <c r="BG43" s="19">
        <f t="shared" si="97"/>
        <v>983.3050706454776</v>
      </c>
      <c r="BH43" s="15">
        <f t="shared" si="46"/>
        <v>5.4666101412909555E-6</v>
      </c>
      <c r="BI43" s="16">
        <f t="shared" si="47"/>
        <v>27.197008312422991</v>
      </c>
      <c r="BJ43" s="17">
        <f t="shared" si="48"/>
        <v>1.3681249918253376E-2</v>
      </c>
      <c r="BK43" s="18">
        <f t="shared" si="49"/>
        <v>0.20280263684298633</v>
      </c>
      <c r="BL43" s="19">
        <f t="shared" si="98"/>
        <v>976.40597879897166</v>
      </c>
      <c r="BM43" s="15">
        <f t="shared" si="50"/>
        <v>5.452811957597944E-6</v>
      </c>
      <c r="BN43" s="16">
        <f t="shared" si="51"/>
        <v>27.117668756188174</v>
      </c>
      <c r="BO43" s="17">
        <f t="shared" si="52"/>
        <v>1.3646717292980507E-2</v>
      </c>
      <c r="BP43" s="18">
        <f t="shared" si="53"/>
        <v>0.20339598693347674</v>
      </c>
      <c r="BQ43" s="19">
        <f t="shared" si="99"/>
        <v>968.90697320267782</v>
      </c>
      <c r="BR43" s="15">
        <f t="shared" si="54"/>
        <v>5.4378139464053563E-6</v>
      </c>
      <c r="BS43" s="16">
        <f t="shared" si="55"/>
        <v>27.031430191830793</v>
      </c>
      <c r="BT43" s="17">
        <f t="shared" si="56"/>
        <v>1.3609181867168326E-2</v>
      </c>
      <c r="BU43" s="18">
        <f t="shared" si="57"/>
        <v>0.20404488259991826</v>
      </c>
      <c r="BV43" s="19">
        <f t="shared" si="100"/>
        <v>960.8080471520019</v>
      </c>
      <c r="BW43" s="15">
        <f t="shared" si="58"/>
        <v>5.4216160943040044E-6</v>
      </c>
      <c r="BX43" s="16">
        <f t="shared" si="59"/>
        <v>26.938292542248021</v>
      </c>
      <c r="BY43" s="17">
        <f t="shared" si="60"/>
        <v>1.3568643607257739E-2</v>
      </c>
      <c r="BZ43" s="18">
        <f t="shared" si="61"/>
        <v>0.20475035644333073</v>
      </c>
      <c r="CA43" s="19">
        <f t="shared" si="101"/>
        <v>952.1090217692597</v>
      </c>
      <c r="CB43" s="15">
        <f t="shared" si="62"/>
        <v>5.4042180435385192E-6</v>
      </c>
      <c r="CC43" s="16">
        <f t="shared" si="63"/>
        <v>26.838253750346485</v>
      </c>
      <c r="CD43" s="17">
        <f t="shared" si="64"/>
        <v>1.3525101617896695E-2</v>
      </c>
      <c r="CE43" s="18">
        <f t="shared" si="65"/>
        <v>0.20551355730172247</v>
      </c>
      <c r="CF43" s="19">
        <f t="shared" si="102"/>
        <v>942.80601216840569</v>
      </c>
      <c r="CG43" s="15">
        <f t="shared" si="66"/>
        <v>5.3856120243368118E-6</v>
      </c>
      <c r="CH43" s="16">
        <f t="shared" si="67"/>
        <v>26.731269139936664</v>
      </c>
      <c r="CI43" s="17">
        <f t="shared" si="68"/>
        <v>1.3478536453726736E-2</v>
      </c>
      <c r="CJ43" s="18">
        <f t="shared" si="69"/>
        <v>0.20633606923509762</v>
      </c>
      <c r="CK43" s="19">
        <f t="shared" si="103"/>
        <v>932.83213285195495</v>
      </c>
      <c r="CL43" s="15">
        <f t="shared" si="70"/>
        <v>5.3656642657039111E-6</v>
      </c>
      <c r="CM43" s="16">
        <f t="shared" si="71"/>
        <v>26.616569527797481</v>
      </c>
      <c r="CN43" s="17">
        <f t="shared" si="72"/>
        <v>1.3428613326942125E-2</v>
      </c>
      <c r="CO43" s="18">
        <f t="shared" si="73"/>
        <v>0.20722523968536444</v>
      </c>
      <c r="CP43" s="19">
        <f t="shared" si="104"/>
        <v>921.31154129543768</v>
      </c>
      <c r="CQ43" s="15">
        <f t="shared" si="74"/>
        <v>5.3426230825908766E-6</v>
      </c>
      <c r="CR43" s="16">
        <f t="shared" si="75"/>
        <v>26.484082724897533</v>
      </c>
      <c r="CS43" s="17">
        <f t="shared" si="76"/>
        <v>1.3370948306676527E-2</v>
      </c>
      <c r="CT43" s="18">
        <f t="shared" si="77"/>
        <v>0.20826188534801671</v>
      </c>
      <c r="CU43" s="19">
        <f t="shared" si="105"/>
        <v>900.10905516177309</v>
      </c>
      <c r="CV43" s="15">
        <f t="shared" si="78"/>
        <v>5.3002181103235475E-6</v>
      </c>
      <c r="CW43" s="16">
        <f t="shared" si="79"/>
        <v>26.240254134360391</v>
      </c>
      <c r="CX43" s="17">
        <f t="shared" si="80"/>
        <v>1.3264821656271394E-2</v>
      </c>
      <c r="CY43" s="18">
        <f t="shared" si="81"/>
        <v>0.2101970877171325</v>
      </c>
      <c r="CZ43" s="20">
        <f t="shared" si="106"/>
        <v>822.60038052230641</v>
      </c>
      <c r="DA43" s="15">
        <f t="shared" si="82"/>
        <v>5.1452007610446132E-6</v>
      </c>
      <c r="DB43" s="16">
        <f t="shared" si="83"/>
        <v>25.348904376006523</v>
      </c>
      <c r="DC43" s="17">
        <f t="shared" si="84"/>
        <v>1.2876860736737187E-2</v>
      </c>
      <c r="DD43" s="18">
        <f t="shared" si="85"/>
        <v>0.21758829960401366</v>
      </c>
    </row>
    <row r="44" spans="2:108" x14ac:dyDescent="0.25">
      <c r="B44">
        <v>25</v>
      </c>
      <c r="C44">
        <f t="shared" si="86"/>
        <v>2.4440366658631286E-2</v>
      </c>
      <c r="D44" s="19">
        <f t="shared" si="3"/>
        <v>1019.6035033683397</v>
      </c>
      <c r="E44" s="15">
        <f t="shared" si="4"/>
        <v>5.5392070067366794E-6</v>
      </c>
      <c r="F44" s="16">
        <f t="shared" si="5"/>
        <v>27.614440288735906</v>
      </c>
      <c r="G44" s="17">
        <f t="shared" si="1"/>
        <v>1.3862937624852884E-2</v>
      </c>
      <c r="H44" s="18">
        <f t="shared" si="6"/>
        <v>0.19973698334381437</v>
      </c>
      <c r="I44" s="19">
        <f t="shared" si="87"/>
        <v>1019.2856604502274</v>
      </c>
      <c r="J44" s="15">
        <f t="shared" si="7"/>
        <v>5.5385713209004553E-6</v>
      </c>
      <c r="K44" s="16">
        <f t="shared" si="8"/>
        <v>27.610785095177615</v>
      </c>
      <c r="L44" s="17">
        <f t="shared" si="9"/>
        <v>1.386134669801338E-2</v>
      </c>
      <c r="M44" s="18">
        <f t="shared" si="10"/>
        <v>0.19976342508867437</v>
      </c>
      <c r="N44" s="19">
        <f t="shared" si="88"/>
        <v>1018.3842512680296</v>
      </c>
      <c r="O44" s="15">
        <f t="shared" si="11"/>
        <v>5.5367685025360604E-6</v>
      </c>
      <c r="P44" s="16">
        <f t="shared" si="12"/>
        <v>27.60041888958234</v>
      </c>
      <c r="Q44" s="17">
        <f t="shared" si="2"/>
        <v>1.3862937624852884E-2</v>
      </c>
      <c r="R44" s="18">
        <f t="shared" si="13"/>
        <v>0.19983845252732194</v>
      </c>
      <c r="S44" s="19">
        <f t="shared" si="89"/>
        <v>1016.8841610007746</v>
      </c>
      <c r="T44" s="15">
        <f t="shared" si="14"/>
        <v>5.5337683220015496E-6</v>
      </c>
      <c r="U44" s="16">
        <f t="shared" si="15"/>
        <v>27.583167851508907</v>
      </c>
      <c r="V44" s="17">
        <f t="shared" si="16"/>
        <v>1.3849326263668393E-2</v>
      </c>
      <c r="W44" s="18">
        <f t="shared" si="17"/>
        <v>0.19996343529839608</v>
      </c>
      <c r="X44" s="19">
        <f t="shared" si="90"/>
        <v>1014.7844990157761</v>
      </c>
      <c r="Y44" s="15">
        <f t="shared" si="18"/>
        <v>5.5295689980315528E-6</v>
      </c>
      <c r="Z44" s="16">
        <f t="shared" si="19"/>
        <v>27.559021738681423</v>
      </c>
      <c r="AA44" s="17">
        <f t="shared" si="20"/>
        <v>1.3838816642671775E-2</v>
      </c>
      <c r="AB44" s="18">
        <f t="shared" si="21"/>
        <v>0.20013863526434078</v>
      </c>
      <c r="AC44" s="19">
        <f t="shared" si="91"/>
        <v>1012.0848308618735</v>
      </c>
      <c r="AD44" s="15">
        <f t="shared" si="22"/>
        <v>5.5241696617237477E-6</v>
      </c>
      <c r="AE44" s="16">
        <f t="shared" si="23"/>
        <v>27.527975554911542</v>
      </c>
      <c r="AF44" s="17">
        <f t="shared" si="24"/>
        <v>1.3825303758542393E-2</v>
      </c>
      <c r="AG44" s="18">
        <f t="shared" si="25"/>
        <v>0.20036435258370833</v>
      </c>
      <c r="AH44" s="19">
        <f t="shared" si="92"/>
        <v>1008.7852382480423</v>
      </c>
      <c r="AI44" s="15">
        <f t="shared" si="26"/>
        <v>5.5175704764960847E-6</v>
      </c>
      <c r="AJ44" s="16">
        <f t="shared" si="27"/>
        <v>27.490030239852487</v>
      </c>
      <c r="AK44" s="17">
        <f t="shared" si="28"/>
        <v>1.3808788020265292E-2</v>
      </c>
      <c r="AL44" s="18">
        <f t="shared" si="29"/>
        <v>0.20064092152230376</v>
      </c>
      <c r="AM44" s="19">
        <f t="shared" si="93"/>
        <v>1004.8857341801083</v>
      </c>
      <c r="AN44" s="15">
        <f t="shared" si="30"/>
        <v>5.5097714683602164E-6</v>
      </c>
      <c r="AO44" s="16">
        <f t="shared" si="31"/>
        <v>27.445185943071245</v>
      </c>
      <c r="AP44" s="17">
        <f t="shared" si="32"/>
        <v>1.378926949293967E-2</v>
      </c>
      <c r="AQ44" s="18">
        <f t="shared" si="33"/>
        <v>0.2009687604755494</v>
      </c>
      <c r="AR44" s="19">
        <f t="shared" si="94"/>
        <v>1000.3863200060173</v>
      </c>
      <c r="AS44" s="15">
        <f t="shared" si="34"/>
        <v>5.5007726400120344E-6</v>
      </c>
      <c r="AT44" s="16">
        <f t="shared" si="35"/>
        <v>27.393442680069199</v>
      </c>
      <c r="AU44" s="17">
        <f t="shared" si="36"/>
        <v>1.3766748183312518E-2</v>
      </c>
      <c r="AV44" s="18">
        <f t="shared" si="37"/>
        <v>0.20134836882014229</v>
      </c>
      <c r="AW44" s="19">
        <f t="shared" si="95"/>
        <v>995.28699584979722</v>
      </c>
      <c r="AX44" s="15">
        <f t="shared" si="38"/>
        <v>5.4905739916995948E-6</v>
      </c>
      <c r="AY44" s="16">
        <f t="shared" si="39"/>
        <v>27.334800452272667</v>
      </c>
      <c r="AZ44" s="17">
        <f t="shared" si="40"/>
        <v>1.3741224092004645E-2</v>
      </c>
      <c r="BA44" s="18">
        <f t="shared" si="41"/>
        <v>0.20178032796070478</v>
      </c>
      <c r="BB44" s="19">
        <f t="shared" si="96"/>
        <v>989.58776173479885</v>
      </c>
      <c r="BC44" s="15">
        <f t="shared" si="42"/>
        <v>5.4791755234695978E-6</v>
      </c>
      <c r="BD44" s="16">
        <f t="shared" si="43"/>
        <v>27.269259259950186</v>
      </c>
      <c r="BE44" s="17">
        <f t="shared" si="44"/>
        <v>1.3712697219132925E-2</v>
      </c>
      <c r="BF44" s="18">
        <f t="shared" si="45"/>
        <v>0.20226530348408428</v>
      </c>
      <c r="BG44" s="19">
        <f t="shared" si="97"/>
        <v>983.28861767255773</v>
      </c>
      <c r="BH44" s="15">
        <f t="shared" si="46"/>
        <v>5.466577235345116E-6</v>
      </c>
      <c r="BI44" s="16">
        <f t="shared" si="47"/>
        <v>27.196819103234411</v>
      </c>
      <c r="BJ44" s="17">
        <f t="shared" si="48"/>
        <v>1.3681167564755103E-2</v>
      </c>
      <c r="BK44" s="18">
        <f t="shared" si="49"/>
        <v>0.2028040477477768</v>
      </c>
      <c r="BL44" s="19">
        <f t="shared" si="98"/>
        <v>976.3895636624477</v>
      </c>
      <c r="BM44" s="15">
        <f t="shared" si="50"/>
        <v>5.4527791273248955E-6</v>
      </c>
      <c r="BN44" s="16">
        <f t="shared" si="51"/>
        <v>27.117479982118148</v>
      </c>
      <c r="BO44" s="17">
        <f t="shared" si="52"/>
        <v>1.3646635128868042E-2</v>
      </c>
      <c r="BP44" s="18">
        <f t="shared" si="53"/>
        <v>0.20339740284263591</v>
      </c>
      <c r="BQ44" s="19">
        <f t="shared" si="99"/>
        <v>968.89059941167091</v>
      </c>
      <c r="BR44" s="15">
        <f t="shared" si="54"/>
        <v>5.4377811988233427E-6</v>
      </c>
      <c r="BS44" s="16">
        <f t="shared" si="55"/>
        <v>27.031241893234217</v>
      </c>
      <c r="BT44" s="17">
        <f t="shared" si="56"/>
        <v>1.3609099910006179E-2</v>
      </c>
      <c r="BU44" s="18">
        <f t="shared" si="57"/>
        <v>0.20404630396876192</v>
      </c>
      <c r="BV44" s="19">
        <f t="shared" si="100"/>
        <v>960.79171587597375</v>
      </c>
      <c r="BW44" s="15">
        <f t="shared" si="58"/>
        <v>5.421583431751948E-6</v>
      </c>
      <c r="BX44" s="16">
        <f t="shared" si="59"/>
        <v>26.938104732573699</v>
      </c>
      <c r="BY44" s="17">
        <f t="shared" si="60"/>
        <v>1.3568561862899517E-2</v>
      </c>
      <c r="BZ44" s="18">
        <f t="shared" si="61"/>
        <v>0.20475178394159546</v>
      </c>
      <c r="CA44" s="19">
        <f t="shared" si="101"/>
        <v>952.0926845145209</v>
      </c>
      <c r="CB44" s="15">
        <f t="shared" si="62"/>
        <v>5.4041853690290427E-6</v>
      </c>
      <c r="CC44" s="16">
        <f t="shared" si="63"/>
        <v>26.838065871916989</v>
      </c>
      <c r="CD44" s="17">
        <f t="shared" si="64"/>
        <v>1.3525019843612715E-2</v>
      </c>
      <c r="CE44" s="18">
        <f t="shared" si="65"/>
        <v>0.20551499598827203</v>
      </c>
      <c r="CF44" s="19">
        <f t="shared" si="102"/>
        <v>942.78879113265441</v>
      </c>
      <c r="CG44" s="15">
        <f t="shared" si="66"/>
        <v>5.3855775822653093E-6</v>
      </c>
      <c r="CH44" s="16">
        <f t="shared" si="67"/>
        <v>26.731071098025524</v>
      </c>
      <c r="CI44" s="17">
        <f t="shared" si="68"/>
        <v>1.3478450255776682E-2</v>
      </c>
      <c r="CJ44" s="18">
        <f t="shared" si="69"/>
        <v>0.20633759791269302</v>
      </c>
      <c r="CK44" s="19">
        <f t="shared" si="103"/>
        <v>932.80276462218967</v>
      </c>
      <c r="CL44" s="15">
        <f t="shared" si="70"/>
        <v>5.36560552924438E-6</v>
      </c>
      <c r="CM44" s="16">
        <f t="shared" si="71"/>
        <v>26.61623179315518</v>
      </c>
      <c r="CN44" s="17">
        <f t="shared" si="72"/>
        <v>1.342846632758395E-2</v>
      </c>
      <c r="CO44" s="18">
        <f t="shared" si="73"/>
        <v>0.2072278691763737</v>
      </c>
      <c r="CP44" s="19">
        <f t="shared" si="104"/>
        <v>921.16932216826297</v>
      </c>
      <c r="CQ44" s="15">
        <f t="shared" si="74"/>
        <v>5.3423386443365267E-6</v>
      </c>
      <c r="CR44" s="16">
        <f t="shared" si="75"/>
        <v>26.482447204935024</v>
      </c>
      <c r="CS44" s="17">
        <f t="shared" si="76"/>
        <v>1.3370236444893173E-2</v>
      </c>
      <c r="CT44" s="18">
        <f t="shared" si="77"/>
        <v>0.2082747473191284</v>
      </c>
      <c r="CU44" s="19">
        <f t="shared" si="105"/>
        <v>899.32149675131643</v>
      </c>
      <c r="CV44" s="15">
        <f t="shared" si="78"/>
        <v>5.2986429935026336E-6</v>
      </c>
      <c r="CW44" s="16">
        <f t="shared" si="79"/>
        <v>26.23119721264014</v>
      </c>
      <c r="CX44" s="17">
        <f t="shared" si="80"/>
        <v>1.3260879621569745E-2</v>
      </c>
      <c r="CY44" s="18">
        <f t="shared" si="81"/>
        <v>0.21026966307668801</v>
      </c>
      <c r="CZ44" s="20">
        <f t="shared" si="106"/>
        <v>820.31925171276396</v>
      </c>
      <c r="DA44" s="15">
        <f t="shared" si="82"/>
        <v>5.1406385034255282E-6</v>
      </c>
      <c r="DB44" s="16">
        <f t="shared" si="83"/>
        <v>25.322671394696783</v>
      </c>
      <c r="DC44" s="17">
        <f t="shared" si="84"/>
        <v>1.2865442804039425E-2</v>
      </c>
      <c r="DD44" s="18">
        <f t="shared" si="85"/>
        <v>0.21781370985823847</v>
      </c>
    </row>
    <row r="45" spans="2:108" x14ac:dyDescent="0.25">
      <c r="B45">
        <v>26</v>
      </c>
      <c r="C45">
        <f t="shared" si="86"/>
        <v>2.5417981324976538E-2</v>
      </c>
      <c r="D45" s="19">
        <f t="shared" si="3"/>
        <v>1019.5872759145768</v>
      </c>
      <c r="E45" s="15">
        <f t="shared" si="4"/>
        <v>5.5391745518291537E-6</v>
      </c>
      <c r="F45" s="16">
        <f t="shared" si="5"/>
        <v>27.614253673017632</v>
      </c>
      <c r="G45" s="17">
        <f t="shared" si="1"/>
        <v>1.386285640016529E-2</v>
      </c>
      <c r="H45" s="18">
        <f t="shared" si="6"/>
        <v>0.19973833315616324</v>
      </c>
      <c r="I45" s="19">
        <f t="shared" si="87"/>
        <v>1019.2691193965173</v>
      </c>
      <c r="J45" s="15">
        <f t="shared" si="7"/>
        <v>5.538538238793035E-6</v>
      </c>
      <c r="K45" s="16">
        <f t="shared" si="8"/>
        <v>27.610594873059949</v>
      </c>
      <c r="L45" s="17">
        <f t="shared" si="9"/>
        <v>1.3861263903636657E-2</v>
      </c>
      <c r="M45" s="18">
        <f t="shared" si="10"/>
        <v>0.19976480135100871</v>
      </c>
      <c r="N45" s="19">
        <f t="shared" si="88"/>
        <v>1018.3676308371072</v>
      </c>
      <c r="O45" s="15">
        <f t="shared" si="11"/>
        <v>5.5367352616742151E-6</v>
      </c>
      <c r="P45" s="16">
        <f t="shared" si="12"/>
        <v>27.600227754626729</v>
      </c>
      <c r="Q45" s="17">
        <f t="shared" si="2"/>
        <v>1.386285640016529E-2</v>
      </c>
      <c r="R45" s="18">
        <f t="shared" si="13"/>
        <v>0.19983983643306694</v>
      </c>
      <c r="S45" s="19">
        <f t="shared" si="89"/>
        <v>1016.8675320827251</v>
      </c>
      <c r="T45" s="15">
        <f t="shared" si="14"/>
        <v>5.5337350641654511E-6</v>
      </c>
      <c r="U45" s="16">
        <f t="shared" si="15"/>
        <v>27.582976618951339</v>
      </c>
      <c r="V45" s="17">
        <f t="shared" si="16"/>
        <v>1.3849243029496642E-2</v>
      </c>
      <c r="W45" s="18">
        <f t="shared" si="17"/>
        <v>0.19996482164330295</v>
      </c>
      <c r="X45" s="19">
        <f t="shared" si="90"/>
        <v>1014.7678809983397</v>
      </c>
      <c r="Y45" s="15">
        <f t="shared" si="18"/>
        <v>5.5295357619966806E-6</v>
      </c>
      <c r="Z45" s="16">
        <f t="shared" si="19"/>
        <v>27.558830631480905</v>
      </c>
      <c r="AA45" s="17">
        <f t="shared" si="20"/>
        <v>1.3838733463061812E-2</v>
      </c>
      <c r="AB45" s="18">
        <f t="shared" si="21"/>
        <v>0.20014002312926191</v>
      </c>
      <c r="AC45" s="19">
        <f t="shared" si="91"/>
        <v>1012.0682264501005</v>
      </c>
      <c r="AD45" s="15">
        <f t="shared" si="22"/>
        <v>5.5241364529002011E-6</v>
      </c>
      <c r="AE45" s="16">
        <f t="shared" si="23"/>
        <v>27.527784604176155</v>
      </c>
      <c r="AF45" s="17">
        <f t="shared" si="24"/>
        <v>1.3825220647034037E-2</v>
      </c>
      <c r="AG45" s="18">
        <f t="shared" si="25"/>
        <v>0.20036574244202862</v>
      </c>
      <c r="AH45" s="19">
        <f t="shared" si="92"/>
        <v>1008.768650248147</v>
      </c>
      <c r="AI45" s="15">
        <f t="shared" si="26"/>
        <v>5.5175373004962947E-6</v>
      </c>
      <c r="AJ45" s="16">
        <f t="shared" si="27"/>
        <v>27.489839477853689</v>
      </c>
      <c r="AK45" s="17">
        <f t="shared" si="28"/>
        <v>1.380870499090474E-2</v>
      </c>
      <c r="AL45" s="18">
        <f t="shared" si="29"/>
        <v>0.20064231384266493</v>
      </c>
      <c r="AM45" s="19">
        <f t="shared" si="93"/>
        <v>1004.8691660424137</v>
      </c>
      <c r="AN45" s="15">
        <f t="shared" si="30"/>
        <v>5.5097383320848275E-6</v>
      </c>
      <c r="AO45" s="16">
        <f t="shared" si="31"/>
        <v>27.444995409487756</v>
      </c>
      <c r="AP45" s="17">
        <f t="shared" si="32"/>
        <v>1.3789186562997121E-2</v>
      </c>
      <c r="AQ45" s="18">
        <f t="shared" si="33"/>
        <v>0.20097015567702534</v>
      </c>
      <c r="AR45" s="19">
        <f t="shared" si="94"/>
        <v>1000.3697753107523</v>
      </c>
      <c r="AS45" s="15">
        <f t="shared" si="34"/>
        <v>5.5007395506215047E-6</v>
      </c>
      <c r="AT45" s="16">
        <f t="shared" si="35"/>
        <v>27.393252416073651</v>
      </c>
      <c r="AU45" s="17">
        <f t="shared" si="36"/>
        <v>1.3766665370708404E-2</v>
      </c>
      <c r="AV45" s="18">
        <f t="shared" si="37"/>
        <v>0.20134976731582169</v>
      </c>
      <c r="AW45" s="19">
        <f t="shared" si="95"/>
        <v>995.27047819357517</v>
      </c>
      <c r="AX45" s="15">
        <f t="shared" si="38"/>
        <v>5.4905409563871509E-6</v>
      </c>
      <c r="AY45" s="16">
        <f t="shared" si="39"/>
        <v>27.334610499226116</v>
      </c>
      <c r="AZ45" s="17">
        <f t="shared" si="40"/>
        <v>1.3741141414741406E-2</v>
      </c>
      <c r="BA45" s="18">
        <f t="shared" si="41"/>
        <v>0.20178173016791864</v>
      </c>
      <c r="BB45" s="19">
        <f t="shared" si="96"/>
        <v>989.5712747168136</v>
      </c>
      <c r="BC45" s="15">
        <f t="shared" si="42"/>
        <v>5.4791425494336282E-6</v>
      </c>
      <c r="BD45" s="16">
        <f t="shared" si="43"/>
        <v>27.269069659243357</v>
      </c>
      <c r="BE45" s="17">
        <f t="shared" si="44"/>
        <v>1.3712614695225923E-2</v>
      </c>
      <c r="BF45" s="18">
        <f t="shared" si="45"/>
        <v>0.2022667098263243</v>
      </c>
      <c r="BG45" s="19">
        <f t="shared" si="97"/>
        <v>983.27216489291629</v>
      </c>
      <c r="BH45" s="15">
        <f t="shared" si="46"/>
        <v>5.4665443297858326E-6</v>
      </c>
      <c r="BI45" s="16">
        <f t="shared" si="47"/>
        <v>27.196629896268536</v>
      </c>
      <c r="BJ45" s="17">
        <f t="shared" si="48"/>
        <v>1.3681085212224263E-2</v>
      </c>
      <c r="BK45" s="18">
        <f t="shared" si="49"/>
        <v>0.20280545865562413</v>
      </c>
      <c r="BL45" s="19">
        <f t="shared" si="98"/>
        <v>976.37314871787908</v>
      </c>
      <c r="BM45" s="15">
        <f t="shared" si="50"/>
        <v>5.4527462974357587E-6</v>
      </c>
      <c r="BN45" s="16">
        <f t="shared" si="51"/>
        <v>27.117291210255608</v>
      </c>
      <c r="BO45" s="17">
        <f t="shared" si="52"/>
        <v>1.3646552965716388E-2</v>
      </c>
      <c r="BP45" s="18">
        <f t="shared" si="53"/>
        <v>0.20339881875495078</v>
      </c>
      <c r="BQ45" s="19">
        <f t="shared" si="99"/>
        <v>968.87422577922143</v>
      </c>
      <c r="BR45" s="15">
        <f t="shared" si="54"/>
        <v>5.437748451558443E-6</v>
      </c>
      <c r="BS45" s="16">
        <f t="shared" si="55"/>
        <v>27.031053596461046</v>
      </c>
      <c r="BT45" s="17">
        <f t="shared" si="56"/>
        <v>1.360901795363767E-2</v>
      </c>
      <c r="BU45" s="18">
        <f t="shared" si="57"/>
        <v>0.20404772534364385</v>
      </c>
      <c r="BV45" s="19">
        <f t="shared" si="100"/>
        <v>960.77538405610176</v>
      </c>
      <c r="BW45" s="15">
        <f t="shared" si="58"/>
        <v>5.4215507681122048E-6</v>
      </c>
      <c r="BX45" s="16">
        <f t="shared" si="59"/>
        <v>26.937916916645172</v>
      </c>
      <c r="BY45" s="17">
        <f t="shared" si="60"/>
        <v>1.3568480115819148E-2</v>
      </c>
      <c r="BZ45" s="18">
        <f t="shared" si="61"/>
        <v>0.20475321150730283</v>
      </c>
      <c r="CA45" s="19">
        <f t="shared" si="101"/>
        <v>952.07633504534385</v>
      </c>
      <c r="CB45" s="15">
        <f t="shared" si="62"/>
        <v>5.4041526700906879E-6</v>
      </c>
      <c r="CC45" s="16">
        <f t="shared" si="63"/>
        <v>26.837877853021453</v>
      </c>
      <c r="CD45" s="17">
        <f t="shared" si="64"/>
        <v>1.352493800819074E-2</v>
      </c>
      <c r="CE45" s="18">
        <f t="shared" si="65"/>
        <v>0.20551643577061149</v>
      </c>
      <c r="CF45" s="19">
        <f t="shared" si="102"/>
        <v>942.77141235654153</v>
      </c>
      <c r="CG45" s="15">
        <f t="shared" si="66"/>
        <v>5.3855428247130839E-6</v>
      </c>
      <c r="CH45" s="16">
        <f t="shared" si="67"/>
        <v>26.730871242100228</v>
      </c>
      <c r="CI45" s="17">
        <f t="shared" si="68"/>
        <v>1.3478363268275057E-2</v>
      </c>
      <c r="CJ45" s="18">
        <f t="shared" si="69"/>
        <v>0.20633914061555447</v>
      </c>
      <c r="CK45" s="19">
        <f t="shared" si="103"/>
        <v>932.77198970881534</v>
      </c>
      <c r="CL45" s="15">
        <f t="shared" si="70"/>
        <v>5.3655439794176305E-6</v>
      </c>
      <c r="CM45" s="16">
        <f t="shared" si="71"/>
        <v>26.615877881651375</v>
      </c>
      <c r="CN45" s="17">
        <f t="shared" si="72"/>
        <v>1.3428312287229797E-2</v>
      </c>
      <c r="CO45" s="18">
        <f t="shared" si="73"/>
        <v>0.20723062468671744</v>
      </c>
      <c r="CP45" s="19">
        <f t="shared" si="104"/>
        <v>921.0196714406602</v>
      </c>
      <c r="CQ45" s="15">
        <f t="shared" si="74"/>
        <v>5.3420393428813205E-6</v>
      </c>
      <c r="CR45" s="16">
        <f t="shared" si="75"/>
        <v>26.480726221567593</v>
      </c>
      <c r="CS45" s="17">
        <f t="shared" si="76"/>
        <v>1.3369487385072969E-2</v>
      </c>
      <c r="CT45" s="18">
        <f t="shared" si="77"/>
        <v>0.20828828310258815</v>
      </c>
      <c r="CU45" s="19">
        <f t="shared" si="105"/>
        <v>898.52188951853316</v>
      </c>
      <c r="CV45" s="15">
        <f t="shared" si="78"/>
        <v>5.297043779037067E-6</v>
      </c>
      <c r="CW45" s="16">
        <f t="shared" si="79"/>
        <v>26.22200172946313</v>
      </c>
      <c r="CX45" s="17">
        <f t="shared" si="80"/>
        <v>1.3256877277848349E-2</v>
      </c>
      <c r="CY45" s="18">
        <f t="shared" si="81"/>
        <v>0.21034340005410895</v>
      </c>
      <c r="CZ45" s="20">
        <f t="shared" si="106"/>
        <v>818.0892949767441</v>
      </c>
      <c r="DA45" s="15">
        <f t="shared" si="82"/>
        <v>5.1361785899534883E-6</v>
      </c>
      <c r="DB45" s="16">
        <f t="shared" si="83"/>
        <v>25.297026892232559</v>
      </c>
      <c r="DC45" s="17">
        <f t="shared" si="84"/>
        <v>1.2854281007377929E-2</v>
      </c>
      <c r="DD45" s="18">
        <f t="shared" si="85"/>
        <v>0.21803451541942148</v>
      </c>
    </row>
    <row r="46" spans="2:108" x14ac:dyDescent="0.25">
      <c r="B46">
        <v>27</v>
      </c>
      <c r="C46">
        <f t="shared" si="86"/>
        <v>2.6395595991321789E-2</v>
      </c>
      <c r="D46" s="19">
        <f t="shared" si="3"/>
        <v>1019.5710324499847</v>
      </c>
      <c r="E46" s="15">
        <f t="shared" si="4"/>
        <v>5.5391420648999701E-6</v>
      </c>
      <c r="F46" s="16">
        <f t="shared" si="5"/>
        <v>27.614066873174824</v>
      </c>
      <c r="G46" s="17">
        <f t="shared" si="1"/>
        <v>1.3862775095337296E-2</v>
      </c>
      <c r="H46" s="18">
        <f t="shared" si="6"/>
        <v>0.1997396843185765</v>
      </c>
      <c r="I46" s="19">
        <f t="shared" si="87"/>
        <v>1019.2525789629196</v>
      </c>
      <c r="J46" s="15">
        <f t="shared" si="7"/>
        <v>5.5385051579258396E-6</v>
      </c>
      <c r="K46" s="16">
        <f t="shared" si="8"/>
        <v>27.610404658073577</v>
      </c>
      <c r="L46" s="17">
        <f t="shared" si="9"/>
        <v>1.3861181112363837E-2</v>
      </c>
      <c r="M46" s="18">
        <f t="shared" si="10"/>
        <v>0.19976617758071041</v>
      </c>
      <c r="N46" s="19">
        <f t="shared" si="88"/>
        <v>1018.3510111836006</v>
      </c>
      <c r="O46" s="15">
        <f t="shared" si="11"/>
        <v>5.5367020223672013E-6</v>
      </c>
      <c r="P46" s="16">
        <f t="shared" si="12"/>
        <v>27.600036628611406</v>
      </c>
      <c r="Q46" s="17">
        <f t="shared" si="2"/>
        <v>1.3862775095337296E-2</v>
      </c>
      <c r="R46" s="18">
        <f t="shared" si="13"/>
        <v>0.19984122029324633</v>
      </c>
      <c r="S46" s="19">
        <f t="shared" si="89"/>
        <v>1016.8509035365473</v>
      </c>
      <c r="T46" s="15">
        <f t="shared" si="14"/>
        <v>5.5337018070730951E-6</v>
      </c>
      <c r="U46" s="16">
        <f t="shared" si="15"/>
        <v>27.582785390670296</v>
      </c>
      <c r="V46" s="17">
        <f t="shared" si="16"/>
        <v>1.3849159797186249E-2</v>
      </c>
      <c r="W46" s="18">
        <f t="shared" si="17"/>
        <v>0.19996620797642958</v>
      </c>
      <c r="X46" s="19">
        <f t="shared" si="90"/>
        <v>1014.7512631606622</v>
      </c>
      <c r="Y46" s="15">
        <f t="shared" si="18"/>
        <v>5.5295025263213256E-6</v>
      </c>
      <c r="Z46" s="16">
        <f t="shared" si="19"/>
        <v>27.558639526347616</v>
      </c>
      <c r="AA46" s="17">
        <f t="shared" si="20"/>
        <v>1.3838650284351609E-2</v>
      </c>
      <c r="AB46" s="18">
        <f t="shared" si="21"/>
        <v>0.20014141099841851</v>
      </c>
      <c r="AC46" s="19">
        <f t="shared" si="91"/>
        <v>1012.051622218504</v>
      </c>
      <c r="AD46" s="15">
        <f t="shared" si="22"/>
        <v>5.5241032444370085E-6</v>
      </c>
      <c r="AE46" s="16">
        <f t="shared" si="23"/>
        <v>27.527593655512796</v>
      </c>
      <c r="AF46" s="17">
        <f t="shared" si="24"/>
        <v>1.3825137536427539E-2</v>
      </c>
      <c r="AG46" s="18">
        <f t="shared" si="25"/>
        <v>0.20036713230454914</v>
      </c>
      <c r="AH46" s="19">
        <f t="shared" si="92"/>
        <v>1008.7520624374631</v>
      </c>
      <c r="AI46" s="15">
        <f t="shared" si="26"/>
        <v>5.5175041248749268E-6</v>
      </c>
      <c r="AJ46" s="16">
        <f t="shared" si="27"/>
        <v>27.489648718030825</v>
      </c>
      <c r="AK46" s="17">
        <f t="shared" si="28"/>
        <v>1.3808621962491264E-2</v>
      </c>
      <c r="AL46" s="18">
        <f t="shared" si="29"/>
        <v>0.20064370616646798</v>
      </c>
      <c r="AM46" s="19">
        <f t="shared" si="93"/>
        <v>1004.8525980964899</v>
      </c>
      <c r="AN46" s="15">
        <f t="shared" si="30"/>
        <v>5.509705196192981E-6</v>
      </c>
      <c r="AO46" s="16">
        <f t="shared" si="31"/>
        <v>27.444804878109636</v>
      </c>
      <c r="AP46" s="17">
        <f t="shared" si="32"/>
        <v>1.3789103634014461E-2</v>
      </c>
      <c r="AQ46" s="18">
        <f t="shared" si="33"/>
        <v>0.20097155088172408</v>
      </c>
      <c r="AR46" s="19">
        <f t="shared" si="94"/>
        <v>1000.353230808088</v>
      </c>
      <c r="AS46" s="15">
        <f t="shared" si="34"/>
        <v>5.5007064616161768E-6</v>
      </c>
      <c r="AT46" s="16">
        <f t="shared" si="35"/>
        <v>27.393062154293013</v>
      </c>
      <c r="AU46" s="17">
        <f t="shared" si="36"/>
        <v>1.3766582559068331E-2</v>
      </c>
      <c r="AV46" s="18">
        <f t="shared" si="37"/>
        <v>0.2013511658146476</v>
      </c>
      <c r="AW46" s="19">
        <f t="shared" si="95"/>
        <v>995.25396073037382</v>
      </c>
      <c r="AX46" s="15">
        <f t="shared" si="38"/>
        <v>5.4905079214607483E-6</v>
      </c>
      <c r="AY46" s="16">
        <f t="shared" si="39"/>
        <v>27.334420548399297</v>
      </c>
      <c r="AZ46" s="17">
        <f t="shared" si="40"/>
        <v>1.3741058738444311E-2</v>
      </c>
      <c r="BA46" s="18">
        <f t="shared" si="41"/>
        <v>0.20178313237823492</v>
      </c>
      <c r="BB46" s="19">
        <f t="shared" si="96"/>
        <v>989.5547878920687</v>
      </c>
      <c r="BC46" s="15">
        <f t="shared" si="42"/>
        <v>5.4791095757841377E-6</v>
      </c>
      <c r="BD46" s="16">
        <f t="shared" si="43"/>
        <v>27.268880060758789</v>
      </c>
      <c r="BE46" s="17">
        <f t="shared" si="44"/>
        <v>1.3712532172286162E-2</v>
      </c>
      <c r="BF46" s="18">
        <f t="shared" si="45"/>
        <v>0.2022681161716372</v>
      </c>
      <c r="BG46" s="19">
        <f t="shared" si="97"/>
        <v>983.25571230653168</v>
      </c>
      <c r="BH46" s="15">
        <f t="shared" si="46"/>
        <v>5.4665114246130638E-6</v>
      </c>
      <c r="BI46" s="16">
        <f t="shared" si="47"/>
        <v>27.196440691525112</v>
      </c>
      <c r="BJ46" s="17">
        <f t="shared" si="48"/>
        <v>1.3681002860660749E-2</v>
      </c>
      <c r="BK46" s="18">
        <f t="shared" si="49"/>
        <v>0.20280686956652991</v>
      </c>
      <c r="BL46" s="19">
        <f t="shared" si="98"/>
        <v>976.35673396480479</v>
      </c>
      <c r="BM46" s="15">
        <f t="shared" si="50"/>
        <v>5.4527134679296095E-6</v>
      </c>
      <c r="BN46" s="16">
        <f t="shared" si="51"/>
        <v>27.117102440595254</v>
      </c>
      <c r="BO46" s="17">
        <f t="shared" si="52"/>
        <v>1.3646470803523237E-2</v>
      </c>
      <c r="BP46" s="18">
        <f t="shared" si="53"/>
        <v>0.20340023467046081</v>
      </c>
      <c r="BQ46" s="19">
        <f t="shared" si="99"/>
        <v>968.85785229581177</v>
      </c>
      <c r="BR46" s="15">
        <f t="shared" si="54"/>
        <v>5.4377157045916236E-6</v>
      </c>
      <c r="BS46" s="16">
        <f t="shared" si="55"/>
        <v>27.030865301401832</v>
      </c>
      <c r="BT46" s="17">
        <f t="shared" si="56"/>
        <v>1.3608935998015164E-2</v>
      </c>
      <c r="BU46" s="18">
        <f t="shared" si="57"/>
        <v>0.20404914672539015</v>
      </c>
      <c r="BV46" s="19">
        <f t="shared" si="100"/>
        <v>960.75905153711381</v>
      </c>
      <c r="BW46" s="15">
        <f t="shared" si="58"/>
        <v>5.4215181030742287E-6</v>
      </c>
      <c r="BX46" s="16">
        <f t="shared" si="59"/>
        <v>26.937729092676808</v>
      </c>
      <c r="BY46" s="17">
        <f t="shared" si="60"/>
        <v>1.3568398365239431E-2</v>
      </c>
      <c r="BZ46" s="18">
        <f t="shared" si="61"/>
        <v>0.20475463915402795</v>
      </c>
      <c r="CA46" s="19">
        <f t="shared" si="101"/>
        <v>952.05997147458197</v>
      </c>
      <c r="CB46" s="15">
        <f t="shared" si="62"/>
        <v>5.404119942949165E-6</v>
      </c>
      <c r="CC46" s="16">
        <f t="shared" si="63"/>
        <v>26.837689671957691</v>
      </c>
      <c r="CD46" s="17">
        <f t="shared" si="64"/>
        <v>1.3524856102184875E-2</v>
      </c>
      <c r="CE46" s="18">
        <f t="shared" si="65"/>
        <v>0.20551787681497771</v>
      </c>
      <c r="CF46" s="19">
        <f t="shared" si="102"/>
        <v>942.75386032913343</v>
      </c>
      <c r="CG46" s="15">
        <f t="shared" si="66"/>
        <v>5.385507720658267E-6</v>
      </c>
      <c r="CH46" s="16">
        <f t="shared" si="67"/>
        <v>26.730669393785035</v>
      </c>
      <c r="CI46" s="17">
        <f t="shared" si="68"/>
        <v>1.3478275413583634E-2</v>
      </c>
      <c r="CJ46" s="18">
        <f t="shared" si="69"/>
        <v>0.20634069872123742</v>
      </c>
      <c r="CK46" s="19">
        <f t="shared" si="103"/>
        <v>932.73974087667227</v>
      </c>
      <c r="CL46" s="15">
        <f t="shared" si="70"/>
        <v>5.3654794817533453E-6</v>
      </c>
      <c r="CM46" s="16">
        <f t="shared" si="71"/>
        <v>26.615507020081729</v>
      </c>
      <c r="CN46" s="17">
        <f t="shared" si="72"/>
        <v>1.342815086934167E-2</v>
      </c>
      <c r="CO46" s="18">
        <f t="shared" si="73"/>
        <v>0.20723351224676625</v>
      </c>
      <c r="CP46" s="19">
        <f t="shared" si="104"/>
        <v>920.86260430264679</v>
      </c>
      <c r="CQ46" s="15">
        <f t="shared" si="74"/>
        <v>5.341725208605294E-6</v>
      </c>
      <c r="CR46" s="16">
        <f t="shared" si="75"/>
        <v>26.478919949480435</v>
      </c>
      <c r="CS46" s="17">
        <f t="shared" si="76"/>
        <v>1.3368701203247827E-2</v>
      </c>
      <c r="CT46" s="18">
        <f t="shared" si="77"/>
        <v>0.20830249158664141</v>
      </c>
      <c r="CU46" s="19">
        <f t="shared" si="105"/>
        <v>897.71116459704729</v>
      </c>
      <c r="CV46" s="15">
        <f t="shared" si="78"/>
        <v>5.2954223291940952E-6</v>
      </c>
      <c r="CW46" s="16">
        <f t="shared" si="79"/>
        <v>26.212678392866042</v>
      </c>
      <c r="CX46" s="17">
        <f t="shared" si="80"/>
        <v>1.3252819285791436E-2</v>
      </c>
      <c r="CY46" s="18">
        <f t="shared" si="81"/>
        <v>0.21041821508408368</v>
      </c>
      <c r="CZ46" s="20">
        <f t="shared" si="106"/>
        <v>815.9085216043203</v>
      </c>
      <c r="DA46" s="15">
        <f t="shared" si="82"/>
        <v>5.131817043208641E-6</v>
      </c>
      <c r="DB46" s="16">
        <f t="shared" si="83"/>
        <v>25.271947998449683</v>
      </c>
      <c r="DC46" s="17">
        <f t="shared" si="84"/>
        <v>1.2843365392489703E-2</v>
      </c>
      <c r="DD46" s="18">
        <f t="shared" si="85"/>
        <v>0.21825088435360654</v>
      </c>
    </row>
    <row r="47" spans="2:108" x14ac:dyDescent="0.25">
      <c r="B47">
        <v>28</v>
      </c>
      <c r="C47">
        <f t="shared" si="86"/>
        <v>2.7373210657667041E-2</v>
      </c>
      <c r="D47" s="19">
        <f t="shared" si="3"/>
        <v>1019.5547738236554</v>
      </c>
      <c r="E47" s="15">
        <f t="shared" si="4"/>
        <v>5.5391095476473111E-6</v>
      </c>
      <c r="F47" s="16">
        <f t="shared" si="5"/>
        <v>27.613879898972037</v>
      </c>
      <c r="G47" s="17">
        <f t="shared" si="1"/>
        <v>1.3862693714618938E-2</v>
      </c>
      <c r="H47" s="18">
        <f t="shared" si="6"/>
        <v>0.19974103676047805</v>
      </c>
      <c r="I47" s="19">
        <f t="shared" si="87"/>
        <v>1019.236039037515</v>
      </c>
      <c r="J47" s="15">
        <f t="shared" si="7"/>
        <v>5.5384720780750303E-6</v>
      </c>
      <c r="K47" s="16">
        <f t="shared" si="8"/>
        <v>27.610214448931423</v>
      </c>
      <c r="L47" s="17">
        <f t="shared" si="9"/>
        <v>1.386109832363472E-2</v>
      </c>
      <c r="M47" s="18">
        <f t="shared" si="10"/>
        <v>0.1997675537870901</v>
      </c>
      <c r="N47" s="19">
        <f t="shared" si="88"/>
        <v>1018.3343922988367</v>
      </c>
      <c r="O47" s="15">
        <f t="shared" si="11"/>
        <v>5.5366687845976742E-6</v>
      </c>
      <c r="P47" s="16">
        <f t="shared" si="12"/>
        <v>27.599845511436619</v>
      </c>
      <c r="Q47" s="17">
        <f t="shared" si="2"/>
        <v>1.3862693714618938E-2</v>
      </c>
      <c r="R47" s="18">
        <f t="shared" si="13"/>
        <v>0.1998426041085801</v>
      </c>
      <c r="S47" s="19">
        <f t="shared" si="89"/>
        <v>1016.834275363907</v>
      </c>
      <c r="T47" s="15">
        <f t="shared" si="14"/>
        <v>5.5336685507278144E-6</v>
      </c>
      <c r="U47" s="16">
        <f t="shared" si="15"/>
        <v>27.582594166684927</v>
      </c>
      <c r="V47" s="17">
        <f t="shared" si="16"/>
        <v>1.3849076566745557E-2</v>
      </c>
      <c r="W47" s="18">
        <f t="shared" si="17"/>
        <v>0.19996759429763625</v>
      </c>
      <c r="X47" s="19">
        <f t="shared" si="90"/>
        <v>1014.7346455050749</v>
      </c>
      <c r="Y47" s="15">
        <f t="shared" si="18"/>
        <v>5.5294692910101498E-6</v>
      </c>
      <c r="Z47" s="16">
        <f t="shared" si="19"/>
        <v>27.558448423308363</v>
      </c>
      <c r="AA47" s="17">
        <f t="shared" si="20"/>
        <v>1.3838567106552836E-2</v>
      </c>
      <c r="AB47" s="18">
        <f t="shared" si="21"/>
        <v>0.20014279887161568</v>
      </c>
      <c r="AC47" s="19">
        <f t="shared" si="91"/>
        <v>1012.0350181672143</v>
      </c>
      <c r="AD47" s="15">
        <f t="shared" si="22"/>
        <v>5.5240700363344293E-6</v>
      </c>
      <c r="AE47" s="16">
        <f t="shared" si="23"/>
        <v>27.527402708922963</v>
      </c>
      <c r="AF47" s="17">
        <f t="shared" si="24"/>
        <v>1.3825054426723543E-2</v>
      </c>
      <c r="AG47" s="18">
        <f t="shared" si="25"/>
        <v>0.20036852217125878</v>
      </c>
      <c r="AH47" s="19">
        <f t="shared" si="92"/>
        <v>1008.7354748159123</v>
      </c>
      <c r="AI47" s="15">
        <f t="shared" si="26"/>
        <v>5.5174709496318252E-6</v>
      </c>
      <c r="AJ47" s="16">
        <f t="shared" si="27"/>
        <v>27.489457960382992</v>
      </c>
      <c r="AK47" s="17">
        <f t="shared" si="28"/>
        <v>1.3808538935024471E-2</v>
      </c>
      <c r="AL47" s="18">
        <f t="shared" si="29"/>
        <v>0.20064509849371925</v>
      </c>
      <c r="AM47" s="19">
        <f t="shared" si="93"/>
        <v>1004.8360303423143</v>
      </c>
      <c r="AN47" s="15">
        <f t="shared" si="30"/>
        <v>5.5096720606846294E-6</v>
      </c>
      <c r="AO47" s="16">
        <f t="shared" si="31"/>
        <v>27.444614348936614</v>
      </c>
      <c r="AP47" s="17">
        <f t="shared" si="32"/>
        <v>1.3789020705991573E-2</v>
      </c>
      <c r="AQ47" s="18">
        <f t="shared" si="33"/>
        <v>0.20097294608964733</v>
      </c>
      <c r="AR47" s="19">
        <f t="shared" si="94"/>
        <v>1000.3366864980177</v>
      </c>
      <c r="AS47" s="15">
        <f t="shared" si="34"/>
        <v>5.5006733729960355E-6</v>
      </c>
      <c r="AT47" s="16">
        <f t="shared" si="35"/>
        <v>27.3928718947272</v>
      </c>
      <c r="AU47" s="17">
        <f t="shared" si="36"/>
        <v>1.3766499748392263E-2</v>
      </c>
      <c r="AV47" s="18">
        <f t="shared" si="37"/>
        <v>0.20135256431662032</v>
      </c>
      <c r="AW47" s="19">
        <f t="shared" si="95"/>
        <v>995.2374434601885</v>
      </c>
      <c r="AX47" s="15">
        <f t="shared" si="38"/>
        <v>5.4904748869203775E-6</v>
      </c>
      <c r="AY47" s="16">
        <f t="shared" si="39"/>
        <v>27.334230599792168</v>
      </c>
      <c r="AZ47" s="17">
        <f t="shared" si="40"/>
        <v>1.3740976063113336E-2</v>
      </c>
      <c r="BA47" s="18">
        <f t="shared" si="41"/>
        <v>0.20178453459165363</v>
      </c>
      <c r="BB47" s="19">
        <f t="shared" si="96"/>
        <v>989.53830126055925</v>
      </c>
      <c r="BC47" s="15">
        <f t="shared" si="42"/>
        <v>5.4790766025211186E-6</v>
      </c>
      <c r="BD47" s="16">
        <f t="shared" si="43"/>
        <v>27.26869046449643</v>
      </c>
      <c r="BE47" s="17">
        <f t="shared" si="44"/>
        <v>1.3712449650313619E-2</v>
      </c>
      <c r="BF47" s="18">
        <f t="shared" si="45"/>
        <v>0.20226952252002312</v>
      </c>
      <c r="BG47" s="19">
        <f t="shared" si="97"/>
        <v>983.23925991337603</v>
      </c>
      <c r="BH47" s="15">
        <f t="shared" si="46"/>
        <v>5.4664785198267522E-6</v>
      </c>
      <c r="BI47" s="16">
        <f t="shared" si="47"/>
        <v>27.196251489003824</v>
      </c>
      <c r="BJ47" s="17">
        <f t="shared" si="48"/>
        <v>1.368092051006442E-2</v>
      </c>
      <c r="BK47" s="18">
        <f t="shared" si="49"/>
        <v>0.20280828048049621</v>
      </c>
      <c r="BL47" s="19">
        <f t="shared" si="98"/>
        <v>976.34031940264072</v>
      </c>
      <c r="BM47" s="15">
        <f t="shared" si="50"/>
        <v>5.4526806388052825E-6</v>
      </c>
      <c r="BN47" s="16">
        <f t="shared" si="51"/>
        <v>27.116913673130369</v>
      </c>
      <c r="BO47" s="17">
        <f t="shared" si="52"/>
        <v>1.3646388642285666E-2</v>
      </c>
      <c r="BP47" s="18">
        <f t="shared" si="53"/>
        <v>0.20340165058921611</v>
      </c>
      <c r="BQ47" s="19">
        <f t="shared" si="99"/>
        <v>968.84147894997795</v>
      </c>
      <c r="BR47" s="15">
        <f t="shared" si="54"/>
        <v>5.4376829578999568E-6</v>
      </c>
      <c r="BS47" s="16">
        <f t="shared" si="55"/>
        <v>27.030677007924744</v>
      </c>
      <c r="BT47" s="17">
        <f t="shared" si="56"/>
        <v>1.3608854043081282E-2</v>
      </c>
      <c r="BU47" s="18">
        <f t="shared" si="57"/>
        <v>0.20405056811499583</v>
      </c>
      <c r="BV47" s="19">
        <f t="shared" si="100"/>
        <v>960.74271814124256</v>
      </c>
      <c r="BW47" s="15">
        <f t="shared" si="58"/>
        <v>5.4214854362824861E-6</v>
      </c>
      <c r="BX47" s="16">
        <f t="shared" si="59"/>
        <v>26.937541258624289</v>
      </c>
      <c r="BY47" s="17">
        <f t="shared" si="60"/>
        <v>1.3568316610270572E-2</v>
      </c>
      <c r="BZ47" s="18">
        <f t="shared" si="61"/>
        <v>0.20475606689731285</v>
      </c>
      <c r="CA47" s="19">
        <f t="shared" si="101"/>
        <v>952.04359174682543</v>
      </c>
      <c r="CB47" s="15">
        <f t="shared" si="62"/>
        <v>5.4040871834936511E-6</v>
      </c>
      <c r="CC47" s="16">
        <f t="shared" si="63"/>
        <v>26.837501305088491</v>
      </c>
      <c r="CD47" s="17">
        <f t="shared" si="64"/>
        <v>1.3524774115306996E-2</v>
      </c>
      <c r="CE47" s="18">
        <f t="shared" si="65"/>
        <v>0.20551931930243508</v>
      </c>
      <c r="CF47" s="19">
        <f t="shared" si="102"/>
        <v>942.73611899687523</v>
      </c>
      <c r="CG47" s="15">
        <f t="shared" si="66"/>
        <v>5.3854722379937504E-6</v>
      </c>
      <c r="CH47" s="16">
        <f t="shared" si="67"/>
        <v>26.730465368464067</v>
      </c>
      <c r="CI47" s="17">
        <f t="shared" si="68"/>
        <v>1.3478186611348159E-2</v>
      </c>
      <c r="CJ47" s="18">
        <f t="shared" si="69"/>
        <v>0.20634227365555693</v>
      </c>
      <c r="CK47" s="19">
        <f t="shared" si="103"/>
        <v>932.70595271266291</v>
      </c>
      <c r="CL47" s="15">
        <f t="shared" si="70"/>
        <v>5.3654119054253264E-6</v>
      </c>
      <c r="CM47" s="16">
        <f t="shared" si="71"/>
        <v>26.615118456195624</v>
      </c>
      <c r="CN47" s="17">
        <f t="shared" si="72"/>
        <v>1.3427981746501682E-2</v>
      </c>
      <c r="CO47" s="18">
        <f t="shared" si="73"/>
        <v>0.2072365377248975</v>
      </c>
      <c r="CP47" s="19">
        <f t="shared" si="104"/>
        <v>920.69814752480011</v>
      </c>
      <c r="CQ47" s="15">
        <f t="shared" si="74"/>
        <v>5.3413962950496014E-6</v>
      </c>
      <c r="CR47" s="16">
        <f t="shared" si="75"/>
        <v>26.4770286965352</v>
      </c>
      <c r="CS47" s="17">
        <f t="shared" si="76"/>
        <v>1.3367878033414857E-2</v>
      </c>
      <c r="CT47" s="18">
        <f t="shared" si="77"/>
        <v>0.20831737062406017</v>
      </c>
      <c r="CU47" s="19">
        <f t="shared" si="105"/>
        <v>896.890201060344</v>
      </c>
      <c r="CV47" s="15">
        <f t="shared" si="78"/>
        <v>5.2937804021206885E-6</v>
      </c>
      <c r="CW47" s="16">
        <f t="shared" si="79"/>
        <v>26.203237312193956</v>
      </c>
      <c r="CX47" s="17">
        <f t="shared" si="80"/>
        <v>1.3248710045502075E-2</v>
      </c>
      <c r="CY47" s="18">
        <f t="shared" si="81"/>
        <v>0.21049402920276744</v>
      </c>
      <c r="CZ47" s="20">
        <f t="shared" si="106"/>
        <v>813.7750330594572</v>
      </c>
      <c r="DA47" s="15">
        <f t="shared" si="82"/>
        <v>5.1275500661189147E-6</v>
      </c>
      <c r="DB47" s="16">
        <f t="shared" si="83"/>
        <v>25.247412880183759</v>
      </c>
      <c r="DC47" s="17">
        <f t="shared" si="84"/>
        <v>1.2832686456466982E-2</v>
      </c>
      <c r="DD47" s="18">
        <f t="shared" si="85"/>
        <v>0.21846297781778326</v>
      </c>
    </row>
    <row r="48" spans="2:108" x14ac:dyDescent="0.25">
      <c r="B48">
        <v>29</v>
      </c>
      <c r="C48">
        <f t="shared" si="86"/>
        <v>2.8350825324012292E-2</v>
      </c>
      <c r="D48" s="19">
        <f t="shared" si="3"/>
        <v>1019.5385008356163</v>
      </c>
      <c r="E48" s="15">
        <f t="shared" si="4"/>
        <v>5.5390770016712329E-6</v>
      </c>
      <c r="F48" s="16">
        <f t="shared" si="5"/>
        <v>27.613692759609584</v>
      </c>
      <c r="G48" s="17">
        <f t="shared" si="1"/>
        <v>1.3862612262014665E-2</v>
      </c>
      <c r="H48" s="18">
        <f t="shared" si="6"/>
        <v>0.19974239041536951</v>
      </c>
      <c r="I48" s="19">
        <f t="shared" si="87"/>
        <v>1019.2194995171889</v>
      </c>
      <c r="J48" s="15">
        <f t="shared" si="7"/>
        <v>5.5384389990343784E-6</v>
      </c>
      <c r="K48" s="16">
        <f t="shared" si="8"/>
        <v>27.610024244447672</v>
      </c>
      <c r="L48" s="17">
        <f t="shared" si="9"/>
        <v>1.3861015536933176E-2</v>
      </c>
      <c r="M48" s="18">
        <f t="shared" si="10"/>
        <v>0.19976892997872622</v>
      </c>
      <c r="N48" s="19">
        <f t="shared" si="88"/>
        <v>1018.3177741732492</v>
      </c>
      <c r="O48" s="15">
        <f t="shared" si="11"/>
        <v>5.5366355483464986E-6</v>
      </c>
      <c r="P48" s="16">
        <f t="shared" si="12"/>
        <v>27.599654402992364</v>
      </c>
      <c r="Q48" s="17">
        <f t="shared" si="2"/>
        <v>1.3862612262014665E-2</v>
      </c>
      <c r="R48" s="18">
        <f t="shared" si="13"/>
        <v>0.19984398787986252</v>
      </c>
      <c r="S48" s="19">
        <f t="shared" si="89"/>
        <v>1016.8176475663563</v>
      </c>
      <c r="T48" s="15">
        <f t="shared" si="14"/>
        <v>5.5336352951327136E-6</v>
      </c>
      <c r="U48" s="16">
        <f t="shared" si="15"/>
        <v>27.582402947013097</v>
      </c>
      <c r="V48" s="17">
        <f t="shared" si="16"/>
        <v>1.3848993338182335E-2</v>
      </c>
      <c r="W48" s="18">
        <f t="shared" si="17"/>
        <v>0.19996898060679255</v>
      </c>
      <c r="X48" s="19">
        <f t="shared" si="90"/>
        <v>1014.7180280338667</v>
      </c>
      <c r="Y48" s="15">
        <f t="shared" si="18"/>
        <v>5.5294360560677341E-6</v>
      </c>
      <c r="Z48" s="16">
        <f t="shared" si="19"/>
        <v>27.558257322389466</v>
      </c>
      <c r="AA48" s="17">
        <f t="shared" si="20"/>
        <v>1.3838483929676954E-2</v>
      </c>
      <c r="AB48" s="18">
        <f t="shared" si="21"/>
        <v>0.20014418674866202</v>
      </c>
      <c r="AC48" s="19">
        <f t="shared" si="91"/>
        <v>1012.0184142963858</v>
      </c>
      <c r="AD48" s="15">
        <f t="shared" si="22"/>
        <v>5.5240368285927724E-6</v>
      </c>
      <c r="AE48" s="16">
        <f t="shared" si="23"/>
        <v>27.527211764408435</v>
      </c>
      <c r="AF48" s="17">
        <f t="shared" si="24"/>
        <v>1.3824971317922825E-2</v>
      </c>
      <c r="AG48" s="18">
        <f t="shared" si="25"/>
        <v>0.20036991204214438</v>
      </c>
      <c r="AH48" s="19">
        <f t="shared" si="92"/>
        <v>1008.7188873834199</v>
      </c>
      <c r="AI48" s="15">
        <f t="shared" si="26"/>
        <v>5.51743777476684E-6</v>
      </c>
      <c r="AJ48" s="16">
        <f t="shared" si="27"/>
        <v>27.489267204909329</v>
      </c>
      <c r="AK48" s="17">
        <f t="shared" si="28"/>
        <v>1.380845590850399E-2</v>
      </c>
      <c r="AL48" s="18">
        <f t="shared" si="29"/>
        <v>0.20064649082442476</v>
      </c>
      <c r="AM48" s="19">
        <f t="shared" si="93"/>
        <v>1004.8194627798636</v>
      </c>
      <c r="AN48" s="15">
        <f t="shared" si="30"/>
        <v>5.5096389255597272E-6</v>
      </c>
      <c r="AO48" s="16">
        <f t="shared" si="31"/>
        <v>27.444423821968428</v>
      </c>
      <c r="AP48" s="17">
        <f t="shared" si="32"/>
        <v>1.378893777892834E-2</v>
      </c>
      <c r="AQ48" s="18">
        <f t="shared" si="33"/>
        <v>0.20097434130079678</v>
      </c>
      <c r="AR48" s="19">
        <f t="shared" si="94"/>
        <v>1000.3201423805342</v>
      </c>
      <c r="AS48" s="15">
        <f t="shared" si="34"/>
        <v>5.5006402847610688E-6</v>
      </c>
      <c r="AT48" s="16">
        <f t="shared" si="35"/>
        <v>27.392681637376143</v>
      </c>
      <c r="AU48" s="17">
        <f t="shared" si="36"/>
        <v>1.3766416938680168E-2</v>
      </c>
      <c r="AV48" s="18">
        <f t="shared" si="37"/>
        <v>0.20135396282174015</v>
      </c>
      <c r="AW48" s="19">
        <f t="shared" si="95"/>
        <v>995.22092638301467</v>
      </c>
      <c r="AX48" s="15">
        <f t="shared" si="38"/>
        <v>5.4904418527660301E-6</v>
      </c>
      <c r="AY48" s="16">
        <f t="shared" si="39"/>
        <v>27.334040653404667</v>
      </c>
      <c r="AZ48" s="17">
        <f t="shared" si="40"/>
        <v>1.3740893388748458E-2</v>
      </c>
      <c r="BA48" s="18">
        <f t="shared" si="41"/>
        <v>0.20178593680817497</v>
      </c>
      <c r="BB48" s="19">
        <f t="shared" si="96"/>
        <v>989.52181482227991</v>
      </c>
      <c r="BC48" s="15">
        <f t="shared" si="42"/>
        <v>5.47904362964456E-6</v>
      </c>
      <c r="BD48" s="16">
        <f t="shared" si="43"/>
        <v>27.268500870456219</v>
      </c>
      <c r="BE48" s="17">
        <f t="shared" si="44"/>
        <v>1.3712367129308267E-2</v>
      </c>
      <c r="BF48" s="18">
        <f t="shared" si="45"/>
        <v>0.20227092887148218</v>
      </c>
      <c r="BG48" s="19">
        <f t="shared" si="97"/>
        <v>983.22280771341389</v>
      </c>
      <c r="BH48" s="15">
        <f t="shared" si="46"/>
        <v>5.4664456154268282E-6</v>
      </c>
      <c r="BI48" s="16">
        <f t="shared" si="47"/>
        <v>27.196062288704258</v>
      </c>
      <c r="BJ48" s="17">
        <f t="shared" si="48"/>
        <v>1.3680838160435102E-2</v>
      </c>
      <c r="BK48" s="18">
        <f t="shared" si="49"/>
        <v>0.2028096913975258</v>
      </c>
      <c r="BL48" s="19">
        <f t="shared" si="98"/>
        <v>976.32390503065483</v>
      </c>
      <c r="BM48" s="15">
        <f t="shared" si="50"/>
        <v>5.4526478100613105E-6</v>
      </c>
      <c r="BN48" s="16">
        <f t="shared" si="51"/>
        <v>27.116724907852529</v>
      </c>
      <c r="BO48" s="17">
        <f t="shared" si="52"/>
        <v>1.364630648200001E-2</v>
      </c>
      <c r="BP48" s="18">
        <f t="shared" si="53"/>
        <v>0.2034030665112796</v>
      </c>
      <c r="BQ48" s="19">
        <f t="shared" si="99"/>
        <v>968.82510572804199</v>
      </c>
      <c r="BR48" s="15">
        <f t="shared" si="54"/>
        <v>5.4376502114560844E-6</v>
      </c>
      <c r="BS48" s="16">
        <f t="shared" si="55"/>
        <v>27.03048871587248</v>
      </c>
      <c r="BT48" s="17">
        <f t="shared" si="56"/>
        <v>1.3608772088767554E-2</v>
      </c>
      <c r="BU48" s="18">
        <f t="shared" si="57"/>
        <v>0.20405198951364831</v>
      </c>
      <c r="BV48" s="19">
        <f t="shared" si="100"/>
        <v>960.72638366644139</v>
      </c>
      <c r="BW48" s="15">
        <f t="shared" si="58"/>
        <v>5.4214527673328839E-6</v>
      </c>
      <c r="BX48" s="16">
        <f t="shared" si="59"/>
        <v>26.937353412164075</v>
      </c>
      <c r="BY48" s="17">
        <f t="shared" si="60"/>
        <v>1.3568234849901255E-2</v>
      </c>
      <c r="BZ48" s="18">
        <f t="shared" si="61"/>
        <v>0.20475749475482302</v>
      </c>
      <c r="CA48" s="19">
        <f t="shared" si="101"/>
        <v>952.0271936350689</v>
      </c>
      <c r="CB48" s="15">
        <f t="shared" si="62"/>
        <v>5.4040543872701377E-6</v>
      </c>
      <c r="CC48" s="16">
        <f t="shared" si="63"/>
        <v>26.83731272680329</v>
      </c>
      <c r="CD48" s="17">
        <f t="shared" si="64"/>
        <v>1.3524692036410081E-2</v>
      </c>
      <c r="CE48" s="18">
        <f t="shared" si="65"/>
        <v>0.20552076342917028</v>
      </c>
      <c r="CF48" s="19">
        <f t="shared" si="102"/>
        <v>942.71817180149242</v>
      </c>
      <c r="CG48" s="15">
        <f t="shared" si="66"/>
        <v>5.3854363436029853E-6</v>
      </c>
      <c r="CH48" s="16">
        <f t="shared" si="67"/>
        <v>26.730258975717163</v>
      </c>
      <c r="CI48" s="17">
        <f t="shared" si="68"/>
        <v>1.347809677868806E-2</v>
      </c>
      <c r="CJ48" s="18">
        <f t="shared" si="69"/>
        <v>0.20634386688922896</v>
      </c>
      <c r="CK48" s="19">
        <f t="shared" si="103"/>
        <v>932.67056173023479</v>
      </c>
      <c r="CL48" s="15">
        <f t="shared" si="70"/>
        <v>5.3653411234604703E-6</v>
      </c>
      <c r="CM48" s="16">
        <f t="shared" si="71"/>
        <v>26.614711459897698</v>
      </c>
      <c r="CN48" s="17">
        <f t="shared" si="72"/>
        <v>1.3427804600935076E-2</v>
      </c>
      <c r="CO48" s="18">
        <f t="shared" si="73"/>
        <v>0.20723970681819298</v>
      </c>
      <c r="CP48" s="19">
        <f t="shared" si="104"/>
        <v>920.52633845250728</v>
      </c>
      <c r="CQ48" s="15">
        <f t="shared" si="74"/>
        <v>5.3410526769050152E-6</v>
      </c>
      <c r="CR48" s="16">
        <f t="shared" si="75"/>
        <v>26.475052892203834</v>
      </c>
      <c r="CS48" s="17">
        <f t="shared" si="76"/>
        <v>1.3367018062502165E-2</v>
      </c>
      <c r="CT48" s="18">
        <f t="shared" si="77"/>
        <v>0.20833291712229962</v>
      </c>
      <c r="CU48" s="19">
        <f t="shared" si="105"/>
        <v>896.05982869560978</v>
      </c>
      <c r="CV48" s="15">
        <f t="shared" si="78"/>
        <v>5.2921196573912201E-6</v>
      </c>
      <c r="CW48" s="16">
        <f t="shared" si="79"/>
        <v>26.193688029999514</v>
      </c>
      <c r="CX48" s="17">
        <f t="shared" si="80"/>
        <v>1.3244553710386339E-2</v>
      </c>
      <c r="CY48" s="18">
        <f t="shared" si="81"/>
        <v>0.2105707678003563</v>
      </c>
      <c r="CZ48" s="20">
        <f t="shared" si="106"/>
        <v>811.68701665822618</v>
      </c>
      <c r="DA48" s="15">
        <f t="shared" si="82"/>
        <v>5.1233740333164524E-6</v>
      </c>
      <c r="DB48" s="16">
        <f t="shared" si="83"/>
        <v>25.223400691569601</v>
      </c>
      <c r="DC48" s="17">
        <f t="shared" si="84"/>
        <v>1.2822235126125027E-2</v>
      </c>
      <c r="DD48" s="18">
        <f t="shared" si="85"/>
        <v>0.21867095033872586</v>
      </c>
    </row>
    <row r="49" spans="2:108" x14ac:dyDescent="0.25">
      <c r="B49">
        <v>30</v>
      </c>
      <c r="C49">
        <f t="shared" si="86"/>
        <v>2.9328439990357544E-2</v>
      </c>
      <c r="D49" s="19">
        <f t="shared" si="3"/>
        <v>1019.5222142397852</v>
      </c>
      <c r="E49" s="15">
        <f t="shared" si="4"/>
        <v>5.539044428479571E-6</v>
      </c>
      <c r="F49" s="16">
        <f t="shared" si="5"/>
        <v>27.613505463757527</v>
      </c>
      <c r="G49" s="17">
        <f t="shared" si="1"/>
        <v>1.3862530741298123E-2</v>
      </c>
      <c r="H49" s="18">
        <f t="shared" si="6"/>
        <v>0.19974374522058444</v>
      </c>
      <c r="I49" s="19">
        <f t="shared" si="87"/>
        <v>1019.2029603070296</v>
      </c>
      <c r="J49" s="15">
        <f t="shared" si="7"/>
        <v>5.5384059206140596E-6</v>
      </c>
      <c r="K49" s="16">
        <f t="shared" si="8"/>
        <v>27.609834043530839</v>
      </c>
      <c r="L49" s="17">
        <f t="shared" si="9"/>
        <v>1.386093275178414E-2</v>
      </c>
      <c r="M49" s="18">
        <f t="shared" si="10"/>
        <v>0.19977030616351518</v>
      </c>
      <c r="N49" s="19">
        <f t="shared" si="88"/>
        <v>1018.3011567964923</v>
      </c>
      <c r="O49" s="15">
        <f t="shared" si="11"/>
        <v>5.5366023135929848E-6</v>
      </c>
      <c r="P49" s="16">
        <f t="shared" si="12"/>
        <v>27.599463303159659</v>
      </c>
      <c r="Q49" s="17">
        <f t="shared" si="2"/>
        <v>1.3862530741298123E-2</v>
      </c>
      <c r="R49" s="18">
        <f t="shared" si="13"/>
        <v>0.19984537160795285</v>
      </c>
      <c r="S49" s="19">
        <f t="shared" si="89"/>
        <v>1016.8010201453263</v>
      </c>
      <c r="T49" s="15">
        <f t="shared" si="14"/>
        <v>5.533602040290653E-6</v>
      </c>
      <c r="U49" s="16">
        <f t="shared" si="15"/>
        <v>27.582211731671251</v>
      </c>
      <c r="V49" s="17">
        <f t="shared" si="16"/>
        <v>1.3848910111503743E-2</v>
      </c>
      <c r="W49" s="18">
        <f t="shared" si="17"/>
        <v>0.19997036690377837</v>
      </c>
      <c r="X49" s="19">
        <f t="shared" si="90"/>
        <v>1014.7014107492844</v>
      </c>
      <c r="Y49" s="15">
        <f t="shared" si="18"/>
        <v>5.5294028214985694E-6</v>
      </c>
      <c r="Z49" s="16">
        <f t="shared" si="19"/>
        <v>27.55806622361677</v>
      </c>
      <c r="AA49" s="17">
        <f t="shared" si="20"/>
        <v>1.3838400753735209E-2</v>
      </c>
      <c r="AB49" s="18">
        <f t="shared" si="21"/>
        <v>0.2001455746293696</v>
      </c>
      <c r="AC49" s="19">
        <f t="shared" si="91"/>
        <v>1012.001810606196</v>
      </c>
      <c r="AD49" s="15">
        <f t="shared" si="22"/>
        <v>5.5240036212123921E-6</v>
      </c>
      <c r="AE49" s="16">
        <f t="shared" si="23"/>
        <v>27.527020821971256</v>
      </c>
      <c r="AF49" s="17">
        <f t="shared" si="24"/>
        <v>1.3824888210026273E-2</v>
      </c>
      <c r="AG49" s="18">
        <f t="shared" si="25"/>
        <v>0.2003713019171908</v>
      </c>
      <c r="AH49" s="19">
        <f t="shared" si="92"/>
        <v>1008.7023001399145</v>
      </c>
      <c r="AI49" s="15">
        <f t="shared" si="26"/>
        <v>5.5174046002798297E-6</v>
      </c>
      <c r="AJ49" s="16">
        <f t="shared" si="27"/>
        <v>27.489076451609016</v>
      </c>
      <c r="AK49" s="17">
        <f t="shared" si="28"/>
        <v>1.3808372882929461E-2</v>
      </c>
      <c r="AL49" s="18">
        <f t="shared" si="29"/>
        <v>0.20064788315859022</v>
      </c>
      <c r="AM49" s="19">
        <f t="shared" si="93"/>
        <v>1004.8028954091141</v>
      </c>
      <c r="AN49" s="15">
        <f t="shared" si="30"/>
        <v>5.5096057908182285E-6</v>
      </c>
      <c r="AO49" s="16">
        <f t="shared" si="31"/>
        <v>27.444233297204811</v>
      </c>
      <c r="AP49" s="17">
        <f t="shared" si="32"/>
        <v>1.3788854852824647E-2</v>
      </c>
      <c r="AQ49" s="18">
        <f t="shared" si="33"/>
        <v>0.20097573651517403</v>
      </c>
      <c r="AR49" s="19">
        <f t="shared" si="94"/>
        <v>1000.3035984556304</v>
      </c>
      <c r="AS49" s="15">
        <f t="shared" si="34"/>
        <v>5.5006071969112615E-6</v>
      </c>
      <c r="AT49" s="16">
        <f t="shared" si="35"/>
        <v>27.392491382239747</v>
      </c>
      <c r="AU49" s="17">
        <f t="shared" si="36"/>
        <v>1.3766334129932011E-2</v>
      </c>
      <c r="AV49" s="18">
        <f t="shared" si="37"/>
        <v>0.20135536133000748</v>
      </c>
      <c r="AW49" s="19">
        <f t="shared" si="95"/>
        <v>995.20440949884778</v>
      </c>
      <c r="AX49" s="15">
        <f t="shared" si="38"/>
        <v>5.490408818997696E-6</v>
      </c>
      <c r="AY49" s="16">
        <f t="shared" si="39"/>
        <v>27.333850709236749</v>
      </c>
      <c r="AZ49" s="17">
        <f t="shared" si="40"/>
        <v>1.3740810715349654E-2</v>
      </c>
      <c r="BA49" s="18">
        <f t="shared" si="41"/>
        <v>0.201787339027799</v>
      </c>
      <c r="BB49" s="19">
        <f t="shared" si="96"/>
        <v>989.5053285772251</v>
      </c>
      <c r="BC49" s="15">
        <f t="shared" si="42"/>
        <v>5.4790106571544509E-6</v>
      </c>
      <c r="BD49" s="16">
        <f t="shared" si="43"/>
        <v>27.268311278638087</v>
      </c>
      <c r="BE49" s="17">
        <f t="shared" si="44"/>
        <v>1.371228460927008E-2</v>
      </c>
      <c r="BF49" s="18">
        <f t="shared" si="45"/>
        <v>0.20227233522601468</v>
      </c>
      <c r="BG49" s="19">
        <f t="shared" si="97"/>
        <v>983.20635570660022</v>
      </c>
      <c r="BH49" s="15">
        <f t="shared" si="46"/>
        <v>5.4664127114132012E-6</v>
      </c>
      <c r="BI49" s="16">
        <f t="shared" si="47"/>
        <v>27.195873090625902</v>
      </c>
      <c r="BJ49" s="17">
        <f t="shared" si="48"/>
        <v>1.3680755811772563E-2</v>
      </c>
      <c r="BK49" s="18">
        <f t="shared" si="49"/>
        <v>0.20281110231762228</v>
      </c>
      <c r="BL49" s="19">
        <f t="shared" si="98"/>
        <v>976.3074908479399</v>
      </c>
      <c r="BM49" s="15">
        <f t="shared" si="50"/>
        <v>5.4526149816958801E-6</v>
      </c>
      <c r="BN49" s="16">
        <f t="shared" si="51"/>
        <v>27.116536144751308</v>
      </c>
      <c r="BO49" s="17">
        <f t="shared" si="52"/>
        <v>1.3646224322661727E-2</v>
      </c>
      <c r="BP49" s="18">
        <f t="shared" si="53"/>
        <v>0.20340448243672921</v>
      </c>
      <c r="BQ49" s="19">
        <f t="shared" si="99"/>
        <v>968.80873261382681</v>
      </c>
      <c r="BR49" s="15">
        <f t="shared" si="54"/>
        <v>5.4376174652276541E-6</v>
      </c>
      <c r="BS49" s="16">
        <f t="shared" si="55"/>
        <v>27.030300425059007</v>
      </c>
      <c r="BT49" s="17">
        <f t="shared" si="56"/>
        <v>1.360869013499301E-2</v>
      </c>
      <c r="BU49" s="18">
        <f t="shared" si="57"/>
        <v>0.20405341092275187</v>
      </c>
      <c r="BV49" s="19">
        <f t="shared" si="100"/>
        <v>960.71004788459811</v>
      </c>
      <c r="BW49" s="15">
        <f t="shared" si="58"/>
        <v>5.4214200957691974E-6</v>
      </c>
      <c r="BX49" s="16">
        <f t="shared" si="59"/>
        <v>26.93716555067288</v>
      </c>
      <c r="BY49" s="17">
        <f t="shared" si="60"/>
        <v>1.3568153082989684E-2</v>
      </c>
      <c r="BZ49" s="18">
        <f t="shared" si="61"/>
        <v>0.20475892274650337</v>
      </c>
      <c r="CA49" s="19">
        <f t="shared" si="101"/>
        <v>952.01077473797727</v>
      </c>
      <c r="CB49" s="15">
        <f t="shared" si="62"/>
        <v>5.4040215494759558E-6</v>
      </c>
      <c r="CC49" s="16">
        <f t="shared" si="63"/>
        <v>26.837123909486738</v>
      </c>
      <c r="CD49" s="17">
        <f t="shared" si="64"/>
        <v>1.3524609853474522E-2</v>
      </c>
      <c r="CE49" s="18">
        <f t="shared" si="65"/>
        <v>0.20552220940673396</v>
      </c>
      <c r="CF49" s="19">
        <f t="shared" si="102"/>
        <v>942.70000171827951</v>
      </c>
      <c r="CG49" s="15">
        <f t="shared" si="66"/>
        <v>5.3854000034365593E-6</v>
      </c>
      <c r="CH49" s="16">
        <f t="shared" si="67"/>
        <v>26.730050019760213</v>
      </c>
      <c r="CI49" s="17">
        <f t="shared" si="68"/>
        <v>1.3478005830388089E-2</v>
      </c>
      <c r="CJ49" s="18">
        <f t="shared" si="69"/>
        <v>0.20634547993447708</v>
      </c>
      <c r="CK49" s="19">
        <f t="shared" si="103"/>
        <v>932.63350645758851</v>
      </c>
      <c r="CL49" s="15">
        <f t="shared" si="70"/>
        <v>5.3652670129151771E-6</v>
      </c>
      <c r="CM49" s="16">
        <f t="shared" si="71"/>
        <v>26.614285324262269</v>
      </c>
      <c r="CN49" s="17">
        <f t="shared" si="72"/>
        <v>1.3427619124951693E-2</v>
      </c>
      <c r="CO49" s="18">
        <f t="shared" si="73"/>
        <v>0.20724302504459188</v>
      </c>
      <c r="CP49" s="19">
        <f t="shared" si="104"/>
        <v>920.34722406683102</v>
      </c>
      <c r="CQ49" s="15">
        <f t="shared" si="74"/>
        <v>5.3406944481336624E-6</v>
      </c>
      <c r="CR49" s="16">
        <f t="shared" si="75"/>
        <v>26.472993076768557</v>
      </c>
      <c r="CS49" s="17">
        <f t="shared" si="76"/>
        <v>1.3366121525668165E-2</v>
      </c>
      <c r="CT49" s="18">
        <f t="shared" si="77"/>
        <v>0.20834912712761033</v>
      </c>
      <c r="CU49" s="19">
        <f t="shared" si="105"/>
        <v>895.22083063175762</v>
      </c>
      <c r="CV49" s="15">
        <f t="shared" si="78"/>
        <v>5.2904416612635158E-6</v>
      </c>
      <c r="CW49" s="16">
        <f t="shared" si="79"/>
        <v>26.184039552265212</v>
      </c>
      <c r="CX49" s="17">
        <f t="shared" si="80"/>
        <v>1.3240354200307584E-2</v>
      </c>
      <c r="CY49" s="18">
        <f t="shared" si="81"/>
        <v>0.21064836038726639</v>
      </c>
      <c r="CZ49" s="20">
        <f t="shared" si="106"/>
        <v>809.6427414563716</v>
      </c>
      <c r="DA49" s="15">
        <f t="shared" si="82"/>
        <v>5.119285482912744E-6</v>
      </c>
      <c r="DB49" s="16">
        <f t="shared" si="83"/>
        <v>25.199891526748274</v>
      </c>
      <c r="DC49" s="17">
        <f t="shared" si="84"/>
        <v>1.2812002737417809E-2</v>
      </c>
      <c r="DD49" s="18">
        <f t="shared" si="85"/>
        <v>0.21887495008244273</v>
      </c>
    </row>
    <row r="50" spans="2:108" x14ac:dyDescent="0.25">
      <c r="B50">
        <v>31</v>
      </c>
      <c r="C50">
        <f t="shared" si="86"/>
        <v>3.0306054656702795E-2</v>
      </c>
      <c r="D50" s="19">
        <f t="shared" si="3"/>
        <v>1019.5059147467425</v>
      </c>
      <c r="E50" s="15">
        <f t="shared" si="4"/>
        <v>5.5390118294934859E-6</v>
      </c>
      <c r="F50" s="16">
        <f t="shared" si="5"/>
        <v>27.613318019587538</v>
      </c>
      <c r="G50" s="17">
        <f t="shared" si="1"/>
        <v>1.3862449156026047E-2</v>
      </c>
      <c r="H50" s="18">
        <f t="shared" si="6"/>
        <v>0.19974510111705826</v>
      </c>
      <c r="I50" s="19">
        <f t="shared" si="87"/>
        <v>1019.1864213197646</v>
      </c>
      <c r="J50" s="15">
        <f t="shared" si="7"/>
        <v>5.5383728426395299E-6</v>
      </c>
      <c r="K50" s="16">
        <f t="shared" si="8"/>
        <v>27.609643845177292</v>
      </c>
      <c r="L50" s="17">
        <f t="shared" si="9"/>
        <v>1.3860849967750773E-2</v>
      </c>
      <c r="M50" s="18">
        <f t="shared" si="10"/>
        <v>0.19977168234871817</v>
      </c>
      <c r="N50" s="19">
        <f t="shared" si="88"/>
        <v>1018.2845401575461</v>
      </c>
      <c r="O50" s="15">
        <f t="shared" si="11"/>
        <v>5.536569080315093E-6</v>
      </c>
      <c r="P50" s="16">
        <f t="shared" si="12"/>
        <v>27.59927221181178</v>
      </c>
      <c r="Q50" s="17">
        <f t="shared" si="2"/>
        <v>1.3862449156026047E-2</v>
      </c>
      <c r="R50" s="18">
        <f t="shared" si="13"/>
        <v>0.19984675529376655</v>
      </c>
      <c r="S50" s="19">
        <f t="shared" si="89"/>
        <v>1016.784393102121</v>
      </c>
      <c r="T50" s="15">
        <f t="shared" si="14"/>
        <v>5.5335687862042424E-6</v>
      </c>
      <c r="U50" s="16">
        <f t="shared" si="15"/>
        <v>27.582020520674391</v>
      </c>
      <c r="V50" s="17">
        <f t="shared" si="16"/>
        <v>1.384882688671631E-2</v>
      </c>
      <c r="W50" s="18">
        <f t="shared" si="17"/>
        <v>0.19997175318848398</v>
      </c>
      <c r="X50" s="19">
        <f t="shared" si="90"/>
        <v>1014.6847936535323</v>
      </c>
      <c r="Y50" s="15">
        <f t="shared" si="18"/>
        <v>5.5293695873070645E-6</v>
      </c>
      <c r="Z50" s="16">
        <f t="shared" si="19"/>
        <v>27.55787512701562</v>
      </c>
      <c r="AA50" s="17">
        <f t="shared" si="20"/>
        <v>1.3838317578738627E-2</v>
      </c>
      <c r="AB50" s="18">
        <f t="shared" si="21"/>
        <v>0.2001469625135541</v>
      </c>
      <c r="AC50" s="19">
        <f t="shared" si="91"/>
        <v>1011.9852070968446</v>
      </c>
      <c r="AD50" s="15">
        <f t="shared" si="22"/>
        <v>5.5239704141936898E-6</v>
      </c>
      <c r="AE50" s="16">
        <f t="shared" si="23"/>
        <v>27.526829881613715</v>
      </c>
      <c r="AF50" s="17">
        <f t="shared" si="24"/>
        <v>1.382480510303489E-2</v>
      </c>
      <c r="AG50" s="18">
        <f t="shared" si="25"/>
        <v>0.20037269179638115</v>
      </c>
      <c r="AH50" s="19">
        <f t="shared" si="92"/>
        <v>1008.6857130853291</v>
      </c>
      <c r="AI50" s="15">
        <f t="shared" si="26"/>
        <v>5.5173714261706587E-6</v>
      </c>
      <c r="AJ50" s="16">
        <f t="shared" si="27"/>
        <v>27.488885700481283</v>
      </c>
      <c r="AK50" s="17">
        <f t="shared" si="28"/>
        <v>1.380828985830055E-2</v>
      </c>
      <c r="AL50" s="18">
        <f t="shared" si="29"/>
        <v>0.20064927549622102</v>
      </c>
      <c r="AM50" s="19">
        <f t="shared" si="93"/>
        <v>1004.7863282300417</v>
      </c>
      <c r="AN50" s="15">
        <f t="shared" si="30"/>
        <v>5.5095726564600834E-6</v>
      </c>
      <c r="AO50" s="16">
        <f t="shared" si="31"/>
        <v>27.444042774645478</v>
      </c>
      <c r="AP50" s="17">
        <f t="shared" si="32"/>
        <v>1.378877192768037E-2</v>
      </c>
      <c r="AQ50" s="18">
        <f t="shared" si="33"/>
        <v>0.20097713173278098</v>
      </c>
      <c r="AR50" s="19">
        <f t="shared" si="94"/>
        <v>1000.287054723299</v>
      </c>
      <c r="AS50" s="15">
        <f t="shared" si="34"/>
        <v>5.5005741094465984E-6</v>
      </c>
      <c r="AT50" s="16">
        <f t="shared" si="35"/>
        <v>27.392301129317936</v>
      </c>
      <c r="AU50" s="17">
        <f t="shared" si="36"/>
        <v>1.3766251322147751E-2</v>
      </c>
      <c r="AV50" s="18">
        <f t="shared" si="37"/>
        <v>0.20135675984142257</v>
      </c>
      <c r="AW50" s="19">
        <f t="shared" si="95"/>
        <v>995.18789280768306</v>
      </c>
      <c r="AX50" s="15">
        <f t="shared" si="38"/>
        <v>5.4903757856153666E-6</v>
      </c>
      <c r="AY50" s="16">
        <f t="shared" si="39"/>
        <v>27.333660767288354</v>
      </c>
      <c r="AZ50" s="17">
        <f t="shared" si="40"/>
        <v>1.37407280429169E-2</v>
      </c>
      <c r="BA50" s="18">
        <f t="shared" si="41"/>
        <v>0.20178874125052587</v>
      </c>
      <c r="BB50" s="19">
        <f t="shared" si="96"/>
        <v>989.48884252538858</v>
      </c>
      <c r="BC50" s="15">
        <f t="shared" si="42"/>
        <v>5.4789776850507777E-6</v>
      </c>
      <c r="BD50" s="16">
        <f t="shared" si="43"/>
        <v>27.268121689041969</v>
      </c>
      <c r="BE50" s="17">
        <f t="shared" si="44"/>
        <v>1.3712202090199025E-2</v>
      </c>
      <c r="BF50" s="18">
        <f t="shared" si="45"/>
        <v>0.20227374158362077</v>
      </c>
      <c r="BG50" s="19">
        <f t="shared" si="97"/>
        <v>983.18990389287808</v>
      </c>
      <c r="BH50" s="15">
        <f t="shared" si="46"/>
        <v>5.4663798077857569E-6</v>
      </c>
      <c r="BI50" s="16">
        <f t="shared" si="47"/>
        <v>27.195683894768095</v>
      </c>
      <c r="BJ50" s="17">
        <f t="shared" si="48"/>
        <v>1.3680673464076523E-2</v>
      </c>
      <c r="BK50" s="18">
        <f t="shared" si="49"/>
        <v>0.20281251324079022</v>
      </c>
      <c r="BL50" s="19">
        <f t="shared" si="98"/>
        <v>976.29107685338249</v>
      </c>
      <c r="BM50" s="15">
        <f t="shared" si="50"/>
        <v>5.452582153706766E-6</v>
      </c>
      <c r="BN50" s="16">
        <f t="shared" si="51"/>
        <v>27.116347383813896</v>
      </c>
      <c r="BO50" s="17">
        <f t="shared" si="52"/>
        <v>1.3646142164265247E-2</v>
      </c>
      <c r="BP50" s="18">
        <f t="shared" si="53"/>
        <v>0.20340589836566075</v>
      </c>
      <c r="BQ50" s="19">
        <f t="shared" si="99"/>
        <v>968.79235958835261</v>
      </c>
      <c r="BR50" s="15">
        <f t="shared" si="54"/>
        <v>5.4375847191767059E-6</v>
      </c>
      <c r="BS50" s="16">
        <f t="shared" si="55"/>
        <v>27.030112135266052</v>
      </c>
      <c r="BT50" s="17">
        <f t="shared" si="56"/>
        <v>1.360860818166265E-2</v>
      </c>
      <c r="BU50" s="18">
        <f t="shared" si="57"/>
        <v>0.20405483234395436</v>
      </c>
      <c r="BV50" s="19">
        <f t="shared" si="100"/>
        <v>960.6937105397551</v>
      </c>
      <c r="BW50" s="15">
        <f t="shared" si="58"/>
        <v>5.4213874210795104E-6</v>
      </c>
      <c r="BX50" s="16">
        <f t="shared" si="59"/>
        <v>26.936977671207181</v>
      </c>
      <c r="BY50" s="17">
        <f t="shared" si="60"/>
        <v>1.356807130825469E-2</v>
      </c>
      <c r="BZ50" s="18">
        <f t="shared" si="61"/>
        <v>0.2047603508947341</v>
      </c>
      <c r="CA50" s="19">
        <f t="shared" si="101"/>
        <v>951.99433247773936</v>
      </c>
      <c r="CB50" s="15">
        <f t="shared" si="62"/>
        <v>5.4039886649554792E-6</v>
      </c>
      <c r="CC50" s="16">
        <f t="shared" si="63"/>
        <v>26.836934823494001</v>
      </c>
      <c r="CD50" s="17">
        <f t="shared" si="64"/>
        <v>1.3524527553597367E-2</v>
      </c>
      <c r="CE50" s="18">
        <f t="shared" si="65"/>
        <v>0.205523657462231</v>
      </c>
      <c r="CF50" s="19">
        <f t="shared" si="102"/>
        <v>942.68159129454671</v>
      </c>
      <c r="CG50" s="15">
        <f t="shared" si="66"/>
        <v>5.3853631825890934E-6</v>
      </c>
      <c r="CH50" s="16">
        <f t="shared" si="67"/>
        <v>26.729838299887284</v>
      </c>
      <c r="CI50" s="17">
        <f t="shared" si="68"/>
        <v>1.3477913679090785E-2</v>
      </c>
      <c r="CJ50" s="18">
        <f t="shared" si="69"/>
        <v>0.20634711434162542</v>
      </c>
      <c r="CK50" s="19">
        <f t="shared" si="103"/>
        <v>932.59472751097894</v>
      </c>
      <c r="CL50" s="15">
        <f t="shared" si="70"/>
        <v>5.3651894550219588E-6</v>
      </c>
      <c r="CM50" s="16">
        <f t="shared" si="71"/>
        <v>26.613839366376258</v>
      </c>
      <c r="CN50" s="17">
        <f t="shared" si="72"/>
        <v>1.3427425021312906E-2</v>
      </c>
      <c r="CO50" s="18">
        <f t="shared" si="73"/>
        <v>0.20724649773637707</v>
      </c>
      <c r="CP50" s="19">
        <f t="shared" si="104"/>
        <v>920.16086010797653</v>
      </c>
      <c r="CQ50" s="15">
        <f t="shared" si="74"/>
        <v>5.3403217202159531E-6</v>
      </c>
      <c r="CR50" s="16">
        <f t="shared" si="75"/>
        <v>26.470849891241727</v>
      </c>
      <c r="CS50" s="17">
        <f t="shared" si="76"/>
        <v>1.3365188701914159E-2</v>
      </c>
      <c r="CT50" s="18">
        <f t="shared" si="77"/>
        <v>0.20836599590347593</v>
      </c>
      <c r="CU50" s="19">
        <f t="shared" si="105"/>
        <v>894.37394582925242</v>
      </c>
      <c r="CV50" s="15">
        <f t="shared" si="78"/>
        <v>5.2887478916585055E-6</v>
      </c>
      <c r="CW50" s="16">
        <f t="shared" si="79"/>
        <v>26.174300377036403</v>
      </c>
      <c r="CX50" s="17">
        <f t="shared" si="80"/>
        <v>1.3236115214048976E-2</v>
      </c>
      <c r="CY50" s="18">
        <f t="shared" si="81"/>
        <v>0.21072674037312739</v>
      </c>
      <c r="CZ50" s="20">
        <f t="shared" si="106"/>
        <v>807.64055433640249</v>
      </c>
      <c r="DA50" s="15">
        <f t="shared" si="82"/>
        <v>5.1152811086728055E-6</v>
      </c>
      <c r="DB50" s="16">
        <f t="shared" si="83"/>
        <v>25.176866374868627</v>
      </c>
      <c r="DC50" s="17">
        <f t="shared" si="84"/>
        <v>1.280198101585237E-2</v>
      </c>
      <c r="DD50" s="18">
        <f t="shared" si="85"/>
        <v>0.21907511911433342</v>
      </c>
    </row>
    <row r="51" spans="2:108" x14ac:dyDescent="0.25">
      <c r="B51">
        <v>32</v>
      </c>
      <c r="C51">
        <f t="shared" si="86"/>
        <v>3.1283669323048047E-2</v>
      </c>
      <c r="D51" s="19">
        <f t="shared" si="3"/>
        <v>1019.4896030263347</v>
      </c>
      <c r="E51" s="15">
        <f t="shared" si="4"/>
        <v>5.5389792060526702E-6</v>
      </c>
      <c r="F51" s="16">
        <f t="shared" si="5"/>
        <v>27.613130434802848</v>
      </c>
      <c r="G51" s="17">
        <f t="shared" si="1"/>
        <v>1.3862367509551275E-2</v>
      </c>
      <c r="H51" s="18">
        <f t="shared" si="6"/>
        <v>0.19974645804911181</v>
      </c>
      <c r="I51" s="19">
        <f t="shared" si="87"/>
        <v>1019.1698824752344</v>
      </c>
      <c r="J51" s="15">
        <f t="shared" si="7"/>
        <v>5.538339764950469E-6</v>
      </c>
      <c r="K51" s="16">
        <f t="shared" si="8"/>
        <v>27.609453648465195</v>
      </c>
      <c r="L51" s="17">
        <f t="shared" si="9"/>
        <v>1.386076718443185E-2</v>
      </c>
      <c r="M51" s="18">
        <f t="shared" si="10"/>
        <v>0.19977305854100494</v>
      </c>
      <c r="N51" s="19">
        <f t="shared" si="88"/>
        <v>1018.2679242448122</v>
      </c>
      <c r="O51" s="15">
        <f t="shared" si="11"/>
        <v>5.5365358484896256E-6</v>
      </c>
      <c r="P51" s="16">
        <f t="shared" si="12"/>
        <v>27.599081128815339</v>
      </c>
      <c r="Q51" s="17">
        <f t="shared" si="2"/>
        <v>1.3862367509551275E-2</v>
      </c>
      <c r="R51" s="18">
        <f t="shared" si="13"/>
        <v>0.19984813893826733</v>
      </c>
      <c r="S51" s="19">
        <f t="shared" si="89"/>
        <v>1016.7677664379125</v>
      </c>
      <c r="T51" s="15">
        <f t="shared" si="14"/>
        <v>5.5335355328758263E-6</v>
      </c>
      <c r="U51" s="16">
        <f t="shared" si="15"/>
        <v>27.581829314035993</v>
      </c>
      <c r="V51" s="17">
        <f t="shared" si="16"/>
        <v>1.3848743663825904E-2</v>
      </c>
      <c r="W51" s="18">
        <f t="shared" si="17"/>
        <v>0.19997313946081083</v>
      </c>
      <c r="X51" s="19">
        <f t="shared" si="90"/>
        <v>1014.6681767487729</v>
      </c>
      <c r="Y51" s="15">
        <f t="shared" si="18"/>
        <v>5.5293363534975461E-6</v>
      </c>
      <c r="Z51" s="16">
        <f t="shared" si="19"/>
        <v>27.557684032610887</v>
      </c>
      <c r="AA51" s="17">
        <f t="shared" si="20"/>
        <v>1.383823440469804E-2</v>
      </c>
      <c r="AB51" s="18">
        <f t="shared" si="21"/>
        <v>0.2001483504010346</v>
      </c>
      <c r="AC51" s="19">
        <f t="shared" si="91"/>
        <v>1011.968603768552</v>
      </c>
      <c r="AD51" s="15">
        <f t="shared" si="22"/>
        <v>5.5239372075371042E-6</v>
      </c>
      <c r="AE51" s="16">
        <f t="shared" si="23"/>
        <v>27.526638943338348</v>
      </c>
      <c r="AF51" s="17">
        <f t="shared" si="24"/>
        <v>1.3824721996949774E-2</v>
      </c>
      <c r="AG51" s="18">
        <f t="shared" si="25"/>
        <v>0.20037408167969675</v>
      </c>
      <c r="AH51" s="19">
        <f t="shared" si="92"/>
        <v>1008.6691262196001</v>
      </c>
      <c r="AI51" s="15">
        <f t="shared" si="26"/>
        <v>5.5173382524392009E-6</v>
      </c>
      <c r="AJ51" s="16">
        <f t="shared" si="27"/>
        <v>27.488694951525403</v>
      </c>
      <c r="AK51" s="17">
        <f t="shared" si="28"/>
        <v>1.380820683461694E-2</v>
      </c>
      <c r="AL51" s="18">
        <f t="shared" si="29"/>
        <v>0.20065066783732222</v>
      </c>
      <c r="AM51" s="19">
        <f t="shared" si="93"/>
        <v>1004.7697612426221</v>
      </c>
      <c r="AN51" s="15">
        <f t="shared" si="30"/>
        <v>5.5095395224852444E-6</v>
      </c>
      <c r="AO51" s="16">
        <f t="shared" si="31"/>
        <v>27.443852254290153</v>
      </c>
      <c r="AP51" s="17">
        <f t="shared" si="32"/>
        <v>1.3788689003495395E-2</v>
      </c>
      <c r="AQ51" s="18">
        <f t="shared" si="33"/>
        <v>0.20097852695361931</v>
      </c>
      <c r="AR51" s="19">
        <f t="shared" si="94"/>
        <v>1000.2705111835323</v>
      </c>
      <c r="AS51" s="15">
        <f t="shared" si="34"/>
        <v>5.500541022367066E-6</v>
      </c>
      <c r="AT51" s="16">
        <f t="shared" si="35"/>
        <v>27.392110878610623</v>
      </c>
      <c r="AU51" s="17">
        <f t="shared" si="36"/>
        <v>1.3766168515327352E-2</v>
      </c>
      <c r="AV51" s="18">
        <f t="shared" si="37"/>
        <v>0.20135815835598583</v>
      </c>
      <c r="AW51" s="19">
        <f t="shared" si="95"/>
        <v>995.17137630951584</v>
      </c>
      <c r="AX51" s="15">
        <f t="shared" si="38"/>
        <v>5.4903427526190318E-6</v>
      </c>
      <c r="AY51" s="16">
        <f t="shared" si="39"/>
        <v>27.333470827559431</v>
      </c>
      <c r="AZ51" s="17">
        <f t="shared" si="40"/>
        <v>1.3740645371450174E-2</v>
      </c>
      <c r="BA51" s="18">
        <f t="shared" si="41"/>
        <v>0.20179014347635568</v>
      </c>
      <c r="BB51" s="19">
        <f t="shared" si="96"/>
        <v>989.4723566667634</v>
      </c>
      <c r="BC51" s="15">
        <f t="shared" si="42"/>
        <v>5.4789447133335269E-6</v>
      </c>
      <c r="BD51" s="16">
        <f t="shared" si="43"/>
        <v>27.267932101667778</v>
      </c>
      <c r="BE51" s="17">
        <f t="shared" si="44"/>
        <v>1.3712119572095066E-2</v>
      </c>
      <c r="BF51" s="18">
        <f t="shared" si="45"/>
        <v>0.20227514794430085</v>
      </c>
      <c r="BG51" s="19">
        <f t="shared" si="97"/>
        <v>983.17345227217618</v>
      </c>
      <c r="BH51" s="15">
        <f t="shared" si="46"/>
        <v>5.4663469045443529E-6</v>
      </c>
      <c r="BI51" s="16">
        <f t="shared" si="47"/>
        <v>27.195494701130023</v>
      </c>
      <c r="BJ51" s="17">
        <f t="shared" si="48"/>
        <v>1.3680591117346624E-2</v>
      </c>
      <c r="BK51" s="18">
        <f t="shared" si="49"/>
        <v>0.20281392416703548</v>
      </c>
      <c r="BL51" s="19">
        <f t="shared" si="98"/>
        <v>976.27466304562813</v>
      </c>
      <c r="BM51" s="15">
        <f t="shared" si="50"/>
        <v>5.4525493260912562E-6</v>
      </c>
      <c r="BN51" s="16">
        <f t="shared" si="51"/>
        <v>27.116158625024724</v>
      </c>
      <c r="BO51" s="17">
        <f t="shared" si="52"/>
        <v>1.3646060006803785E-2</v>
      </c>
      <c r="BP51" s="18">
        <f t="shared" si="53"/>
        <v>0.20340731429819076</v>
      </c>
      <c r="BQ51" s="19">
        <f t="shared" si="99"/>
        <v>968.77598662951618</v>
      </c>
      <c r="BR51" s="15">
        <f t="shared" si="54"/>
        <v>5.4375519732590333E-6</v>
      </c>
      <c r="BS51" s="16">
        <f t="shared" si="55"/>
        <v>27.029923846239434</v>
      </c>
      <c r="BT51" s="17">
        <f t="shared" si="56"/>
        <v>1.3608526228665839E-2</v>
      </c>
      <c r="BU51" s="18">
        <f t="shared" si="57"/>
        <v>0.20405625377917472</v>
      </c>
      <c r="BV51" s="19">
        <f t="shared" si="100"/>
        <v>960.67737134634376</v>
      </c>
      <c r="BW51" s="15">
        <f t="shared" si="58"/>
        <v>5.4213547426926881E-6</v>
      </c>
      <c r="BX51" s="16">
        <f t="shared" si="59"/>
        <v>26.936789770482953</v>
      </c>
      <c r="BY51" s="17">
        <f t="shared" si="60"/>
        <v>1.3567989524266902E-2</v>
      </c>
      <c r="BZ51" s="18">
        <f t="shared" si="61"/>
        <v>0.20476177922448513</v>
      </c>
      <c r="CA51" s="19">
        <f t="shared" si="101"/>
        <v>951.97786409849573</v>
      </c>
      <c r="CB51" s="15">
        <f t="shared" si="62"/>
        <v>5.4039557281969925E-6</v>
      </c>
      <c r="CC51" s="16">
        <f t="shared" si="63"/>
        <v>26.836745437132699</v>
      </c>
      <c r="CD51" s="17">
        <f t="shared" si="64"/>
        <v>1.352444512298448E-2</v>
      </c>
      <c r="CE51" s="18">
        <f t="shared" si="65"/>
        <v>0.20552510783846009</v>
      </c>
      <c r="CF51" s="19">
        <f t="shared" si="102"/>
        <v>942.6629226880201</v>
      </c>
      <c r="CG51" s="15">
        <f t="shared" si="66"/>
        <v>5.3853258453760407E-6</v>
      </c>
      <c r="CH51" s="16">
        <f t="shared" si="67"/>
        <v>26.729623610912231</v>
      </c>
      <c r="CI51" s="17">
        <f t="shared" si="68"/>
        <v>1.3477820235488658E-2</v>
      </c>
      <c r="CJ51" s="18">
        <f t="shared" si="69"/>
        <v>0.20634877169569552</v>
      </c>
      <c r="CK51" s="19">
        <f t="shared" si="103"/>
        <v>932.55416765438349</v>
      </c>
      <c r="CL51" s="15">
        <f t="shared" si="70"/>
        <v>5.3651083353087672E-6</v>
      </c>
      <c r="CM51" s="16">
        <f t="shared" si="71"/>
        <v>26.613372928025409</v>
      </c>
      <c r="CN51" s="17">
        <f t="shared" si="72"/>
        <v>1.342722200353026E-2</v>
      </c>
      <c r="CO51" s="18">
        <f t="shared" si="73"/>
        <v>0.20725013003487922</v>
      </c>
      <c r="CP51" s="19">
        <f t="shared" si="104"/>
        <v>919.96731025757515</v>
      </c>
      <c r="CQ51" s="15">
        <f t="shared" si="74"/>
        <v>5.3399346205151503E-6</v>
      </c>
      <c r="CR51" s="16">
        <f t="shared" si="75"/>
        <v>26.468624067962111</v>
      </c>
      <c r="CS51" s="17">
        <f t="shared" si="76"/>
        <v>1.336421990999136E-2</v>
      </c>
      <c r="CT51" s="18">
        <f t="shared" si="77"/>
        <v>0.20838351800372457</v>
      </c>
      <c r="CU51" s="19">
        <f t="shared" si="105"/>
        <v>893.51987143895326</v>
      </c>
      <c r="CV51" s="15">
        <f t="shared" si="78"/>
        <v>5.2870397428779064E-6</v>
      </c>
      <c r="CW51" s="16">
        <f t="shared" si="79"/>
        <v>26.164478521547963</v>
      </c>
      <c r="CX51" s="17">
        <f t="shared" si="80"/>
        <v>1.3231840241120431E-2</v>
      </c>
      <c r="CY51" s="18">
        <f t="shared" si="81"/>
        <v>0.21080584485785045</v>
      </c>
      <c r="CZ51" s="20">
        <f t="shared" si="106"/>
        <v>805.6788762847882</v>
      </c>
      <c r="DA51" s="15">
        <f t="shared" si="82"/>
        <v>5.1113577525695771E-6</v>
      </c>
      <c r="DB51" s="16">
        <f t="shared" si="83"/>
        <v>25.154307077275064</v>
      </c>
      <c r="DC51" s="17">
        <f t="shared" si="84"/>
        <v>1.2792162057854776E-2</v>
      </c>
      <c r="DD51" s="18">
        <f t="shared" si="85"/>
        <v>0.21927159365017584</v>
      </c>
    </row>
    <row r="52" spans="2:108" x14ac:dyDescent="0.25">
      <c r="B52">
        <v>33</v>
      </c>
      <c r="C52">
        <f t="shared" si="86"/>
        <v>3.2261283989393298E-2</v>
      </c>
      <c r="D52" s="19">
        <f t="shared" si="3"/>
        <v>1019.4732797101166</v>
      </c>
      <c r="E52" s="15">
        <f t="shared" si="4"/>
        <v>5.5389465594202338E-6</v>
      </c>
      <c r="F52" s="16">
        <f t="shared" si="5"/>
        <v>27.612942716666339</v>
      </c>
      <c r="G52" s="17">
        <f t="shared" si="1"/>
        <v>1.3862285805034982E-2</v>
      </c>
      <c r="H52" s="18">
        <f t="shared" si="6"/>
        <v>0.19974781596424837</v>
      </c>
      <c r="I52" s="19">
        <f t="shared" si="87"/>
        <v>1019.1533436999015</v>
      </c>
      <c r="J52" s="15">
        <f t="shared" si="7"/>
        <v>5.5383066873998031E-6</v>
      </c>
      <c r="K52" s="16">
        <f t="shared" si="8"/>
        <v>27.609263452548866</v>
      </c>
      <c r="L52" s="17">
        <f t="shared" si="9"/>
        <v>1.3860684401459284E-2</v>
      </c>
      <c r="M52" s="18">
        <f t="shared" si="10"/>
        <v>0.19977443474649453</v>
      </c>
      <c r="N52" s="19">
        <f t="shared" si="88"/>
        <v>1018.2513090462013</v>
      </c>
      <c r="O52" s="15">
        <f t="shared" si="11"/>
        <v>5.5365026180924031E-6</v>
      </c>
      <c r="P52" s="16">
        <f t="shared" si="12"/>
        <v>27.598890054031315</v>
      </c>
      <c r="Q52" s="17">
        <f t="shared" si="2"/>
        <v>1.3862285805034982E-2</v>
      </c>
      <c r="R52" s="18">
        <f t="shared" si="13"/>
        <v>0.19984952254245977</v>
      </c>
      <c r="S52" s="19">
        <f t="shared" si="89"/>
        <v>1016.7511401537377</v>
      </c>
      <c r="T52" s="15">
        <f t="shared" si="14"/>
        <v>5.5335022803074758E-6</v>
      </c>
      <c r="U52" s="16">
        <f t="shared" si="15"/>
        <v>27.58163811176798</v>
      </c>
      <c r="V52" s="17">
        <f t="shared" si="16"/>
        <v>1.3848660442837711E-2</v>
      </c>
      <c r="W52" s="18">
        <f t="shared" si="17"/>
        <v>0.19997452572067154</v>
      </c>
      <c r="X52" s="19">
        <f t="shared" si="90"/>
        <v>1014.6515600371262</v>
      </c>
      <c r="Y52" s="15">
        <f t="shared" si="18"/>
        <v>5.5293031200742526E-6</v>
      </c>
      <c r="Z52" s="16">
        <f t="shared" si="19"/>
        <v>27.55749294042695</v>
      </c>
      <c r="AA52" s="17">
        <f t="shared" si="20"/>
        <v>1.3838151231624058E-2</v>
      </c>
      <c r="AB52" s="18">
        <f t="shared" si="21"/>
        <v>0.20014973829163379</v>
      </c>
      <c r="AC52" s="19">
        <f t="shared" si="91"/>
        <v>1011.9520006215586</v>
      </c>
      <c r="AD52" s="15">
        <f t="shared" si="22"/>
        <v>5.5239040012431181E-6</v>
      </c>
      <c r="AE52" s="16">
        <f t="shared" si="23"/>
        <v>27.526448007147923</v>
      </c>
      <c r="AF52" s="17">
        <f t="shared" si="24"/>
        <v>1.3824638891772136E-2</v>
      </c>
      <c r="AG52" s="18">
        <f t="shared" si="25"/>
        <v>0.20037547156711724</v>
      </c>
      <c r="AH52" s="19">
        <f t="shared" si="92"/>
        <v>1008.6525395426686</v>
      </c>
      <c r="AI52" s="15">
        <f t="shared" si="26"/>
        <v>5.5173050790853377E-6</v>
      </c>
      <c r="AJ52" s="16">
        <f t="shared" si="27"/>
        <v>27.488504204740686</v>
      </c>
      <c r="AK52" s="17">
        <f t="shared" si="28"/>
        <v>1.3808123811878332E-2</v>
      </c>
      <c r="AL52" s="18">
        <f t="shared" si="29"/>
        <v>0.20065206018189857</v>
      </c>
      <c r="AM52" s="19">
        <f t="shared" si="93"/>
        <v>1004.7531944468307</v>
      </c>
      <c r="AN52" s="15">
        <f t="shared" si="30"/>
        <v>5.5095063888936615E-6</v>
      </c>
      <c r="AO52" s="16">
        <f t="shared" si="31"/>
        <v>27.443661736138552</v>
      </c>
      <c r="AP52" s="17">
        <f t="shared" si="32"/>
        <v>1.3788606080269588E-2</v>
      </c>
      <c r="AQ52" s="18">
        <f t="shared" si="33"/>
        <v>0.20097992217769092</v>
      </c>
      <c r="AR52" s="19">
        <f t="shared" si="94"/>
        <v>1000.2539678363227</v>
      </c>
      <c r="AS52" s="15">
        <f t="shared" si="34"/>
        <v>5.5005079356726456E-6</v>
      </c>
      <c r="AT52" s="16">
        <f t="shared" si="35"/>
        <v>27.39192063011771</v>
      </c>
      <c r="AU52" s="17">
        <f t="shared" si="36"/>
        <v>1.3766085709470775E-2</v>
      </c>
      <c r="AV52" s="18">
        <f t="shared" si="37"/>
        <v>0.20135955687369769</v>
      </c>
      <c r="AW52" s="19">
        <f t="shared" si="95"/>
        <v>995.15486000434123</v>
      </c>
      <c r="AX52" s="15">
        <f t="shared" si="38"/>
        <v>5.4903097200086832E-6</v>
      </c>
      <c r="AY52" s="16">
        <f t="shared" si="39"/>
        <v>27.333280890049924</v>
      </c>
      <c r="AZ52" s="17">
        <f t="shared" si="40"/>
        <v>1.3740562700949453E-2</v>
      </c>
      <c r="BA52" s="18">
        <f t="shared" si="41"/>
        <v>0.20179154570528857</v>
      </c>
      <c r="BB52" s="19">
        <f t="shared" si="96"/>
        <v>989.45587100134162</v>
      </c>
      <c r="BC52" s="15">
        <f t="shared" si="42"/>
        <v>5.478911742002684E-6</v>
      </c>
      <c r="BD52" s="16">
        <f t="shared" si="43"/>
        <v>27.267742516515426</v>
      </c>
      <c r="BE52" s="17">
        <f t="shared" si="44"/>
        <v>1.3712037054958166E-2</v>
      </c>
      <c r="BF52" s="18">
        <f t="shared" si="45"/>
        <v>0.20227655430805527</v>
      </c>
      <c r="BG52" s="19">
        <f t="shared" si="97"/>
        <v>983.15700084440562</v>
      </c>
      <c r="BH52" s="15">
        <f t="shared" si="46"/>
        <v>5.4663140016888114E-6</v>
      </c>
      <c r="BI52" s="16">
        <f t="shared" si="47"/>
        <v>27.195305509710664</v>
      </c>
      <c r="BJ52" s="17">
        <f t="shared" si="48"/>
        <v>1.368050877158242E-2</v>
      </c>
      <c r="BK52" s="18">
        <f t="shared" si="49"/>
        <v>0.20281533509636537</v>
      </c>
      <c r="BL52" s="19">
        <f t="shared" si="98"/>
        <v>976.25824942304382</v>
      </c>
      <c r="BM52" s="15">
        <f t="shared" si="50"/>
        <v>5.4525164988460887E-6</v>
      </c>
      <c r="BN52" s="16">
        <f t="shared" si="51"/>
        <v>27.115969868365003</v>
      </c>
      <c r="BO52" s="17">
        <f t="shared" si="52"/>
        <v>1.3645977850269178E-2</v>
      </c>
      <c r="BP52" s="18">
        <f t="shared" si="53"/>
        <v>0.20340873023445991</v>
      </c>
      <c r="BQ52" s="19">
        <f t="shared" si="99"/>
        <v>968.75961371175356</v>
      </c>
      <c r="BR52" s="15">
        <f t="shared" si="54"/>
        <v>5.4375192274235076E-6</v>
      </c>
      <c r="BS52" s="16">
        <f t="shared" si="55"/>
        <v>27.029735557685164</v>
      </c>
      <c r="BT52" s="17">
        <f t="shared" si="56"/>
        <v>1.3608444275874616E-2</v>
      </c>
      <c r="BU52" s="18">
        <f t="shared" si="57"/>
        <v>0.20405767523063256</v>
      </c>
      <c r="BV52" s="19">
        <f t="shared" si="100"/>
        <v>960.66102998744088</v>
      </c>
      <c r="BW52" s="15">
        <f t="shared" si="58"/>
        <v>5.421322059974883E-6</v>
      </c>
      <c r="BX52" s="16">
        <f t="shared" si="59"/>
        <v>26.93660184485557</v>
      </c>
      <c r="BY52" s="17">
        <f t="shared" si="60"/>
        <v>1.3567907729439992E-2</v>
      </c>
      <c r="BZ52" s="18">
        <f t="shared" si="61"/>
        <v>0.20476320776346887</v>
      </c>
      <c r="CA52" s="19">
        <f t="shared" si="101"/>
        <v>951.96136666532391</v>
      </c>
      <c r="CB52" s="15">
        <f t="shared" si="62"/>
        <v>5.403922733330648E-6</v>
      </c>
      <c r="CC52" s="16">
        <f t="shared" si="63"/>
        <v>26.836555716651226</v>
      </c>
      <c r="CD52" s="17">
        <f t="shared" si="64"/>
        <v>1.3524362546945435E-2</v>
      </c>
      <c r="CE52" s="18">
        <f t="shared" si="65"/>
        <v>0.20552656079400422</v>
      </c>
      <c r="CF52" s="19">
        <f t="shared" si="102"/>
        <v>942.64397770501353</v>
      </c>
      <c r="CG52" s="15">
        <f t="shared" si="66"/>
        <v>5.385287955410027E-6</v>
      </c>
      <c r="CH52" s="16">
        <f t="shared" si="67"/>
        <v>26.729405743607657</v>
      </c>
      <c r="CI52" s="17">
        <f t="shared" si="68"/>
        <v>1.3477725408515263E-2</v>
      </c>
      <c r="CJ52" s="18">
        <f t="shared" si="69"/>
        <v>0.20635045361302365</v>
      </c>
      <c r="CK52" s="19">
        <f t="shared" si="103"/>
        <v>932.5117718467186</v>
      </c>
      <c r="CL52" s="15">
        <f t="shared" si="70"/>
        <v>5.3650235436934386E-6</v>
      </c>
      <c r="CM52" s="16">
        <f t="shared" si="71"/>
        <v>26.612885376237266</v>
      </c>
      <c r="CN52" s="17">
        <f t="shared" si="72"/>
        <v>1.3427009796101836E-2</v>
      </c>
      <c r="CO52" s="18">
        <f t="shared" si="73"/>
        <v>0.20725392688629396</v>
      </c>
      <c r="CP52" s="19">
        <f t="shared" si="104"/>
        <v>919.76664537622071</v>
      </c>
      <c r="CQ52" s="15">
        <f t="shared" si="74"/>
        <v>5.339533290752442E-6</v>
      </c>
      <c r="CR52" s="16">
        <f t="shared" si="75"/>
        <v>26.466316421826537</v>
      </c>
      <c r="CS52" s="17">
        <f t="shared" si="76"/>
        <v>1.3363215504584476E-2</v>
      </c>
      <c r="CT52" s="18">
        <f t="shared" si="77"/>
        <v>0.20840168734064227</v>
      </c>
      <c r="CU52" s="19">
        <f t="shared" si="105"/>
        <v>892.65926503681544</v>
      </c>
      <c r="CV52" s="15">
        <f t="shared" si="78"/>
        <v>5.2853185300736318E-6</v>
      </c>
      <c r="CW52" s="16">
        <f t="shared" si="79"/>
        <v>26.154581547923378</v>
      </c>
      <c r="CX52" s="17">
        <f t="shared" si="80"/>
        <v>1.3227532572944149E-2</v>
      </c>
      <c r="CY52" s="18">
        <f t="shared" si="81"/>
        <v>0.21088561443407722</v>
      </c>
      <c r="CZ52" s="20">
        <f t="shared" si="106"/>
        <v>803.75619885024707</v>
      </c>
      <c r="DA52" s="15">
        <f t="shared" si="82"/>
        <v>5.1075123977004952E-6</v>
      </c>
      <c r="DB52" s="16">
        <f t="shared" si="83"/>
        <v>25.132196286777841</v>
      </c>
      <c r="DC52" s="17">
        <f t="shared" si="84"/>
        <v>1.2782538313042444E-2</v>
      </c>
      <c r="DD52" s="18">
        <f t="shared" si="85"/>
        <v>0.21946450429809011</v>
      </c>
    </row>
    <row r="53" spans="2:108" x14ac:dyDescent="0.25">
      <c r="B53">
        <v>34</v>
      </c>
      <c r="C53">
        <f t="shared" si="86"/>
        <v>3.323889865573855E-2</v>
      </c>
      <c r="D53" s="19">
        <f t="shared" si="3"/>
        <v>1019.4569453936444</v>
      </c>
      <c r="E53" s="15">
        <f t="shared" si="4"/>
        <v>5.538913890787289E-6</v>
      </c>
      <c r="F53" s="16">
        <f t="shared" si="5"/>
        <v>27.612754872026912</v>
      </c>
      <c r="G53" s="17">
        <f t="shared" si="1"/>
        <v>1.3862204045458159E-2</v>
      </c>
      <c r="H53" s="18">
        <f t="shared" si="6"/>
        <v>0.19974917481296303</v>
      </c>
      <c r="I53" s="19">
        <f t="shared" si="87"/>
        <v>1019.1368049263905</v>
      </c>
      <c r="J53" s="15">
        <f t="shared" si="7"/>
        <v>5.5382736098527812E-6</v>
      </c>
      <c r="K53" s="16">
        <f t="shared" si="8"/>
        <v>27.609073256653488</v>
      </c>
      <c r="L53" s="17">
        <f t="shared" si="9"/>
        <v>1.3860601618495842E-2</v>
      </c>
      <c r="M53" s="18">
        <f t="shared" si="10"/>
        <v>0.19977581097079358</v>
      </c>
      <c r="N53" s="19">
        <f t="shared" si="88"/>
        <v>1018.2346945492135</v>
      </c>
      <c r="O53" s="15">
        <f t="shared" si="11"/>
        <v>5.5364693890984279E-6</v>
      </c>
      <c r="P53" s="16">
        <f t="shared" si="12"/>
        <v>27.598698987315956</v>
      </c>
      <c r="Q53" s="17">
        <f t="shared" si="2"/>
        <v>1.3862204045458159E-2</v>
      </c>
      <c r="R53" s="18">
        <f t="shared" si="13"/>
        <v>0.19985090610738274</v>
      </c>
      <c r="S53" s="19">
        <f t="shared" si="89"/>
        <v>1016.7345142504953</v>
      </c>
      <c r="T53" s="15">
        <f t="shared" si="14"/>
        <v>5.5334690285009907E-6</v>
      </c>
      <c r="U53" s="16">
        <f t="shared" si="15"/>
        <v>27.581446913880697</v>
      </c>
      <c r="V53" s="17">
        <f t="shared" si="16"/>
        <v>1.3848577223756233E-2</v>
      </c>
      <c r="W53" s="18">
        <f t="shared" si="17"/>
        <v>0.19997591196799017</v>
      </c>
      <c r="X53" s="19">
        <f t="shared" si="90"/>
        <v>1014.6349435206696</v>
      </c>
      <c r="Y53" s="15">
        <f t="shared" si="18"/>
        <v>5.5292698870413397E-6</v>
      </c>
      <c r="Z53" s="16">
        <f t="shared" si="19"/>
        <v>27.557301850487697</v>
      </c>
      <c r="AA53" s="17">
        <f t="shared" si="20"/>
        <v>1.3838068059527078E-2</v>
      </c>
      <c r="AB53" s="18">
        <f t="shared" si="21"/>
        <v>0.20015112618517791</v>
      </c>
      <c r="AC53" s="19">
        <f t="shared" si="91"/>
        <v>1011.9353976561232</v>
      </c>
      <c r="AD53" s="15">
        <f t="shared" si="22"/>
        <v>5.5238707953122466E-6</v>
      </c>
      <c r="AE53" s="16">
        <f t="shared" si="23"/>
        <v>27.526257073045414</v>
      </c>
      <c r="AF53" s="17">
        <f t="shared" si="24"/>
        <v>1.3824555787503259E-2</v>
      </c>
      <c r="AG53" s="18">
        <f t="shared" si="25"/>
        <v>0.20037686145862074</v>
      </c>
      <c r="AH53" s="19">
        <f t="shared" si="92"/>
        <v>1008.6359530544797</v>
      </c>
      <c r="AI53" s="15">
        <f t="shared" si="26"/>
        <v>5.5172719061089598E-6</v>
      </c>
      <c r="AJ53" s="16">
        <f t="shared" si="27"/>
        <v>27.488313460126516</v>
      </c>
      <c r="AK53" s="17">
        <f t="shared" si="28"/>
        <v>1.3808040790084455E-2</v>
      </c>
      <c r="AL53" s="18">
        <f t="shared" si="29"/>
        <v>0.20065345252995431</v>
      </c>
      <c r="AM53" s="19">
        <f t="shared" si="93"/>
        <v>1004.7366278426426</v>
      </c>
      <c r="AN53" s="15">
        <f t="shared" si="30"/>
        <v>5.5094732556852857E-6</v>
      </c>
      <c r="AO53" s="16">
        <f t="shared" si="31"/>
        <v>27.443471220190389</v>
      </c>
      <c r="AP53" s="17">
        <f t="shared" si="32"/>
        <v>1.3788523158002832E-2</v>
      </c>
      <c r="AQ53" s="18">
        <f t="shared" si="33"/>
        <v>0.20098131740499756</v>
      </c>
      <c r="AR53" s="19">
        <f t="shared" si="94"/>
        <v>1000.2374246816622</v>
      </c>
      <c r="AS53" s="15">
        <f t="shared" si="34"/>
        <v>5.5004748493633253E-6</v>
      </c>
      <c r="AT53" s="16">
        <f t="shared" si="35"/>
        <v>27.391730383839114</v>
      </c>
      <c r="AU53" s="17">
        <f t="shared" si="36"/>
        <v>1.3766002904577983E-2</v>
      </c>
      <c r="AV53" s="18">
        <f t="shared" si="37"/>
        <v>0.20136095539455848</v>
      </c>
      <c r="AW53" s="19">
        <f t="shared" si="95"/>
        <v>995.13834389215447</v>
      </c>
      <c r="AX53" s="15">
        <f t="shared" si="38"/>
        <v>5.4902766877843097E-6</v>
      </c>
      <c r="AY53" s="16">
        <f t="shared" si="39"/>
        <v>27.333090954759776</v>
      </c>
      <c r="AZ53" s="17">
        <f t="shared" si="40"/>
        <v>1.3740480031414709E-2</v>
      </c>
      <c r="BA53" s="18">
        <f t="shared" si="41"/>
        <v>0.20179294793732469</v>
      </c>
      <c r="BB53" s="19">
        <f t="shared" si="96"/>
        <v>989.43938552911436</v>
      </c>
      <c r="BC53" s="15">
        <f t="shared" si="42"/>
        <v>5.4788787710582296E-6</v>
      </c>
      <c r="BD53" s="16">
        <f t="shared" si="43"/>
        <v>27.267552933584817</v>
      </c>
      <c r="BE53" s="17">
        <f t="shared" si="44"/>
        <v>1.3711954538788282E-2</v>
      </c>
      <c r="BF53" s="18">
        <f t="shared" si="45"/>
        <v>0.20227796067488446</v>
      </c>
      <c r="BG53" s="19">
        <f t="shared" si="97"/>
        <v>983.14054960945634</v>
      </c>
      <c r="BH53" s="15">
        <f t="shared" si="46"/>
        <v>5.4662810992189129E-6</v>
      </c>
      <c r="BI53" s="16">
        <f t="shared" si="47"/>
        <v>27.195116320508745</v>
      </c>
      <c r="BJ53" s="17">
        <f t="shared" si="48"/>
        <v>1.3680426426783365E-2</v>
      </c>
      <c r="BK53" s="18">
        <f t="shared" si="49"/>
        <v>0.2028167460287891</v>
      </c>
      <c r="BL53" s="19">
        <f t="shared" si="98"/>
        <v>976.24183598367563</v>
      </c>
      <c r="BM53" s="15">
        <f t="shared" si="50"/>
        <v>5.4524836719673519E-6</v>
      </c>
      <c r="BN53" s="16">
        <f t="shared" si="51"/>
        <v>27.115781113812268</v>
      </c>
      <c r="BO53" s="17">
        <f t="shared" si="52"/>
        <v>1.3645895694651633E-2</v>
      </c>
      <c r="BP53" s="18">
        <f t="shared" si="53"/>
        <v>0.20341014617463646</v>
      </c>
      <c r="BQ53" s="19">
        <f t="shared" si="99"/>
        <v>968.74324080568624</v>
      </c>
      <c r="BR53" s="15">
        <f t="shared" si="54"/>
        <v>5.4374864816113727E-6</v>
      </c>
      <c r="BS53" s="16">
        <f t="shared" si="55"/>
        <v>27.029547269265393</v>
      </c>
      <c r="BT53" s="17">
        <f t="shared" si="56"/>
        <v>1.3608362323141932E-2</v>
      </c>
      <c r="BU53" s="18">
        <f t="shared" si="57"/>
        <v>0.20405909670087874</v>
      </c>
      <c r="BV53" s="19">
        <f t="shared" si="100"/>
        <v>960.64468611305313</v>
      </c>
      <c r="BW53" s="15">
        <f t="shared" si="58"/>
        <v>5.421289372226107E-6</v>
      </c>
      <c r="BX53" s="16">
        <f t="shared" si="59"/>
        <v>26.936413890300109</v>
      </c>
      <c r="BY53" s="17">
        <f t="shared" si="60"/>
        <v>1.35678259220221E-2</v>
      </c>
      <c r="BZ53" s="18">
        <f t="shared" si="61"/>
        <v>0.20476463654229024</v>
      </c>
      <c r="CA53" s="19">
        <f t="shared" si="101"/>
        <v>951.94483706376411</v>
      </c>
      <c r="CB53" s="15">
        <f t="shared" si="62"/>
        <v>5.4038896741275289E-6</v>
      </c>
      <c r="CC53" s="16">
        <f t="shared" si="63"/>
        <v>26.836365626233288</v>
      </c>
      <c r="CD53" s="17">
        <f t="shared" si="64"/>
        <v>1.3524279809891158E-2</v>
      </c>
      <c r="CE53" s="18">
        <f t="shared" si="65"/>
        <v>0.20552801660327374</v>
      </c>
      <c r="CF53" s="19">
        <f t="shared" si="102"/>
        <v>942.6247378382127</v>
      </c>
      <c r="CG53" s="15">
        <f t="shared" si="66"/>
        <v>5.3852494756764267E-6</v>
      </c>
      <c r="CH53" s="16">
        <f t="shared" si="67"/>
        <v>26.729184485139445</v>
      </c>
      <c r="CI53" s="17">
        <f t="shared" si="68"/>
        <v>1.3477629105534336E-2</v>
      </c>
      <c r="CJ53" s="18">
        <f t="shared" si="69"/>
        <v>0.20635216173791265</v>
      </c>
      <c r="CK53" s="19">
        <f t="shared" si="103"/>
        <v>932.46748727770591</v>
      </c>
      <c r="CL53" s="15">
        <f t="shared" si="70"/>
        <v>5.3649349745554123E-6</v>
      </c>
      <c r="CM53" s="16">
        <f t="shared" si="71"/>
        <v>26.612376103693617</v>
      </c>
      <c r="CN53" s="17">
        <f t="shared" si="72"/>
        <v>1.3426788134691735E-2</v>
      </c>
      <c r="CO53" s="18">
        <f t="shared" si="73"/>
        <v>0.20725789303851258</v>
      </c>
      <c r="CP53" s="19">
        <f t="shared" si="104"/>
        <v>919.55894279289805</v>
      </c>
      <c r="CQ53" s="15">
        <f t="shared" si="74"/>
        <v>5.3391178855857968E-6</v>
      </c>
      <c r="CR53" s="16">
        <f t="shared" si="75"/>
        <v>26.463927842118327</v>
      </c>
      <c r="CS53" s="17">
        <f t="shared" si="76"/>
        <v>1.3362175872755004E-2</v>
      </c>
      <c r="CT53" s="18">
        <f t="shared" si="77"/>
        <v>0.20842049724839701</v>
      </c>
      <c r="CU53" s="19">
        <f t="shared" si="105"/>
        <v>891.7927467409387</v>
      </c>
      <c r="CV53" s="15">
        <f t="shared" si="78"/>
        <v>5.2835854934818782E-6</v>
      </c>
      <c r="CW53" s="16">
        <f t="shared" si="79"/>
        <v>26.144616587520794</v>
      </c>
      <c r="CX53" s="17">
        <f t="shared" si="80"/>
        <v>1.3223195313451256E-2</v>
      </c>
      <c r="CY53" s="18">
        <f t="shared" si="81"/>
        <v>0.2109659930003597</v>
      </c>
      <c r="CZ53" s="20">
        <f t="shared" si="106"/>
        <v>801.87108077450159</v>
      </c>
      <c r="DA53" s="15">
        <f t="shared" si="82"/>
        <v>5.1037421615490034E-6</v>
      </c>
      <c r="DB53" s="16">
        <f t="shared" si="83"/>
        <v>25.110517428906768</v>
      </c>
      <c r="DC53" s="17">
        <f t="shared" si="84"/>
        <v>1.2773102567359798E-2</v>
      </c>
      <c r="DD53" s="18">
        <f t="shared" si="85"/>
        <v>0.21965397629164399</v>
      </c>
    </row>
    <row r="54" spans="2:108" x14ac:dyDescent="0.25">
      <c r="B54">
        <v>35</v>
      </c>
      <c r="C54">
        <f t="shared" si="86"/>
        <v>3.4216513322083801E-2</v>
      </c>
      <c r="D54" s="19">
        <f t="shared" si="3"/>
        <v>1019.4406006386288</v>
      </c>
      <c r="E54" s="15">
        <f t="shared" si="4"/>
        <v>5.5388812012772588E-6</v>
      </c>
      <c r="F54" s="16">
        <f t="shared" si="5"/>
        <v>27.612566907344231</v>
      </c>
      <c r="G54" s="17">
        <f t="shared" si="1"/>
        <v>1.3862122233632392E-2</v>
      </c>
      <c r="H54" s="18">
        <f t="shared" si="6"/>
        <v>0.19975053454856403</v>
      </c>
      <c r="I54" s="19">
        <f t="shared" si="87"/>
        <v>1019.12026609306</v>
      </c>
      <c r="J54" s="15">
        <f t="shared" si="7"/>
        <v>5.5382405321861201E-6</v>
      </c>
      <c r="K54" s="16">
        <f t="shared" si="8"/>
        <v>27.608883060070191</v>
      </c>
      <c r="L54" s="17">
        <f t="shared" si="9"/>
        <v>1.3860518835232977E-2</v>
      </c>
      <c r="M54" s="18">
        <f t="shared" si="10"/>
        <v>0.19977718721903187</v>
      </c>
      <c r="N54" s="19">
        <f t="shared" si="88"/>
        <v>1018.2180807410109</v>
      </c>
      <c r="O54" s="15">
        <f t="shared" si="11"/>
        <v>5.5364361614820221E-6</v>
      </c>
      <c r="P54" s="16">
        <f t="shared" si="12"/>
        <v>27.598507928521624</v>
      </c>
      <c r="Q54" s="17">
        <f t="shared" si="2"/>
        <v>1.3862122233632392E-2</v>
      </c>
      <c r="R54" s="18">
        <f t="shared" si="13"/>
        <v>0.19985228963410331</v>
      </c>
      <c r="S54" s="19">
        <f t="shared" si="89"/>
        <v>1016.7178887289456</v>
      </c>
      <c r="T54" s="15">
        <f t="shared" si="14"/>
        <v>5.5334357774578915E-6</v>
      </c>
      <c r="U54" s="16">
        <f t="shared" si="15"/>
        <v>27.581255720382874</v>
      </c>
      <c r="V54" s="17">
        <f t="shared" si="16"/>
        <v>1.3848494006585275E-2</v>
      </c>
      <c r="W54" s="18">
        <f t="shared" si="17"/>
        <v>0.19997729820270249</v>
      </c>
      <c r="X54" s="19">
        <f t="shared" si="90"/>
        <v>1014.6183272014381</v>
      </c>
      <c r="Y54" s="15">
        <f t="shared" si="18"/>
        <v>5.5292366544028765E-6</v>
      </c>
      <c r="Z54" s="16">
        <f t="shared" si="19"/>
        <v>27.557110762816535</v>
      </c>
      <c r="AA54" s="17">
        <f t="shared" si="20"/>
        <v>1.3837984888417285E-2</v>
      </c>
      <c r="AB54" s="18">
        <f t="shared" si="21"/>
        <v>0.20015251408149667</v>
      </c>
      <c r="AC54" s="19">
        <f t="shared" si="91"/>
        <v>1011.918794872523</v>
      </c>
      <c r="AD54" s="15">
        <f t="shared" si="22"/>
        <v>5.523837589745047E-6</v>
      </c>
      <c r="AE54" s="16">
        <f t="shared" si="23"/>
        <v>27.526066141034015</v>
      </c>
      <c r="AF54" s="17">
        <f t="shared" si="24"/>
        <v>1.3824472684144542E-2</v>
      </c>
      <c r="AG54" s="18">
        <f t="shared" si="25"/>
        <v>0.20037825135418372</v>
      </c>
      <c r="AH54" s="19">
        <f t="shared" si="92"/>
        <v>1008.6193667549832</v>
      </c>
      <c r="AI54" s="15">
        <f t="shared" si="26"/>
        <v>5.5172387335099664E-6</v>
      </c>
      <c r="AJ54" s="16">
        <f t="shared" si="27"/>
        <v>27.488122717682305</v>
      </c>
      <c r="AK54" s="17">
        <f t="shared" si="28"/>
        <v>1.3807957769235055E-2</v>
      </c>
      <c r="AL54" s="18">
        <f t="shared" si="29"/>
        <v>0.20065484488149349</v>
      </c>
      <c r="AM54" s="19">
        <f t="shared" si="93"/>
        <v>1004.7200614300331</v>
      </c>
      <c r="AN54" s="15">
        <f t="shared" si="30"/>
        <v>5.5094401228600669E-6</v>
      </c>
      <c r="AO54" s="16">
        <f t="shared" si="31"/>
        <v>27.443280706445378</v>
      </c>
      <c r="AP54" s="17">
        <f t="shared" si="32"/>
        <v>1.3788440236695003E-2</v>
      </c>
      <c r="AQ54" s="18">
        <f t="shared" si="33"/>
        <v>0.20098271263554107</v>
      </c>
      <c r="AR54" s="19">
        <f t="shared" si="94"/>
        <v>1000.2208817195428</v>
      </c>
      <c r="AS54" s="15">
        <f t="shared" si="34"/>
        <v>5.5004417634390857E-6</v>
      </c>
      <c r="AT54" s="16">
        <f t="shared" si="35"/>
        <v>27.39154013977474</v>
      </c>
      <c r="AU54" s="17">
        <f t="shared" si="36"/>
        <v>1.3765920100648929E-2</v>
      </c>
      <c r="AV54" s="18">
        <f t="shared" si="37"/>
        <v>0.20136235391856863</v>
      </c>
      <c r="AW54" s="19">
        <f t="shared" si="95"/>
        <v>995.12182797295054</v>
      </c>
      <c r="AX54" s="15">
        <f t="shared" si="38"/>
        <v>5.4902436559459021E-6</v>
      </c>
      <c r="AY54" s="16">
        <f t="shared" si="39"/>
        <v>27.332901021688933</v>
      </c>
      <c r="AZ54" s="17">
        <f t="shared" si="40"/>
        <v>1.3740397362845916E-2</v>
      </c>
      <c r="BA54" s="18">
        <f t="shared" si="41"/>
        <v>0.20179435017246417</v>
      </c>
      <c r="BB54" s="19">
        <f t="shared" si="96"/>
        <v>989.42290025007128</v>
      </c>
      <c r="BC54" s="15">
        <f t="shared" si="42"/>
        <v>5.4788458005001425E-6</v>
      </c>
      <c r="BD54" s="16">
        <f t="shared" si="43"/>
        <v>27.267363352875819</v>
      </c>
      <c r="BE54" s="17">
        <f t="shared" si="44"/>
        <v>1.3711872023585352E-2</v>
      </c>
      <c r="BF54" s="18">
        <f t="shared" si="45"/>
        <v>0.20227936704478913</v>
      </c>
      <c r="BG54" s="19">
        <f t="shared" si="97"/>
        <v>983.1240985671933</v>
      </c>
      <c r="BH54" s="15">
        <f t="shared" si="46"/>
        <v>5.4662481971343874E-6</v>
      </c>
      <c r="BI54" s="16">
        <f t="shared" si="47"/>
        <v>27.194927133522722</v>
      </c>
      <c r="BJ54" s="17">
        <f t="shared" si="48"/>
        <v>1.3680344082948777E-2</v>
      </c>
      <c r="BK54" s="18">
        <f t="shared" si="49"/>
        <v>0.20281815696431793</v>
      </c>
      <c r="BL54" s="19">
        <f t="shared" si="98"/>
        <v>976.22542272520309</v>
      </c>
      <c r="BM54" s="15">
        <f t="shared" si="50"/>
        <v>5.4524508454504066E-6</v>
      </c>
      <c r="BN54" s="16">
        <f t="shared" si="51"/>
        <v>27.115592361339836</v>
      </c>
      <c r="BO54" s="17">
        <f t="shared" si="52"/>
        <v>1.3645813539939542E-2</v>
      </c>
      <c r="BP54" s="18">
        <f t="shared" si="53"/>
        <v>0.20341156211892034</v>
      </c>
      <c r="BQ54" s="19">
        <f t="shared" si="99"/>
        <v>968.72686787775297</v>
      </c>
      <c r="BR54" s="15">
        <f t="shared" si="54"/>
        <v>5.4374537357555064E-6</v>
      </c>
      <c r="BS54" s="16">
        <f t="shared" si="55"/>
        <v>27.029358980594161</v>
      </c>
      <c r="BT54" s="17">
        <f t="shared" si="56"/>
        <v>1.3608280370299802E-2</v>
      </c>
      <c r="BU54" s="18">
        <f t="shared" si="57"/>
        <v>0.2040605181928275</v>
      </c>
      <c r="BV54" s="19">
        <f t="shared" si="100"/>
        <v>960.62833933843785</v>
      </c>
      <c r="BW54" s="15">
        <f t="shared" si="58"/>
        <v>5.4212566786768766E-6</v>
      </c>
      <c r="BX54" s="16">
        <f t="shared" si="59"/>
        <v>26.936225902392035</v>
      </c>
      <c r="BY54" s="17">
        <f t="shared" si="60"/>
        <v>1.3567744100087452E-2</v>
      </c>
      <c r="BZ54" s="18">
        <f t="shared" si="61"/>
        <v>0.20476606559459365</v>
      </c>
      <c r="CA54" s="19">
        <f t="shared" si="101"/>
        <v>951.92827199986493</v>
      </c>
      <c r="CB54" s="15">
        <f t="shared" si="62"/>
        <v>5.4038565439997298E-6</v>
      </c>
      <c r="CC54" s="16">
        <f t="shared" si="63"/>
        <v>26.836175127998445</v>
      </c>
      <c r="CD54" s="17">
        <f t="shared" si="64"/>
        <v>1.3524196895334142E-2</v>
      </c>
      <c r="CE54" s="18">
        <f t="shared" si="65"/>
        <v>0.20552947555650336</v>
      </c>
      <c r="CF54" s="19">
        <f t="shared" si="102"/>
        <v>942.60518430393051</v>
      </c>
      <c r="CG54" s="15">
        <f t="shared" si="66"/>
        <v>5.3852103686078614E-6</v>
      </c>
      <c r="CH54" s="16">
        <f t="shared" si="67"/>
        <v>26.7289596194952</v>
      </c>
      <c r="CI54" s="17">
        <f t="shared" si="68"/>
        <v>1.3477531232526241E-2</v>
      </c>
      <c r="CJ54" s="18">
        <f t="shared" si="69"/>
        <v>0.20635389773933024</v>
      </c>
      <c r="CK54" s="19">
        <f t="shared" si="103"/>
        <v>932.42126339340757</v>
      </c>
      <c r="CL54" s="15">
        <f t="shared" si="70"/>
        <v>5.3648425267868159E-6</v>
      </c>
      <c r="CM54" s="16">
        <f t="shared" si="71"/>
        <v>26.611844529024186</v>
      </c>
      <c r="CN54" s="17">
        <f t="shared" si="72"/>
        <v>1.3426556766257942E-2</v>
      </c>
      <c r="CO54" s="18">
        <f t="shared" si="73"/>
        <v>0.20726203303887442</v>
      </c>
      <c r="CP54" s="19">
        <f t="shared" si="104"/>
        <v>919.34428564314146</v>
      </c>
      <c r="CQ54" s="15">
        <f t="shared" si="74"/>
        <v>5.3386885712862831E-6</v>
      </c>
      <c r="CR54" s="16">
        <f t="shared" si="75"/>
        <v>26.461459284896126</v>
      </c>
      <c r="CS54" s="17">
        <f t="shared" si="76"/>
        <v>1.3361101430628471E-2</v>
      </c>
      <c r="CT54" s="18">
        <f t="shared" si="77"/>
        <v>0.20843994054206416</v>
      </c>
      <c r="CU54" s="19">
        <f t="shared" si="105"/>
        <v>890.92090121711192</v>
      </c>
      <c r="CV54" s="15">
        <f t="shared" si="78"/>
        <v>5.2818418024342245E-6</v>
      </c>
      <c r="CW54" s="16">
        <f t="shared" si="79"/>
        <v>26.134590363996786</v>
      </c>
      <c r="CX54" s="17">
        <f t="shared" si="80"/>
        <v>1.3218831389120346E-2</v>
      </c>
      <c r="CY54" s="18">
        <f t="shared" si="81"/>
        <v>0.2110469275844617</v>
      </c>
      <c r="CZ54" s="20">
        <f t="shared" si="106"/>
        <v>800.02214478725364</v>
      </c>
      <c r="DA54" s="15">
        <f t="shared" si="82"/>
        <v>5.1000442895745081E-6</v>
      </c>
      <c r="DB54" s="16">
        <f t="shared" si="83"/>
        <v>25.089254665053417</v>
      </c>
      <c r="DC54" s="17">
        <f t="shared" si="84"/>
        <v>1.2763847927035873E-2</v>
      </c>
      <c r="DD54" s="18">
        <f t="shared" si="85"/>
        <v>0.21984012971428207</v>
      </c>
    </row>
    <row r="55" spans="2:108" x14ac:dyDescent="0.25">
      <c r="B55">
        <v>36</v>
      </c>
      <c r="C55">
        <f t="shared" si="86"/>
        <v>3.5194127988429053E-2</v>
      </c>
      <c r="D55" s="19">
        <f t="shared" si="3"/>
        <v>1019.4242459749548</v>
      </c>
      <c r="E55" s="15">
        <f t="shared" si="4"/>
        <v>5.5388484919499102E-6</v>
      </c>
      <c r="F55" s="16">
        <f t="shared" si="5"/>
        <v>27.612378828711982</v>
      </c>
      <c r="G55" s="17">
        <f t="shared" si="1"/>
        <v>1.3862040372209948E-2</v>
      </c>
      <c r="H55" s="18">
        <f t="shared" si="6"/>
        <v>0.19975189512700467</v>
      </c>
      <c r="I55" s="19">
        <f t="shared" si="87"/>
        <v>1019.1037271436016</v>
      </c>
      <c r="J55" s="15">
        <f t="shared" si="7"/>
        <v>5.5382074542872042E-6</v>
      </c>
      <c r="K55" s="16">
        <f t="shared" si="8"/>
        <v>27.608692862151418</v>
      </c>
      <c r="L55" s="17">
        <f t="shared" si="9"/>
        <v>1.386043605138885E-2</v>
      </c>
      <c r="M55" s="18">
        <f t="shared" si="10"/>
        <v>0.19977856349589571</v>
      </c>
      <c r="N55" s="19">
        <f t="shared" si="88"/>
        <v>1018.2014676084848</v>
      </c>
      <c r="O55" s="15">
        <f t="shared" si="11"/>
        <v>5.5364029352169702E-6</v>
      </c>
      <c r="P55" s="16">
        <f t="shared" si="12"/>
        <v>27.598316877497574</v>
      </c>
      <c r="Q55" s="17">
        <f t="shared" si="2"/>
        <v>1.3862040372209948E-2</v>
      </c>
      <c r="R55" s="18">
        <f t="shared" si="13"/>
        <v>0.19985367312371113</v>
      </c>
      <c r="S55" s="19">
        <f t="shared" si="89"/>
        <v>1016.7012635897087</v>
      </c>
      <c r="T55" s="15">
        <f t="shared" si="14"/>
        <v>5.5334025271794183E-6</v>
      </c>
      <c r="U55" s="16">
        <f t="shared" si="15"/>
        <v>27.581064531281648</v>
      </c>
      <c r="V55" s="17">
        <f t="shared" si="16"/>
        <v>1.3848410791327943E-2</v>
      </c>
      <c r="W55" s="18">
        <f t="shared" si="17"/>
        <v>0.19997868442475589</v>
      </c>
      <c r="X55" s="19">
        <f t="shared" si="90"/>
        <v>1014.6017110814237</v>
      </c>
      <c r="Y55" s="15">
        <f t="shared" si="18"/>
        <v>5.5292034221628483E-6</v>
      </c>
      <c r="Z55" s="16">
        <f t="shared" si="19"/>
        <v>27.556919677436369</v>
      </c>
      <c r="AA55" s="17">
        <f t="shared" si="20"/>
        <v>1.3837901718304653E-2</v>
      </c>
      <c r="AB55" s="18">
        <f t="shared" si="21"/>
        <v>0.2001539019804234</v>
      </c>
      <c r="AC55" s="19">
        <f t="shared" si="91"/>
        <v>1011.9021922710518</v>
      </c>
      <c r="AD55" s="15">
        <f t="shared" si="22"/>
        <v>5.5238043845421038E-6</v>
      </c>
      <c r="AE55" s="16">
        <f t="shared" si="23"/>
        <v>27.525875211117096</v>
      </c>
      <c r="AF55" s="17">
        <f t="shared" si="24"/>
        <v>1.3824389581697448E-2</v>
      </c>
      <c r="AG55" s="18">
        <f t="shared" si="25"/>
        <v>0.20037964125378147</v>
      </c>
      <c r="AH55" s="19">
        <f t="shared" si="92"/>
        <v>1008.6027806441331</v>
      </c>
      <c r="AI55" s="15">
        <f t="shared" si="26"/>
        <v>5.517205561288267E-6</v>
      </c>
      <c r="AJ55" s="16">
        <f t="shared" si="27"/>
        <v>27.487931977407527</v>
      </c>
      <c r="AK55" s="17">
        <f t="shared" si="28"/>
        <v>1.3807874749329907E-2</v>
      </c>
      <c r="AL55" s="18">
        <f t="shared" si="29"/>
        <v>0.20065623723651968</v>
      </c>
      <c r="AM55" s="19">
        <f t="shared" si="93"/>
        <v>1004.703495208977</v>
      </c>
      <c r="AN55" s="15">
        <f t="shared" si="30"/>
        <v>5.5094069904179543E-6</v>
      </c>
      <c r="AO55" s="16">
        <f t="shared" si="31"/>
        <v>27.443090194903235</v>
      </c>
      <c r="AP55" s="17">
        <f t="shared" si="32"/>
        <v>1.378835731634597E-2</v>
      </c>
      <c r="AQ55" s="18">
        <f t="shared" si="33"/>
        <v>0.2009841078693233</v>
      </c>
      <c r="AR55" s="19">
        <f t="shared" si="94"/>
        <v>1000.2043389499563</v>
      </c>
      <c r="AS55" s="15">
        <f t="shared" si="34"/>
        <v>5.5004086778999131E-6</v>
      </c>
      <c r="AT55" s="16">
        <f t="shared" si="35"/>
        <v>27.391349897924499</v>
      </c>
      <c r="AU55" s="17">
        <f t="shared" si="36"/>
        <v>1.3765837297683582E-2</v>
      </c>
      <c r="AV55" s="18">
        <f t="shared" si="37"/>
        <v>0.20136375244572852</v>
      </c>
      <c r="AW55" s="19">
        <f t="shared" si="95"/>
        <v>995.10531224672434</v>
      </c>
      <c r="AX55" s="15">
        <f t="shared" si="38"/>
        <v>5.4902106244934492E-6</v>
      </c>
      <c r="AY55" s="16">
        <f t="shared" si="39"/>
        <v>27.332711090837329</v>
      </c>
      <c r="AZ55" s="17">
        <f t="shared" si="40"/>
        <v>1.3740314695243052E-2</v>
      </c>
      <c r="BA55" s="18">
        <f t="shared" si="41"/>
        <v>0.20179575241070719</v>
      </c>
      <c r="BB55" s="19">
        <f t="shared" si="96"/>
        <v>989.40641516420021</v>
      </c>
      <c r="BC55" s="15">
        <f t="shared" si="42"/>
        <v>5.4788128303284007E-6</v>
      </c>
      <c r="BD55" s="16">
        <f t="shared" si="43"/>
        <v>27.267173774388301</v>
      </c>
      <c r="BE55" s="17">
        <f t="shared" si="44"/>
        <v>1.371178950934933E-2</v>
      </c>
      <c r="BF55" s="18">
        <f t="shared" si="45"/>
        <v>0.20228077341776998</v>
      </c>
      <c r="BG55" s="19">
        <f t="shared" si="97"/>
        <v>983.10764771745164</v>
      </c>
      <c r="BH55" s="15">
        <f t="shared" si="46"/>
        <v>5.4662152954349035E-6</v>
      </c>
      <c r="BI55" s="16">
        <f t="shared" si="47"/>
        <v>27.194737948750692</v>
      </c>
      <c r="BJ55" s="17">
        <f t="shared" si="48"/>
        <v>1.3680261740077833E-2</v>
      </c>
      <c r="BK55" s="18">
        <f t="shared" si="49"/>
        <v>0.20281956790296574</v>
      </c>
      <c r="BL55" s="19">
        <f t="shared" si="98"/>
        <v>976.20900964488919</v>
      </c>
      <c r="BM55" s="15">
        <f t="shared" si="50"/>
        <v>5.4524180192897784E-6</v>
      </c>
      <c r="BN55" s="16">
        <f t="shared" si="51"/>
        <v>27.115403610916225</v>
      </c>
      <c r="BO55" s="17">
        <f t="shared" si="52"/>
        <v>1.3645731386119202E-2</v>
      </c>
      <c r="BP55" s="18">
        <f t="shared" si="53"/>
        <v>0.20341297806754749</v>
      </c>
      <c r="BQ55" s="19">
        <f t="shared" si="99"/>
        <v>968.71049488982646</v>
      </c>
      <c r="BR55" s="15">
        <f t="shared" si="54"/>
        <v>5.4374209897796536E-6</v>
      </c>
      <c r="BS55" s="16">
        <f t="shared" si="55"/>
        <v>27.029170691233006</v>
      </c>
      <c r="BT55" s="17">
        <f t="shared" si="56"/>
        <v>1.3608198417157383E-2</v>
      </c>
      <c r="BU55" s="18">
        <f t="shared" si="57"/>
        <v>0.20406193970978953</v>
      </c>
      <c r="BV55" s="19">
        <f t="shared" si="100"/>
        <v>960.61198924246492</v>
      </c>
      <c r="BW55" s="15">
        <f t="shared" si="58"/>
        <v>5.4212239784849308E-6</v>
      </c>
      <c r="BX55" s="16">
        <f t="shared" si="59"/>
        <v>26.936037876288346</v>
      </c>
      <c r="BY55" s="17">
        <f t="shared" si="60"/>
        <v>1.356766226152812E-2</v>
      </c>
      <c r="BZ55" s="18">
        <f t="shared" si="61"/>
        <v>0.20476749495720661</v>
      </c>
      <c r="CA55" s="19">
        <f t="shared" si="101"/>
        <v>951.91166800072767</v>
      </c>
      <c r="CB55" s="15">
        <f t="shared" si="62"/>
        <v>5.4038233360014558E-6</v>
      </c>
      <c r="CC55" s="16">
        <f t="shared" si="63"/>
        <v>26.835984182008367</v>
      </c>
      <c r="CD55" s="17">
        <f t="shared" si="64"/>
        <v>1.3524113785891191E-2</v>
      </c>
      <c r="CE55" s="18">
        <f t="shared" si="65"/>
        <v>0.20553093795970551</v>
      </c>
      <c r="CF55" s="19">
        <f t="shared" si="102"/>
        <v>942.58529807871025</v>
      </c>
      <c r="CG55" s="15">
        <f t="shared" si="66"/>
        <v>5.3851705961574213E-6</v>
      </c>
      <c r="CH55" s="16">
        <f t="shared" si="67"/>
        <v>26.728730927905168</v>
      </c>
      <c r="CI55" s="17">
        <f t="shared" si="68"/>
        <v>1.3477431694271222E-2</v>
      </c>
      <c r="CJ55" s="18">
        <f t="shared" si="69"/>
        <v>0.20635566330766608</v>
      </c>
      <c r="CK55" s="19">
        <f t="shared" si="103"/>
        <v>932.37305191237851</v>
      </c>
      <c r="CL55" s="15">
        <f t="shared" si="70"/>
        <v>5.3647461038247582E-6</v>
      </c>
      <c r="CM55" s="16">
        <f t="shared" si="71"/>
        <v>26.611290096992352</v>
      </c>
      <c r="CN55" s="17">
        <f t="shared" si="72"/>
        <v>1.3426315449133129E-2</v>
      </c>
      <c r="CO55" s="18">
        <f t="shared" si="73"/>
        <v>0.2072663512327568</v>
      </c>
      <c r="CP55" s="19">
        <f t="shared" si="104"/>
        <v>919.12276225293999</v>
      </c>
      <c r="CQ55" s="15">
        <f t="shared" si="74"/>
        <v>5.3382455245058798E-6</v>
      </c>
      <c r="CR55" s="16">
        <f t="shared" si="75"/>
        <v>26.458911765908809</v>
      </c>
      <c r="CS55" s="17">
        <f t="shared" si="76"/>
        <v>1.3359992620310649E-2</v>
      </c>
      <c r="CT55" s="18">
        <f t="shared" si="77"/>
        <v>0.20846000957252708</v>
      </c>
      <c r="CU55" s="19">
        <f t="shared" si="105"/>
        <v>890.04427957868234</v>
      </c>
      <c r="CV55" s="15">
        <f t="shared" si="78"/>
        <v>5.2800885591573653E-6</v>
      </c>
      <c r="CW55" s="16">
        <f t="shared" si="79"/>
        <v>26.124509215154845</v>
      </c>
      <c r="CX55" s="17">
        <f t="shared" si="80"/>
        <v>1.3214443558487058E-2</v>
      </c>
      <c r="CY55" s="18">
        <f t="shared" si="81"/>
        <v>0.21112836817620989</v>
      </c>
      <c r="CZ55" s="20">
        <f t="shared" si="106"/>
        <v>798.20807455749934</v>
      </c>
      <c r="DA55" s="15">
        <f t="shared" si="82"/>
        <v>5.0964161491149992E-6</v>
      </c>
      <c r="DB55" s="16">
        <f t="shared" si="83"/>
        <v>25.06839285741124</v>
      </c>
      <c r="DC55" s="17">
        <f t="shared" si="84"/>
        <v>1.2754767803324444E-2</v>
      </c>
      <c r="DD55" s="18">
        <f t="shared" si="85"/>
        <v>0.22002307971527404</v>
      </c>
    </row>
    <row r="56" spans="2:108" x14ac:dyDescent="0.25">
      <c r="B56">
        <v>37</v>
      </c>
      <c r="C56">
        <f t="shared" si="86"/>
        <v>3.6171742654774304E-2</v>
      </c>
      <c r="D56" s="19">
        <f t="shared" si="3"/>
        <v>1019.4078819025797</v>
      </c>
      <c r="E56" s="15">
        <f t="shared" si="4"/>
        <v>5.5388157638051598E-6</v>
      </c>
      <c r="F56" s="16">
        <f t="shared" si="5"/>
        <v>27.612190641879664</v>
      </c>
      <c r="G56" s="17">
        <f t="shared" si="1"/>
        <v>1.3861958463693312E-2</v>
      </c>
      <c r="H56" s="18">
        <f t="shared" si="6"/>
        <v>0.19975325650672571</v>
      </c>
      <c r="I56" s="19">
        <f t="shared" si="87"/>
        <v>1019.0871880266662</v>
      </c>
      <c r="J56" s="15">
        <f t="shared" si="7"/>
        <v>5.5381743760533326E-6</v>
      </c>
      <c r="K56" s="16">
        <f t="shared" si="8"/>
        <v>27.608502662306663</v>
      </c>
      <c r="L56" s="17">
        <f t="shared" si="9"/>
        <v>1.3860353266706432E-2</v>
      </c>
      <c r="M56" s="18">
        <f t="shared" si="10"/>
        <v>0.19977993980565895</v>
      </c>
      <c r="N56" s="19">
        <f t="shared" si="88"/>
        <v>1018.1848551383156</v>
      </c>
      <c r="O56" s="15">
        <f t="shared" si="11"/>
        <v>5.5363697102766313E-6</v>
      </c>
      <c r="P56" s="16">
        <f t="shared" si="12"/>
        <v>27.598125834090631</v>
      </c>
      <c r="Q56" s="17">
        <f t="shared" si="2"/>
        <v>1.3861958463693312E-2</v>
      </c>
      <c r="R56" s="18">
        <f t="shared" si="13"/>
        <v>0.19985505657731348</v>
      </c>
      <c r="S56" s="19">
        <f t="shared" si="89"/>
        <v>1016.6846388332656</v>
      </c>
      <c r="T56" s="15">
        <f t="shared" si="14"/>
        <v>5.5333692776665316E-6</v>
      </c>
      <c r="U56" s="16">
        <f t="shared" si="15"/>
        <v>27.580873346582553</v>
      </c>
      <c r="V56" s="17">
        <f t="shared" si="16"/>
        <v>1.3848327577986638E-2</v>
      </c>
      <c r="W56" s="18">
        <f t="shared" si="17"/>
        <v>0.19998007063410925</v>
      </c>
      <c r="X56" s="19">
        <f t="shared" si="90"/>
        <v>1014.5850951625753</v>
      </c>
      <c r="Y56" s="15">
        <f t="shared" si="18"/>
        <v>5.5291701903251514E-6</v>
      </c>
      <c r="Z56" s="16">
        <f t="shared" si="19"/>
        <v>27.556728594369616</v>
      </c>
      <c r="AA56" s="17">
        <f t="shared" si="20"/>
        <v>1.3837818549198931E-2</v>
      </c>
      <c r="AB56" s="18">
        <f t="shared" si="21"/>
        <v>0.20015528988179501</v>
      </c>
      <c r="AC56" s="19">
        <f t="shared" si="91"/>
        <v>1011.8855898520194</v>
      </c>
      <c r="AD56" s="15">
        <f t="shared" si="22"/>
        <v>5.5237711797040395E-6</v>
      </c>
      <c r="AE56" s="16">
        <f t="shared" si="23"/>
        <v>27.525684283298222</v>
      </c>
      <c r="AF56" s="17">
        <f t="shared" si="24"/>
        <v>1.3824306480163532E-2</v>
      </c>
      <c r="AG56" s="18">
        <f t="shared" si="25"/>
        <v>0.20038103115738778</v>
      </c>
      <c r="AH56" s="19">
        <f t="shared" si="92"/>
        <v>1008.5861947218882</v>
      </c>
      <c r="AI56" s="15">
        <f t="shared" si="26"/>
        <v>5.5171723894437766E-6</v>
      </c>
      <c r="AJ56" s="16">
        <f t="shared" si="27"/>
        <v>27.487741239301712</v>
      </c>
      <c r="AK56" s="17">
        <f t="shared" si="28"/>
        <v>1.3807791730368797E-2</v>
      </c>
      <c r="AL56" s="18">
        <f t="shared" si="29"/>
        <v>0.20065762959503605</v>
      </c>
      <c r="AM56" s="19">
        <f t="shared" si="93"/>
        <v>1004.6869291794493</v>
      </c>
      <c r="AN56" s="15">
        <f t="shared" si="30"/>
        <v>5.5093738583588988E-6</v>
      </c>
      <c r="AO56" s="16">
        <f t="shared" si="31"/>
        <v>27.442899685563667</v>
      </c>
      <c r="AP56" s="17">
        <f t="shared" si="32"/>
        <v>1.378827439695561E-2</v>
      </c>
      <c r="AQ56" s="18">
        <f t="shared" si="33"/>
        <v>0.20098550310634608</v>
      </c>
      <c r="AR56" s="19">
        <f t="shared" si="94"/>
        <v>1000.1877963728941</v>
      </c>
      <c r="AS56" s="15">
        <f t="shared" si="34"/>
        <v>5.5003755927457891E-6</v>
      </c>
      <c r="AT56" s="16">
        <f t="shared" si="35"/>
        <v>27.391159658288281</v>
      </c>
      <c r="AU56" s="17">
        <f t="shared" si="36"/>
        <v>1.3765754495681893E-2</v>
      </c>
      <c r="AV56" s="18">
        <f t="shared" si="37"/>
        <v>0.20136515097603869</v>
      </c>
      <c r="AW56" s="19">
        <f t="shared" si="95"/>
        <v>995.08879671347051</v>
      </c>
      <c r="AX56" s="15">
        <f t="shared" si="38"/>
        <v>5.4901775934269409E-6</v>
      </c>
      <c r="AY56" s="16">
        <f t="shared" si="39"/>
        <v>27.332521162204912</v>
      </c>
      <c r="AZ56" s="17">
        <f t="shared" si="40"/>
        <v>1.3740232028606091E-2</v>
      </c>
      <c r="BA56" s="18">
        <f t="shared" si="41"/>
        <v>0.20179715465205386</v>
      </c>
      <c r="BB56" s="19">
        <f t="shared" si="96"/>
        <v>989.38993027148706</v>
      </c>
      <c r="BC56" s="15">
        <f t="shared" si="42"/>
        <v>5.4787798605429745E-6</v>
      </c>
      <c r="BD56" s="16">
        <f t="shared" si="43"/>
        <v>27.266984198122103</v>
      </c>
      <c r="BE56" s="17">
        <f t="shared" si="44"/>
        <v>1.3711706996080136E-2</v>
      </c>
      <c r="BF56" s="18">
        <f t="shared" si="45"/>
        <v>0.20228217979382793</v>
      </c>
      <c r="BG56" s="19">
        <f t="shared" si="97"/>
        <v>983.09119706003173</v>
      </c>
      <c r="BH56" s="15">
        <f t="shared" si="46"/>
        <v>5.4661823941200641E-6</v>
      </c>
      <c r="BI56" s="16">
        <f t="shared" si="47"/>
        <v>27.194548766190366</v>
      </c>
      <c r="BJ56" s="17">
        <f t="shared" si="48"/>
        <v>1.3680179398169533E-2</v>
      </c>
      <c r="BK56" s="18">
        <f t="shared" si="49"/>
        <v>0.20282097884474934</v>
      </c>
      <c r="BL56" s="19">
        <f t="shared" si="98"/>
        <v>976.19259673952649</v>
      </c>
      <c r="BM56" s="15">
        <f t="shared" si="50"/>
        <v>5.4523851934790535E-6</v>
      </c>
      <c r="BN56" s="16">
        <f t="shared" si="51"/>
        <v>27.115214862504551</v>
      </c>
      <c r="BO56" s="17">
        <f t="shared" si="52"/>
        <v>1.3645649233174564E-2</v>
      </c>
      <c r="BP56" s="18">
        <f t="shared" si="53"/>
        <v>0.20341439402079436</v>
      </c>
      <c r="BQ56" s="19">
        <f t="shared" si="99"/>
        <v>968.69412179881726</v>
      </c>
      <c r="BR56" s="15">
        <f t="shared" si="54"/>
        <v>5.4373882435976347E-6</v>
      </c>
      <c r="BS56" s="16">
        <f t="shared" si="55"/>
        <v>27.028982400686395</v>
      </c>
      <c r="BT56" s="17">
        <f t="shared" si="56"/>
        <v>1.3608116463498994E-2</v>
      </c>
      <c r="BU56" s="18">
        <f t="shared" si="57"/>
        <v>0.20406336125550667</v>
      </c>
      <c r="BV56" s="19">
        <f t="shared" si="100"/>
        <v>960.59563536602582</v>
      </c>
      <c r="BW56" s="15">
        <f t="shared" si="58"/>
        <v>5.4211912707320522E-6</v>
      </c>
      <c r="BX56" s="16">
        <f t="shared" si="59"/>
        <v>26.935849806709296</v>
      </c>
      <c r="BY56" s="17">
        <f t="shared" si="60"/>
        <v>1.3567580404046093E-2</v>
      </c>
      <c r="BZ56" s="18">
        <f t="shared" si="61"/>
        <v>0.20476892467027882</v>
      </c>
      <c r="CA56" s="19">
        <f t="shared" si="101"/>
        <v>951.89502141552839</v>
      </c>
      <c r="CB56" s="15">
        <f t="shared" si="62"/>
        <v>5.4037900428310578E-6</v>
      </c>
      <c r="CC56" s="16">
        <f t="shared" si="63"/>
        <v>26.835792746278578</v>
      </c>
      <c r="CD56" s="17">
        <f t="shared" si="64"/>
        <v>1.3524030463288516E-2</v>
      </c>
      <c r="CE56" s="18">
        <f t="shared" si="65"/>
        <v>0.20553240413458151</v>
      </c>
      <c r="CF56" s="19">
        <f t="shared" si="102"/>
        <v>942.56505993517078</v>
      </c>
      <c r="CG56" s="15">
        <f t="shared" si="66"/>
        <v>5.3851301198703416E-6</v>
      </c>
      <c r="CH56" s="16">
        <f t="shared" si="67"/>
        <v>26.728498189254463</v>
      </c>
      <c r="CI56" s="17">
        <f t="shared" si="68"/>
        <v>1.3477330394528787E-2</v>
      </c>
      <c r="CJ56" s="18">
        <f t="shared" si="69"/>
        <v>0.20635746015155546</v>
      </c>
      <c r="CK56" s="19">
        <f t="shared" si="103"/>
        <v>932.32280683331555</v>
      </c>
      <c r="CL56" s="15">
        <f t="shared" si="70"/>
        <v>5.3646456136666315E-6</v>
      </c>
      <c r="CM56" s="16">
        <f t="shared" si="71"/>
        <v>26.610712278583129</v>
      </c>
      <c r="CN56" s="17">
        <f t="shared" si="72"/>
        <v>1.3426063953062964E-2</v>
      </c>
      <c r="CO56" s="18">
        <f t="shared" si="73"/>
        <v>0.20727085176292304</v>
      </c>
      <c r="CP56" s="19">
        <f t="shared" si="104"/>
        <v>918.89446556558369</v>
      </c>
      <c r="CQ56" s="15">
        <f t="shared" si="74"/>
        <v>5.3377889311311679E-6</v>
      </c>
      <c r="CR56" s="16">
        <f t="shared" si="75"/>
        <v>26.456286354004213</v>
      </c>
      <c r="CS56" s="17">
        <f t="shared" si="76"/>
        <v>1.3358849907018683E-2</v>
      </c>
      <c r="CT56" s="18">
        <f t="shared" si="77"/>
        <v>0.20848069627751056</v>
      </c>
      <c r="CU56" s="19">
        <f t="shared" si="105"/>
        <v>889.16340118627818</v>
      </c>
      <c r="CV56" s="15">
        <f t="shared" si="78"/>
        <v>5.2783268023725568E-6</v>
      </c>
      <c r="CW56" s="16">
        <f t="shared" si="79"/>
        <v>26.114379113642197</v>
      </c>
      <c r="CX56" s="17">
        <f t="shared" si="80"/>
        <v>1.3210034421152371E-2</v>
      </c>
      <c r="CY56" s="18">
        <f t="shared" si="81"/>
        <v>0.21121026756935712</v>
      </c>
      <c r="CZ56" s="20">
        <f t="shared" si="106"/>
        <v>796.42761179365039</v>
      </c>
      <c r="DA56" s="15">
        <f t="shared" si="82"/>
        <v>5.092855223587302E-6</v>
      </c>
      <c r="DB56" s="16">
        <f t="shared" si="83"/>
        <v>25.047917535626979</v>
      </c>
      <c r="DC56" s="17">
        <f t="shared" si="84"/>
        <v>1.2745855897989046E-2</v>
      </c>
      <c r="DD56" s="18">
        <f t="shared" si="85"/>
        <v>0.22020293671738717</v>
      </c>
    </row>
    <row r="57" spans="2:108" x14ac:dyDescent="0.25">
      <c r="B57">
        <v>38</v>
      </c>
      <c r="C57">
        <f t="shared" si="86"/>
        <v>3.7149357321119555E-2</v>
      </c>
      <c r="D57" s="19">
        <f t="shared" si="3"/>
        <v>1019.3915088933135</v>
      </c>
      <c r="E57" s="15">
        <f t="shared" si="4"/>
        <v>5.5387830177866276E-6</v>
      </c>
      <c r="F57" s="16">
        <f t="shared" si="5"/>
        <v>27.612002352273102</v>
      </c>
      <c r="G57" s="17">
        <f t="shared" si="1"/>
        <v>1.386187651044408E-2</v>
      </c>
      <c r="H57" s="18">
        <f t="shared" si="6"/>
        <v>0.1997546186485073</v>
      </c>
      <c r="I57" s="19">
        <f t="shared" si="87"/>
        <v>1019.0706486955146</v>
      </c>
      <c r="J57" s="15">
        <f t="shared" si="7"/>
        <v>5.53814129739103E-6</v>
      </c>
      <c r="K57" s="16">
        <f t="shared" si="8"/>
        <v>27.608312459998416</v>
      </c>
      <c r="L57" s="17">
        <f t="shared" si="9"/>
        <v>1.3860270480951781E-2</v>
      </c>
      <c r="M57" s="18">
        <f t="shared" si="10"/>
        <v>0.19978131615221209</v>
      </c>
      <c r="N57" s="19">
        <f t="shared" si="88"/>
        <v>1018.168243317028</v>
      </c>
      <c r="O57" s="15">
        <f t="shared" si="11"/>
        <v>5.5363364866340569E-6</v>
      </c>
      <c r="P57" s="16">
        <f t="shared" si="12"/>
        <v>27.597934798145822</v>
      </c>
      <c r="Q57" s="17">
        <f t="shared" si="2"/>
        <v>1.386187651044408E-2</v>
      </c>
      <c r="R57" s="18">
        <f t="shared" si="13"/>
        <v>0.19985643999603078</v>
      </c>
      <c r="S57" s="19">
        <f t="shared" si="89"/>
        <v>1016.6680144599586</v>
      </c>
      <c r="T57" s="15">
        <f t="shared" si="14"/>
        <v>5.5333360289199174E-6</v>
      </c>
      <c r="U57" s="16">
        <f t="shared" si="15"/>
        <v>27.580682166289524</v>
      </c>
      <c r="V57" s="17">
        <f t="shared" si="16"/>
        <v>1.3848244366563081E-2</v>
      </c>
      <c r="W57" s="18">
        <f t="shared" si="17"/>
        <v>0.19998145683073315</v>
      </c>
      <c r="X57" s="19">
        <f t="shared" si="90"/>
        <v>1014.5684794467984</v>
      </c>
      <c r="Y57" s="15">
        <f t="shared" si="18"/>
        <v>5.5291369588935975E-6</v>
      </c>
      <c r="Z57" s="16">
        <f t="shared" si="19"/>
        <v>27.556537513638183</v>
      </c>
      <c r="AA57" s="17">
        <f t="shared" si="20"/>
        <v>1.3837735381109665E-2</v>
      </c>
      <c r="AB57" s="18">
        <f t="shared" si="21"/>
        <v>0.20015667778545207</v>
      </c>
      <c r="AC57" s="19">
        <f t="shared" si="91"/>
        <v>1011.8689876157507</v>
      </c>
      <c r="AD57" s="15">
        <f t="shared" si="22"/>
        <v>5.5237379752315021E-6</v>
      </c>
      <c r="AE57" s="16">
        <f t="shared" si="23"/>
        <v>27.525493357581134</v>
      </c>
      <c r="AF57" s="17">
        <f t="shared" si="24"/>
        <v>1.382422337954442E-2</v>
      </c>
      <c r="AG57" s="18">
        <f t="shared" si="25"/>
        <v>0.20038242106497517</v>
      </c>
      <c r="AH57" s="19">
        <f t="shared" si="92"/>
        <v>1008.5696089882121</v>
      </c>
      <c r="AI57" s="15">
        <f t="shared" si="26"/>
        <v>5.5171392179764244E-6</v>
      </c>
      <c r="AJ57" s="16">
        <f t="shared" si="27"/>
        <v>27.487550503364439</v>
      </c>
      <c r="AK57" s="17">
        <f t="shared" si="28"/>
        <v>1.3807708712351548E-2</v>
      </c>
      <c r="AL57" s="18">
        <f t="shared" si="29"/>
        <v>0.20065902195704544</v>
      </c>
      <c r="AM57" s="19">
        <f t="shared" si="93"/>
        <v>1004.6703633414251</v>
      </c>
      <c r="AN57" s="15">
        <f t="shared" si="30"/>
        <v>5.5093407266828505E-6</v>
      </c>
      <c r="AO57" s="16">
        <f t="shared" si="31"/>
        <v>27.442709178426387</v>
      </c>
      <c r="AP57" s="17">
        <f t="shared" si="32"/>
        <v>1.3788191478523802E-2</v>
      </c>
      <c r="AQ57" s="18">
        <f t="shared" si="33"/>
        <v>0.20098689834661126</v>
      </c>
      <c r="AR57" s="19">
        <f t="shared" si="94"/>
        <v>1000.1712539883479</v>
      </c>
      <c r="AS57" s="15">
        <f t="shared" si="34"/>
        <v>5.5003425079766966E-6</v>
      </c>
      <c r="AT57" s="16">
        <f t="shared" si="35"/>
        <v>27.390969420866</v>
      </c>
      <c r="AU57" s="17">
        <f t="shared" si="36"/>
        <v>1.3765671694643818E-2</v>
      </c>
      <c r="AV57" s="18">
        <f t="shared" si="37"/>
        <v>0.2013665495094995</v>
      </c>
      <c r="AW57" s="19">
        <f t="shared" si="95"/>
        <v>995.07228137318384</v>
      </c>
      <c r="AX57" s="15">
        <f t="shared" si="38"/>
        <v>5.4901445627463688E-6</v>
      </c>
      <c r="AY57" s="16">
        <f t="shared" si="39"/>
        <v>27.332331235791614</v>
      </c>
      <c r="AZ57" s="17">
        <f t="shared" si="40"/>
        <v>1.3740149362935007E-2</v>
      </c>
      <c r="BA57" s="18">
        <f t="shared" si="41"/>
        <v>0.20179855689650447</v>
      </c>
      <c r="BB57" s="19">
        <f t="shared" si="96"/>
        <v>989.37344557191489</v>
      </c>
      <c r="BC57" s="15">
        <f t="shared" si="42"/>
        <v>5.478746891143831E-6</v>
      </c>
      <c r="BD57" s="16">
        <f t="shared" si="43"/>
        <v>27.266794624077022</v>
      </c>
      <c r="BE57" s="17">
        <f t="shared" si="44"/>
        <v>1.3711624483777688E-2</v>
      </c>
      <c r="BF57" s="18">
        <f t="shared" si="45"/>
        <v>0.20228358617296416</v>
      </c>
      <c r="BG57" s="19">
        <f t="shared" si="97"/>
        <v>983.07474659469335</v>
      </c>
      <c r="BH57" s="15">
        <f t="shared" si="46"/>
        <v>5.4661494931893872E-6</v>
      </c>
      <c r="BI57" s="16">
        <f t="shared" si="47"/>
        <v>27.194359585838974</v>
      </c>
      <c r="BJ57" s="17">
        <f t="shared" si="48"/>
        <v>1.3680097057222677E-2</v>
      </c>
      <c r="BK57" s="18">
        <f t="shared" si="49"/>
        <v>0.20282238978968908</v>
      </c>
      <c r="BL57" s="19">
        <f t="shared" si="98"/>
        <v>976.17618400537856</v>
      </c>
      <c r="BM57" s="15">
        <f t="shared" si="50"/>
        <v>5.452352368010757E-6</v>
      </c>
      <c r="BN57" s="16">
        <f t="shared" si="51"/>
        <v>27.115026116061852</v>
      </c>
      <c r="BO57" s="17">
        <f t="shared" si="52"/>
        <v>1.3645567081086919E-2</v>
      </c>
      <c r="BP57" s="18">
        <f t="shared" si="53"/>
        <v>0.20341580997898304</v>
      </c>
      <c r="BQ57" s="19">
        <f t="shared" si="99"/>
        <v>968.67774855626476</v>
      </c>
      <c r="BR57" s="15">
        <f t="shared" si="54"/>
        <v>5.4373554971125297E-6</v>
      </c>
      <c r="BS57" s="16">
        <f t="shared" si="55"/>
        <v>27.028794108397044</v>
      </c>
      <c r="BT57" s="17">
        <f t="shared" si="56"/>
        <v>1.3608034509082073E-2</v>
      </c>
      <c r="BU57" s="18">
        <f t="shared" si="57"/>
        <v>0.20406478283418716</v>
      </c>
      <c r="BV57" s="19">
        <f t="shared" si="100"/>
        <v>960.57927721049543</v>
      </c>
      <c r="BW57" s="15">
        <f t="shared" si="58"/>
        <v>5.4211585544209915E-6</v>
      </c>
      <c r="BX57" s="16">
        <f t="shared" si="59"/>
        <v>26.935661687920696</v>
      </c>
      <c r="BY57" s="17">
        <f t="shared" si="60"/>
        <v>1.3567498525145556E-2</v>
      </c>
      <c r="BZ57" s="18">
        <f t="shared" si="61"/>
        <v>0.20477035477741701</v>
      </c>
      <c r="CA57" s="19">
        <f t="shared" si="101"/>
        <v>951.87832841699299</v>
      </c>
      <c r="CB57" s="15">
        <f t="shared" si="62"/>
        <v>5.4037566568339862E-6</v>
      </c>
      <c r="CC57" s="16">
        <f t="shared" si="63"/>
        <v>26.835600776795417</v>
      </c>
      <c r="CD57" s="17">
        <f t="shared" si="64"/>
        <v>1.3523946908369123E-2</v>
      </c>
      <c r="CE57" s="18">
        <f t="shared" si="65"/>
        <v>0.20553387441839305</v>
      </c>
      <c r="CF57" s="19">
        <f t="shared" si="102"/>
        <v>942.54445047700142</v>
      </c>
      <c r="CG57" s="15">
        <f t="shared" si="66"/>
        <v>5.3850889009540033E-6</v>
      </c>
      <c r="CH57" s="16">
        <f t="shared" si="67"/>
        <v>26.728261180485518</v>
      </c>
      <c r="CI57" s="17">
        <f t="shared" si="68"/>
        <v>1.3477227236212901E-2</v>
      </c>
      <c r="CJ57" s="18">
        <f t="shared" si="69"/>
        <v>0.20635928999477882</v>
      </c>
      <c r="CK57" s="19">
        <f t="shared" si="103"/>
        <v>932.27048443501724</v>
      </c>
      <c r="CL57" s="15">
        <f t="shared" si="70"/>
        <v>5.3645409688700354E-6</v>
      </c>
      <c r="CM57" s="16">
        <f t="shared" si="71"/>
        <v>26.6101105710027</v>
      </c>
      <c r="CN57" s="17">
        <f t="shared" si="72"/>
        <v>1.3425802059205917E-2</v>
      </c>
      <c r="CO57" s="18">
        <f t="shared" si="73"/>
        <v>0.20727553856955525</v>
      </c>
      <c r="CP57" s="19">
        <f t="shared" si="104"/>
        <v>918.65949260880586</v>
      </c>
      <c r="CQ57" s="15">
        <f t="shared" si="74"/>
        <v>5.3373189852176124E-6</v>
      </c>
      <c r="CR57" s="16">
        <f t="shared" si="75"/>
        <v>26.453584165001267</v>
      </c>
      <c r="CS57" s="17">
        <f t="shared" si="76"/>
        <v>1.335767377641393E-2</v>
      </c>
      <c r="CT57" s="18">
        <f t="shared" si="77"/>
        <v>0.20850199222898896</v>
      </c>
      <c r="CU57" s="19">
        <f t="shared" si="105"/>
        <v>888.27875535262206</v>
      </c>
      <c r="CV57" s="15">
        <f t="shared" si="78"/>
        <v>5.2765575107052445E-6</v>
      </c>
      <c r="CW57" s="16">
        <f t="shared" si="79"/>
        <v>26.104205686555154</v>
      </c>
      <c r="CX57" s="17">
        <f t="shared" si="80"/>
        <v>1.3205606426315873E-2</v>
      </c>
      <c r="CY57" s="18">
        <f t="shared" si="81"/>
        <v>0.21129258121195377</v>
      </c>
      <c r="CZ57" s="20">
        <f t="shared" si="106"/>
        <v>794.67955348527619</v>
      </c>
      <c r="DA57" s="15">
        <f t="shared" si="82"/>
        <v>5.0893591069705528E-6</v>
      </c>
      <c r="DB57" s="16">
        <f t="shared" si="83"/>
        <v>25.027814865080675</v>
      </c>
      <c r="DC57" s="17">
        <f t="shared" si="84"/>
        <v>1.2737106189496791E-2</v>
      </c>
      <c r="DD57" s="18">
        <f t="shared" si="85"/>
        <v>0.22037980661649828</v>
      </c>
    </row>
    <row r="58" spans="2:108" x14ac:dyDescent="0.25">
      <c r="B58">
        <v>39</v>
      </c>
      <c r="C58">
        <f t="shared" si="86"/>
        <v>3.8126971987464807E-2</v>
      </c>
      <c r="D58" s="19">
        <f t="shared" si="3"/>
        <v>1019.375127392492</v>
      </c>
      <c r="E58" s="15">
        <f t="shared" si="4"/>
        <v>5.538750254784984E-6</v>
      </c>
      <c r="F58" s="16">
        <f t="shared" si="5"/>
        <v>27.61181396501366</v>
      </c>
      <c r="G58" s="17">
        <f t="shared" si="1"/>
        <v>1.3861794514691324E-2</v>
      </c>
      <c r="H58" s="18">
        <f t="shared" si="6"/>
        <v>0.19975598151533003</v>
      </c>
      <c r="I58" s="19">
        <f t="shared" si="87"/>
        <v>1019.0541091076913</v>
      </c>
      <c r="J58" s="15">
        <f t="shared" si="7"/>
        <v>5.538108218215383E-6</v>
      </c>
      <c r="K58" s="16">
        <f t="shared" si="8"/>
        <v>27.608122254738447</v>
      </c>
      <c r="L58" s="17">
        <f t="shared" si="9"/>
        <v>1.3860187693912387E-2</v>
      </c>
      <c r="M58" s="18">
        <f t="shared" si="10"/>
        <v>0.19978269253908931</v>
      </c>
      <c r="N58" s="19">
        <f t="shared" si="88"/>
        <v>1018.1516321310409</v>
      </c>
      <c r="O58" s="15">
        <f t="shared" si="11"/>
        <v>5.5363032642620828E-6</v>
      </c>
      <c r="P58" s="16">
        <f t="shared" si="12"/>
        <v>27.59774376950697</v>
      </c>
      <c r="Q58" s="17">
        <f t="shared" si="2"/>
        <v>1.3861794514691324E-2</v>
      </c>
      <c r="R58" s="18">
        <f t="shared" si="13"/>
        <v>0.19985782338099214</v>
      </c>
      <c r="S58" s="19">
        <f t="shared" si="89"/>
        <v>1016.6513904699931</v>
      </c>
      <c r="T58" s="15">
        <f t="shared" si="14"/>
        <v>5.5333027809399867E-6</v>
      </c>
      <c r="U58" s="16">
        <f t="shared" si="15"/>
        <v>27.580490990404918</v>
      </c>
      <c r="V58" s="17">
        <f t="shared" si="16"/>
        <v>1.3848161157058296E-2</v>
      </c>
      <c r="W58" s="18">
        <f t="shared" si="17"/>
        <v>0.19998284301460956</v>
      </c>
      <c r="X58" s="19">
        <f t="shared" si="90"/>
        <v>1014.5518639359551</v>
      </c>
      <c r="Y58" s="15">
        <f t="shared" si="18"/>
        <v>5.5291037278719101E-6</v>
      </c>
      <c r="Z58" s="16">
        <f t="shared" si="19"/>
        <v>27.556346435263485</v>
      </c>
      <c r="AA58" s="17">
        <f t="shared" si="20"/>
        <v>1.3837652214046165E-2</v>
      </c>
      <c r="AB58" s="18">
        <f t="shared" si="21"/>
        <v>0.2001580656912387</v>
      </c>
      <c r="AC58" s="19">
        <f t="shared" si="91"/>
        <v>1011.8523855625848</v>
      </c>
      <c r="AD58" s="15">
        <f t="shared" si="22"/>
        <v>5.5237047711251701E-6</v>
      </c>
      <c r="AE58" s="16">
        <f t="shared" si="23"/>
        <v>27.525302433969724</v>
      </c>
      <c r="AF58" s="17">
        <f t="shared" si="24"/>
        <v>1.382414027984181E-2</v>
      </c>
      <c r="AG58" s="18">
        <f t="shared" si="25"/>
        <v>0.20038381097651509</v>
      </c>
      <c r="AH58" s="19">
        <f t="shared" si="92"/>
        <v>1008.5530234430729</v>
      </c>
      <c r="AI58" s="15">
        <f t="shared" si="26"/>
        <v>5.5171060468861466E-6</v>
      </c>
      <c r="AJ58" s="16">
        <f t="shared" si="27"/>
        <v>27.487359769595336</v>
      </c>
      <c r="AK58" s="17">
        <f t="shared" si="28"/>
        <v>1.3807625695278002E-2</v>
      </c>
      <c r="AL58" s="18">
        <f t="shared" si="29"/>
        <v>0.20066041432255027</v>
      </c>
      <c r="AM58" s="19">
        <f t="shared" si="93"/>
        <v>1004.6537976948794</v>
      </c>
      <c r="AN58" s="15">
        <f t="shared" si="30"/>
        <v>5.5093075953897593E-6</v>
      </c>
      <c r="AO58" s="16">
        <f t="shared" si="31"/>
        <v>27.442518673491112</v>
      </c>
      <c r="AP58" s="17">
        <f t="shared" si="32"/>
        <v>1.3788108561050417E-2</v>
      </c>
      <c r="AQ58" s="18">
        <f t="shared" si="33"/>
        <v>0.20098829359012066</v>
      </c>
      <c r="AR58" s="19">
        <f t="shared" si="94"/>
        <v>1000.1547117963087</v>
      </c>
      <c r="AS58" s="15">
        <f t="shared" si="34"/>
        <v>5.5003094235926178E-6</v>
      </c>
      <c r="AT58" s="16">
        <f t="shared" si="35"/>
        <v>27.39077918565755</v>
      </c>
      <c r="AU58" s="17">
        <f t="shared" si="36"/>
        <v>1.3765588894569315E-2</v>
      </c>
      <c r="AV58" s="18">
        <f t="shared" si="37"/>
        <v>0.20136794804611144</v>
      </c>
      <c r="AW58" s="19">
        <f t="shared" si="95"/>
        <v>995.05576622585852</v>
      </c>
      <c r="AX58" s="15">
        <f t="shared" si="38"/>
        <v>5.4901115324517177E-6</v>
      </c>
      <c r="AY58" s="16">
        <f t="shared" si="39"/>
        <v>27.332141311597372</v>
      </c>
      <c r="AZ58" s="17">
        <f t="shared" si="40"/>
        <v>1.3740066698229768E-2</v>
      </c>
      <c r="BA58" s="18">
        <f t="shared" si="41"/>
        <v>0.20179995914405913</v>
      </c>
      <c r="BB58" s="19">
        <f t="shared" si="96"/>
        <v>989.35696106546391</v>
      </c>
      <c r="BC58" s="15">
        <f t="shared" si="42"/>
        <v>5.4787139221309285E-6</v>
      </c>
      <c r="BD58" s="16">
        <f t="shared" si="43"/>
        <v>27.266605052252835</v>
      </c>
      <c r="BE58" s="17">
        <f t="shared" si="44"/>
        <v>1.3711541972441886E-2</v>
      </c>
      <c r="BF58" s="18">
        <f t="shared" si="45"/>
        <v>0.20228499255518007</v>
      </c>
      <c r="BG58" s="19">
        <f t="shared" si="97"/>
        <v>983.05829632114876</v>
      </c>
      <c r="BH58" s="15">
        <f t="shared" si="46"/>
        <v>5.4661165926422976E-6</v>
      </c>
      <c r="BI58" s="16">
        <f t="shared" si="47"/>
        <v>27.19417040769321</v>
      </c>
      <c r="BJ58" s="17">
        <f t="shared" si="48"/>
        <v>1.368001471723582E-2</v>
      </c>
      <c r="BK58" s="18">
        <f t="shared" si="49"/>
        <v>0.20282380073780937</v>
      </c>
      <c r="BL58" s="19">
        <f t="shared" si="98"/>
        <v>976.15977143811767</v>
      </c>
      <c r="BM58" s="15">
        <f t="shared" si="50"/>
        <v>5.4523195428762355E-6</v>
      </c>
      <c r="BN58" s="16">
        <f t="shared" si="51"/>
        <v>27.11483737153835</v>
      </c>
      <c r="BO58" s="17">
        <f t="shared" si="52"/>
        <v>1.364548492983461E-2</v>
      </c>
      <c r="BP58" s="18">
        <f t="shared" si="53"/>
        <v>0.20341722594248673</v>
      </c>
      <c r="BQ58" s="19">
        <f t="shared" si="99"/>
        <v>968.66137510791725</v>
      </c>
      <c r="BR58" s="15">
        <f t="shared" si="54"/>
        <v>5.4373227502158352E-6</v>
      </c>
      <c r="BS58" s="16">
        <f t="shared" si="55"/>
        <v>27.028605813741045</v>
      </c>
      <c r="BT58" s="17">
        <f t="shared" si="56"/>
        <v>1.360795255363507E-2</v>
      </c>
      <c r="BU58" s="18">
        <f t="shared" si="57"/>
        <v>0.20406620445054244</v>
      </c>
      <c r="BV58" s="19">
        <f t="shared" si="100"/>
        <v>960.56291423625123</v>
      </c>
      <c r="BW58" s="15">
        <f t="shared" si="58"/>
        <v>5.4211258284725035E-6</v>
      </c>
      <c r="BX58" s="16">
        <f t="shared" si="59"/>
        <v>26.935473513716886</v>
      </c>
      <c r="BY58" s="17">
        <f t="shared" si="60"/>
        <v>1.3567416622125496E-2</v>
      </c>
      <c r="BZ58" s="18">
        <f t="shared" si="61"/>
        <v>0.20477178532581464</v>
      </c>
      <c r="CA58" s="19">
        <f t="shared" si="101"/>
        <v>951.86158500330362</v>
      </c>
      <c r="CB58" s="15">
        <f t="shared" si="62"/>
        <v>5.4037231700066081E-6</v>
      </c>
      <c r="CC58" s="16">
        <f t="shared" si="63"/>
        <v>26.835408227537989</v>
      </c>
      <c r="CD58" s="17">
        <f t="shared" si="64"/>
        <v>1.3523863101102374E-2</v>
      </c>
      <c r="CE58" s="18">
        <f t="shared" si="65"/>
        <v>0.20553534916379509</v>
      </c>
      <c r="CF58" s="19">
        <f t="shared" si="102"/>
        <v>942.52345017302832</v>
      </c>
      <c r="CG58" s="15">
        <f t="shared" si="66"/>
        <v>5.3850469003460574E-6</v>
      </c>
      <c r="CH58" s="16">
        <f t="shared" si="67"/>
        <v>26.728019676989824</v>
      </c>
      <c r="CI58" s="17">
        <f t="shared" si="68"/>
        <v>1.3477122121562473E-2</v>
      </c>
      <c r="CJ58" s="18">
        <f t="shared" si="69"/>
        <v>0.20636115457324383</v>
      </c>
      <c r="CK58" s="19">
        <f t="shared" si="103"/>
        <v>932.21604326941042</v>
      </c>
      <c r="CL58" s="15">
        <f t="shared" si="70"/>
        <v>5.3644320865388218E-6</v>
      </c>
      <c r="CM58" s="16">
        <f t="shared" si="71"/>
        <v>26.609484497598217</v>
      </c>
      <c r="CN58" s="17">
        <f t="shared" si="72"/>
        <v>1.3425529560098333E-2</v>
      </c>
      <c r="CO58" s="18">
        <f t="shared" si="73"/>
        <v>0.2072804153909048</v>
      </c>
      <c r="CP58" s="19">
        <f t="shared" si="104"/>
        <v>918.41794399973173</v>
      </c>
      <c r="CQ58" s="15">
        <f t="shared" si="74"/>
        <v>5.3368358879994639E-6</v>
      </c>
      <c r="CR58" s="16">
        <f t="shared" si="75"/>
        <v>26.450806355996914</v>
      </c>
      <c r="CS58" s="17">
        <f t="shared" si="76"/>
        <v>1.3356464732124056E-2</v>
      </c>
      <c r="CT58" s="18">
        <f t="shared" si="77"/>
        <v>0.20852388867719718</v>
      </c>
      <c r="CU58" s="19">
        <f t="shared" si="105"/>
        <v>887.39080295740314</v>
      </c>
      <c r="CV58" s="15">
        <f t="shared" si="78"/>
        <v>5.2747816059148066E-6</v>
      </c>
      <c r="CW58" s="16">
        <f t="shared" si="79"/>
        <v>26.093994234010136</v>
      </c>
      <c r="CX58" s="17">
        <f t="shared" si="80"/>
        <v>1.3201161880858812E-2</v>
      </c>
      <c r="CY58" s="18">
        <f t="shared" si="81"/>
        <v>0.21137526706475232</v>
      </c>
      <c r="CZ58" s="20">
        <f t="shared" si="106"/>
        <v>792.96274927960212</v>
      </c>
      <c r="DA58" s="15">
        <f t="shared" si="82"/>
        <v>5.0859254985592042E-6</v>
      </c>
      <c r="DB58" s="16">
        <f t="shared" si="83"/>
        <v>25.008071616715423</v>
      </c>
      <c r="DC58" s="17">
        <f t="shared" si="84"/>
        <v>1.2728512919886754E-2</v>
      </c>
      <c r="DD58" s="18">
        <f t="shared" si="85"/>
        <v>0.22055379097336519</v>
      </c>
    </row>
    <row r="59" spans="2:108" x14ac:dyDescent="0.25">
      <c r="B59">
        <v>40</v>
      </c>
      <c r="C59">
        <f t="shared" si="86"/>
        <v>3.9104586653810058E-2</v>
      </c>
      <c r="D59" s="19">
        <f t="shared" si="3"/>
        <v>1019.3587378205468</v>
      </c>
      <c r="E59" s="15">
        <f t="shared" si="4"/>
        <v>5.5387174756410947E-6</v>
      </c>
      <c r="F59" s="16">
        <f t="shared" si="5"/>
        <v>27.611625484936287</v>
      </c>
      <c r="G59" s="17">
        <f t="shared" si="1"/>
        <v>1.3861712478539474E-2</v>
      </c>
      <c r="H59" s="18">
        <f t="shared" si="6"/>
        <v>0.19975734507224457</v>
      </c>
      <c r="I59" s="19">
        <f t="shared" si="87"/>
        <v>1019.0375692247202</v>
      </c>
      <c r="J59" s="15">
        <f t="shared" si="7"/>
        <v>5.5380751384494405E-6</v>
      </c>
      <c r="K59" s="16">
        <f t="shared" si="8"/>
        <v>27.607932046084279</v>
      </c>
      <c r="L59" s="17">
        <f t="shared" si="9"/>
        <v>1.3860104905395666E-2</v>
      </c>
      <c r="M59" s="18">
        <f t="shared" si="10"/>
        <v>0.1997840689694938</v>
      </c>
      <c r="N59" s="19">
        <f t="shared" si="88"/>
        <v>1018.1350215667122</v>
      </c>
      <c r="O59" s="15">
        <f t="shared" si="11"/>
        <v>5.5362700431334243E-6</v>
      </c>
      <c r="P59" s="16">
        <f t="shared" si="12"/>
        <v>27.59755274801719</v>
      </c>
      <c r="Q59" s="17">
        <f t="shared" si="2"/>
        <v>1.3861712478539474E-2</v>
      </c>
      <c r="R59" s="18">
        <f t="shared" si="13"/>
        <v>0.19985920673333193</v>
      </c>
      <c r="S59" s="19">
        <f t="shared" si="89"/>
        <v>1016.6347668634394</v>
      </c>
      <c r="T59" s="15">
        <f t="shared" si="14"/>
        <v>5.53326953372688E-6</v>
      </c>
      <c r="U59" s="16">
        <f t="shared" si="15"/>
        <v>27.580299818929554</v>
      </c>
      <c r="V59" s="17">
        <f t="shared" si="16"/>
        <v>1.3848077949472638E-2</v>
      </c>
      <c r="W59" s="18">
        <f t="shared" si="17"/>
        <v>0.19998422918573161</v>
      </c>
      <c r="X59" s="19">
        <f t="shared" si="90"/>
        <v>1014.5352486318634</v>
      </c>
      <c r="Y59" s="15">
        <f t="shared" si="18"/>
        <v>5.5290704972637273E-6</v>
      </c>
      <c r="Z59" s="16">
        <f t="shared" si="19"/>
        <v>27.556155359266427</v>
      </c>
      <c r="AA59" s="17">
        <f t="shared" si="20"/>
        <v>1.3837569048017541E-2</v>
      </c>
      <c r="AB59" s="18">
        <f t="shared" si="21"/>
        <v>0.20015945359900278</v>
      </c>
      <c r="AC59" s="19">
        <f t="shared" si="91"/>
        <v>1011.835783692874</v>
      </c>
      <c r="AD59" s="15">
        <f t="shared" si="22"/>
        <v>5.523671567385749E-6</v>
      </c>
      <c r="AE59" s="16">
        <f t="shared" si="23"/>
        <v>27.525111512468051</v>
      </c>
      <c r="AF59" s="17">
        <f t="shared" si="24"/>
        <v>1.3824057181057461E-2</v>
      </c>
      <c r="AG59" s="18">
        <f t="shared" si="25"/>
        <v>0.20038520089197775</v>
      </c>
      <c r="AH59" s="19">
        <f t="shared" si="92"/>
        <v>1008.5364380864437</v>
      </c>
      <c r="AI59" s="15">
        <f t="shared" si="26"/>
        <v>5.5170728761728874E-6</v>
      </c>
      <c r="AJ59" s="16">
        <f t="shared" si="27"/>
        <v>27.4871690379941</v>
      </c>
      <c r="AK59" s="17">
        <f t="shared" si="28"/>
        <v>1.3807542679148016E-2</v>
      </c>
      <c r="AL59" s="18">
        <f t="shared" si="29"/>
        <v>0.20066180669155254</v>
      </c>
      <c r="AM59" s="19">
        <f t="shared" si="93"/>
        <v>1004.6372322397875</v>
      </c>
      <c r="AN59" s="15">
        <f t="shared" si="30"/>
        <v>5.5092744644795761E-6</v>
      </c>
      <c r="AO59" s="16">
        <f t="shared" si="31"/>
        <v>27.442328170757555</v>
      </c>
      <c r="AP59" s="17">
        <f t="shared" si="32"/>
        <v>1.3788025644535334E-2</v>
      </c>
      <c r="AQ59" s="18">
        <f t="shared" si="33"/>
        <v>0.2009896888368761</v>
      </c>
      <c r="AR59" s="19">
        <f t="shared" si="94"/>
        <v>1000.1381697967677</v>
      </c>
      <c r="AS59" s="15">
        <f t="shared" si="34"/>
        <v>5.5002763395935358E-6</v>
      </c>
      <c r="AT59" s="16">
        <f t="shared" si="35"/>
        <v>27.390588952662828</v>
      </c>
      <c r="AU59" s="17">
        <f t="shared" si="36"/>
        <v>1.3765506095458343E-2</v>
      </c>
      <c r="AV59" s="18">
        <f t="shared" si="37"/>
        <v>0.20136934658587499</v>
      </c>
      <c r="AW59" s="19">
        <f t="shared" si="95"/>
        <v>995.03925127148875</v>
      </c>
      <c r="AX59" s="15">
        <f t="shared" si="38"/>
        <v>5.4900785025429781E-6</v>
      </c>
      <c r="AY59" s="16">
        <f t="shared" si="39"/>
        <v>27.33195138962212</v>
      </c>
      <c r="AZ59" s="17">
        <f t="shared" si="40"/>
        <v>1.3739984034490345E-2</v>
      </c>
      <c r="BA59" s="18">
        <f t="shared" si="41"/>
        <v>0.20180136139471808</v>
      </c>
      <c r="BB59" s="19">
        <f t="shared" si="96"/>
        <v>989.3404767521107</v>
      </c>
      <c r="BC59" s="15">
        <f t="shared" si="42"/>
        <v>5.4786809535042213E-6</v>
      </c>
      <c r="BD59" s="16">
        <f t="shared" si="43"/>
        <v>27.266415482649272</v>
      </c>
      <c r="BE59" s="17">
        <f t="shared" si="44"/>
        <v>1.371145946207261E-2</v>
      </c>
      <c r="BF59" s="18">
        <f t="shared" si="45"/>
        <v>0.2022863989404774</v>
      </c>
      <c r="BG59" s="19">
        <f t="shared" si="97"/>
        <v>983.04184623905621</v>
      </c>
      <c r="BH59" s="15">
        <f t="shared" si="46"/>
        <v>5.4660836924781135E-6</v>
      </c>
      <c r="BI59" s="16">
        <f t="shared" si="47"/>
        <v>27.193981231749145</v>
      </c>
      <c r="BJ59" s="17">
        <f t="shared" si="48"/>
        <v>1.3679932378207259E-2</v>
      </c>
      <c r="BK59" s="18">
        <f t="shared" si="49"/>
        <v>0.20282521168913925</v>
      </c>
      <c r="BL59" s="19">
        <f t="shared" si="98"/>
        <v>976.14335903275764</v>
      </c>
      <c r="BM59" s="15">
        <f t="shared" si="50"/>
        <v>5.4522867180655161E-6</v>
      </c>
      <c r="BN59" s="16">
        <f t="shared" si="51"/>
        <v>27.114648628876711</v>
      </c>
      <c r="BO59" s="17">
        <f t="shared" si="52"/>
        <v>1.364540277939268E-2</v>
      </c>
      <c r="BP59" s="18">
        <f t="shared" si="53"/>
        <v>0.20341864191173545</v>
      </c>
      <c r="BQ59" s="19">
        <f t="shared" si="99"/>
        <v>968.64500139330096</v>
      </c>
      <c r="BR59" s="15">
        <f t="shared" si="54"/>
        <v>5.4372900027866026E-6</v>
      </c>
      <c r="BS59" s="16">
        <f t="shared" si="55"/>
        <v>27.028417516022962</v>
      </c>
      <c r="BT59" s="17">
        <f t="shared" si="56"/>
        <v>1.3607870596855283E-2</v>
      </c>
      <c r="BU59" s="18">
        <f t="shared" si="57"/>
        <v>0.20406762610982429</v>
      </c>
      <c r="BV59" s="19">
        <f t="shared" si="100"/>
        <v>960.546545861254</v>
      </c>
      <c r="BW59" s="15">
        <f t="shared" si="58"/>
        <v>5.4210930917225082E-6</v>
      </c>
      <c r="BX59" s="16">
        <f t="shared" si="59"/>
        <v>26.935285277404418</v>
      </c>
      <c r="BY59" s="17">
        <f t="shared" si="60"/>
        <v>1.3567334692072568E-2</v>
      </c>
      <c r="BZ59" s="18">
        <f t="shared" si="61"/>
        <v>0.2047732163663761</v>
      </c>
      <c r="CA59" s="19">
        <f t="shared" si="101"/>
        <v>951.84478700041052</v>
      </c>
      <c r="CB59" s="15">
        <f t="shared" si="62"/>
        <v>5.4036895740008217E-6</v>
      </c>
      <c r="CC59" s="16">
        <f t="shared" si="63"/>
        <v>26.835215050504722</v>
      </c>
      <c r="CD59" s="17">
        <f t="shared" si="64"/>
        <v>1.3523779020595525E-2</v>
      </c>
      <c r="CE59" s="18">
        <f t="shared" si="65"/>
        <v>0.20553682873863391</v>
      </c>
      <c r="CF59" s="19">
        <f t="shared" si="102"/>
        <v>942.50203939028665</v>
      </c>
      <c r="CG59" s="15">
        <f t="shared" si="66"/>
        <v>5.3850040787805738E-6</v>
      </c>
      <c r="CH59" s="16">
        <f t="shared" si="67"/>
        <v>26.727773452988295</v>
      </c>
      <c r="CI59" s="17">
        <f t="shared" si="68"/>
        <v>1.3477014952306915E-2</v>
      </c>
      <c r="CJ59" s="18">
        <f t="shared" si="69"/>
        <v>0.20636305563205551</v>
      </c>
      <c r="CK59" s="19">
        <f t="shared" si="103"/>
        <v>932.15944414834235</v>
      </c>
      <c r="CL59" s="15">
        <f t="shared" si="70"/>
        <v>5.3643188882966847E-6</v>
      </c>
      <c r="CM59" s="16">
        <f t="shared" si="71"/>
        <v>26.608833607705936</v>
      </c>
      <c r="CN59" s="17">
        <f t="shared" si="72"/>
        <v>1.3425246259588335E-2</v>
      </c>
      <c r="CO59" s="18">
        <f t="shared" si="73"/>
        <v>0.20728548576449707</v>
      </c>
      <c r="CP59" s="19">
        <f t="shared" si="104"/>
        <v>918.16992348528845</v>
      </c>
      <c r="CQ59" s="15">
        <f t="shared" si="74"/>
        <v>5.3363398469705777E-6</v>
      </c>
      <c r="CR59" s="16">
        <f t="shared" si="75"/>
        <v>26.447954120080816</v>
      </c>
      <c r="CS59" s="17">
        <f t="shared" si="76"/>
        <v>1.3355223293442589E-2</v>
      </c>
      <c r="CT59" s="18">
        <f t="shared" si="77"/>
        <v>0.20854637659145886</v>
      </c>
      <c r="CU59" s="19">
        <f t="shared" si="105"/>
        <v>886.49997797691651</v>
      </c>
      <c r="CV59" s="15">
        <f t="shared" si="78"/>
        <v>5.2729999559538329E-6</v>
      </c>
      <c r="CW59" s="16">
        <f t="shared" si="79"/>
        <v>26.08374974673454</v>
      </c>
      <c r="CX59" s="17">
        <f t="shared" si="80"/>
        <v>1.319670295700053E-2</v>
      </c>
      <c r="CY59" s="18">
        <f t="shared" si="81"/>
        <v>0.21145828546720008</v>
      </c>
      <c r="CZ59" s="20">
        <f t="shared" si="106"/>
        <v>791.27609898621722</v>
      </c>
      <c r="DA59" s="15">
        <f t="shared" si="82"/>
        <v>5.0825521979724349E-6</v>
      </c>
      <c r="DB59" s="16">
        <f t="shared" si="83"/>
        <v>24.988675138341499</v>
      </c>
      <c r="DC59" s="17">
        <f t="shared" si="84"/>
        <v>1.2720070582280054E-2</v>
      </c>
      <c r="DD59" s="18">
        <f t="shared" si="85"/>
        <v>0.22072498719778358</v>
      </c>
    </row>
    <row r="60" spans="2:108" x14ac:dyDescent="0.25">
      <c r="B60">
        <v>41</v>
      </c>
      <c r="C60">
        <f t="shared" si="86"/>
        <v>4.008220132015531E-2</v>
      </c>
      <c r="D60" s="19">
        <f t="shared" si="3"/>
        <v>1019.34234057448</v>
      </c>
      <c r="E60" s="15">
        <f t="shared" si="4"/>
        <v>5.5386846811489599E-6</v>
      </c>
      <c r="F60" s="16">
        <f t="shared" si="5"/>
        <v>27.611436916606518</v>
      </c>
      <c r="G60" s="17">
        <f t="shared" si="1"/>
        <v>1.3861630403975669E-2</v>
      </c>
      <c r="H60" s="18">
        <f t="shared" si="6"/>
        <v>0.19975870928624881</v>
      </c>
      <c r="I60" s="19">
        <f t="shared" si="87"/>
        <v>1019.0210290118206</v>
      </c>
      <c r="J60" s="15">
        <f t="shared" si="7"/>
        <v>5.5380420580236416E-6</v>
      </c>
      <c r="K60" s="16">
        <f t="shared" si="8"/>
        <v>27.607741833635934</v>
      </c>
      <c r="L60" s="17">
        <f t="shared" si="9"/>
        <v>1.3860022115227525E-2</v>
      </c>
      <c r="M60" s="18">
        <f t="shared" si="10"/>
        <v>0.19978544544632151</v>
      </c>
      <c r="N60" s="19">
        <f t="shared" si="88"/>
        <v>1018.11841161038</v>
      </c>
      <c r="O60" s="15">
        <f t="shared" si="11"/>
        <v>5.5362368232207612E-6</v>
      </c>
      <c r="P60" s="16">
        <f t="shared" si="12"/>
        <v>27.597361733519371</v>
      </c>
      <c r="Q60" s="17">
        <f t="shared" si="2"/>
        <v>1.3861630403975669E-2</v>
      </c>
      <c r="R60" s="18">
        <f t="shared" si="13"/>
        <v>0.19986059005418619</v>
      </c>
      <c r="S60" s="19">
        <f t="shared" si="89"/>
        <v>1016.6181436402353</v>
      </c>
      <c r="T60" s="15">
        <f t="shared" si="14"/>
        <v>5.5332362872804711E-6</v>
      </c>
      <c r="U60" s="16">
        <f t="shared" si="15"/>
        <v>27.580108651862705</v>
      </c>
      <c r="V60" s="17">
        <f t="shared" si="16"/>
        <v>1.3847994743805787E-2</v>
      </c>
      <c r="W60" s="18">
        <f t="shared" si="17"/>
        <v>0.19998561534410364</v>
      </c>
      <c r="X60" s="19">
        <f t="shared" si="90"/>
        <v>1014.5186335362973</v>
      </c>
      <c r="Y60" s="15">
        <f t="shared" si="18"/>
        <v>5.5290372670725955E-6</v>
      </c>
      <c r="Z60" s="16">
        <f t="shared" si="19"/>
        <v>27.555964285667418</v>
      </c>
      <c r="AA60" s="17">
        <f t="shared" si="20"/>
        <v>1.3837485883032668E-2</v>
      </c>
      <c r="AB60" s="18">
        <f t="shared" si="21"/>
        <v>0.20016084150859573</v>
      </c>
      <c r="AC60" s="19">
        <f t="shared" si="91"/>
        <v>1011.8191820069831</v>
      </c>
      <c r="AD60" s="15">
        <f t="shared" si="22"/>
        <v>5.5236383640139665E-6</v>
      </c>
      <c r="AE60" s="16">
        <f t="shared" si="23"/>
        <v>27.524920593080303</v>
      </c>
      <c r="AF60" s="17">
        <f t="shared" si="24"/>
        <v>1.3823974083193202E-2</v>
      </c>
      <c r="AG60" s="18">
        <f t="shared" si="25"/>
        <v>0.20038659081133242</v>
      </c>
      <c r="AH60" s="19">
        <f t="shared" si="92"/>
        <v>1008.5198529183023</v>
      </c>
      <c r="AI60" s="15">
        <f t="shared" si="26"/>
        <v>5.5170397058366053E-6</v>
      </c>
      <c r="AJ60" s="16">
        <f t="shared" si="27"/>
        <v>27.486978308560474</v>
      </c>
      <c r="AK60" s="17">
        <f t="shared" si="28"/>
        <v>1.3807459663961491E-2</v>
      </c>
      <c r="AL60" s="18">
        <f t="shared" si="29"/>
        <v>0.20066319906405383</v>
      </c>
      <c r="AM60" s="19">
        <f t="shared" si="93"/>
        <v>1004.620666976125</v>
      </c>
      <c r="AN60" s="15">
        <f t="shared" si="30"/>
        <v>5.5092413339522501E-6</v>
      </c>
      <c r="AO60" s="16">
        <f t="shared" si="31"/>
        <v>27.442137670225435</v>
      </c>
      <c r="AP60" s="17">
        <f t="shared" si="32"/>
        <v>1.3787942728978424E-2</v>
      </c>
      <c r="AQ60" s="18">
        <f t="shared" si="33"/>
        <v>0.20099108408687935</v>
      </c>
      <c r="AR60" s="19">
        <f t="shared" si="94"/>
        <v>1000.1216279897158</v>
      </c>
      <c r="AS60" s="15">
        <f t="shared" si="34"/>
        <v>5.500243255979432E-6</v>
      </c>
      <c r="AT60" s="16">
        <f t="shared" si="35"/>
        <v>27.390398721881731</v>
      </c>
      <c r="AU60" s="17">
        <f t="shared" si="36"/>
        <v>1.3765423297310854E-2</v>
      </c>
      <c r="AV60" s="18">
        <f t="shared" si="37"/>
        <v>0.20137074512879069</v>
      </c>
      <c r="AW60" s="19">
        <f t="shared" si="95"/>
        <v>995.0227365100684</v>
      </c>
      <c r="AX60" s="15">
        <f t="shared" si="38"/>
        <v>5.4900454730201374E-6</v>
      </c>
      <c r="AY60" s="16">
        <f t="shared" si="39"/>
        <v>27.331761469865786</v>
      </c>
      <c r="AZ60" s="17">
        <f t="shared" si="40"/>
        <v>1.3739901371716708E-2</v>
      </c>
      <c r="BA60" s="18">
        <f t="shared" si="41"/>
        <v>0.20180276364848157</v>
      </c>
      <c r="BB60" s="19">
        <f t="shared" si="96"/>
        <v>989.3239926318272</v>
      </c>
      <c r="BC60" s="15">
        <f t="shared" si="42"/>
        <v>5.4786479852636545E-6</v>
      </c>
      <c r="BD60" s="16">
        <f t="shared" si="43"/>
        <v>27.266225915266013</v>
      </c>
      <c r="BE60" s="17">
        <f t="shared" si="44"/>
        <v>1.3711376952669725E-2</v>
      </c>
      <c r="BF60" s="18">
        <f t="shared" si="45"/>
        <v>0.20228780532885821</v>
      </c>
      <c r="BG60" s="19">
        <f t="shared" si="97"/>
        <v>983.02539634801121</v>
      </c>
      <c r="BH60" s="15">
        <f t="shared" si="46"/>
        <v>5.4660507926960225E-6</v>
      </c>
      <c r="BI60" s="16">
        <f t="shared" si="47"/>
        <v>27.193792058002128</v>
      </c>
      <c r="BJ60" s="17">
        <f t="shared" si="48"/>
        <v>1.367985004013496E-2</v>
      </c>
      <c r="BK60" s="18">
        <f t="shared" si="49"/>
        <v>0.20282662264371309</v>
      </c>
      <c r="BL60" s="19">
        <f t="shared" si="98"/>
        <v>976.12694678358264</v>
      </c>
      <c r="BM60" s="15">
        <f t="shared" si="50"/>
        <v>5.4522538935671663E-6</v>
      </c>
      <c r="BN60" s="16">
        <f t="shared" si="51"/>
        <v>27.114459888011197</v>
      </c>
      <c r="BO60" s="17">
        <f t="shared" si="52"/>
        <v>1.3645320629732515E-2</v>
      </c>
      <c r="BP60" s="18">
        <f t="shared" si="53"/>
        <v>0.20342005788722212</v>
      </c>
      <c r="BQ60" s="19">
        <f t="shared" si="99"/>
        <v>968.62862734528096</v>
      </c>
      <c r="BR60" s="15">
        <f t="shared" si="54"/>
        <v>5.4372572546905628E-6</v>
      </c>
      <c r="BS60" s="16">
        <f t="shared" si="55"/>
        <v>27.028229214470731</v>
      </c>
      <c r="BT60" s="17">
        <f t="shared" si="56"/>
        <v>1.3607788638406688E-2</v>
      </c>
      <c r="BU60" s="18">
        <f t="shared" si="57"/>
        <v>0.20406904781786339</v>
      </c>
      <c r="BV60" s="19">
        <f t="shared" si="100"/>
        <v>960.53017145969454</v>
      </c>
      <c r="BW60" s="15">
        <f t="shared" si="58"/>
        <v>5.4210603429193899E-6</v>
      </c>
      <c r="BX60" s="16">
        <f t="shared" si="59"/>
        <v>26.935096971786486</v>
      </c>
      <c r="BY60" s="17">
        <f t="shared" si="60"/>
        <v>1.3567252731854371E-2</v>
      </c>
      <c r="BZ60" s="18">
        <f t="shared" si="61"/>
        <v>0.20477464795383557</v>
      </c>
      <c r="CA60" s="19">
        <f t="shared" si="101"/>
        <v>951.82793006472696</v>
      </c>
      <c r="CB60" s="15">
        <f t="shared" si="62"/>
        <v>5.4036558601294537E-6</v>
      </c>
      <c r="CC60" s="16">
        <f t="shared" si="63"/>
        <v>26.835021195744361</v>
      </c>
      <c r="CD60" s="17">
        <f t="shared" si="64"/>
        <v>1.3523694645107248E-2</v>
      </c>
      <c r="CE60" s="18">
        <f t="shared" si="65"/>
        <v>0.20553831352571084</v>
      </c>
      <c r="CF60" s="19">
        <f t="shared" si="102"/>
        <v>942.48019842604367</v>
      </c>
      <c r="CG60" s="15">
        <f t="shared" si="66"/>
        <v>5.3849603968520881E-6</v>
      </c>
      <c r="CH60" s="16">
        <f t="shared" si="67"/>
        <v>26.727522281899503</v>
      </c>
      <c r="CI60" s="17">
        <f t="shared" si="68"/>
        <v>1.3476905629826423E-2</v>
      </c>
      <c r="CJ60" s="18">
        <f t="shared" si="69"/>
        <v>0.20636499492267971</v>
      </c>
      <c r="CK60" s="19">
        <f t="shared" si="103"/>
        <v>932.10065012478458</v>
      </c>
      <c r="CL60" s="15">
        <f t="shared" si="70"/>
        <v>5.3642013002495701E-6</v>
      </c>
      <c r="CM60" s="16">
        <f t="shared" si="71"/>
        <v>26.608157476435021</v>
      </c>
      <c r="CN60" s="17">
        <f t="shared" si="72"/>
        <v>1.3424951972741753E-2</v>
      </c>
      <c r="CO60" s="18">
        <f t="shared" si="73"/>
        <v>0.20729075302883343</v>
      </c>
      <c r="CP60" s="19">
        <f t="shared" si="104"/>
        <v>917.9155375158698</v>
      </c>
      <c r="CQ60" s="15">
        <f t="shared" si="74"/>
        <v>5.33583107503174E-6</v>
      </c>
      <c r="CR60" s="16">
        <f t="shared" si="75"/>
        <v>26.445028681432504</v>
      </c>
      <c r="CS60" s="17">
        <f t="shared" si="76"/>
        <v>1.3353949993194954E-2</v>
      </c>
      <c r="CT60" s="18">
        <f t="shared" si="77"/>
        <v>0.20856944669803335</v>
      </c>
      <c r="CU60" s="19">
        <f t="shared" si="105"/>
        <v>885.60668893293303</v>
      </c>
      <c r="CV60" s="15">
        <f t="shared" si="78"/>
        <v>5.2712133778658669E-6</v>
      </c>
      <c r="CW60" s="16">
        <f t="shared" si="79"/>
        <v>26.07347692272873</v>
      </c>
      <c r="CX60" s="17">
        <f t="shared" si="80"/>
        <v>1.3192231699550631E-2</v>
      </c>
      <c r="CY60" s="18">
        <f t="shared" si="81"/>
        <v>0.21154159901059946</v>
      </c>
      <c r="CZ60" s="20">
        <f t="shared" si="106"/>
        <v>789.61855020374583</v>
      </c>
      <c r="DA60" s="15">
        <f t="shared" si="82"/>
        <v>5.0792371004074922E-6</v>
      </c>
      <c r="DB60" s="16">
        <f t="shared" si="83"/>
        <v>24.969613327343076</v>
      </c>
      <c r="DC60" s="17">
        <f t="shared" si="84"/>
        <v>1.271177390900043E-2</v>
      </c>
      <c r="DD60" s="18">
        <f t="shared" si="85"/>
        <v>0.22089348872535775</v>
      </c>
    </row>
    <row r="61" spans="2:108" x14ac:dyDescent="0.25">
      <c r="B61">
        <v>42</v>
      </c>
      <c r="C61">
        <f t="shared" si="86"/>
        <v>4.1059815986500561E-2</v>
      </c>
      <c r="D61" s="19">
        <f t="shared" si="3"/>
        <v>1019.3259360292489</v>
      </c>
      <c r="E61" s="15">
        <f t="shared" si="4"/>
        <v>5.5386518720584986E-6</v>
      </c>
      <c r="F61" s="16">
        <f t="shared" si="5"/>
        <v>27.611248264336361</v>
      </c>
      <c r="G61" s="17">
        <f t="shared" si="1"/>
        <v>1.3861548292876726E-2</v>
      </c>
      <c r="H61" s="18">
        <f t="shared" si="6"/>
        <v>0.19976007412617311</v>
      </c>
      <c r="I61" s="19">
        <f t="shared" si="87"/>
        <v>1019.004488437642</v>
      </c>
      <c r="J61" s="15">
        <f t="shared" si="7"/>
        <v>5.5380089768752846E-6</v>
      </c>
      <c r="K61" s="16">
        <f t="shared" si="8"/>
        <v>27.607551617032883</v>
      </c>
      <c r="L61" s="17">
        <f t="shared" si="9"/>
        <v>1.3859939323251042E-2</v>
      </c>
      <c r="M61" s="18">
        <f t="shared" si="10"/>
        <v>0.19978682197218295</v>
      </c>
      <c r="N61" s="19">
        <f t="shared" si="88"/>
        <v>1018.1018022483985</v>
      </c>
      <c r="O61" s="15">
        <f t="shared" si="11"/>
        <v>5.5362036044967979E-6</v>
      </c>
      <c r="P61" s="16">
        <f t="shared" si="12"/>
        <v>27.597170725856582</v>
      </c>
      <c r="Q61" s="17">
        <f t="shared" si="2"/>
        <v>1.3861548292876726E-2</v>
      </c>
      <c r="R61" s="18">
        <f t="shared" si="13"/>
        <v>0.19986197334468972</v>
      </c>
      <c r="S61" s="19">
        <f t="shared" si="89"/>
        <v>1016.6015208001891</v>
      </c>
      <c r="T61" s="15">
        <f t="shared" si="14"/>
        <v>5.5332030416003788E-6</v>
      </c>
      <c r="U61" s="16">
        <f t="shared" si="15"/>
        <v>27.579917489202174</v>
      </c>
      <c r="V61" s="17">
        <f t="shared" si="16"/>
        <v>1.3847911540056792E-2</v>
      </c>
      <c r="W61" s="18">
        <f t="shared" si="17"/>
        <v>0.19998700148974066</v>
      </c>
      <c r="X61" s="19">
        <f t="shared" si="90"/>
        <v>1014.5020186509869</v>
      </c>
      <c r="Y61" s="15">
        <f t="shared" si="18"/>
        <v>5.5290040373019741E-6</v>
      </c>
      <c r="Z61" s="16">
        <f t="shared" si="19"/>
        <v>27.555773214486351</v>
      </c>
      <c r="AA61" s="17">
        <f t="shared" si="20"/>
        <v>1.3837402719100205E-2</v>
      </c>
      <c r="AB61" s="18">
        <f t="shared" si="21"/>
        <v>0.20016222941987269</v>
      </c>
      <c r="AC61" s="19">
        <f t="shared" si="91"/>
        <v>1011.8025805052885</v>
      </c>
      <c r="AD61" s="15">
        <f t="shared" si="22"/>
        <v>5.5236051610105772E-6</v>
      </c>
      <c r="AE61" s="16">
        <f t="shared" si="23"/>
        <v>27.524729675810818</v>
      </c>
      <c r="AF61" s="17">
        <f t="shared" si="24"/>
        <v>1.3823890986250916E-2</v>
      </c>
      <c r="AG61" s="18">
        <f t="shared" si="25"/>
        <v>0.20038798073454728</v>
      </c>
      <c r="AH61" s="19">
        <f t="shared" si="92"/>
        <v>1008.5032679386314</v>
      </c>
      <c r="AI61" s="15">
        <f t="shared" si="26"/>
        <v>5.5170065358772631E-6</v>
      </c>
      <c r="AJ61" s="16">
        <f t="shared" si="27"/>
        <v>27.486787581294259</v>
      </c>
      <c r="AK61" s="17">
        <f t="shared" si="28"/>
        <v>1.3807376649718327E-2</v>
      </c>
      <c r="AL61" s="18">
        <f t="shared" si="29"/>
        <v>0.20066459144005536</v>
      </c>
      <c r="AM61" s="19">
        <f t="shared" si="93"/>
        <v>1004.6041019038676</v>
      </c>
      <c r="AN61" s="15">
        <f t="shared" si="30"/>
        <v>5.5092082038077365E-6</v>
      </c>
      <c r="AO61" s="16">
        <f t="shared" si="31"/>
        <v>27.441947171894476</v>
      </c>
      <c r="AP61" s="17">
        <f t="shared" si="32"/>
        <v>1.3787859814379575E-2</v>
      </c>
      <c r="AQ61" s="18">
        <f t="shared" si="33"/>
        <v>0.2009924793401322</v>
      </c>
      <c r="AR61" s="19">
        <f t="shared" si="94"/>
        <v>1000.1050863751439</v>
      </c>
      <c r="AS61" s="15">
        <f t="shared" si="34"/>
        <v>5.5002101727502886E-6</v>
      </c>
      <c r="AT61" s="16">
        <f t="shared" si="35"/>
        <v>27.390208493314155</v>
      </c>
      <c r="AU61" s="17">
        <f t="shared" si="36"/>
        <v>1.37653405001268E-2</v>
      </c>
      <c r="AV61" s="18">
        <f t="shared" si="37"/>
        <v>0.20137214367485895</v>
      </c>
      <c r="AW61" s="19">
        <f t="shared" si="95"/>
        <v>995.00622194159098</v>
      </c>
      <c r="AX61" s="15">
        <f t="shared" si="38"/>
        <v>5.4900124438831829E-6</v>
      </c>
      <c r="AY61" s="16">
        <f t="shared" si="39"/>
        <v>27.331571552328295</v>
      </c>
      <c r="AZ61" s="17">
        <f t="shared" si="40"/>
        <v>1.3739818709908827E-2</v>
      </c>
      <c r="BA61" s="18">
        <f t="shared" si="41"/>
        <v>0.20180416590534986</v>
      </c>
      <c r="BB61" s="19">
        <f t="shared" si="96"/>
        <v>989.30750870458053</v>
      </c>
      <c r="BC61" s="15">
        <f t="shared" si="42"/>
        <v>5.4786150174091619E-6</v>
      </c>
      <c r="BD61" s="16">
        <f t="shared" si="43"/>
        <v>27.266036350102674</v>
      </c>
      <c r="BE61" s="17">
        <f t="shared" si="44"/>
        <v>1.3711294444233068E-2</v>
      </c>
      <c r="BF61" s="18">
        <f t="shared" si="45"/>
        <v>0.2022892117203251</v>
      </c>
      <c r="BG61" s="19">
        <f t="shared" si="97"/>
        <v>983.00894664753832</v>
      </c>
      <c r="BH61" s="15">
        <f t="shared" si="46"/>
        <v>5.4660178932950777E-6</v>
      </c>
      <c r="BI61" s="16">
        <f t="shared" si="47"/>
        <v>27.193602886446691</v>
      </c>
      <c r="BJ61" s="17">
        <f t="shared" si="48"/>
        <v>1.3679767703016554E-2</v>
      </c>
      <c r="BK61" s="18">
        <f t="shared" si="49"/>
        <v>0.20282803360157145</v>
      </c>
      <c r="BL61" s="19">
        <f t="shared" si="98"/>
        <v>976.11053468407135</v>
      </c>
      <c r="BM61" s="15">
        <f t="shared" si="50"/>
        <v>5.4522210693681436E-6</v>
      </c>
      <c r="BN61" s="16">
        <f t="shared" si="51"/>
        <v>27.11427114886682</v>
      </c>
      <c r="BO61" s="17">
        <f t="shared" si="52"/>
        <v>1.3645238480821472E-2</v>
      </c>
      <c r="BP61" s="18">
        <f t="shared" si="53"/>
        <v>0.20342147386950923</v>
      </c>
      <c r="BQ61" s="19">
        <f t="shared" si="99"/>
        <v>968.61225288961259</v>
      </c>
      <c r="BR61" s="15">
        <f t="shared" si="54"/>
        <v>5.4372245057792259E-6</v>
      </c>
      <c r="BS61" s="16">
        <f t="shared" si="55"/>
        <v>27.028040908230544</v>
      </c>
      <c r="BT61" s="17">
        <f t="shared" si="56"/>
        <v>1.3607706677917651E-2</v>
      </c>
      <c r="BU61" s="18">
        <f t="shared" si="57"/>
        <v>0.20407046958110786</v>
      </c>
      <c r="BV61" s="19">
        <f t="shared" si="100"/>
        <v>960.51379036070875</v>
      </c>
      <c r="BW61" s="15">
        <f t="shared" si="58"/>
        <v>5.4210275807214179E-6</v>
      </c>
      <c r="BX61" s="16">
        <f t="shared" si="59"/>
        <v>26.934908589148151</v>
      </c>
      <c r="BY61" s="17">
        <f t="shared" si="60"/>
        <v>1.3567170738112958E-2</v>
      </c>
      <c r="BZ61" s="18">
        <f t="shared" si="61"/>
        <v>0.20477608014686929</v>
      </c>
      <c r="CA61" s="19">
        <f t="shared" si="101"/>
        <v>951.81100968618182</v>
      </c>
      <c r="CB61" s="15">
        <f t="shared" si="62"/>
        <v>5.4036220193723648E-6</v>
      </c>
      <c r="CC61" s="16">
        <f t="shared" si="63"/>
        <v>26.83482661139109</v>
      </c>
      <c r="CD61" s="17">
        <f t="shared" si="64"/>
        <v>1.3523609952062893E-2</v>
      </c>
      <c r="CE61" s="18">
        <f t="shared" si="65"/>
        <v>0.20553980392251453</v>
      </c>
      <c r="CF61" s="19">
        <f t="shared" si="102"/>
        <v>942.45790753872814</v>
      </c>
      <c r="CG61" s="15">
        <f t="shared" si="66"/>
        <v>5.3849158150774571E-6</v>
      </c>
      <c r="CH61" s="16">
        <f t="shared" si="67"/>
        <v>26.727265936695375</v>
      </c>
      <c r="CI61" s="17">
        <f t="shared" si="68"/>
        <v>1.3476794055306792E-2</v>
      </c>
      <c r="CJ61" s="18">
        <f t="shared" si="69"/>
        <v>0.20636697420020378</v>
      </c>
      <c r="CK61" s="19">
        <f t="shared" si="103"/>
        <v>932.03962646904824</v>
      </c>
      <c r="CL61" s="15">
        <f t="shared" si="70"/>
        <v>5.3640792529380972E-6</v>
      </c>
      <c r="CM61" s="16">
        <f t="shared" si="71"/>
        <v>26.607455704394056</v>
      </c>
      <c r="CN61" s="17">
        <f t="shared" si="72"/>
        <v>1.3424646525723043E-2</v>
      </c>
      <c r="CO61" s="18">
        <f t="shared" si="73"/>
        <v>0.20729622032553563</v>
      </c>
      <c r="CP61" s="19">
        <f t="shared" si="104"/>
        <v>917.6548948501769</v>
      </c>
      <c r="CQ61" s="15">
        <f t="shared" si="74"/>
        <v>5.3353097897003542E-6</v>
      </c>
      <c r="CR61" s="16">
        <f t="shared" si="75"/>
        <v>26.442031290777031</v>
      </c>
      <c r="CS61" s="17">
        <f t="shared" si="76"/>
        <v>1.3352645375760551E-2</v>
      </c>
      <c r="CT61" s="18">
        <f t="shared" si="77"/>
        <v>0.20859308951517078</v>
      </c>
      <c r="CU61" s="19">
        <f t="shared" si="105"/>
        <v>884.71132026503108</v>
      </c>
      <c r="CV61" s="15">
        <f t="shared" si="78"/>
        <v>5.2694226405300621E-6</v>
      </c>
      <c r="CW61" s="16">
        <f t="shared" si="79"/>
        <v>26.063180183047855</v>
      </c>
      <c r="CX61" s="17">
        <f t="shared" si="80"/>
        <v>1.3187750032778009E-2</v>
      </c>
      <c r="CY61" s="18">
        <f t="shared" si="81"/>
        <v>0.21162517241804207</v>
      </c>
      <c r="CZ61" s="20">
        <f t="shared" si="106"/>
        <v>787.98909606253017</v>
      </c>
      <c r="DA61" s="15">
        <f t="shared" si="82"/>
        <v>5.0759781921250609E-6</v>
      </c>
      <c r="DB61" s="16">
        <f t="shared" si="83"/>
        <v>24.950874604719097</v>
      </c>
      <c r="DC61" s="17">
        <f t="shared" si="84"/>
        <v>1.270361786027549E-2</v>
      </c>
      <c r="DD61" s="18">
        <f t="shared" si="85"/>
        <v>0.22105938518711482</v>
      </c>
    </row>
    <row r="62" spans="2:108" x14ac:dyDescent="0.25">
      <c r="B62">
        <v>43</v>
      </c>
      <c r="C62">
        <f t="shared" si="86"/>
        <v>4.2037430652845813E-2</v>
      </c>
      <c r="D62" s="19">
        <f t="shared" si="3"/>
        <v>1019.3095245390668</v>
      </c>
      <c r="E62" s="15">
        <f t="shared" si="4"/>
        <v>5.5386190490781343E-6</v>
      </c>
      <c r="F62" s="16">
        <f t="shared" si="5"/>
        <v>27.61105953219927</v>
      </c>
      <c r="G62" s="17">
        <f t="shared" si="1"/>
        <v>1.3861466147015614E-2</v>
      </c>
      <c r="H62" s="18">
        <f t="shared" si="6"/>
        <v>0.19976143956257192</v>
      </c>
      <c r="I62" s="19">
        <f t="shared" si="87"/>
        <v>1018.9879474740161</v>
      </c>
      <c r="J62" s="15">
        <f t="shared" si="7"/>
        <v>5.5379758949480325E-6</v>
      </c>
      <c r="K62" s="16">
        <f t="shared" si="8"/>
        <v>27.607361395951184</v>
      </c>
      <c r="L62" s="17">
        <f t="shared" si="9"/>
        <v>1.3859856529325225E-2</v>
      </c>
      <c r="M62" s="18">
        <f t="shared" si="10"/>
        <v>0.19978819854942406</v>
      </c>
      <c r="N62" s="19">
        <f t="shared" si="88"/>
        <v>1018.0851934671717</v>
      </c>
      <c r="O62" s="15">
        <f t="shared" si="11"/>
        <v>5.5361703869343447E-6</v>
      </c>
      <c r="P62" s="16">
        <f t="shared" si="12"/>
        <v>27.596979724872476</v>
      </c>
      <c r="Q62" s="17">
        <f t="shared" si="2"/>
        <v>1.3861466147015614E-2</v>
      </c>
      <c r="R62" s="18">
        <f t="shared" si="13"/>
        <v>0.19986335660597321</v>
      </c>
      <c r="S62" s="19">
        <f t="shared" si="89"/>
        <v>1016.5848983429823</v>
      </c>
      <c r="T62" s="15">
        <f t="shared" si="14"/>
        <v>5.5331697966859645E-6</v>
      </c>
      <c r="U62" s="16">
        <f t="shared" si="15"/>
        <v>27.579726330944297</v>
      </c>
      <c r="V62" s="17">
        <f t="shared" si="16"/>
        <v>1.3847828338224056E-2</v>
      </c>
      <c r="W62" s="18">
        <f t="shared" si="17"/>
        <v>0.19998838762266832</v>
      </c>
      <c r="X62" s="19">
        <f t="shared" si="90"/>
        <v>1014.4854039776174</v>
      </c>
      <c r="Y62" s="15">
        <f t="shared" si="18"/>
        <v>5.5289708079552351E-6</v>
      </c>
      <c r="Z62" s="16">
        <f t="shared" si="19"/>
        <v>27.555582145742598</v>
      </c>
      <c r="AA62" s="17">
        <f t="shared" si="20"/>
        <v>1.3837319556228588E-2</v>
      </c>
      <c r="AB62" s="18">
        <f t="shared" si="21"/>
        <v>0.20016361733269267</v>
      </c>
      <c r="AC62" s="19">
        <f t="shared" si="91"/>
        <v>1011.7859791881775</v>
      </c>
      <c r="AD62" s="15">
        <f t="shared" si="22"/>
        <v>5.5235719583763554E-6</v>
      </c>
      <c r="AE62" s="16">
        <f t="shared" si="23"/>
        <v>27.52453876066404</v>
      </c>
      <c r="AF62" s="17">
        <f t="shared" si="24"/>
        <v>1.3823807890232543E-2</v>
      </c>
      <c r="AG62" s="18">
        <f t="shared" si="25"/>
        <v>0.20038937066158974</v>
      </c>
      <c r="AH62" s="19">
        <f t="shared" si="92"/>
        <v>1008.4866831474187</v>
      </c>
      <c r="AI62" s="15">
        <f t="shared" si="26"/>
        <v>5.5169733662948378E-6</v>
      </c>
      <c r="AJ62" s="16">
        <f t="shared" si="27"/>
        <v>27.486596856195312</v>
      </c>
      <c r="AK62" s="17">
        <f t="shared" si="28"/>
        <v>1.3807293636418475E-2</v>
      </c>
      <c r="AL62" s="18">
        <f t="shared" si="29"/>
        <v>0.20066598381955791</v>
      </c>
      <c r="AM62" s="19">
        <f t="shared" si="93"/>
        <v>1004.5875370229911</v>
      </c>
      <c r="AN62" s="15">
        <f t="shared" si="30"/>
        <v>5.5091750740459826E-6</v>
      </c>
      <c r="AO62" s="16">
        <f t="shared" si="31"/>
        <v>27.441756675764395</v>
      </c>
      <c r="AP62" s="17">
        <f t="shared" si="32"/>
        <v>1.3787776900738661E-2</v>
      </c>
      <c r="AQ62" s="18">
        <f t="shared" si="33"/>
        <v>0.20099387459663645</v>
      </c>
      <c r="AR62" s="19">
        <f t="shared" si="94"/>
        <v>1000.0885449530424</v>
      </c>
      <c r="AS62" s="15">
        <f t="shared" si="34"/>
        <v>5.5001770899060852E-6</v>
      </c>
      <c r="AT62" s="16">
        <f t="shared" si="35"/>
        <v>27.390018266959984</v>
      </c>
      <c r="AU62" s="17">
        <f t="shared" si="36"/>
        <v>1.3765257703906134E-2</v>
      </c>
      <c r="AV62" s="18">
        <f t="shared" si="37"/>
        <v>0.20137354222408041</v>
      </c>
      <c r="AW62" s="19">
        <f t="shared" si="95"/>
        <v>994.98970756604945</v>
      </c>
      <c r="AX62" s="15">
        <f t="shared" si="38"/>
        <v>5.4899794151320994E-6</v>
      </c>
      <c r="AY62" s="16">
        <f t="shared" si="39"/>
        <v>27.331381637009567</v>
      </c>
      <c r="AZ62" s="17">
        <f t="shared" si="40"/>
        <v>1.3739736049066665E-2</v>
      </c>
      <c r="BA62" s="18">
        <f t="shared" si="41"/>
        <v>0.2018055681653233</v>
      </c>
      <c r="BB62" s="19">
        <f t="shared" si="96"/>
        <v>989.29102497033148</v>
      </c>
      <c r="BC62" s="15">
        <f t="shared" si="42"/>
        <v>5.4785820499406631E-6</v>
      </c>
      <c r="BD62" s="16">
        <f t="shared" si="43"/>
        <v>27.265846787158811</v>
      </c>
      <c r="BE62" s="17">
        <f t="shared" si="44"/>
        <v>1.3711211936762431E-2</v>
      </c>
      <c r="BF62" s="18">
        <f t="shared" si="45"/>
        <v>0.20229061811488108</v>
      </c>
      <c r="BG62" s="19">
        <f t="shared" si="97"/>
        <v>982.99249713708116</v>
      </c>
      <c r="BH62" s="15">
        <f t="shared" si="46"/>
        <v>5.4659849942741628E-6</v>
      </c>
      <c r="BI62" s="16">
        <f t="shared" si="47"/>
        <v>27.193413717076432</v>
      </c>
      <c r="BJ62" s="17">
        <f t="shared" si="48"/>
        <v>1.3679685366849246E-2</v>
      </c>
      <c r="BK62" s="18">
        <f t="shared" si="49"/>
        <v>0.20282944456276178</v>
      </c>
      <c r="BL62" s="19">
        <f t="shared" si="98"/>
        <v>976.09412272681686</v>
      </c>
      <c r="BM62" s="15">
        <f t="shared" si="50"/>
        <v>5.452188245453635E-6</v>
      </c>
      <c r="BN62" s="16">
        <f t="shared" si="51"/>
        <v>27.114082411358392</v>
      </c>
      <c r="BO62" s="17">
        <f t="shared" si="52"/>
        <v>1.3645156332622482E-2</v>
      </c>
      <c r="BP62" s="18">
        <f t="shared" si="53"/>
        <v>0.20342288985923576</v>
      </c>
      <c r="BQ62" s="19">
        <f t="shared" si="99"/>
        <v>968.59587794448737</v>
      </c>
      <c r="BR62" s="15">
        <f t="shared" si="54"/>
        <v>5.4371917558889755E-6</v>
      </c>
      <c r="BS62" s="16">
        <f t="shared" si="55"/>
        <v>27.027852596361605</v>
      </c>
      <c r="BT62" s="17">
        <f t="shared" si="56"/>
        <v>1.3607624714978695E-2</v>
      </c>
      <c r="BU62" s="18">
        <f t="shared" si="57"/>
        <v>0.20407189140666299</v>
      </c>
      <c r="BV62" s="19">
        <f t="shared" si="100"/>
        <v>960.49740184716552</v>
      </c>
      <c r="BW62" s="15">
        <f t="shared" si="58"/>
        <v>5.4209948036943317E-6</v>
      </c>
      <c r="BX62" s="16">
        <f t="shared" si="59"/>
        <v>26.934720121242403</v>
      </c>
      <c r="BY62" s="17">
        <f t="shared" si="60"/>
        <v>1.3567088707258819E-2</v>
      </c>
      <c r="BZ62" s="18">
        <f t="shared" si="61"/>
        <v>0.20477751300820213</v>
      </c>
      <c r="CA62" s="19">
        <f t="shared" si="101"/>
        <v>951.79402119160591</v>
      </c>
      <c r="CB62" s="15">
        <f t="shared" si="62"/>
        <v>5.403588042383212E-6</v>
      </c>
      <c r="CC62" s="16">
        <f t="shared" si="63"/>
        <v>26.83463124370347</v>
      </c>
      <c r="CD62" s="17">
        <f t="shared" si="64"/>
        <v>1.3523524918071435E-2</v>
      </c>
      <c r="CE62" s="18">
        <f t="shared" si="65"/>
        <v>0.20554130034092408</v>
      </c>
      <c r="CF62" s="19">
        <f t="shared" si="102"/>
        <v>942.43514697773116</v>
      </c>
      <c r="CG62" s="15">
        <f t="shared" si="66"/>
        <v>5.3848702939554629E-6</v>
      </c>
      <c r="CH62" s="16">
        <f t="shared" si="67"/>
        <v>26.727004190243907</v>
      </c>
      <c r="CI62" s="17">
        <f t="shared" si="68"/>
        <v>1.3476680129888579E-2</v>
      </c>
      <c r="CJ62" s="18">
        <f t="shared" si="69"/>
        <v>0.20636899522069724</v>
      </c>
      <c r="CK62" s="19">
        <f t="shared" si="103"/>
        <v>931.9763406405616</v>
      </c>
      <c r="CL62" s="15">
        <f t="shared" si="70"/>
        <v>5.3639526812811239E-6</v>
      </c>
      <c r="CM62" s="16">
        <f t="shared" si="71"/>
        <v>26.606727917366456</v>
      </c>
      <c r="CN62" s="17">
        <f t="shared" si="72"/>
        <v>1.3424329755654047E-2</v>
      </c>
      <c r="CO62" s="18">
        <f t="shared" si="73"/>
        <v>0.20730189060188423</v>
      </c>
      <c r="CP62" s="19">
        <f t="shared" si="104"/>
        <v>917.38810618927926</v>
      </c>
      <c r="CQ62" s="15">
        <f t="shared" si="74"/>
        <v>5.3347762123785583E-6</v>
      </c>
      <c r="CR62" s="16">
        <f t="shared" si="75"/>
        <v>26.43896322117671</v>
      </c>
      <c r="CS62" s="17">
        <f t="shared" si="76"/>
        <v>1.3351309995241084E-2</v>
      </c>
      <c r="CT62" s="18">
        <f t="shared" si="77"/>
        <v>0.20861729538555324</v>
      </c>
      <c r="CU62" s="19">
        <f t="shared" si="105"/>
        <v>883.81423363040153</v>
      </c>
      <c r="CV62" s="15">
        <f t="shared" si="78"/>
        <v>5.2676284672608034E-6</v>
      </c>
      <c r="CW62" s="16">
        <f t="shared" si="79"/>
        <v>26.052863686749618</v>
      </c>
      <c r="CX62" s="17">
        <f t="shared" si="80"/>
        <v>1.3183259766916909E-2</v>
      </c>
      <c r="CY62" s="18">
        <f t="shared" si="81"/>
        <v>0.21170897243074377</v>
      </c>
      <c r="CZ62" s="20">
        <f t="shared" si="106"/>
        <v>786.38677307764829</v>
      </c>
      <c r="DA62" s="15">
        <f t="shared" si="82"/>
        <v>5.0727735461552971E-6</v>
      </c>
      <c r="DB62" s="16">
        <f t="shared" si="83"/>
        <v>24.932447890392954</v>
      </c>
      <c r="DC62" s="17">
        <f t="shared" si="84"/>
        <v>1.2695597613490249E-2</v>
      </c>
      <c r="DD62" s="18">
        <f t="shared" si="85"/>
        <v>0.221222762572194</v>
      </c>
    </row>
    <row r="63" spans="2:108" x14ac:dyDescent="0.25">
      <c r="B63">
        <v>44</v>
      </c>
      <c r="C63">
        <f t="shared" si="86"/>
        <v>4.3015045319191064E-2</v>
      </c>
      <c r="D63" s="19">
        <f t="shared" si="3"/>
        <v>1019.2931064386249</v>
      </c>
      <c r="E63" s="15">
        <f t="shared" si="4"/>
        <v>5.5385862128772502E-6</v>
      </c>
      <c r="F63" s="16">
        <f t="shared" si="5"/>
        <v>27.610870724044187</v>
      </c>
      <c r="G63" s="17">
        <f t="shared" si="1"/>
        <v>1.3861383968067591E-2</v>
      </c>
      <c r="H63" s="18">
        <f t="shared" si="6"/>
        <v>0.19976280556762252</v>
      </c>
      <c r="I63" s="19">
        <f t="shared" si="87"/>
        <v>1018.9714060957267</v>
      </c>
      <c r="J63" s="15">
        <f t="shared" si="7"/>
        <v>5.5379428121914538E-6</v>
      </c>
      <c r="K63" s="16">
        <f t="shared" si="8"/>
        <v>27.607171170100855</v>
      </c>
      <c r="L63" s="17">
        <f t="shared" si="9"/>
        <v>1.3859773733323857E-2</v>
      </c>
      <c r="M63" s="18">
        <f t="shared" si="10"/>
        <v>0.19978957518014512</v>
      </c>
      <c r="N63" s="19">
        <f t="shared" si="88"/>
        <v>1018.0685852531824</v>
      </c>
      <c r="O63" s="15">
        <f t="shared" si="11"/>
        <v>5.5361371705063649E-6</v>
      </c>
      <c r="P63" s="16">
        <f t="shared" si="12"/>
        <v>27.596788730411596</v>
      </c>
      <c r="Q63" s="17">
        <f t="shared" si="2"/>
        <v>1.3861383968067591E-2</v>
      </c>
      <c r="R63" s="18">
        <f t="shared" si="13"/>
        <v>0.19986473983916087</v>
      </c>
      <c r="S63" s="19">
        <f t="shared" si="89"/>
        <v>1016.5682762681739</v>
      </c>
      <c r="T63" s="15">
        <f t="shared" si="14"/>
        <v>5.5331365525363481E-6</v>
      </c>
      <c r="U63" s="16">
        <f t="shared" si="15"/>
        <v>27.579535177083997</v>
      </c>
      <c r="V63" s="17">
        <f t="shared" si="16"/>
        <v>1.3847745138305374E-2</v>
      </c>
      <c r="W63" s="18">
        <f t="shared" si="17"/>
        <v>0.19998977374292248</v>
      </c>
      <c r="X63" s="19">
        <f t="shared" si="90"/>
        <v>1014.4687895178297</v>
      </c>
      <c r="Y63" s="15">
        <f t="shared" si="18"/>
        <v>5.5289375790356598E-6</v>
      </c>
      <c r="Z63" s="16">
        <f t="shared" si="19"/>
        <v>27.555391079455042</v>
      </c>
      <c r="AA63" s="17">
        <f t="shared" si="20"/>
        <v>1.3837236394426031E-2</v>
      </c>
      <c r="AB63" s="18">
        <f t="shared" si="21"/>
        <v>0.20016500524691816</v>
      </c>
      <c r="AC63" s="19">
        <f t="shared" si="91"/>
        <v>1011.7693780560477</v>
      </c>
      <c r="AD63" s="15">
        <f t="shared" si="22"/>
        <v>5.5235387561120956E-6</v>
      </c>
      <c r="AE63" s="16">
        <f t="shared" si="23"/>
        <v>27.524347847644549</v>
      </c>
      <c r="AF63" s="17">
        <f t="shared" si="24"/>
        <v>1.3823724795140074E-2</v>
      </c>
      <c r="AG63" s="18">
        <f t="shared" si="25"/>
        <v>0.20039076059242619</v>
      </c>
      <c r="AH63" s="19">
        <f t="shared" si="92"/>
        <v>1008.4700985446566</v>
      </c>
      <c r="AI63" s="15">
        <f t="shared" si="26"/>
        <v>5.5169401970893134E-6</v>
      </c>
      <c r="AJ63" s="16">
        <f t="shared" si="27"/>
        <v>27.48640613326355</v>
      </c>
      <c r="AK63" s="17">
        <f t="shared" si="28"/>
        <v>1.3807210624061888E-2</v>
      </c>
      <c r="AL63" s="18">
        <f t="shared" si="29"/>
        <v>0.20066737620256184</v>
      </c>
      <c r="AM63" s="19">
        <f t="shared" si="93"/>
        <v>1004.5709723334722</v>
      </c>
      <c r="AN63" s="15">
        <f t="shared" si="30"/>
        <v>5.5091419446669453E-6</v>
      </c>
      <c r="AO63" s="16">
        <f t="shared" si="31"/>
        <v>27.441566181834929</v>
      </c>
      <c r="AP63" s="17">
        <f t="shared" si="32"/>
        <v>1.3787693988055566E-2</v>
      </c>
      <c r="AQ63" s="18">
        <f t="shared" si="33"/>
        <v>0.20099526985639374</v>
      </c>
      <c r="AR63" s="19">
        <f t="shared" si="94"/>
        <v>1000.072003723402</v>
      </c>
      <c r="AS63" s="15">
        <f t="shared" si="34"/>
        <v>5.5001440074468041E-6</v>
      </c>
      <c r="AT63" s="16">
        <f t="shared" si="35"/>
        <v>27.389828042819122</v>
      </c>
      <c r="AU63" s="17">
        <f t="shared" si="36"/>
        <v>1.3765174908648809E-2</v>
      </c>
      <c r="AV63" s="18">
        <f t="shared" si="37"/>
        <v>0.20137494077645549</v>
      </c>
      <c r="AW63" s="19">
        <f t="shared" si="95"/>
        <v>994.97319338343652</v>
      </c>
      <c r="AX63" s="15">
        <f t="shared" si="38"/>
        <v>5.4899463867668741E-6</v>
      </c>
      <c r="AY63" s="16">
        <f t="shared" si="39"/>
        <v>27.331191723909519</v>
      </c>
      <c r="AZ63" s="17">
        <f t="shared" si="40"/>
        <v>1.3739653389190186E-2</v>
      </c>
      <c r="BA63" s="18">
        <f t="shared" si="41"/>
        <v>0.20180697042840223</v>
      </c>
      <c r="BB63" s="19">
        <f t="shared" si="96"/>
        <v>989.27454142903412</v>
      </c>
      <c r="BC63" s="15">
        <f t="shared" si="42"/>
        <v>5.4785490828580682E-6</v>
      </c>
      <c r="BD63" s="16">
        <f t="shared" si="43"/>
        <v>27.265657226433891</v>
      </c>
      <c r="BE63" s="17">
        <f t="shared" si="44"/>
        <v>1.3711129430257596E-2</v>
      </c>
      <c r="BF63" s="18">
        <f t="shared" si="45"/>
        <v>0.20229202451252981</v>
      </c>
      <c r="BG63" s="19">
        <f t="shared" si="97"/>
        <v>982.97604781599182</v>
      </c>
      <c r="BH63" s="15">
        <f t="shared" si="46"/>
        <v>5.4659520956319842E-6</v>
      </c>
      <c r="BI63" s="16">
        <f t="shared" si="47"/>
        <v>27.193224549883904</v>
      </c>
      <c r="BJ63" s="17">
        <f t="shared" si="48"/>
        <v>1.3679603031629798E-2</v>
      </c>
      <c r="BK63" s="18">
        <f t="shared" si="49"/>
        <v>0.20283085552733934</v>
      </c>
      <c r="BL63" s="19">
        <f t="shared" si="98"/>
        <v>976.07771090344193</v>
      </c>
      <c r="BM63" s="15">
        <f t="shared" si="50"/>
        <v>5.4521554218068845E-6</v>
      </c>
      <c r="BN63" s="16">
        <f t="shared" si="51"/>
        <v>27.113893675389583</v>
      </c>
      <c r="BO63" s="17">
        <f t="shared" si="52"/>
        <v>1.3645074185093609E-2</v>
      </c>
      <c r="BP63" s="18">
        <f t="shared" si="53"/>
        <v>0.20342430585712434</v>
      </c>
      <c r="BQ63" s="19">
        <f t="shared" si="99"/>
        <v>968.579502420072</v>
      </c>
      <c r="BR63" s="15">
        <f t="shared" si="54"/>
        <v>5.437159004840145E-6</v>
      </c>
      <c r="BS63" s="16">
        <f t="shared" si="55"/>
        <v>27.027664277830826</v>
      </c>
      <c r="BT63" s="17">
        <f t="shared" si="56"/>
        <v>1.3607542749140165E-2</v>
      </c>
      <c r="BU63" s="18">
        <f t="shared" si="57"/>
        <v>0.20407331330233136</v>
      </c>
      <c r="BV63" s="19">
        <f t="shared" si="100"/>
        <v>960.48100515452904</v>
      </c>
      <c r="BW63" s="15">
        <f t="shared" si="58"/>
        <v>5.4209620103090581E-6</v>
      </c>
      <c r="BX63" s="16">
        <f t="shared" si="59"/>
        <v>26.934531559277083</v>
      </c>
      <c r="BY63" s="17">
        <f t="shared" si="60"/>
        <v>1.3567006635465147E-2</v>
      </c>
      <c r="BZ63" s="18">
        <f t="shared" si="61"/>
        <v>0.20477894660470711</v>
      </c>
      <c r="CA63" s="19">
        <f t="shared" si="101"/>
        <v>951.77695974842857</v>
      </c>
      <c r="CB63" s="15">
        <f t="shared" si="62"/>
        <v>5.4035539194968573E-6</v>
      </c>
      <c r="CC63" s="16">
        <f t="shared" si="63"/>
        <v>26.834435037106928</v>
      </c>
      <c r="CD63" s="17">
        <f t="shared" si="64"/>
        <v>1.3523439518943988E-2</v>
      </c>
      <c r="CE63" s="18">
        <f t="shared" si="65"/>
        <v>0.20554280320688467</v>
      </c>
      <c r="CF63" s="19">
        <f t="shared" si="102"/>
        <v>942.41189701205133</v>
      </c>
      <c r="CG63" s="15">
        <f t="shared" si="66"/>
        <v>5.3848237940241034E-6</v>
      </c>
      <c r="CH63" s="16">
        <f t="shared" si="67"/>
        <v>26.726736815638588</v>
      </c>
      <c r="CI63" s="17">
        <f t="shared" si="68"/>
        <v>1.3476563754810482E-2</v>
      </c>
      <c r="CJ63" s="18">
        <f t="shared" si="69"/>
        <v>0.20637105973867517</v>
      </c>
      <c r="CK63" s="19">
        <f t="shared" si="103"/>
        <v>931.91076225572101</v>
      </c>
      <c r="CL63" s="15">
        <f t="shared" si="70"/>
        <v>5.3638215245114427E-6</v>
      </c>
      <c r="CM63" s="16">
        <f t="shared" si="71"/>
        <v>26.605973765940789</v>
      </c>
      <c r="CN63" s="17">
        <f t="shared" si="72"/>
        <v>1.3424001510453074E-2</v>
      </c>
      <c r="CO63" s="18">
        <f t="shared" si="73"/>
        <v>0.20730776661370459</v>
      </c>
      <c r="CP63" s="19">
        <f t="shared" si="104"/>
        <v>917.11528383805569</v>
      </c>
      <c r="CQ63" s="15">
        <f t="shared" si="74"/>
        <v>5.334230567676112E-6</v>
      </c>
      <c r="CR63" s="16">
        <f t="shared" si="75"/>
        <v>26.43582576413764</v>
      </c>
      <c r="CS63" s="17">
        <f t="shared" si="76"/>
        <v>1.3349944413765948E-2</v>
      </c>
      <c r="CT63" s="18">
        <f t="shared" si="77"/>
        <v>0.20864205450629034</v>
      </c>
      <c r="CU63" s="19">
        <f t="shared" si="105"/>
        <v>882.9157691349277</v>
      </c>
      <c r="CV63" s="15">
        <f t="shared" si="78"/>
        <v>5.2658315382698557E-6</v>
      </c>
      <c r="CW63" s="16">
        <f t="shared" si="79"/>
        <v>26.042531345051668</v>
      </c>
      <c r="CX63" s="17">
        <f t="shared" si="80"/>
        <v>1.3178762604328926E-2</v>
      </c>
      <c r="CY63" s="18">
        <f t="shared" si="81"/>
        <v>0.21179296770043141</v>
      </c>
      <c r="CZ63" s="20">
        <f t="shared" si="106"/>
        <v>784.81065910686073</v>
      </c>
      <c r="DA63" s="15">
        <f t="shared" si="82"/>
        <v>5.0696213182137218E-6</v>
      </c>
      <c r="DB63" s="16">
        <f t="shared" si="83"/>
        <v>24.914322579728896</v>
      </c>
      <c r="DC63" s="17">
        <f t="shared" si="84"/>
        <v>1.2687708552965839E-2</v>
      </c>
      <c r="DD63" s="18">
        <f t="shared" si="85"/>
        <v>0.22138370338383961</v>
      </c>
    </row>
    <row r="64" spans="2:108" x14ac:dyDescent="0.25">
      <c r="B64">
        <v>45</v>
      </c>
      <c r="C64">
        <f t="shared" si="86"/>
        <v>4.3992659985536316E-2</v>
      </c>
      <c r="D64" s="19">
        <f t="shared" si="3"/>
        <v>1019.2766820442389</v>
      </c>
      <c r="E64" s="15">
        <f t="shared" si="4"/>
        <v>5.5385533640884781E-6</v>
      </c>
      <c r="F64" s="16">
        <f t="shared" si="5"/>
        <v>27.610681843508747</v>
      </c>
      <c r="G64" s="17">
        <f t="shared" si="1"/>
        <v>1.3861301757615942E-2</v>
      </c>
      <c r="H64" s="18">
        <f t="shared" si="6"/>
        <v>0.19976417211502945</v>
      </c>
      <c r="I64" s="19">
        <f t="shared" si="87"/>
        <v>1018.9548642802936</v>
      </c>
      <c r="J64" s="15">
        <f t="shared" si="7"/>
        <v>5.5379097285605872E-6</v>
      </c>
      <c r="K64" s="16">
        <f t="shared" si="8"/>
        <v>27.606980939223376</v>
      </c>
      <c r="L64" s="17">
        <f t="shared" si="9"/>
        <v>1.3859690935134414E-2</v>
      </c>
      <c r="M64" s="18">
        <f t="shared" si="10"/>
        <v>0.1997909518662189</v>
      </c>
      <c r="N64" s="19">
        <f t="shared" si="88"/>
        <v>1018.0519775930187</v>
      </c>
      <c r="O64" s="15">
        <f t="shared" si="11"/>
        <v>5.5361039551860375E-6</v>
      </c>
      <c r="P64" s="16">
        <f t="shared" si="12"/>
        <v>27.596597742319716</v>
      </c>
      <c r="Q64" s="17">
        <f t="shared" si="2"/>
        <v>1.3861301757615942E-2</v>
      </c>
      <c r="R64" s="18">
        <f t="shared" si="13"/>
        <v>0.1998661230453681</v>
      </c>
      <c r="S64" s="19">
        <f t="shared" si="89"/>
        <v>1016.5516545752032</v>
      </c>
      <c r="T64" s="15">
        <f t="shared" si="14"/>
        <v>5.5331033091504073E-6</v>
      </c>
      <c r="U64" s="16">
        <f t="shared" si="15"/>
        <v>27.579344027614837</v>
      </c>
      <c r="V64" s="17">
        <f t="shared" si="16"/>
        <v>1.3847661940297937E-2</v>
      </c>
      <c r="W64" s="18">
        <f t="shared" si="17"/>
        <v>0.19999115985054891</v>
      </c>
      <c r="X64" s="19">
        <f t="shared" si="90"/>
        <v>1014.4521752732202</v>
      </c>
      <c r="Y64" s="15">
        <f t="shared" si="18"/>
        <v>5.5289043505464409E-6</v>
      </c>
      <c r="Z64" s="16">
        <f t="shared" si="19"/>
        <v>27.555200015642029</v>
      </c>
      <c r="AA64" s="17">
        <f t="shared" si="20"/>
        <v>1.3837153233700526E-2</v>
      </c>
      <c r="AB64" s="18">
        <f t="shared" si="21"/>
        <v>0.2001663931624155</v>
      </c>
      <c r="AC64" s="19">
        <f t="shared" si="91"/>
        <v>1011.7527771093055</v>
      </c>
      <c r="AD64" s="15">
        <f t="shared" si="22"/>
        <v>5.5235055542186118E-6</v>
      </c>
      <c r="AE64" s="16">
        <f t="shared" si="23"/>
        <v>27.524156936757013</v>
      </c>
      <c r="AF64" s="17">
        <f t="shared" si="24"/>
        <v>1.3823641700975541E-2</v>
      </c>
      <c r="AG64" s="18">
        <f t="shared" si="25"/>
        <v>0.20039215052702244</v>
      </c>
      <c r="AH64" s="19">
        <f t="shared" si="92"/>
        <v>1008.4535141303426</v>
      </c>
      <c r="AI64" s="15">
        <f t="shared" si="26"/>
        <v>5.5169070282606856E-6</v>
      </c>
      <c r="AJ64" s="16">
        <f t="shared" si="27"/>
        <v>27.48621541249894</v>
      </c>
      <c r="AK64" s="17">
        <f t="shared" si="28"/>
        <v>1.3807127612648558E-2</v>
      </c>
      <c r="AL64" s="18">
        <f t="shared" si="29"/>
        <v>0.20066876858906713</v>
      </c>
      <c r="AM64" s="19">
        <f t="shared" si="93"/>
        <v>1004.5544078352876</v>
      </c>
      <c r="AN64" s="15">
        <f t="shared" si="30"/>
        <v>5.5091088156705755E-6</v>
      </c>
      <c r="AO64" s="16">
        <f t="shared" si="31"/>
        <v>27.441375690105808</v>
      </c>
      <c r="AP64" s="17">
        <f t="shared" si="32"/>
        <v>1.378761107633017E-2</v>
      </c>
      <c r="AQ64" s="18">
        <f t="shared" si="33"/>
        <v>0.20099666511940578</v>
      </c>
      <c r="AR64" s="19">
        <f t="shared" si="94"/>
        <v>1000.0554626862129</v>
      </c>
      <c r="AS64" s="15">
        <f t="shared" si="34"/>
        <v>5.5001109253724266E-6</v>
      </c>
      <c r="AT64" s="16">
        <f t="shared" si="35"/>
        <v>27.389637820891448</v>
      </c>
      <c r="AU64" s="17">
        <f t="shared" si="36"/>
        <v>1.3765092114354782E-2</v>
      </c>
      <c r="AV64" s="18">
        <f t="shared" si="37"/>
        <v>0.20137633933198476</v>
      </c>
      <c r="AW64" s="19">
        <f t="shared" si="95"/>
        <v>994.95667939374403</v>
      </c>
      <c r="AX64" s="15">
        <f t="shared" si="38"/>
        <v>5.4899133587874892E-6</v>
      </c>
      <c r="AY64" s="16">
        <f t="shared" si="39"/>
        <v>27.331001813028056</v>
      </c>
      <c r="AZ64" s="17">
        <f t="shared" si="40"/>
        <v>1.3739570730279345E-2</v>
      </c>
      <c r="BA64" s="18">
        <f t="shared" si="41"/>
        <v>0.20180837269458704</v>
      </c>
      <c r="BB64" s="19">
        <f t="shared" si="96"/>
        <v>989.25805808063399</v>
      </c>
      <c r="BC64" s="15">
        <f t="shared" si="42"/>
        <v>5.478516116161268E-6</v>
      </c>
      <c r="BD64" s="16">
        <f t="shared" si="43"/>
        <v>27.26546766792729</v>
      </c>
      <c r="BE64" s="17">
        <f t="shared" si="44"/>
        <v>1.3711046924718286E-2</v>
      </c>
      <c r="BF64" s="18">
        <f t="shared" si="45"/>
        <v>0.20229343091327565</v>
      </c>
      <c r="BG64" s="19">
        <f t="shared" si="97"/>
        <v>982.95959868351963</v>
      </c>
      <c r="BH64" s="15">
        <f t="shared" si="46"/>
        <v>5.4659191973670394E-6</v>
      </c>
      <c r="BI64" s="16">
        <f t="shared" si="47"/>
        <v>27.193035384860472</v>
      </c>
      <c r="BJ64" s="17">
        <f t="shared" si="48"/>
        <v>1.3679520697354451E-2</v>
      </c>
      <c r="BK64" s="18">
        <f t="shared" si="49"/>
        <v>0.20283226649536831</v>
      </c>
      <c r="BL64" s="19">
        <f t="shared" si="98"/>
        <v>976.06129920451008</v>
      </c>
      <c r="BM64" s="15">
        <f t="shared" si="50"/>
        <v>5.4521225984090202E-6</v>
      </c>
      <c r="BN64" s="16">
        <f t="shared" si="51"/>
        <v>27.113704940851864</v>
      </c>
      <c r="BO64" s="17">
        <f t="shared" si="52"/>
        <v>1.3644992038187621E-2</v>
      </c>
      <c r="BP64" s="18">
        <f t="shared" si="53"/>
        <v>0.20342572186398916</v>
      </c>
      <c r="BQ64" s="19">
        <f t="shared" si="99"/>
        <v>968.56312621804307</v>
      </c>
      <c r="BR64" s="15">
        <f t="shared" si="54"/>
        <v>5.4371262524360864E-6</v>
      </c>
      <c r="BS64" s="16">
        <f t="shared" si="55"/>
        <v>27.027475951507494</v>
      </c>
      <c r="BT64" s="17">
        <f t="shared" si="56"/>
        <v>1.3607460779909918E-2</v>
      </c>
      <c r="BU64" s="18">
        <f t="shared" si="57"/>
        <v>0.20407473527665312</v>
      </c>
      <c r="BV64" s="19">
        <f t="shared" si="100"/>
        <v>960.46459946979871</v>
      </c>
      <c r="BW64" s="15">
        <f t="shared" si="58"/>
        <v>5.4209291989395979E-6</v>
      </c>
      <c r="BX64" s="16">
        <f t="shared" si="59"/>
        <v>26.934342893902684</v>
      </c>
      <c r="BY64" s="17">
        <f t="shared" si="60"/>
        <v>1.3566924518662569E-2</v>
      </c>
      <c r="BZ64" s="18">
        <f t="shared" si="61"/>
        <v>0.20478038100749846</v>
      </c>
      <c r="CA64" s="19">
        <f t="shared" si="101"/>
        <v>951.75982036866026</v>
      </c>
      <c r="CB64" s="15">
        <f t="shared" si="62"/>
        <v>5.4035196407373211E-6</v>
      </c>
      <c r="CC64" s="16">
        <f t="shared" si="63"/>
        <v>26.834237934239592</v>
      </c>
      <c r="CD64" s="17">
        <f t="shared" si="64"/>
        <v>1.3523353729713739E-2</v>
      </c>
      <c r="CE64" s="18">
        <f t="shared" si="65"/>
        <v>0.20554431296005787</v>
      </c>
      <c r="CF64" s="19">
        <f t="shared" si="102"/>
        <v>942.38813795776434</v>
      </c>
      <c r="CG64" s="15">
        <f t="shared" si="66"/>
        <v>5.3847762759155284E-6</v>
      </c>
      <c r="CH64" s="16">
        <f t="shared" si="67"/>
        <v>26.726463586514289</v>
      </c>
      <c r="CI64" s="17">
        <f t="shared" si="68"/>
        <v>1.3476444831546842E-2</v>
      </c>
      <c r="CJ64" s="18">
        <f t="shared" si="69"/>
        <v>0.20637316950466611</v>
      </c>
      <c r="CK64" s="19">
        <f t="shared" si="103"/>
        <v>931.84286305228534</v>
      </c>
      <c r="CL64" s="15">
        <f t="shared" si="70"/>
        <v>5.3636857261045705E-6</v>
      </c>
      <c r="CM64" s="16">
        <f t="shared" si="71"/>
        <v>26.605192925101278</v>
      </c>
      <c r="CN64" s="17">
        <f t="shared" si="72"/>
        <v>1.3423661648656658E-2</v>
      </c>
      <c r="CO64" s="18">
        <f t="shared" si="73"/>
        <v>0.20731385092855903</v>
      </c>
      <c r="CP64" s="19">
        <f t="shared" si="104"/>
        <v>916.83654139228213</v>
      </c>
      <c r="CQ64" s="15">
        <f t="shared" si="74"/>
        <v>5.3336730827845649E-6</v>
      </c>
      <c r="CR64" s="16">
        <f t="shared" si="75"/>
        <v>26.432620226011245</v>
      </c>
      <c r="CS64" s="17">
        <f t="shared" si="76"/>
        <v>1.3348549199925968E-2</v>
      </c>
      <c r="CT64" s="18">
        <f t="shared" si="77"/>
        <v>0.20866735695662522</v>
      </c>
      <c r="CU64" s="19">
        <f t="shared" si="105"/>
        <v>882.01624649914527</v>
      </c>
      <c r="CV64" s="15">
        <f t="shared" si="78"/>
        <v>5.2640324929982915E-6</v>
      </c>
      <c r="CW64" s="16">
        <f t="shared" si="79"/>
        <v>26.03218683474017</v>
      </c>
      <c r="CX64" s="17">
        <f t="shared" si="80"/>
        <v>1.3174260145339102E-2</v>
      </c>
      <c r="CY64" s="18">
        <f t="shared" si="81"/>
        <v>0.21187712868745059</v>
      </c>
      <c r="CZ64" s="20">
        <f t="shared" si="106"/>
        <v>783.25987140833126</v>
      </c>
      <c r="DA64" s="15">
        <f t="shared" si="82"/>
        <v>5.0665197428166629E-6</v>
      </c>
      <c r="DB64" s="16">
        <f t="shared" si="83"/>
        <v>24.896488521195806</v>
      </c>
      <c r="DC64" s="17">
        <f t="shared" si="84"/>
        <v>1.2679946260237673E-2</v>
      </c>
      <c r="DD64" s="18">
        <f t="shared" si="85"/>
        <v>0.2215422867889274</v>
      </c>
    </row>
    <row r="65" spans="2:108" x14ac:dyDescent="0.25">
      <c r="B65">
        <v>46</v>
      </c>
      <c r="C65">
        <f t="shared" si="86"/>
        <v>4.4970274651881567E-2</v>
      </c>
      <c r="D65" s="19">
        <f t="shared" si="3"/>
        <v>1019.2602516549273</v>
      </c>
      <c r="E65" s="15">
        <f t="shared" si="4"/>
        <v>5.5385205033098548E-6</v>
      </c>
      <c r="F65" s="16">
        <f t="shared" si="5"/>
        <v>27.610492894031665</v>
      </c>
      <c r="G65" s="17">
        <f t="shared" si="1"/>
        <v>1.3861219517157368E-2</v>
      </c>
      <c r="H65" s="18">
        <f t="shared" si="6"/>
        <v>0.199765539179935</v>
      </c>
      <c r="I65" s="19">
        <f t="shared" si="87"/>
        <v>1018.9383220077717</v>
      </c>
      <c r="J65" s="15">
        <f t="shared" si="7"/>
        <v>5.5378766440155434E-6</v>
      </c>
      <c r="K65" s="16">
        <f t="shared" si="8"/>
        <v>27.606790703089374</v>
      </c>
      <c r="L65" s="17">
        <f t="shared" si="9"/>
        <v>1.3859608134657064E-2</v>
      </c>
      <c r="M65" s="18">
        <f t="shared" si="10"/>
        <v>0.19979232860930723</v>
      </c>
      <c r="N65" s="19">
        <f t="shared" si="88"/>
        <v>1018.0353704733975</v>
      </c>
      <c r="O65" s="15">
        <f t="shared" si="11"/>
        <v>5.5360707409467952E-6</v>
      </c>
      <c r="P65" s="16">
        <f t="shared" si="12"/>
        <v>27.596406760444069</v>
      </c>
      <c r="Q65" s="17">
        <f t="shared" si="2"/>
        <v>1.3861219517157368E-2</v>
      </c>
      <c r="R65" s="18">
        <f t="shared" si="13"/>
        <v>0.19986750622569985</v>
      </c>
      <c r="S65" s="19">
        <f t="shared" si="89"/>
        <v>1016.5350332633944</v>
      </c>
      <c r="T65" s="15">
        <f t="shared" si="14"/>
        <v>5.5330700665267893E-6</v>
      </c>
      <c r="U65" s="16">
        <f t="shared" si="15"/>
        <v>27.579152882529037</v>
      </c>
      <c r="V65" s="17">
        <f t="shared" si="16"/>
        <v>1.3847578744198362E-2</v>
      </c>
      <c r="W65" s="18">
        <f t="shared" si="17"/>
        <v>0.19999254594560309</v>
      </c>
      <c r="X65" s="19">
        <f t="shared" si="90"/>
        <v>1014.4355612453403</v>
      </c>
      <c r="Y65" s="15">
        <f t="shared" si="18"/>
        <v>5.5288711224906809E-6</v>
      </c>
      <c r="Z65" s="16">
        <f t="shared" si="19"/>
        <v>27.555008954321412</v>
      </c>
      <c r="AA65" s="17">
        <f t="shared" si="20"/>
        <v>1.3837070074059833E-2</v>
      </c>
      <c r="AB65" s="18">
        <f t="shared" si="21"/>
        <v>0.2001677810790547</v>
      </c>
      <c r="AC65" s="19">
        <f t="shared" si="91"/>
        <v>1011.7361763483663</v>
      </c>
      <c r="AD65" s="15">
        <f t="shared" si="22"/>
        <v>5.5234723526967331E-6</v>
      </c>
      <c r="AE65" s="16">
        <f t="shared" si="23"/>
        <v>27.52396602800621</v>
      </c>
      <c r="AF65" s="17">
        <f t="shared" si="24"/>
        <v>1.3823558607741024E-2</v>
      </c>
      <c r="AG65" s="18">
        <f t="shared" si="25"/>
        <v>0.20039354046534341</v>
      </c>
      <c r="AH65" s="19">
        <f t="shared" si="92"/>
        <v>1008.4369299044788</v>
      </c>
      <c r="AI65" s="15">
        <f t="shared" si="26"/>
        <v>5.5168738598089578E-6</v>
      </c>
      <c r="AJ65" s="16">
        <f t="shared" si="27"/>
        <v>27.486024693901506</v>
      </c>
      <c r="AK65" s="17">
        <f t="shared" si="28"/>
        <v>1.3807044602178492E-2</v>
      </c>
      <c r="AL65" s="18">
        <f t="shared" si="29"/>
        <v>0.20067016097907334</v>
      </c>
      <c r="AM65" s="19">
        <f t="shared" si="93"/>
        <v>1004.5378435284146</v>
      </c>
      <c r="AN65" s="15">
        <f t="shared" si="30"/>
        <v>5.5090756870568299E-6</v>
      </c>
      <c r="AO65" s="16">
        <f t="shared" si="31"/>
        <v>27.441185200576768</v>
      </c>
      <c r="AP65" s="17">
        <f t="shared" si="32"/>
        <v>1.3787528165562368E-2</v>
      </c>
      <c r="AQ65" s="18">
        <f t="shared" si="33"/>
        <v>0.20099806038567425</v>
      </c>
      <c r="AR65" s="19">
        <f t="shared" si="94"/>
        <v>1000.0389218414653</v>
      </c>
      <c r="AS65" s="15">
        <f t="shared" si="34"/>
        <v>5.5000778436829308E-6</v>
      </c>
      <c r="AT65" s="16">
        <f t="shared" si="35"/>
        <v>27.389447601176848</v>
      </c>
      <c r="AU65" s="17">
        <f t="shared" si="36"/>
        <v>1.3765009321023996E-2</v>
      </c>
      <c r="AV65" s="18">
        <f t="shared" si="37"/>
        <v>0.20137773789066885</v>
      </c>
      <c r="AW65" s="19">
        <f t="shared" si="95"/>
        <v>994.94016559696331</v>
      </c>
      <c r="AX65" s="15">
        <f t="shared" si="38"/>
        <v>5.4898803311939278E-6</v>
      </c>
      <c r="AY65" s="16">
        <f t="shared" si="39"/>
        <v>27.330811904365078</v>
      </c>
      <c r="AZ65" s="17">
        <f t="shared" si="40"/>
        <v>1.3739488072334107E-2</v>
      </c>
      <c r="BA65" s="18">
        <f t="shared" si="41"/>
        <v>0.2018097749638782</v>
      </c>
      <c r="BB65" s="19">
        <f t="shared" si="96"/>
        <v>989.24157492506743</v>
      </c>
      <c r="BC65" s="15">
        <f t="shared" si="42"/>
        <v>5.4784831498501355E-6</v>
      </c>
      <c r="BD65" s="16">
        <f t="shared" si="43"/>
        <v>27.265278111638274</v>
      </c>
      <c r="BE65" s="17">
        <f t="shared" si="44"/>
        <v>1.3710964420144184E-2</v>
      </c>
      <c r="BF65" s="18">
        <f t="shared" si="45"/>
        <v>0.20229483731712375</v>
      </c>
      <c r="BG65" s="19">
        <f t="shared" si="97"/>
        <v>982.94314973879841</v>
      </c>
      <c r="BH65" s="15">
        <f t="shared" si="46"/>
        <v>5.465886299477597E-6</v>
      </c>
      <c r="BI65" s="16">
        <f t="shared" si="47"/>
        <v>27.192846221996181</v>
      </c>
      <c r="BJ65" s="17">
        <f t="shared" si="48"/>
        <v>1.3679438364018873E-2</v>
      </c>
      <c r="BK65" s="18">
        <f t="shared" si="49"/>
        <v>0.20283367746692266</v>
      </c>
      <c r="BL65" s="19">
        <f t="shared" si="98"/>
        <v>976.0448876194323</v>
      </c>
      <c r="BM65" s="15">
        <f t="shared" si="50"/>
        <v>5.4520897752388647E-6</v>
      </c>
      <c r="BN65" s="16">
        <f t="shared" si="51"/>
        <v>27.113516207623469</v>
      </c>
      <c r="BO65" s="17">
        <f t="shared" si="52"/>
        <v>1.3644909891851518E-2</v>
      </c>
      <c r="BP65" s="18">
        <f t="shared" si="53"/>
        <v>0.20342713788074376</v>
      </c>
      <c r="BQ65" s="19">
        <f t="shared" si="99"/>
        <v>968.5467492311185</v>
      </c>
      <c r="BR65" s="15">
        <f t="shared" si="54"/>
        <v>5.4370934984622377E-6</v>
      </c>
      <c r="BS65" s="16">
        <f t="shared" si="55"/>
        <v>27.027287616157864</v>
      </c>
      <c r="BT65" s="17">
        <f t="shared" si="56"/>
        <v>1.3607378806750966E-2</v>
      </c>
      <c r="BU65" s="18">
        <f t="shared" si="57"/>
        <v>0.20407615733894677</v>
      </c>
      <c r="BV65" s="19">
        <f t="shared" si="100"/>
        <v>960.44818393052685</v>
      </c>
      <c r="BW65" s="15">
        <f t="shared" si="58"/>
        <v>5.420896367861054E-6</v>
      </c>
      <c r="BX65" s="16">
        <f t="shared" si="59"/>
        <v>26.934154115201061</v>
      </c>
      <c r="BY65" s="17">
        <f t="shared" si="60"/>
        <v>1.3566842352534194E-2</v>
      </c>
      <c r="BZ65" s="18">
        <f t="shared" si="61"/>
        <v>0.20478181629201783</v>
      </c>
      <c r="CA65" s="19">
        <f t="shared" si="101"/>
        <v>951.74259791313818</v>
      </c>
      <c r="CB65" s="15">
        <f t="shared" si="62"/>
        <v>5.403485195826277E-6</v>
      </c>
      <c r="CC65" s="16">
        <f t="shared" si="63"/>
        <v>26.834039876001086</v>
      </c>
      <c r="CD65" s="17">
        <f t="shared" si="64"/>
        <v>1.3523267524657181E-2</v>
      </c>
      <c r="CE65" s="18">
        <f t="shared" si="65"/>
        <v>0.20554583005344926</v>
      </c>
      <c r="CF65" s="19">
        <f t="shared" si="102"/>
        <v>942.36385020430555</v>
      </c>
      <c r="CG65" s="15">
        <f t="shared" si="66"/>
        <v>5.3847277004086116E-6</v>
      </c>
      <c r="CH65" s="16">
        <f t="shared" si="67"/>
        <v>26.72618427734951</v>
      </c>
      <c r="CI65" s="17">
        <f t="shared" si="68"/>
        <v>1.3476323261939194E-2</v>
      </c>
      <c r="CJ65" s="18">
        <f t="shared" si="69"/>
        <v>0.20637532626288527</v>
      </c>
      <c r="CK65" s="19">
        <f t="shared" si="103"/>
        <v>931.77261685074723</v>
      </c>
      <c r="CL65" s="15">
        <f t="shared" si="70"/>
        <v>5.3635452337014954E-6</v>
      </c>
      <c r="CM65" s="16">
        <f t="shared" si="71"/>
        <v>26.604385093783591</v>
      </c>
      <c r="CN65" s="17">
        <f t="shared" si="72"/>
        <v>1.3423310039226241E-2</v>
      </c>
      <c r="CO65" s="18">
        <f t="shared" si="73"/>
        <v>0.20732014592920572</v>
      </c>
      <c r="CP65" s="19">
        <f t="shared" si="104"/>
        <v>916.5519934497371</v>
      </c>
      <c r="CQ65" s="15">
        <f t="shared" si="74"/>
        <v>5.333103986899475E-6</v>
      </c>
      <c r="CR65" s="16">
        <f t="shared" si="75"/>
        <v>26.429347924671976</v>
      </c>
      <c r="CS65" s="17">
        <f t="shared" si="76"/>
        <v>1.3347124927327387E-2</v>
      </c>
      <c r="CT65" s="18">
        <f t="shared" si="77"/>
        <v>0.20869319272349987</v>
      </c>
      <c r="CU65" s="19">
        <f t="shared" si="105"/>
        <v>881.11596616249767</v>
      </c>
      <c r="CV65" s="15">
        <f t="shared" si="78"/>
        <v>5.2622319323249959E-6</v>
      </c>
      <c r="CW65" s="16">
        <f t="shared" si="79"/>
        <v>26.021833610868722</v>
      </c>
      <c r="CX65" s="17">
        <f t="shared" si="80"/>
        <v>1.3169753893763144E-2</v>
      </c>
      <c r="CY65" s="18">
        <f t="shared" si="81"/>
        <v>0.21196142756428396</v>
      </c>
      <c r="CZ65" s="20">
        <f t="shared" si="106"/>
        <v>781.73356479322058</v>
      </c>
      <c r="DA65" s="15">
        <f t="shared" si="82"/>
        <v>5.063467129586442E-6</v>
      </c>
      <c r="DB65" s="16">
        <f t="shared" si="83"/>
        <v>24.878935995122035</v>
      </c>
      <c r="DC65" s="17">
        <f t="shared" si="84"/>
        <v>1.2672306504808441E-2</v>
      </c>
      <c r="DD65" s="18">
        <f t="shared" si="85"/>
        <v>0.2216985887612492</v>
      </c>
    </row>
    <row r="66" spans="2:108" x14ac:dyDescent="0.25">
      <c r="B66">
        <v>47</v>
      </c>
      <c r="C66">
        <f t="shared" si="86"/>
        <v>4.5947889318226819E-2</v>
      </c>
      <c r="D66" s="19">
        <f t="shared" si="3"/>
        <v>1019.2438155534242</v>
      </c>
      <c r="E66" s="15">
        <f t="shared" si="4"/>
        <v>5.5384876311068491E-6</v>
      </c>
      <c r="F66" s="16">
        <f t="shared" si="5"/>
        <v>27.610303878864379</v>
      </c>
      <c r="G66" s="17">
        <f t="shared" si="1"/>
        <v>1.386113724810707E-2</v>
      </c>
      <c r="H66" s="18">
        <f t="shared" si="6"/>
        <v>0.19976690673883521</v>
      </c>
      <c r="I66" s="19">
        <f t="shared" si="87"/>
        <v>1018.9217792605639</v>
      </c>
      <c r="J66" s="15">
        <f t="shared" si="7"/>
        <v>5.537843558521129E-6</v>
      </c>
      <c r="K66" s="16">
        <f t="shared" si="8"/>
        <v>27.606600461496484</v>
      </c>
      <c r="L66" s="17">
        <f t="shared" si="9"/>
        <v>1.3859525331803733E-2</v>
      </c>
      <c r="M66" s="18">
        <f t="shared" si="10"/>
        <v>0.19979370541087665</v>
      </c>
      <c r="N66" s="19">
        <f t="shared" si="88"/>
        <v>1018.0187638811852</v>
      </c>
      <c r="O66" s="15">
        <f t="shared" si="11"/>
        <v>5.5360375277623706E-6</v>
      </c>
      <c r="P66" s="16">
        <f t="shared" si="12"/>
        <v>27.596215784633628</v>
      </c>
      <c r="Q66" s="17">
        <f t="shared" si="2"/>
        <v>1.386113724810707E-2</v>
      </c>
      <c r="R66" s="18">
        <f t="shared" si="13"/>
        <v>0.19986888938124842</v>
      </c>
      <c r="S66" s="19">
        <f t="shared" si="89"/>
        <v>1016.5184123319605</v>
      </c>
      <c r="T66" s="15">
        <f t="shared" si="14"/>
        <v>5.5330368246639213E-6</v>
      </c>
      <c r="U66" s="16">
        <f t="shared" si="15"/>
        <v>27.578961741817544</v>
      </c>
      <c r="V66" s="17">
        <f t="shared" si="16"/>
        <v>1.3847495550002711E-2</v>
      </c>
      <c r="W66" s="18">
        <f t="shared" si="17"/>
        <v>0.19999393202814975</v>
      </c>
      <c r="X66" s="19">
        <f t="shared" si="90"/>
        <v>1014.4189474356971</v>
      </c>
      <c r="Y66" s="15">
        <f t="shared" si="18"/>
        <v>5.5288378948713944E-6</v>
      </c>
      <c r="Z66" s="16">
        <f t="shared" si="19"/>
        <v>27.554817895510517</v>
      </c>
      <c r="AA66" s="17">
        <f t="shared" si="20"/>
        <v>1.3836986915511502E-2</v>
      </c>
      <c r="AB66" s="18">
        <f t="shared" si="21"/>
        <v>0.2001691689967095</v>
      </c>
      <c r="AC66" s="19">
        <f t="shared" si="91"/>
        <v>1011.7195757736531</v>
      </c>
      <c r="AD66" s="15">
        <f t="shared" si="22"/>
        <v>5.5234391515473067E-6</v>
      </c>
      <c r="AE66" s="16">
        <f t="shared" si="23"/>
        <v>27.523775121397009</v>
      </c>
      <c r="AF66" s="17">
        <f t="shared" si="24"/>
        <v>1.382347551543864E-2</v>
      </c>
      <c r="AG66" s="18">
        <f t="shared" si="25"/>
        <v>0.20039493040735346</v>
      </c>
      <c r="AH66" s="19">
        <f t="shared" si="92"/>
        <v>1008.4203458670725</v>
      </c>
      <c r="AI66" s="15">
        <f t="shared" si="26"/>
        <v>5.5168406917341452E-6</v>
      </c>
      <c r="AJ66" s="16">
        <f t="shared" si="27"/>
        <v>27.48583397747133</v>
      </c>
      <c r="AK66" s="17">
        <f t="shared" si="28"/>
        <v>1.3806961592651731E-2</v>
      </c>
      <c r="AL66" s="18">
        <f t="shared" si="29"/>
        <v>0.20067155337257961</v>
      </c>
      <c r="AM66" s="19">
        <f t="shared" si="93"/>
        <v>1004.5212794128309</v>
      </c>
      <c r="AN66" s="15">
        <f t="shared" si="30"/>
        <v>5.509042558825662E-6</v>
      </c>
      <c r="AO66" s="16">
        <f t="shared" si="31"/>
        <v>27.440994713247555</v>
      </c>
      <c r="AP66" s="17">
        <f t="shared" si="32"/>
        <v>1.3787445255752038E-2</v>
      </c>
      <c r="AQ66" s="18">
        <f t="shared" si="33"/>
        <v>0.20099945565520075</v>
      </c>
      <c r="AR66" s="19">
        <f t="shared" si="94"/>
        <v>1000.0223811891491</v>
      </c>
      <c r="AS66" s="15">
        <f t="shared" si="34"/>
        <v>5.5000447623782995E-6</v>
      </c>
      <c r="AT66" s="16">
        <f t="shared" si="35"/>
        <v>27.389257383675215</v>
      </c>
      <c r="AU66" s="17">
        <f t="shared" si="36"/>
        <v>1.3764926528656405E-2</v>
      </c>
      <c r="AV66" s="18">
        <f t="shared" si="37"/>
        <v>0.20137913645250824</v>
      </c>
      <c r="AW66" s="19">
        <f t="shared" si="95"/>
        <v>994.92365199308483</v>
      </c>
      <c r="AX66" s="15">
        <f t="shared" si="38"/>
        <v>5.4898473039861697E-6</v>
      </c>
      <c r="AY66" s="16">
        <f t="shared" si="39"/>
        <v>27.330621997920474</v>
      </c>
      <c r="AZ66" s="17">
        <f t="shared" si="40"/>
        <v>1.3739405415354414E-2</v>
      </c>
      <c r="BA66" s="18">
        <f t="shared" si="41"/>
        <v>0.20181117723627628</v>
      </c>
      <c r="BB66" s="19">
        <f t="shared" si="96"/>
        <v>989.22509196225985</v>
      </c>
      <c r="BC66" s="15">
        <f t="shared" si="42"/>
        <v>5.4784501839245199E-6</v>
      </c>
      <c r="BD66" s="16">
        <f t="shared" si="43"/>
        <v>27.265088557565988</v>
      </c>
      <c r="BE66" s="17">
        <f t="shared" si="44"/>
        <v>1.3710881916534915E-2</v>
      </c>
      <c r="BF66" s="18">
        <f t="shared" si="45"/>
        <v>0.20229624372408023</v>
      </c>
      <c r="BG66" s="19">
        <f t="shared" si="97"/>
        <v>982.92670098083329</v>
      </c>
      <c r="BH66" s="15">
        <f t="shared" si="46"/>
        <v>5.4658534019616673E-6</v>
      </c>
      <c r="BI66" s="16">
        <f t="shared" si="47"/>
        <v>27.192657061279583</v>
      </c>
      <c r="BJ66" s="17">
        <f t="shared" si="48"/>
        <v>1.3679356031618082E-2</v>
      </c>
      <c r="BK66" s="18">
        <f t="shared" si="49"/>
        <v>0.20283508844208753</v>
      </c>
      <c r="BL66" s="19">
        <f t="shared" si="98"/>
        <v>976.02847613636948</v>
      </c>
      <c r="BM66" s="15">
        <f t="shared" si="50"/>
        <v>5.4520569522727391E-6</v>
      </c>
      <c r="BN66" s="16">
        <f t="shared" si="51"/>
        <v>27.113327475568248</v>
      </c>
      <c r="BO66" s="17">
        <f t="shared" si="52"/>
        <v>1.3644827746026041E-2</v>
      </c>
      <c r="BP66" s="18">
        <f t="shared" si="53"/>
        <v>0.20342855390840967</v>
      </c>
      <c r="BQ66" s="19">
        <f t="shared" si="99"/>
        <v>968.53037134258636</v>
      </c>
      <c r="BR66" s="15">
        <f t="shared" si="54"/>
        <v>5.4370607426851735E-6</v>
      </c>
      <c r="BS66" s="16">
        <f t="shared" si="55"/>
        <v>27.027099270439741</v>
      </c>
      <c r="BT66" s="17">
        <f t="shared" si="56"/>
        <v>1.3607296829079119E-2</v>
      </c>
      <c r="BU66" s="18">
        <f t="shared" si="57"/>
        <v>0.20407757949935035</v>
      </c>
      <c r="BV66" s="19">
        <f t="shared" si="100"/>
        <v>960.43175762391832</v>
      </c>
      <c r="BW66" s="15">
        <f t="shared" si="58"/>
        <v>5.4208635152478367E-6</v>
      </c>
      <c r="BX66" s="16">
        <f t="shared" si="59"/>
        <v>26.933965212675062</v>
      </c>
      <c r="BY66" s="17">
        <f t="shared" si="60"/>
        <v>1.3566760132511129E-2</v>
      </c>
      <c r="BZ66" s="18">
        <f t="shared" si="61"/>
        <v>0.20478325253811347</v>
      </c>
      <c r="CA66" s="19">
        <f t="shared" si="101"/>
        <v>951.72528709601261</v>
      </c>
      <c r="CB66" s="15">
        <f t="shared" si="62"/>
        <v>5.4034505741920254E-6</v>
      </c>
      <c r="CC66" s="16">
        <f t="shared" si="63"/>
        <v>26.833840801604143</v>
      </c>
      <c r="CD66" s="17">
        <f t="shared" si="64"/>
        <v>1.3523180877316592E-2</v>
      </c>
      <c r="CE66" s="18">
        <f t="shared" si="65"/>
        <v>0.20554735495301413</v>
      </c>
      <c r="CF66" s="19">
        <f t="shared" si="102"/>
        <v>942.33901423955751</v>
      </c>
      <c r="CG66" s="15">
        <f t="shared" si="66"/>
        <v>5.3846780284791164E-6</v>
      </c>
      <c r="CH66" s="16">
        <f t="shared" si="67"/>
        <v>26.725898663754911</v>
      </c>
      <c r="CI66" s="17">
        <f t="shared" si="68"/>
        <v>1.3476198948321838E-2</v>
      </c>
      <c r="CJ66" s="18">
        <f t="shared" si="69"/>
        <v>0.20637753174901363</v>
      </c>
      <c r="CK66" s="19">
        <f t="shared" si="103"/>
        <v>931.69999951308046</v>
      </c>
      <c r="CL66" s="15">
        <f t="shared" si="70"/>
        <v>5.3633999990261613E-6</v>
      </c>
      <c r="CM66" s="16">
        <f t="shared" si="71"/>
        <v>26.603549994400424</v>
      </c>
      <c r="CN66" s="17">
        <f t="shared" si="72"/>
        <v>1.342294656134165E-2</v>
      </c>
      <c r="CO66" s="18">
        <f t="shared" si="73"/>
        <v>0.2073266538172891</v>
      </c>
      <c r="CP66" s="19">
        <f t="shared" si="104"/>
        <v>916.26175534379058</v>
      </c>
      <c r="CQ66" s="15">
        <f t="shared" si="74"/>
        <v>5.3325235106875808E-6</v>
      </c>
      <c r="CR66" s="16">
        <f t="shared" si="75"/>
        <v>26.426010186453588</v>
      </c>
      <c r="CS66" s="17">
        <f t="shared" si="76"/>
        <v>1.3345672173258362E-2</v>
      </c>
      <c r="CT66" s="18">
        <f t="shared" si="77"/>
        <v>0.20871955172511819</v>
      </c>
      <c r="CU66" s="19">
        <f t="shared" si="105"/>
        <v>880.21521032912597</v>
      </c>
      <c r="CV66" s="15">
        <f t="shared" si="78"/>
        <v>5.2604304206582516E-6</v>
      </c>
      <c r="CW66" s="16">
        <f t="shared" si="79"/>
        <v>26.011474918784948</v>
      </c>
      <c r="CX66" s="17">
        <f t="shared" si="80"/>
        <v>1.3165245262142021E-2</v>
      </c>
      <c r="CY66" s="18">
        <f t="shared" si="81"/>
        <v>0.21204583812418609</v>
      </c>
      <c r="CZ66" s="20">
        <f t="shared" si="106"/>
        <v>780.23092986847678</v>
      </c>
      <c r="DA66" s="15">
        <f t="shared" si="82"/>
        <v>5.0604618597369541E-6</v>
      </c>
      <c r="DB66" s="16">
        <f t="shared" si="83"/>
        <v>24.861655693487481</v>
      </c>
      <c r="DC66" s="17">
        <f t="shared" si="84"/>
        <v>1.2664785235352609E-2</v>
      </c>
      <c r="DD66" s="18">
        <f t="shared" si="85"/>
        <v>0.22185268221877996</v>
      </c>
    </row>
    <row r="67" spans="2:108" x14ac:dyDescent="0.25">
      <c r="B67">
        <v>48</v>
      </c>
      <c r="C67">
        <f t="shared" si="86"/>
        <v>4.692550398457207E-2</v>
      </c>
      <c r="D67" s="19">
        <f t="shared" si="3"/>
        <v>1019.2273740071302</v>
      </c>
      <c r="E67" s="15">
        <f t="shared" si="4"/>
        <v>5.5384547480142617E-6</v>
      </c>
      <c r="F67" s="16">
        <f t="shared" si="5"/>
        <v>27.610114801081998</v>
      </c>
      <c r="G67" s="17">
        <f t="shared" si="1"/>
        <v>1.3861054951803484E-2</v>
      </c>
      <c r="H67" s="18">
        <f t="shared" si="6"/>
        <v>0.19976827476950046</v>
      </c>
      <c r="I67" s="19">
        <f t="shared" si="87"/>
        <v>1018.9052360232459</v>
      </c>
      <c r="J67" s="15">
        <f t="shared" si="7"/>
        <v>5.5378104720464924E-6</v>
      </c>
      <c r="K67" s="16">
        <f t="shared" si="8"/>
        <v>27.606410214267328</v>
      </c>
      <c r="L67" s="17">
        <f t="shared" si="9"/>
        <v>1.3859442526497205E-2</v>
      </c>
      <c r="M67" s="18">
        <f t="shared" si="10"/>
        <v>0.19979508227221293</v>
      </c>
      <c r="N67" s="19">
        <f t="shared" si="88"/>
        <v>1018.002157803416</v>
      </c>
      <c r="O67" s="15">
        <f t="shared" si="11"/>
        <v>5.5360043156068319E-6</v>
      </c>
      <c r="P67" s="16">
        <f t="shared" si="12"/>
        <v>27.596024814739284</v>
      </c>
      <c r="Q67" s="17">
        <f t="shared" si="2"/>
        <v>1.3861054951803484E-2</v>
      </c>
      <c r="R67" s="18">
        <f t="shared" si="13"/>
        <v>0.19987027251309236</v>
      </c>
      <c r="S67" s="19">
        <f t="shared" si="89"/>
        <v>1016.5017917800069</v>
      </c>
      <c r="T67" s="15">
        <f t="shared" si="14"/>
        <v>5.5330035835600143E-6</v>
      </c>
      <c r="U67" s="16">
        <f t="shared" si="15"/>
        <v>27.578770605470076</v>
      </c>
      <c r="V67" s="17">
        <f t="shared" si="16"/>
        <v>1.3847412357706507E-2</v>
      </c>
      <c r="W67" s="18">
        <f t="shared" si="17"/>
        <v>0.19999531809826251</v>
      </c>
      <c r="X67" s="19">
        <f t="shared" si="90"/>
        <v>1014.4023338457527</v>
      </c>
      <c r="Y67" s="15">
        <f t="shared" si="18"/>
        <v>5.5288046676915063E-6</v>
      </c>
      <c r="Z67" s="16">
        <f t="shared" si="19"/>
        <v>27.554626839226152</v>
      </c>
      <c r="AA67" s="17">
        <f t="shared" si="20"/>
        <v>1.383690375806285E-2</v>
      </c>
      <c r="AB67" s="18">
        <f t="shared" si="21"/>
        <v>0.20017055691525748</v>
      </c>
      <c r="AC67" s="19">
        <f t="shared" si="91"/>
        <v>1011.7029753855961</v>
      </c>
      <c r="AD67" s="15">
        <f t="shared" si="22"/>
        <v>5.5234059507711931E-6</v>
      </c>
      <c r="AE67" s="16">
        <f t="shared" si="23"/>
        <v>27.523584216934353</v>
      </c>
      <c r="AF67" s="17">
        <f t="shared" si="24"/>
        <v>1.3823392424070545E-2</v>
      </c>
      <c r="AG67" s="18">
        <f t="shared" si="25"/>
        <v>0.2003963203530163</v>
      </c>
      <c r="AH67" s="19">
        <f t="shared" si="92"/>
        <v>1008.4037620181355</v>
      </c>
      <c r="AI67" s="15">
        <f t="shared" si="26"/>
        <v>5.5168075240362717E-6</v>
      </c>
      <c r="AJ67" s="16">
        <f t="shared" si="27"/>
        <v>27.485643263208559</v>
      </c>
      <c r="AK67" s="17">
        <f t="shared" si="28"/>
        <v>1.3806878584068332E-2</v>
      </c>
      <c r="AL67" s="18">
        <f t="shared" si="29"/>
        <v>0.20067294576958461</v>
      </c>
      <c r="AM67" s="19">
        <f t="shared" si="93"/>
        <v>1004.504715488515</v>
      </c>
      <c r="AN67" s="15">
        <f t="shared" si="30"/>
        <v>5.5090094309770303E-6</v>
      </c>
      <c r="AO67" s="16">
        <f t="shared" si="31"/>
        <v>27.440804228117919</v>
      </c>
      <c r="AP67" s="17">
        <f t="shared" si="32"/>
        <v>1.3787362346899078E-2</v>
      </c>
      <c r="AQ67" s="18">
        <f t="shared" si="33"/>
        <v>0.20100085092798681</v>
      </c>
      <c r="AR67" s="19">
        <f t="shared" si="94"/>
        <v>1000.0058407292543</v>
      </c>
      <c r="AS67" s="15">
        <f t="shared" si="34"/>
        <v>5.5000116814585084E-6</v>
      </c>
      <c r="AT67" s="16">
        <f t="shared" si="35"/>
        <v>27.389067168386426</v>
      </c>
      <c r="AU67" s="17">
        <f t="shared" si="36"/>
        <v>1.3764843737251954E-2</v>
      </c>
      <c r="AV67" s="18">
        <f t="shared" si="37"/>
        <v>0.20138053501750358</v>
      </c>
      <c r="AW67" s="19">
        <f t="shared" si="95"/>
        <v>994.90713858209813</v>
      </c>
      <c r="AX67" s="15">
        <f t="shared" si="38"/>
        <v>5.4898142771641969E-6</v>
      </c>
      <c r="AY67" s="16">
        <f t="shared" si="39"/>
        <v>27.330432093694128</v>
      </c>
      <c r="AZ67" s="17">
        <f t="shared" si="40"/>
        <v>1.3739322759340221E-2</v>
      </c>
      <c r="BA67" s="18">
        <f t="shared" si="41"/>
        <v>0.20181257951178183</v>
      </c>
      <c r="BB67" s="19">
        <f t="shared" si="96"/>
        <v>989.20860919212419</v>
      </c>
      <c r="BC67" s="15">
        <f t="shared" si="42"/>
        <v>5.4784172183842492E-6</v>
      </c>
      <c r="BD67" s="16">
        <f t="shared" si="43"/>
        <v>27.264899005709427</v>
      </c>
      <c r="BE67" s="17">
        <f t="shared" si="44"/>
        <v>1.3710799413890043E-2</v>
      </c>
      <c r="BF67" s="18">
        <f t="shared" si="45"/>
        <v>0.20229765013415221</v>
      </c>
      <c r="BG67" s="19">
        <f t="shared" si="97"/>
        <v>982.91025240848592</v>
      </c>
      <c r="BH67" s="15">
        <f t="shared" si="46"/>
        <v>5.4658205048169718E-6</v>
      </c>
      <c r="BI67" s="16">
        <f t="shared" si="47"/>
        <v>27.192467902697587</v>
      </c>
      <c r="BJ67" s="17">
        <f t="shared" si="48"/>
        <v>1.3679273700146375E-2</v>
      </c>
      <c r="BK67" s="18">
        <f t="shared" si="49"/>
        <v>0.20283649942096027</v>
      </c>
      <c r="BL67" s="19">
        <f t="shared" si="98"/>
        <v>976.01206474213052</v>
      </c>
      <c r="BM67" s="15">
        <f t="shared" si="50"/>
        <v>5.4520241294842617E-6</v>
      </c>
      <c r="BN67" s="16">
        <f t="shared" si="51"/>
        <v>27.113138744534503</v>
      </c>
      <c r="BO67" s="17">
        <f t="shared" si="52"/>
        <v>1.3644745600645162E-2</v>
      </c>
      <c r="BP67" s="18">
        <f t="shared" si="53"/>
        <v>0.20342996994812509</v>
      </c>
      <c r="BQ67" s="19">
        <f t="shared" si="99"/>
        <v>968.51399242583284</v>
      </c>
      <c r="BR67" s="15">
        <f t="shared" si="54"/>
        <v>5.4370279848516659E-6</v>
      </c>
      <c r="BS67" s="16">
        <f t="shared" si="55"/>
        <v>27.026910912897076</v>
      </c>
      <c r="BT67" s="17">
        <f t="shared" si="56"/>
        <v>1.3607214846260623E-2</v>
      </c>
      <c r="BU67" s="18">
        <f t="shared" si="57"/>
        <v>0.20407900176886207</v>
      </c>
      <c r="BV67" s="19">
        <f t="shared" si="100"/>
        <v>960.41531958601024</v>
      </c>
      <c r="BW67" s="15">
        <f t="shared" si="58"/>
        <v>5.4208306391720211E-6</v>
      </c>
      <c r="BX67" s="16">
        <f t="shared" si="59"/>
        <v>26.933776175239117</v>
      </c>
      <c r="BY67" s="17">
        <f t="shared" si="60"/>
        <v>1.3566677853768375E-2</v>
      </c>
      <c r="BZ67" s="18">
        <f t="shared" si="61"/>
        <v>0.20478468983011189</v>
      </c>
      <c r="CA67" s="19">
        <f t="shared" si="101"/>
        <v>951.70788248945075</v>
      </c>
      <c r="CB67" s="15">
        <f t="shared" si="62"/>
        <v>5.4034157649789022E-6</v>
      </c>
      <c r="CC67" s="16">
        <f t="shared" si="63"/>
        <v>26.83364064862868</v>
      </c>
      <c r="CD67" s="17">
        <f t="shared" si="64"/>
        <v>1.3523093760523575E-2</v>
      </c>
      <c r="CE67" s="18">
        <f t="shared" si="65"/>
        <v>0.20554888813724473</v>
      </c>
      <c r="CF67" s="19">
        <f t="shared" si="102"/>
        <v>942.31361067374257</v>
      </c>
      <c r="CG67" s="15">
        <f t="shared" si="66"/>
        <v>5.3846272213474856E-6</v>
      </c>
      <c r="CH67" s="16">
        <f t="shared" si="67"/>
        <v>26.725606522748038</v>
      </c>
      <c r="CI67" s="17">
        <f t="shared" si="68"/>
        <v>1.3476071793641421E-2</v>
      </c>
      <c r="CJ67" s="18">
        <f t="shared" si="69"/>
        <v>0.20637978768808352</v>
      </c>
      <c r="CK67" s="19">
        <f t="shared" si="103"/>
        <v>931.62498889922961</v>
      </c>
      <c r="CL67" s="15">
        <f t="shared" si="70"/>
        <v>5.3632499777984591E-6</v>
      </c>
      <c r="CM67" s="16">
        <f t="shared" si="71"/>
        <v>26.602687372341137</v>
      </c>
      <c r="CN67" s="17">
        <f t="shared" si="72"/>
        <v>1.3422571104183342E-2</v>
      </c>
      <c r="CO67" s="18">
        <f t="shared" si="73"/>
        <v>0.20733337661722873</v>
      </c>
      <c r="CP67" s="19">
        <f t="shared" si="104"/>
        <v>915.96594289803477</v>
      </c>
      <c r="CQ67" s="15">
        <f t="shared" si="74"/>
        <v>5.3319318857960696E-6</v>
      </c>
      <c r="CR67" s="16">
        <f t="shared" si="75"/>
        <v>26.422608343327397</v>
      </c>
      <c r="CS67" s="17">
        <f t="shared" si="76"/>
        <v>1.3344191517460817E-2</v>
      </c>
      <c r="CT67" s="18">
        <f t="shared" si="77"/>
        <v>0.20874642383263733</v>
      </c>
      <c r="CU67" s="19">
        <f t="shared" si="105"/>
        <v>879.31424395826252</v>
      </c>
      <c r="CV67" s="15">
        <f t="shared" si="78"/>
        <v>5.2586284879165248E-6</v>
      </c>
      <c r="CW67" s="16">
        <f t="shared" si="79"/>
        <v>26.001113805520021</v>
      </c>
      <c r="CX67" s="17">
        <f t="shared" si="80"/>
        <v>1.3160735576699258E-2</v>
      </c>
      <c r="CY67" s="18">
        <f t="shared" si="81"/>
        <v>0.21213033569465922</v>
      </c>
      <c r="CZ67" s="20">
        <f t="shared" si="106"/>
        <v>778.7511913653791</v>
      </c>
      <c r="DA67" s="15">
        <f t="shared" si="82"/>
        <v>5.0575023827307589E-6</v>
      </c>
      <c r="DB67" s="16">
        <f t="shared" si="83"/>
        <v>24.844638700701857</v>
      </c>
      <c r="DC67" s="17">
        <f t="shared" si="84"/>
        <v>1.2657378571350129E-2</v>
      </c>
      <c r="DD67" s="18">
        <f t="shared" si="85"/>
        <v>0.22200463715514546</v>
      </c>
    </row>
    <row r="68" spans="2:108" x14ac:dyDescent="0.25">
      <c r="B68">
        <v>49</v>
      </c>
      <c r="C68">
        <f t="shared" si="86"/>
        <v>4.7903118650917322E-2</v>
      </c>
      <c r="D68" s="19">
        <f t="shared" si="3"/>
        <v>1019.2109272690061</v>
      </c>
      <c r="E68" s="15">
        <f t="shared" si="4"/>
        <v>5.5384218545380125E-6</v>
      </c>
      <c r="F68" s="16">
        <f t="shared" si="5"/>
        <v>27.609925663593572</v>
      </c>
      <c r="G68" s="17">
        <f t="shared" si="1"/>
        <v>1.3860972629512774E-2</v>
      </c>
      <c r="H68" s="18">
        <f t="shared" si="6"/>
        <v>0.19976964325090157</v>
      </c>
      <c r="I68" s="19">
        <f t="shared" si="87"/>
        <v>1018.8886922824037</v>
      </c>
      <c r="J68" s="15">
        <f t="shared" si="7"/>
        <v>5.5377773845648074E-6</v>
      </c>
      <c r="K68" s="16">
        <f t="shared" si="8"/>
        <v>27.606219961247639</v>
      </c>
      <c r="L68" s="17">
        <f t="shared" si="9"/>
        <v>1.3859359718670344E-2</v>
      </c>
      <c r="M68" s="18">
        <f t="shared" si="10"/>
        <v>0.19979645919443462</v>
      </c>
      <c r="N68" s="19">
        <f t="shared" si="88"/>
        <v>1017.9855522273079</v>
      </c>
      <c r="O68" s="15">
        <f t="shared" si="11"/>
        <v>5.5359711044546164E-6</v>
      </c>
      <c r="P68" s="16">
        <f t="shared" si="12"/>
        <v>27.595833850614042</v>
      </c>
      <c r="Q68" s="17">
        <f t="shared" si="2"/>
        <v>1.3860972629512774E-2</v>
      </c>
      <c r="R68" s="18">
        <f t="shared" si="13"/>
        <v>0.19987165562229497</v>
      </c>
      <c r="S68" s="19">
        <f t="shared" si="89"/>
        <v>1016.4851716065367</v>
      </c>
      <c r="T68" s="15">
        <f t="shared" si="14"/>
        <v>5.5329703432130744E-6</v>
      </c>
      <c r="U68" s="16">
        <f t="shared" si="15"/>
        <v>27.578579473475173</v>
      </c>
      <c r="V68" s="17">
        <f t="shared" si="16"/>
        <v>1.3847329167304757E-2</v>
      </c>
      <c r="W68" s="18">
        <f t="shared" si="17"/>
        <v>0.19999670415602364</v>
      </c>
      <c r="X68" s="19">
        <f t="shared" si="90"/>
        <v>1014.3857204769245</v>
      </c>
      <c r="Y68" s="15">
        <f t="shared" si="18"/>
        <v>5.5287714409538498E-6</v>
      </c>
      <c r="Z68" s="16">
        <f t="shared" si="19"/>
        <v>27.554435785484628</v>
      </c>
      <c r="AA68" s="17">
        <f t="shared" si="20"/>
        <v>1.3836820601720966E-2</v>
      </c>
      <c r="AB68" s="18">
        <f t="shared" si="21"/>
        <v>0.20017194483457978</v>
      </c>
      <c r="AC68" s="19">
        <f t="shared" si="91"/>
        <v>1011.6863751846322</v>
      </c>
      <c r="AD68" s="15">
        <f t="shared" si="22"/>
        <v>5.5233727503692657E-6</v>
      </c>
      <c r="AE68" s="16">
        <f t="shared" si="23"/>
        <v>27.52339331462327</v>
      </c>
      <c r="AF68" s="17">
        <f t="shared" si="24"/>
        <v>1.3823309333638921E-2</v>
      </c>
      <c r="AG68" s="18">
        <f t="shared" si="25"/>
        <v>0.20039771030229511</v>
      </c>
      <c r="AH68" s="19">
        <f t="shared" si="92"/>
        <v>1008.3871783576845</v>
      </c>
      <c r="AI68" s="15">
        <f t="shared" si="26"/>
        <v>5.5167743567153701E-6</v>
      </c>
      <c r="AJ68" s="16">
        <f t="shared" si="27"/>
        <v>27.485452551113372</v>
      </c>
      <c r="AK68" s="17">
        <f t="shared" si="28"/>
        <v>1.3806795576428379E-2</v>
      </c>
      <c r="AL68" s="18">
        <f t="shared" si="29"/>
        <v>0.20067433817008681</v>
      </c>
      <c r="AM68" s="19">
        <f t="shared" si="93"/>
        <v>1004.4881517554458</v>
      </c>
      <c r="AN68" s="15">
        <f t="shared" si="30"/>
        <v>5.5089763035108915E-6</v>
      </c>
      <c r="AO68" s="16">
        <f t="shared" si="31"/>
        <v>27.440613745187626</v>
      </c>
      <c r="AP68" s="17">
        <f t="shared" si="32"/>
        <v>1.3787279439003383E-2</v>
      </c>
      <c r="AQ68" s="18">
        <f t="shared" si="33"/>
        <v>0.2010022462040339</v>
      </c>
      <c r="AR68" s="19">
        <f t="shared" si="94"/>
        <v>999.98930046177054</v>
      </c>
      <c r="AS68" s="15">
        <f t="shared" si="34"/>
        <v>5.4999786009235414E-6</v>
      </c>
      <c r="AT68" s="16">
        <f t="shared" si="35"/>
        <v>27.388876955310359</v>
      </c>
      <c r="AU68" s="17">
        <f t="shared" si="36"/>
        <v>1.37647609468106E-2</v>
      </c>
      <c r="AV68" s="18">
        <f t="shared" si="37"/>
        <v>0.20138193358565545</v>
      </c>
      <c r="AW68" s="19">
        <f t="shared" si="95"/>
        <v>994.8906253639916</v>
      </c>
      <c r="AX68" s="15">
        <f t="shared" si="38"/>
        <v>5.4897812507279832E-6</v>
      </c>
      <c r="AY68" s="16">
        <f t="shared" si="39"/>
        <v>27.330242191685905</v>
      </c>
      <c r="AZ68" s="17">
        <f t="shared" si="40"/>
        <v>1.3739240104291468E-2</v>
      </c>
      <c r="BA68" s="18">
        <f t="shared" si="41"/>
        <v>0.20181398179039559</v>
      </c>
      <c r="BB68" s="19">
        <f t="shared" si="96"/>
        <v>989.19212661455936</v>
      </c>
      <c r="BC68" s="15">
        <f t="shared" si="42"/>
        <v>5.4783842532291193E-6</v>
      </c>
      <c r="BD68" s="16">
        <f t="shared" si="43"/>
        <v>27.264709456067433</v>
      </c>
      <c r="BE68" s="17">
        <f t="shared" si="44"/>
        <v>1.3710716912209061E-2</v>
      </c>
      <c r="BF68" s="18">
        <f t="shared" si="45"/>
        <v>0.20229905654734803</v>
      </c>
      <c r="BG68" s="19">
        <f t="shared" si="97"/>
        <v>982.89380402045902</v>
      </c>
      <c r="BH68" s="15">
        <f t="shared" si="46"/>
        <v>5.4657876080409187E-6</v>
      </c>
      <c r="BI68" s="16">
        <f t="shared" si="47"/>
        <v>27.192278746235278</v>
      </c>
      <c r="BJ68" s="17">
        <f t="shared" si="48"/>
        <v>1.3679191369597266E-2</v>
      </c>
      <c r="BK68" s="18">
        <f t="shared" si="49"/>
        <v>0.20283791040365193</v>
      </c>
      <c r="BL68" s="19">
        <f t="shared" si="98"/>
        <v>975.99565342206643</v>
      </c>
      <c r="BM68" s="15">
        <f t="shared" si="50"/>
        <v>5.4519913068441336E-6</v>
      </c>
      <c r="BN68" s="16">
        <f t="shared" si="51"/>
        <v>27.112950014353764</v>
      </c>
      <c r="BO68" s="17">
        <f t="shared" si="52"/>
        <v>1.3644663455635555E-2</v>
      </c>
      <c r="BP68" s="18">
        <f t="shared" si="53"/>
        <v>0.20343138600115421</v>
      </c>
      <c r="BQ68" s="19">
        <f t="shared" si="99"/>
        <v>968.4976123438696</v>
      </c>
      <c r="BR68" s="15">
        <f t="shared" si="54"/>
        <v>5.4369952246877393E-6</v>
      </c>
      <c r="BS68" s="16">
        <f t="shared" si="55"/>
        <v>27.026722541954499</v>
      </c>
      <c r="BT68" s="17">
        <f t="shared" si="56"/>
        <v>1.3607132857609804E-2</v>
      </c>
      <c r="BU68" s="18">
        <f t="shared" si="57"/>
        <v>0.20408042415938182</v>
      </c>
      <c r="BV68" s="19">
        <f t="shared" si="100"/>
        <v>960.39886880093547</v>
      </c>
      <c r="BW68" s="15">
        <f t="shared" si="58"/>
        <v>5.4207977376018715E-6</v>
      </c>
      <c r="BX68" s="16">
        <f t="shared" si="59"/>
        <v>26.93358699121076</v>
      </c>
      <c r="BY68" s="17">
        <f t="shared" si="60"/>
        <v>1.3566595511221113E-2</v>
      </c>
      <c r="BZ68" s="18">
        <f t="shared" si="61"/>
        <v>0.20478612825688292</v>
      </c>
      <c r="CA68" s="19">
        <f t="shared" si="101"/>
        <v>951.69037852853717</v>
      </c>
      <c r="CB68" s="15">
        <f t="shared" si="62"/>
        <v>5.403380757057075E-6</v>
      </c>
      <c r="CC68" s="16">
        <f t="shared" si="63"/>
        <v>26.833439353078177</v>
      </c>
      <c r="CD68" s="17">
        <f t="shared" si="64"/>
        <v>1.3523006146423563E-2</v>
      </c>
      <c r="CE68" s="18">
        <f t="shared" si="65"/>
        <v>0.20555043009673971</v>
      </c>
      <c r="CF68" s="19">
        <f t="shared" si="102"/>
        <v>942.28762026212348</v>
      </c>
      <c r="CG68" s="15">
        <f t="shared" si="66"/>
        <v>5.3845752405242474E-6</v>
      </c>
      <c r="CH68" s="16">
        <f t="shared" si="67"/>
        <v>26.725307633014417</v>
      </c>
      <c r="CI68" s="17">
        <f t="shared" si="68"/>
        <v>1.3475941701570597E-2</v>
      </c>
      <c r="CJ68" s="18">
        <f t="shared" si="69"/>
        <v>0.20638209579246958</v>
      </c>
      <c r="CK68" s="19">
        <f t="shared" si="103"/>
        <v>931.54756482168</v>
      </c>
      <c r="CL68" s="15">
        <f t="shared" si="70"/>
        <v>5.3630951296433613E-6</v>
      </c>
      <c r="CM68" s="16">
        <f t="shared" si="71"/>
        <v>26.60179699544932</v>
      </c>
      <c r="CN68" s="17">
        <f t="shared" si="72"/>
        <v>1.3422183566704993E-2</v>
      </c>
      <c r="CO68" s="18">
        <f t="shared" si="73"/>
        <v>0.20734031618027682</v>
      </c>
      <c r="CP68" s="19">
        <f t="shared" si="104"/>
        <v>915.66467220059917</v>
      </c>
      <c r="CQ68" s="15">
        <f t="shared" si="74"/>
        <v>5.3313293444011995E-6</v>
      </c>
      <c r="CR68" s="16">
        <f t="shared" si="75"/>
        <v>26.419143730306889</v>
      </c>
      <c r="CS68" s="17">
        <f t="shared" si="76"/>
        <v>1.3342683541000771E-2</v>
      </c>
      <c r="CT68" s="18">
        <f t="shared" si="77"/>
        <v>0.20877379889010997</v>
      </c>
      <c r="CU68" s="19">
        <f t="shared" si="105"/>
        <v>878.41331570213799</v>
      </c>
      <c r="CV68" s="15">
        <f t="shared" si="78"/>
        <v>5.2568266314042769E-6</v>
      </c>
      <c r="CW68" s="16">
        <f t="shared" si="79"/>
        <v>25.990753130574586</v>
      </c>
      <c r="CX68" s="17">
        <f t="shared" si="80"/>
        <v>1.3156226082035517E-2</v>
      </c>
      <c r="CY68" s="18">
        <f t="shared" si="81"/>
        <v>0.2122148970555077</v>
      </c>
      <c r="CZ68" s="20">
        <f t="shared" si="106"/>
        <v>777.29360654960044</v>
      </c>
      <c r="DA68" s="15">
        <f t="shared" si="82"/>
        <v>5.0545872130992011E-6</v>
      </c>
      <c r="DB68" s="16">
        <f t="shared" si="83"/>
        <v>24.827876475320405</v>
      </c>
      <c r="DC68" s="17">
        <f t="shared" si="84"/>
        <v>1.2650082795128191E-2</v>
      </c>
      <c r="DD68" s="18">
        <f t="shared" si="85"/>
        <v>0.2221545207655066</v>
      </c>
    </row>
    <row r="69" spans="2:108" x14ac:dyDescent="0.25">
      <c r="B69">
        <v>50</v>
      </c>
      <c r="C69">
        <f t="shared" si="86"/>
        <v>4.8880733317262573E-2</v>
      </c>
      <c r="D69" s="19">
        <f t="shared" si="3"/>
        <v>1019.1944755784133</v>
      </c>
      <c r="E69" s="15">
        <f t="shared" si="4"/>
        <v>5.5383889511568269E-6</v>
      </c>
      <c r="F69" s="16">
        <f t="shared" si="5"/>
        <v>27.609736469151752</v>
      </c>
      <c r="G69" s="17">
        <f t="shared" si="1"/>
        <v>1.3860890282433046E-2</v>
      </c>
      <c r="H69" s="18">
        <f t="shared" si="6"/>
        <v>0.19977101216313983</v>
      </c>
      <c r="I69" s="19">
        <f t="shared" si="87"/>
        <v>1018.8721480264809</v>
      </c>
      <c r="J69" s="15">
        <f t="shared" si="7"/>
        <v>5.5377442960529625E-6</v>
      </c>
      <c r="K69" s="16">
        <f t="shared" si="8"/>
        <v>27.606029702304529</v>
      </c>
      <c r="L69" s="17">
        <f t="shared" si="9"/>
        <v>1.3859276908265309E-2</v>
      </c>
      <c r="M69" s="18">
        <f t="shared" si="10"/>
        <v>0.19979783617850561</v>
      </c>
      <c r="N69" s="19">
        <f t="shared" si="88"/>
        <v>1017.968947140277</v>
      </c>
      <c r="O69" s="15">
        <f t="shared" si="11"/>
        <v>5.5359378942805545E-6</v>
      </c>
      <c r="P69" s="16">
        <f t="shared" si="12"/>
        <v>27.595642892113183</v>
      </c>
      <c r="Q69" s="17">
        <f t="shared" si="2"/>
        <v>1.3860890282433046E-2</v>
      </c>
      <c r="R69" s="18">
        <f t="shared" si="13"/>
        <v>0.19987303870990308</v>
      </c>
      <c r="S69" s="19">
        <f t="shared" si="89"/>
        <v>1016.4685518104543</v>
      </c>
      <c r="T69" s="15">
        <f t="shared" si="14"/>
        <v>5.5329371036209095E-6</v>
      </c>
      <c r="U69" s="16">
        <f t="shared" si="15"/>
        <v>27.578388345820223</v>
      </c>
      <c r="V69" s="17">
        <f t="shared" si="16"/>
        <v>1.3847245978791979E-2</v>
      </c>
      <c r="W69" s="18">
        <f t="shared" si="17"/>
        <v>0.19999809020152359</v>
      </c>
      <c r="X69" s="19">
        <f t="shared" si="90"/>
        <v>1014.3691073305855</v>
      </c>
      <c r="Y69" s="15">
        <f t="shared" si="18"/>
        <v>5.5287382146611719E-6</v>
      </c>
      <c r="Z69" s="16">
        <f t="shared" si="19"/>
        <v>27.554244734301733</v>
      </c>
      <c r="AA69" s="17">
        <f t="shared" si="20"/>
        <v>1.383673744649273E-2</v>
      </c>
      <c r="AB69" s="18">
        <f t="shared" si="21"/>
        <v>0.20017333275456131</v>
      </c>
      <c r="AC69" s="19">
        <f t="shared" si="91"/>
        <v>1011.6697751712037</v>
      </c>
      <c r="AD69" s="15">
        <f t="shared" si="22"/>
        <v>5.5233395503424078E-6</v>
      </c>
      <c r="AE69" s="16">
        <f t="shared" si="23"/>
        <v>27.523202414468841</v>
      </c>
      <c r="AF69" s="17">
        <f t="shared" si="24"/>
        <v>1.3823226244145982E-2</v>
      </c>
      <c r="AG69" s="18">
        <f t="shared" si="25"/>
        <v>0.20039910025515262</v>
      </c>
      <c r="AH69" s="19">
        <f t="shared" si="92"/>
        <v>1008.3705948857413</v>
      </c>
      <c r="AI69" s="15">
        <f t="shared" si="26"/>
        <v>5.516741189771483E-6</v>
      </c>
      <c r="AJ69" s="16">
        <f t="shared" si="27"/>
        <v>27.485261841186023</v>
      </c>
      <c r="AK69" s="17">
        <f t="shared" si="28"/>
        <v>1.3806712569731977E-2</v>
      </c>
      <c r="AL69" s="18">
        <f t="shared" si="29"/>
        <v>0.20067573057408405</v>
      </c>
      <c r="AM69" s="19">
        <f t="shared" si="93"/>
        <v>1004.4715882136028</v>
      </c>
      <c r="AN69" s="15">
        <f t="shared" si="30"/>
        <v>5.508943176427206E-6</v>
      </c>
      <c r="AO69" s="16">
        <f t="shared" si="31"/>
        <v>27.440423264456431</v>
      </c>
      <c r="AP69" s="17">
        <f t="shared" si="32"/>
        <v>1.378719653206485E-2</v>
      </c>
      <c r="AQ69" s="18">
        <f t="shared" si="33"/>
        <v>0.20100364148334354</v>
      </c>
      <c r="AR69" s="19">
        <f t="shared" si="94"/>
        <v>999.97276038668747</v>
      </c>
      <c r="AS69" s="15">
        <f t="shared" si="34"/>
        <v>5.4999455207733746E-6</v>
      </c>
      <c r="AT69" s="16">
        <f t="shared" si="35"/>
        <v>27.388686744446908</v>
      </c>
      <c r="AU69" s="17">
        <f t="shared" si="36"/>
        <v>1.3764678157332282E-2</v>
      </c>
      <c r="AV69" s="18">
        <f t="shared" si="37"/>
        <v>0.20138333215696441</v>
      </c>
      <c r="AW69" s="19">
        <f t="shared" si="95"/>
        <v>994.8741123387523</v>
      </c>
      <c r="AX69" s="15">
        <f t="shared" si="38"/>
        <v>5.489748224677505E-6</v>
      </c>
      <c r="AY69" s="16">
        <f t="shared" si="39"/>
        <v>27.330052291895651</v>
      </c>
      <c r="AZ69" s="17">
        <f t="shared" si="40"/>
        <v>1.3739157450208091E-2</v>
      </c>
      <c r="BA69" s="18">
        <f t="shared" si="41"/>
        <v>0.20181538407211838</v>
      </c>
      <c r="BB69" s="19">
        <f t="shared" si="96"/>
        <v>989.17564422944804</v>
      </c>
      <c r="BC69" s="15">
        <f t="shared" si="42"/>
        <v>5.4783512884588964E-6</v>
      </c>
      <c r="BD69" s="16">
        <f t="shared" si="43"/>
        <v>27.264519908638654</v>
      </c>
      <c r="BE69" s="17">
        <f t="shared" si="44"/>
        <v>1.3710634411491384E-2</v>
      </c>
      <c r="BF69" s="18">
        <f t="shared" si="45"/>
        <v>0.20230046296367743</v>
      </c>
      <c r="BG69" s="19">
        <f t="shared" si="97"/>
        <v>982.87735581527954</v>
      </c>
      <c r="BH69" s="15">
        <f t="shared" si="46"/>
        <v>5.4657547116305593E-6</v>
      </c>
      <c r="BI69" s="16">
        <f t="shared" si="47"/>
        <v>27.192089591875714</v>
      </c>
      <c r="BJ69" s="17">
        <f t="shared" si="48"/>
        <v>1.367910903996338E-2</v>
      </c>
      <c r="BK69" s="18">
        <f t="shared" si="49"/>
        <v>0.20283932139028862</v>
      </c>
      <c r="BL69" s="19">
        <f t="shared" si="98"/>
        <v>975.97924215996011</v>
      </c>
      <c r="BM69" s="15">
        <f t="shared" si="50"/>
        <v>5.4519584843199212E-6</v>
      </c>
      <c r="BN69" s="16">
        <f t="shared" si="51"/>
        <v>27.112761284839543</v>
      </c>
      <c r="BO69" s="17">
        <f t="shared" si="52"/>
        <v>1.3644581310916051E-2</v>
      </c>
      <c r="BP69" s="18">
        <f t="shared" si="53"/>
        <v>0.20343280206889641</v>
      </c>
      <c r="BQ69" s="19">
        <f t="shared" si="99"/>
        <v>968.48123094886307</v>
      </c>
      <c r="BR69" s="15">
        <f t="shared" si="54"/>
        <v>5.4369624618977261E-6</v>
      </c>
      <c r="BS69" s="16">
        <f t="shared" si="55"/>
        <v>27.026534155911925</v>
      </c>
      <c r="BT69" s="17">
        <f t="shared" si="56"/>
        <v>1.3607050862386694E-2</v>
      </c>
      <c r="BU69" s="18">
        <f t="shared" si="57"/>
        <v>0.20408184668375184</v>
      </c>
      <c r="BV69" s="19">
        <f t="shared" si="100"/>
        <v>960.38240420026796</v>
      </c>
      <c r="BW69" s="15">
        <f t="shared" si="58"/>
        <v>5.4207648084005365E-6</v>
      </c>
      <c r="BX69" s="16">
        <f t="shared" si="59"/>
        <v>26.933397648303078</v>
      </c>
      <c r="BY69" s="17">
        <f t="shared" si="60"/>
        <v>1.3566513099521463E-2</v>
      </c>
      <c r="BZ69" s="18">
        <f t="shared" si="61"/>
        <v>0.20478756791189723</v>
      </c>
      <c r="CA69" s="19">
        <f t="shared" si="101"/>
        <v>951.67276951635006</v>
      </c>
      <c r="CB69" s="15">
        <f t="shared" si="62"/>
        <v>5.4033455390327003E-6</v>
      </c>
      <c r="CC69" s="16">
        <f t="shared" si="63"/>
        <v>26.833236849438023</v>
      </c>
      <c r="CD69" s="17">
        <f t="shared" si="64"/>
        <v>1.3522918006501263E-2</v>
      </c>
      <c r="CE69" s="18">
        <f t="shared" si="65"/>
        <v>0.20555198133375829</v>
      </c>
      <c r="CF69" s="19">
        <f t="shared" si="102"/>
        <v>942.26102392652069</v>
      </c>
      <c r="CG69" s="15">
        <f t="shared" si="66"/>
        <v>5.3845220478530425E-6</v>
      </c>
      <c r="CH69" s="16">
        <f t="shared" si="67"/>
        <v>26.725001775154986</v>
      </c>
      <c r="CI69" s="17">
        <f t="shared" si="68"/>
        <v>1.3475808576615686E-2</v>
      </c>
      <c r="CJ69" s="18">
        <f t="shared" si="69"/>
        <v>0.20638445775998507</v>
      </c>
      <c r="CK69" s="19">
        <f t="shared" si="103"/>
        <v>931.4677089984159</v>
      </c>
      <c r="CL69" s="15">
        <f t="shared" si="70"/>
        <v>5.3629354179968324E-6</v>
      </c>
      <c r="CM69" s="16">
        <f t="shared" si="71"/>
        <v>26.600878653481782</v>
      </c>
      <c r="CN69" s="17">
        <f t="shared" si="72"/>
        <v>1.3421783857398029E-2</v>
      </c>
      <c r="CO69" s="18">
        <f t="shared" si="73"/>
        <v>0.20734747418871674</v>
      </c>
      <c r="CP69" s="19">
        <f t="shared" si="104"/>
        <v>915.35805939687498</v>
      </c>
      <c r="CQ69" s="15">
        <f t="shared" si="74"/>
        <v>5.3307161187937502E-6</v>
      </c>
      <c r="CR69" s="16">
        <f t="shared" si="75"/>
        <v>26.415617683064063</v>
      </c>
      <c r="CS69" s="17">
        <f t="shared" si="76"/>
        <v>1.3341148825230862E-2</v>
      </c>
      <c r="CT69" s="18">
        <f t="shared" si="77"/>
        <v>0.20880166673279238</v>
      </c>
      <c r="CU69" s="19">
        <f t="shared" si="105"/>
        <v>877.51265879415882</v>
      </c>
      <c r="CV69" s="15">
        <f t="shared" si="78"/>
        <v>5.2550253175883185E-6</v>
      </c>
      <c r="CW69" s="16">
        <f t="shared" si="79"/>
        <v>25.980395576132828</v>
      </c>
      <c r="CX69" s="17">
        <f t="shared" si="80"/>
        <v>1.3151717945574279E-2</v>
      </c>
      <c r="CY69" s="18">
        <f t="shared" si="81"/>
        <v>0.21229950036122577</v>
      </c>
      <c r="CZ69" s="20">
        <f t="shared" si="106"/>
        <v>775.85746370876291</v>
      </c>
      <c r="DA69" s="15">
        <f t="shared" si="82"/>
        <v>5.0517149274175261E-6</v>
      </c>
      <c r="DB69" s="16">
        <f t="shared" si="83"/>
        <v>24.81136083265077</v>
      </c>
      <c r="DC69" s="17">
        <f t="shared" si="84"/>
        <v>1.2642894344290842E-2</v>
      </c>
      <c r="DD69" s="18">
        <f t="shared" si="85"/>
        <v>0.2223023975670716</v>
      </c>
    </row>
    <row r="70" spans="2:108" x14ac:dyDescent="0.25">
      <c r="B70">
        <v>51</v>
      </c>
      <c r="C70">
        <f t="shared" si="86"/>
        <v>4.9858347983607824E-2</v>
      </c>
      <c r="D70" s="19">
        <f t="shared" si="3"/>
        <v>1019.1780191619024</v>
      </c>
      <c r="E70" s="15">
        <f t="shared" si="4"/>
        <v>5.5383560383238048E-6</v>
      </c>
      <c r="F70" s="16">
        <f t="shared" si="5"/>
        <v>27.609547220361875</v>
      </c>
      <c r="G70" s="17">
        <f t="shared" si="1"/>
        <v>1.3860807911698265E-2</v>
      </c>
      <c r="H70" s="18">
        <f t="shared" si="6"/>
        <v>0.19977238148738127</v>
      </c>
      <c r="I70" s="19">
        <f t="shared" si="87"/>
        <v>1018.8556032456379</v>
      </c>
      <c r="J70" s="15">
        <f t="shared" si="7"/>
        <v>5.5377112064912763E-6</v>
      </c>
      <c r="K70" s="16">
        <f t="shared" si="8"/>
        <v>27.605839437324835</v>
      </c>
      <c r="L70" s="17">
        <f t="shared" si="9"/>
        <v>1.3859194095232841E-2</v>
      </c>
      <c r="M70" s="18">
        <f t="shared" si="10"/>
        <v>0.1997992132252471</v>
      </c>
      <c r="N70" s="19">
        <f t="shared" si="88"/>
        <v>1017.9523425299492</v>
      </c>
      <c r="O70" s="15">
        <f t="shared" si="11"/>
        <v>5.5359046850598985E-6</v>
      </c>
      <c r="P70" s="16">
        <f t="shared" si="12"/>
        <v>27.595451939094417</v>
      </c>
      <c r="Q70" s="17">
        <f t="shared" si="2"/>
        <v>1.3860807911698265E-2</v>
      </c>
      <c r="R70" s="18">
        <f t="shared" si="13"/>
        <v>0.199874421776946</v>
      </c>
      <c r="S70" s="19">
        <f t="shared" si="89"/>
        <v>1016.4519323905701</v>
      </c>
      <c r="T70" s="15">
        <f t="shared" si="14"/>
        <v>5.5329038647811402E-6</v>
      </c>
      <c r="U70" s="16">
        <f t="shared" si="15"/>
        <v>27.578197222491553</v>
      </c>
      <c r="V70" s="17">
        <f t="shared" si="16"/>
        <v>1.3847162792162217E-2</v>
      </c>
      <c r="W70" s="18">
        <f t="shared" si="17"/>
        <v>0.19999947623486067</v>
      </c>
      <c r="X70" s="19">
        <f t="shared" si="90"/>
        <v>1014.3524944080644</v>
      </c>
      <c r="Y70" s="15">
        <f t="shared" si="18"/>
        <v>5.5287049888161289E-6</v>
      </c>
      <c r="Z70" s="16">
        <f t="shared" si="19"/>
        <v>27.55405368569274</v>
      </c>
      <c r="AA70" s="17">
        <f t="shared" si="20"/>
        <v>1.3836654292384785E-2</v>
      </c>
      <c r="AB70" s="18">
        <f t="shared" si="21"/>
        <v>0.20017472067509079</v>
      </c>
      <c r="AC70" s="19">
        <f t="shared" si="91"/>
        <v>1011.6531753457584</v>
      </c>
      <c r="AD70" s="15">
        <f t="shared" si="22"/>
        <v>5.5233063506915174E-6</v>
      </c>
      <c r="AE70" s="16">
        <f t="shared" si="23"/>
        <v>27.52301151647622</v>
      </c>
      <c r="AF70" s="17">
        <f t="shared" si="24"/>
        <v>1.3823143155593975E-2</v>
      </c>
      <c r="AG70" s="18">
        <f t="shared" si="25"/>
        <v>0.20040049021155107</v>
      </c>
      <c r="AH70" s="19">
        <f t="shared" si="92"/>
        <v>1008.3540116023318</v>
      </c>
      <c r="AI70" s="15">
        <f t="shared" si="26"/>
        <v>5.5167080232046635E-6</v>
      </c>
      <c r="AJ70" s="16">
        <f t="shared" si="27"/>
        <v>27.485071133426814</v>
      </c>
      <c r="AK70" s="17">
        <f t="shared" si="28"/>
        <v>1.3806629563979262E-2</v>
      </c>
      <c r="AL70" s="18">
        <f t="shared" si="29"/>
        <v>0.20067712298157392</v>
      </c>
      <c r="AM70" s="19">
        <f t="shared" si="93"/>
        <v>1004.4550248629664</v>
      </c>
      <c r="AN70" s="15">
        <f t="shared" si="30"/>
        <v>5.5089100497259329E-6</v>
      </c>
      <c r="AO70" s="16">
        <f t="shared" si="31"/>
        <v>27.440232785924113</v>
      </c>
      <c r="AP70" s="17">
        <f t="shared" si="32"/>
        <v>1.378711362608338E-2</v>
      </c>
      <c r="AQ70" s="18">
        <f t="shared" si="33"/>
        <v>0.20100503676591711</v>
      </c>
      <c r="AR70" s="19">
        <f t="shared" si="94"/>
        <v>999.95622050399436</v>
      </c>
      <c r="AS70" s="15">
        <f t="shared" si="34"/>
        <v>5.4999124410079894E-6</v>
      </c>
      <c r="AT70" s="16">
        <f t="shared" si="35"/>
        <v>27.388496535795934</v>
      </c>
      <c r="AU70" s="17">
        <f t="shared" si="36"/>
        <v>1.3764595368816954E-2</v>
      </c>
      <c r="AV70" s="18">
        <f t="shared" si="37"/>
        <v>0.20138473073143118</v>
      </c>
      <c r="AW70" s="19">
        <f t="shared" si="95"/>
        <v>994.857599506366</v>
      </c>
      <c r="AX70" s="15">
        <f t="shared" si="38"/>
        <v>5.4897151990127325E-6</v>
      </c>
      <c r="AY70" s="16">
        <f t="shared" si="39"/>
        <v>27.329862394323207</v>
      </c>
      <c r="AZ70" s="17">
        <f t="shared" si="40"/>
        <v>1.3739074797090016E-2</v>
      </c>
      <c r="BA70" s="18">
        <f t="shared" si="41"/>
        <v>0.20181678635695113</v>
      </c>
      <c r="BB70" s="19">
        <f t="shared" si="96"/>
        <v>989.15916203665472</v>
      </c>
      <c r="BC70" s="15">
        <f t="shared" si="42"/>
        <v>5.4783183240733095E-6</v>
      </c>
      <c r="BD70" s="16">
        <f t="shared" si="43"/>
        <v>27.264330363421529</v>
      </c>
      <c r="BE70" s="17">
        <f t="shared" si="44"/>
        <v>1.3710551911736334E-2</v>
      </c>
      <c r="BF70" s="18">
        <f t="shared" si="45"/>
        <v>0.20230186938315173</v>
      </c>
      <c r="BG70" s="19">
        <f t="shared" si="97"/>
        <v>982.86090779128085</v>
      </c>
      <c r="BH70" s="15">
        <f t="shared" si="46"/>
        <v>5.4657218155825622E-6</v>
      </c>
      <c r="BI70" s="16">
        <f t="shared" si="47"/>
        <v>27.191900439599728</v>
      </c>
      <c r="BJ70" s="17">
        <f t="shared" si="48"/>
        <v>1.3679026711236374E-2</v>
      </c>
      <c r="BK70" s="18">
        <f t="shared" si="49"/>
        <v>0.20284073238101308</v>
      </c>
      <c r="BL70" s="19">
        <f t="shared" si="98"/>
        <v>975.96283093791283</v>
      </c>
      <c r="BM70" s="15">
        <f t="shared" si="50"/>
        <v>5.4519256618758262E-6</v>
      </c>
      <c r="BN70" s="16">
        <f t="shared" si="51"/>
        <v>27.112572555785995</v>
      </c>
      <c r="BO70" s="17">
        <f t="shared" si="52"/>
        <v>1.3644499166397055E-2</v>
      </c>
      <c r="BP70" s="18">
        <f t="shared" si="53"/>
        <v>0.20343421815289639</v>
      </c>
      <c r="BQ70" s="19">
        <f t="shared" si="99"/>
        <v>968.46484808166485</v>
      </c>
      <c r="BR70" s="15">
        <f t="shared" si="54"/>
        <v>5.4369296961633297E-6</v>
      </c>
      <c r="BS70" s="16">
        <f t="shared" si="55"/>
        <v>27.026345752939143</v>
      </c>
      <c r="BT70" s="17">
        <f t="shared" si="56"/>
        <v>1.3606968859794694E-2</v>
      </c>
      <c r="BU70" s="18">
        <f t="shared" si="57"/>
        <v>0.20408326935579776</v>
      </c>
      <c r="BV70" s="19">
        <f t="shared" si="100"/>
        <v>960.36592466245224</v>
      </c>
      <c r="BW70" s="15">
        <f t="shared" si="58"/>
        <v>5.4207318493249052E-6</v>
      </c>
      <c r="BX70" s="16">
        <f t="shared" si="59"/>
        <v>26.933208133618201</v>
      </c>
      <c r="BY70" s="17">
        <f t="shared" si="60"/>
        <v>1.3566430613055602E-2</v>
      </c>
      <c r="BZ70" s="18">
        <f t="shared" si="61"/>
        <v>0.20478900889327631</v>
      </c>
      <c r="CA70" s="19">
        <f t="shared" si="101"/>
        <v>951.65504962919249</v>
      </c>
      <c r="CB70" s="15">
        <f t="shared" si="62"/>
        <v>5.4033100992583856E-6</v>
      </c>
      <c r="CC70" s="16">
        <f t="shared" si="63"/>
        <v>26.833033070735713</v>
      </c>
      <c r="CD70" s="17">
        <f t="shared" si="64"/>
        <v>1.352282931160682E-2</v>
      </c>
      <c r="CE70" s="18">
        <f t="shared" si="65"/>
        <v>0.20555354236176074</v>
      </c>
      <c r="CF70" s="19">
        <f t="shared" si="102"/>
        <v>942.23380277565786</v>
      </c>
      <c r="CG70" s="15">
        <f t="shared" si="66"/>
        <v>5.3844676055513159E-6</v>
      </c>
      <c r="CH70" s="16">
        <f t="shared" si="67"/>
        <v>26.724688731920065</v>
      </c>
      <c r="CI70" s="17">
        <f t="shared" si="68"/>
        <v>1.3475672324218532E-2</v>
      </c>
      <c r="CJ70" s="18">
        <f t="shared" si="69"/>
        <v>0.20638687527208194</v>
      </c>
      <c r="CK70" s="19">
        <f t="shared" si="103"/>
        <v>931.38540500455099</v>
      </c>
      <c r="CL70" s="15">
        <f t="shared" si="70"/>
        <v>5.3627708100091026E-6</v>
      </c>
      <c r="CM70" s="16">
        <f t="shared" si="71"/>
        <v>26.599932157552338</v>
      </c>
      <c r="CN70" s="17">
        <f t="shared" si="72"/>
        <v>1.3421371894049542E-2</v>
      </c>
      <c r="CO70" s="18">
        <f t="shared" si="73"/>
        <v>0.20735485216017688</v>
      </c>
      <c r="CP70" s="19">
        <f t="shared" si="104"/>
        <v>915.04622049944862</v>
      </c>
      <c r="CQ70" s="15">
        <f t="shared" si="74"/>
        <v>5.3300924409988972E-6</v>
      </c>
      <c r="CR70" s="16">
        <f t="shared" si="75"/>
        <v>26.412031535743658</v>
      </c>
      <c r="CS70" s="17">
        <f t="shared" si="76"/>
        <v>1.3339587950838998E-2</v>
      </c>
      <c r="CT70" s="18">
        <f t="shared" si="77"/>
        <v>0.2088300172039266</v>
      </c>
      <c r="CU70" s="19">
        <f t="shared" si="105"/>
        <v>876.61249188996965</v>
      </c>
      <c r="CV70" s="15">
        <f t="shared" si="78"/>
        <v>5.2532249837799399E-6</v>
      </c>
      <c r="CW70" s="16">
        <f t="shared" si="79"/>
        <v>25.970043656734649</v>
      </c>
      <c r="CX70" s="17">
        <f t="shared" si="80"/>
        <v>1.3147212261771686E-2</v>
      </c>
      <c r="CY70" s="18">
        <f t="shared" si="81"/>
        <v>0.21238412506748588</v>
      </c>
      <c r="CZ70" s="20">
        <f t="shared" si="106"/>
        <v>774.44208071365324</v>
      </c>
      <c r="DA70" s="15">
        <f t="shared" si="82"/>
        <v>5.0488841614273066E-6</v>
      </c>
      <c r="DB70" s="16">
        <f t="shared" si="83"/>
        <v>24.795083928207013</v>
      </c>
      <c r="DC70" s="17">
        <f t="shared" si="84"/>
        <v>1.2635809804517327E-2</v>
      </c>
      <c r="DD70" s="18">
        <f t="shared" si="85"/>
        <v>0.22244832951444043</v>
      </c>
    </row>
    <row r="71" spans="2:108" x14ac:dyDescent="0.25">
      <c r="B71">
        <v>52</v>
      </c>
      <c r="C71">
        <f t="shared" si="86"/>
        <v>5.0835962649953076E-2</v>
      </c>
      <c r="D71" s="19">
        <f t="shared" si="3"/>
        <v>1019.161558233955</v>
      </c>
      <c r="E71" s="15">
        <f t="shared" si="4"/>
        <v>5.5383231164679107E-6</v>
      </c>
      <c r="F71" s="16">
        <f t="shared" si="5"/>
        <v>27.609357919690481</v>
      </c>
      <c r="G71" s="17">
        <f t="shared" si="1"/>
        <v>1.3860725518382003E-2</v>
      </c>
      <c r="H71" s="18">
        <f t="shared" si="6"/>
        <v>0.1997737512057953</v>
      </c>
      <c r="I71" s="19">
        <f t="shared" si="87"/>
        <v>1018.8390579316194</v>
      </c>
      <c r="J71" s="15">
        <f t="shared" si="7"/>
        <v>5.5376781158632399E-6</v>
      </c>
      <c r="K71" s="16">
        <f t="shared" si="8"/>
        <v>27.605649166213624</v>
      </c>
      <c r="L71" s="17">
        <f t="shared" si="9"/>
        <v>1.3859111279531627E-2</v>
      </c>
      <c r="M71" s="18">
        <f t="shared" si="10"/>
        <v>0.19980059033534839</v>
      </c>
      <c r="N71" s="19">
        <f t="shared" si="88"/>
        <v>1017.9357383841708</v>
      </c>
      <c r="O71" s="15">
        <f t="shared" si="11"/>
        <v>5.535871476768342E-6</v>
      </c>
      <c r="P71" s="16">
        <f t="shared" si="12"/>
        <v>27.595260991417963</v>
      </c>
      <c r="Q71" s="17">
        <f t="shared" si="2"/>
        <v>1.3860725518382003E-2</v>
      </c>
      <c r="R71" s="18">
        <f t="shared" si="13"/>
        <v>0.19987580482443495</v>
      </c>
      <c r="S71" s="19">
        <f t="shared" si="89"/>
        <v>1016.4353133456044</v>
      </c>
      <c r="T71" s="15">
        <f t="shared" si="14"/>
        <v>5.5328706266912093E-6</v>
      </c>
      <c r="U71" s="16">
        <f t="shared" si="15"/>
        <v>27.578006103474451</v>
      </c>
      <c r="V71" s="17">
        <f t="shared" si="16"/>
        <v>1.3847079607409073E-2</v>
      </c>
      <c r="W71" s="18">
        <f t="shared" si="17"/>
        <v>0.20000086225614067</v>
      </c>
      <c r="X71" s="19">
        <f t="shared" si="90"/>
        <v>1014.3358817106455</v>
      </c>
      <c r="Y71" s="15">
        <f t="shared" si="18"/>
        <v>5.5286717634212916E-6</v>
      </c>
      <c r="Z71" s="16">
        <f t="shared" si="19"/>
        <v>27.553862639672424</v>
      </c>
      <c r="AA71" s="17">
        <f t="shared" si="20"/>
        <v>1.3836571139403567E-2</v>
      </c>
      <c r="AB71" s="18">
        <f t="shared" si="21"/>
        <v>0.20017610859606044</v>
      </c>
      <c r="AC71" s="19">
        <f t="shared" si="91"/>
        <v>1011.6365757087485</v>
      </c>
      <c r="AD71" s="15">
        <f t="shared" si="22"/>
        <v>5.5232731514174973E-6</v>
      </c>
      <c r="AE71" s="16">
        <f t="shared" si="23"/>
        <v>27.522820620650606</v>
      </c>
      <c r="AF71" s="17">
        <f t="shared" si="24"/>
        <v>1.3823060067985157E-2</v>
      </c>
      <c r="AG71" s="18">
        <f t="shared" si="25"/>
        <v>0.20040188017145233</v>
      </c>
      <c r="AH71" s="19">
        <f t="shared" si="92"/>
        <v>1008.3374285074869</v>
      </c>
      <c r="AI71" s="15">
        <f t="shared" si="26"/>
        <v>5.5166748570149745E-6</v>
      </c>
      <c r="AJ71" s="16">
        <f t="shared" si="27"/>
        <v>27.484880427836099</v>
      </c>
      <c r="AK71" s="17">
        <f t="shared" si="28"/>
        <v>1.3806546559170386E-2</v>
      </c>
      <c r="AL71" s="18">
        <f t="shared" si="29"/>
        <v>0.20067851539255352</v>
      </c>
      <c r="AM71" s="19">
        <f t="shared" si="93"/>
        <v>1004.4384617035176</v>
      </c>
      <c r="AN71" s="15">
        <f t="shared" si="30"/>
        <v>5.5088769234070359E-6</v>
      </c>
      <c r="AO71" s="16">
        <f t="shared" si="31"/>
        <v>27.440042309590453</v>
      </c>
      <c r="AP71" s="17">
        <f t="shared" si="32"/>
        <v>1.378703072105888E-2</v>
      </c>
      <c r="AQ71" s="18">
        <f t="shared" si="33"/>
        <v>0.20100643205175589</v>
      </c>
      <c r="AR71" s="19">
        <f t="shared" si="94"/>
        <v>999.93968081368052</v>
      </c>
      <c r="AS71" s="15">
        <f t="shared" si="34"/>
        <v>5.4998793616273622E-6</v>
      </c>
      <c r="AT71" s="16">
        <f t="shared" si="35"/>
        <v>27.388306329357327</v>
      </c>
      <c r="AU71" s="17">
        <f t="shared" si="36"/>
        <v>1.3764512581264559E-2</v>
      </c>
      <c r="AV71" s="18">
        <f t="shared" si="37"/>
        <v>0.20138612930905631</v>
      </c>
      <c r="AW71" s="19">
        <f t="shared" si="95"/>
        <v>994.84108686681657</v>
      </c>
      <c r="AX71" s="15">
        <f t="shared" si="38"/>
        <v>5.4896821737336336E-6</v>
      </c>
      <c r="AY71" s="16">
        <f t="shared" si="39"/>
        <v>27.329672498968389</v>
      </c>
      <c r="AZ71" s="17">
        <f t="shared" si="40"/>
        <v>1.3738992144937167E-2</v>
      </c>
      <c r="BA71" s="18">
        <f t="shared" si="41"/>
        <v>0.20181818864489495</v>
      </c>
      <c r="BB71" s="19">
        <f t="shared" si="96"/>
        <v>989.14268003602353</v>
      </c>
      <c r="BC71" s="15">
        <f t="shared" si="42"/>
        <v>5.4782853600720477E-6</v>
      </c>
      <c r="BD71" s="16">
        <f t="shared" si="43"/>
        <v>27.264140820414269</v>
      </c>
      <c r="BE71" s="17">
        <f t="shared" si="44"/>
        <v>1.3710469412943131E-2</v>
      </c>
      <c r="BF71" s="18">
        <f t="shared" si="45"/>
        <v>0.20230327580578392</v>
      </c>
      <c r="BG71" s="19">
        <f t="shared" si="97"/>
        <v>982.84445994658381</v>
      </c>
      <c r="BH71" s="15">
        <f t="shared" si="46"/>
        <v>5.4656889198931676E-6</v>
      </c>
      <c r="BI71" s="16">
        <f t="shared" si="47"/>
        <v>27.191711289385715</v>
      </c>
      <c r="BJ71" s="17">
        <f t="shared" si="48"/>
        <v>1.3678944383406839E-2</v>
      </c>
      <c r="BK71" s="18">
        <f t="shared" si="49"/>
        <v>0.20284214337598622</v>
      </c>
      <c r="BL71" s="19">
        <f t="shared" si="98"/>
        <v>975.94641973622629</v>
      </c>
      <c r="BM71" s="15">
        <f t="shared" si="50"/>
        <v>5.4518928394724532E-6</v>
      </c>
      <c r="BN71" s="16">
        <f t="shared" si="51"/>
        <v>27.1123838269666</v>
      </c>
      <c r="BO71" s="17">
        <f t="shared" si="52"/>
        <v>1.3644417021979976E-2</v>
      </c>
      <c r="BP71" s="18">
        <f t="shared" si="53"/>
        <v>0.20343563425485414</v>
      </c>
      <c r="BQ71" s="19">
        <f t="shared" si="99"/>
        <v>968.44846357134622</v>
      </c>
      <c r="BR71" s="15">
        <f t="shared" si="54"/>
        <v>5.4368969271426928E-6</v>
      </c>
      <c r="BS71" s="16">
        <f t="shared" si="55"/>
        <v>27.026157331070479</v>
      </c>
      <c r="BT71" s="17">
        <f t="shared" si="56"/>
        <v>1.3606886848978244E-2</v>
      </c>
      <c r="BU71" s="18">
        <f t="shared" si="57"/>
        <v>0.20408469219036887</v>
      </c>
      <c r="BV71" s="19">
        <f t="shared" si="100"/>
        <v>960.34942901231511</v>
      </c>
      <c r="BW71" s="15">
        <f t="shared" si="58"/>
        <v>5.4206988580246304E-6</v>
      </c>
      <c r="BX71" s="16">
        <f t="shared" si="59"/>
        <v>26.933018433641621</v>
      </c>
      <c r="BY71" s="17">
        <f t="shared" si="60"/>
        <v>1.3566348045941335E-2</v>
      </c>
      <c r="BZ71" s="18">
        <f t="shared" si="61"/>
        <v>0.20479045130383594</v>
      </c>
      <c r="CA71" s="19">
        <f t="shared" si="101"/>
        <v>951.63721292195908</v>
      </c>
      <c r="CB71" s="15">
        <f t="shared" si="62"/>
        <v>5.4032744258439187E-6</v>
      </c>
      <c r="CC71" s="16">
        <f t="shared" si="63"/>
        <v>26.832827948602528</v>
      </c>
      <c r="CD71" s="17">
        <f t="shared" si="64"/>
        <v>1.3522740031982675E-2</v>
      </c>
      <c r="CE71" s="18">
        <f t="shared" si="65"/>
        <v>0.20555511370493684</v>
      </c>
      <c r="CF71" s="19">
        <f t="shared" si="102"/>
        <v>942.20593812435061</v>
      </c>
      <c r="CG71" s="15">
        <f t="shared" si="66"/>
        <v>5.3844118762487015E-6</v>
      </c>
      <c r="CH71" s="16">
        <f t="shared" si="67"/>
        <v>26.724368288430032</v>
      </c>
      <c r="CI71" s="17">
        <f t="shared" si="68"/>
        <v>1.3475532850852566E-2</v>
      </c>
      <c r="CJ71" s="18">
        <f t="shared" si="69"/>
        <v>0.20638934999215372</v>
      </c>
      <c r="CK71" s="19">
        <f t="shared" si="103"/>
        <v>931.30063822289003</v>
      </c>
      <c r="CL71" s="15">
        <f t="shared" si="70"/>
        <v>5.36260127644578E-6</v>
      </c>
      <c r="CM71" s="16">
        <f t="shared" si="71"/>
        <v>26.598957339563235</v>
      </c>
      <c r="CN71" s="17">
        <f t="shared" si="72"/>
        <v>1.3420947603494812E-2</v>
      </c>
      <c r="CO71" s="18">
        <f t="shared" si="73"/>
        <v>0.20736245145203758</v>
      </c>
      <c r="CP71" s="19">
        <f t="shared" si="104"/>
        <v>914.72927121411726</v>
      </c>
      <c r="CQ71" s="15">
        <f t="shared" si="74"/>
        <v>5.3294585424282354E-6</v>
      </c>
      <c r="CR71" s="16">
        <f t="shared" si="75"/>
        <v>26.408386618962346</v>
      </c>
      <c r="CS71" s="17">
        <f t="shared" si="76"/>
        <v>1.3338001496977482E-2</v>
      </c>
      <c r="CT71" s="18">
        <f t="shared" si="77"/>
        <v>0.20885884017009756</v>
      </c>
      <c r="CU71" s="19">
        <f t="shared" si="105"/>
        <v>875.71301986387698</v>
      </c>
      <c r="CV71" s="15">
        <f t="shared" si="78"/>
        <v>5.2514260397277541E-6</v>
      </c>
      <c r="CW71" s="16">
        <f t="shared" si="79"/>
        <v>25.959699728434586</v>
      </c>
      <c r="CX71" s="17">
        <f t="shared" si="80"/>
        <v>1.3142710056102945E-2</v>
      </c>
      <c r="CY71" s="18">
        <f t="shared" si="81"/>
        <v>0.21246875186150704</v>
      </c>
      <c r="CZ71" s="20">
        <f t="shared" si="106"/>
        <v>773.04680364945466</v>
      </c>
      <c r="DA71" s="15">
        <f t="shared" si="82"/>
        <v>5.0460936072989095E-6</v>
      </c>
      <c r="DB71" s="16">
        <f t="shared" si="83"/>
        <v>24.779038241968728</v>
      </c>
      <c r="DC71" s="17">
        <f t="shared" si="84"/>
        <v>1.2628825902710861E-2</v>
      </c>
      <c r="DD71" s="18">
        <f t="shared" si="85"/>
        <v>0.22259237610998481</v>
      </c>
    </row>
    <row r="72" spans="2:108" x14ac:dyDescent="0.25">
      <c r="B72">
        <v>53</v>
      </c>
      <c r="C72">
        <f t="shared" si="86"/>
        <v>5.1813577316298327E-2</v>
      </c>
      <c r="D72" s="19">
        <f t="shared" si="3"/>
        <v>1019.1450929976812</v>
      </c>
      <c r="E72" s="15">
        <f t="shared" si="4"/>
        <v>5.5382901859953631E-6</v>
      </c>
      <c r="F72" s="16">
        <f t="shared" si="5"/>
        <v>27.609168569473333</v>
      </c>
      <c r="G72" s="17">
        <f t="shared" si="1"/>
        <v>1.3860643103500896E-2</v>
      </c>
      <c r="H72" s="18">
        <f t="shared" si="6"/>
        <v>0.19977512130149652</v>
      </c>
      <c r="I72" s="19">
        <f t="shared" si="87"/>
        <v>1018.8225120776317</v>
      </c>
      <c r="J72" s="15">
        <f t="shared" si="7"/>
        <v>5.5376450241552637E-6</v>
      </c>
      <c r="K72" s="16">
        <f t="shared" si="8"/>
        <v>27.605458888892763</v>
      </c>
      <c r="L72" s="17">
        <f t="shared" si="9"/>
        <v>1.3859028461127652E-2</v>
      </c>
      <c r="M72" s="18">
        <f t="shared" si="10"/>
        <v>0.1998019675093772</v>
      </c>
      <c r="N72" s="19">
        <f t="shared" si="88"/>
        <v>1017.9191346910173</v>
      </c>
      <c r="O72" s="15">
        <f t="shared" si="11"/>
        <v>5.535838269382035E-6</v>
      </c>
      <c r="P72" s="16">
        <f t="shared" si="12"/>
        <v>27.595070048946699</v>
      </c>
      <c r="Q72" s="17">
        <f t="shared" si="2"/>
        <v>1.3860643103500896E-2</v>
      </c>
      <c r="R72" s="18">
        <f t="shared" si="13"/>
        <v>0.19987718785336189</v>
      </c>
      <c r="S72" s="19">
        <f t="shared" si="89"/>
        <v>1016.4186946741926</v>
      </c>
      <c r="T72" s="15">
        <f t="shared" si="14"/>
        <v>5.5328373893483853E-6</v>
      </c>
      <c r="U72" s="16">
        <f t="shared" si="15"/>
        <v>27.577814988753214</v>
      </c>
      <c r="V72" s="17">
        <f t="shared" si="16"/>
        <v>1.3846996424525705E-2</v>
      </c>
      <c r="W72" s="18">
        <f t="shared" si="17"/>
        <v>0.20000224826547652</v>
      </c>
      <c r="X72" s="19">
        <f t="shared" si="90"/>
        <v>1014.3192692395688</v>
      </c>
      <c r="Y72" s="15">
        <f t="shared" si="18"/>
        <v>5.5286385384791383E-6</v>
      </c>
      <c r="Z72" s="16">
        <f t="shared" si="19"/>
        <v>27.553671596255043</v>
      </c>
      <c r="AA72" s="17">
        <f t="shared" si="20"/>
        <v>1.383648798755528E-2</v>
      </c>
      <c r="AB72" s="18">
        <f t="shared" si="21"/>
        <v>0.20017749651736635</v>
      </c>
      <c r="AC72" s="19">
        <f t="shared" si="91"/>
        <v>1011.6199762606301</v>
      </c>
      <c r="AD72" s="15">
        <f t="shared" si="22"/>
        <v>5.5232399525212607E-6</v>
      </c>
      <c r="AE72" s="16">
        <f t="shared" si="23"/>
        <v>27.522629726997245</v>
      </c>
      <c r="AF72" s="17">
        <f t="shared" si="24"/>
        <v>1.3822976981321816E-2</v>
      </c>
      <c r="AG72" s="18">
        <f t="shared" si="25"/>
        <v>0.20040327013481796</v>
      </c>
      <c r="AH72" s="19">
        <f t="shared" si="92"/>
        <v>1008.3208456012421</v>
      </c>
      <c r="AI72" s="15">
        <f t="shared" si="26"/>
        <v>5.5166416912024845E-6</v>
      </c>
      <c r="AJ72" s="16">
        <f t="shared" si="27"/>
        <v>27.484689724414284</v>
      </c>
      <c r="AK72" s="17">
        <f t="shared" si="28"/>
        <v>1.3806463555305525E-2</v>
      </c>
      <c r="AL72" s="18">
        <f t="shared" si="29"/>
        <v>0.20067990780701969</v>
      </c>
      <c r="AM72" s="19">
        <f t="shared" si="93"/>
        <v>1004.4218987352382</v>
      </c>
      <c r="AN72" s="15">
        <f t="shared" si="30"/>
        <v>5.5088437974704769E-6</v>
      </c>
      <c r="AO72" s="16">
        <f t="shared" si="31"/>
        <v>27.439851835455237</v>
      </c>
      <c r="AP72" s="17">
        <f t="shared" si="32"/>
        <v>1.3786947816991253E-2</v>
      </c>
      <c r="AQ72" s="18">
        <f t="shared" si="33"/>
        <v>0.20100782734086123</v>
      </c>
      <c r="AR72" s="19">
        <f t="shared" si="94"/>
        <v>999.92314131573494</v>
      </c>
      <c r="AS72" s="15">
        <f t="shared" si="34"/>
        <v>5.4998462826314701E-6</v>
      </c>
      <c r="AT72" s="16">
        <f t="shared" si="35"/>
        <v>27.388116125130949</v>
      </c>
      <c r="AU72" s="17">
        <f t="shared" si="36"/>
        <v>1.3764429794675037E-2</v>
      </c>
      <c r="AV72" s="18">
        <f t="shared" si="37"/>
        <v>0.20138752788984052</v>
      </c>
      <c r="AW72" s="19">
        <f t="shared" si="95"/>
        <v>994.82457442008592</v>
      </c>
      <c r="AX72" s="15">
        <f t="shared" si="38"/>
        <v>5.4896491488401727E-6</v>
      </c>
      <c r="AY72" s="16">
        <f t="shared" si="39"/>
        <v>27.329482605830989</v>
      </c>
      <c r="AZ72" s="17">
        <f t="shared" si="40"/>
        <v>1.373890949374945E-2</v>
      </c>
      <c r="BA72" s="18">
        <f t="shared" si="41"/>
        <v>0.20181959093595106</v>
      </c>
      <c r="BB72" s="19">
        <f t="shared" si="96"/>
        <v>989.12619822737543</v>
      </c>
      <c r="BC72" s="15">
        <f t="shared" si="42"/>
        <v>5.4782523964547511E-6</v>
      </c>
      <c r="BD72" s="16">
        <f t="shared" si="43"/>
        <v>27.263951279614815</v>
      </c>
      <c r="BE72" s="17">
        <f t="shared" si="44"/>
        <v>1.3710386915110874E-2</v>
      </c>
      <c r="BF72" s="18">
        <f t="shared" si="45"/>
        <v>0.20230468223158901</v>
      </c>
      <c r="BG72" s="19">
        <f t="shared" si="97"/>
        <v>982.82801227907646</v>
      </c>
      <c r="BH72" s="15">
        <f t="shared" si="46"/>
        <v>5.4656560245581538E-6</v>
      </c>
      <c r="BI72" s="16">
        <f t="shared" si="47"/>
        <v>27.191522141209379</v>
      </c>
      <c r="BJ72" s="17">
        <f t="shared" si="48"/>
        <v>1.3678862056464213E-2</v>
      </c>
      <c r="BK72" s="18">
        <f t="shared" si="49"/>
        <v>0.20284355437538906</v>
      </c>
      <c r="BL72" s="19">
        <f t="shared" si="98"/>
        <v>975.93000853328135</v>
      </c>
      <c r="BM72" s="15">
        <f t="shared" si="50"/>
        <v>5.4518600170665636E-6</v>
      </c>
      <c r="BN72" s="16">
        <f t="shared" si="51"/>
        <v>27.112195098132737</v>
      </c>
      <c r="BO72" s="17">
        <f t="shared" si="52"/>
        <v>1.3644334877556596E-2</v>
      </c>
      <c r="BP72" s="18">
        <f t="shared" si="53"/>
        <v>0.20343705037663551</v>
      </c>
      <c r="BQ72" s="19">
        <f t="shared" si="99"/>
        <v>968.43207723473654</v>
      </c>
      <c r="BR72" s="15">
        <f t="shared" si="54"/>
        <v>5.4368641544694737E-6</v>
      </c>
      <c r="BS72" s="16">
        <f t="shared" si="55"/>
        <v>27.025968888199472</v>
      </c>
      <c r="BT72" s="17">
        <f t="shared" si="56"/>
        <v>1.3606804829020498E-2</v>
      </c>
      <c r="BU72" s="18">
        <f t="shared" si="57"/>
        <v>0.20408611520337847</v>
      </c>
      <c r="BV72" s="19">
        <f t="shared" si="100"/>
        <v>960.33291602066083</v>
      </c>
      <c r="BW72" s="15">
        <f t="shared" si="58"/>
        <v>5.4206658320413218E-6</v>
      </c>
      <c r="BX72" s="16">
        <f t="shared" si="59"/>
        <v>26.932828534237601</v>
      </c>
      <c r="BY72" s="17">
        <f t="shared" si="60"/>
        <v>1.3566265392026065E-2</v>
      </c>
      <c r="BZ72" s="18">
        <f t="shared" si="61"/>
        <v>0.2047918952511214</v>
      </c>
      <c r="CA72" s="19">
        <f t="shared" si="101"/>
        <v>951.61925333361989</v>
      </c>
      <c r="CB72" s="15">
        <f t="shared" si="62"/>
        <v>5.4032385066672408E-6</v>
      </c>
      <c r="CC72" s="16">
        <f t="shared" si="63"/>
        <v>26.832621413336629</v>
      </c>
      <c r="CD72" s="17">
        <f t="shared" si="64"/>
        <v>1.3522650137291032E-2</v>
      </c>
      <c r="CE72" s="18">
        <f t="shared" si="65"/>
        <v>0.20555669589772421</v>
      </c>
      <c r="CF72" s="19">
        <f t="shared" si="102"/>
        <v>942.17741151155747</v>
      </c>
      <c r="CG72" s="15">
        <f t="shared" si="66"/>
        <v>5.3843548230231161E-6</v>
      </c>
      <c r="CH72" s="16">
        <f t="shared" si="67"/>
        <v>26.724040232382912</v>
      </c>
      <c r="CI72" s="17">
        <f t="shared" si="68"/>
        <v>1.3475390064113125E-2</v>
      </c>
      <c r="CJ72" s="18">
        <f t="shared" si="69"/>
        <v>0.20639188356393917</v>
      </c>
      <c r="CK72" s="19">
        <f t="shared" si="103"/>
        <v>931.21339579365792</v>
      </c>
      <c r="CL72" s="15">
        <f t="shared" si="70"/>
        <v>5.3624267915873157E-6</v>
      </c>
      <c r="CM72" s="16">
        <f t="shared" si="71"/>
        <v>26.597954051627063</v>
      </c>
      <c r="CN72" s="17">
        <f t="shared" si="72"/>
        <v>1.3420510921365683E-2</v>
      </c>
      <c r="CO72" s="18">
        <f t="shared" si="73"/>
        <v>0.20737027326590918</v>
      </c>
      <c r="CP72" s="19">
        <f t="shared" si="104"/>
        <v>914.40732678092604</v>
      </c>
      <c r="CQ72" s="15">
        <f t="shared" si="74"/>
        <v>5.3288146535618533E-6</v>
      </c>
      <c r="CR72" s="16">
        <f t="shared" si="75"/>
        <v>26.404684257980648</v>
      </c>
      <c r="CS72" s="17">
        <f t="shared" si="76"/>
        <v>1.3336390040467348E-2</v>
      </c>
      <c r="CT72" s="18">
        <f t="shared" si="77"/>
        <v>0.20888812553526132</v>
      </c>
      <c r="CU72" s="19">
        <f t="shared" si="105"/>
        <v>874.81443456298257</v>
      </c>
      <c r="CV72" s="15">
        <f t="shared" si="78"/>
        <v>5.2496288691259658E-6</v>
      </c>
      <c r="CW72" s="16">
        <f t="shared" si="79"/>
        <v>25.949365997474299</v>
      </c>
      <c r="CX72" s="17">
        <f t="shared" si="80"/>
        <v>1.313821228883707E-2</v>
      </c>
      <c r="CY72" s="18">
        <f t="shared" si="81"/>
        <v>0.21255336259609758</v>
      </c>
      <c r="CZ72" s="20">
        <f t="shared" si="106"/>
        <v>771.67100551352723</v>
      </c>
      <c r="DA72" s="15">
        <f t="shared" si="82"/>
        <v>5.0433420110270548E-6</v>
      </c>
      <c r="DB72" s="16">
        <f t="shared" si="83"/>
        <v>24.763216563405564</v>
      </c>
      <c r="DC72" s="17">
        <f t="shared" si="84"/>
        <v>1.2621939500480522E-2</v>
      </c>
      <c r="DD72" s="18">
        <f t="shared" si="85"/>
        <v>0.22273459450945671</v>
      </c>
    </row>
    <row r="73" spans="2:108" x14ac:dyDescent="0.25">
      <c r="B73">
        <v>54</v>
      </c>
      <c r="C73">
        <f t="shared" si="86"/>
        <v>5.2791191982643579E-2</v>
      </c>
      <c r="D73" s="19">
        <f t="shared" si="3"/>
        <v>1019.1286236454741</v>
      </c>
      <c r="E73" s="15">
        <f t="shared" si="4"/>
        <v>5.5382572472909486E-6</v>
      </c>
      <c r="F73" s="16">
        <f t="shared" si="5"/>
        <v>27.608979171922954</v>
      </c>
      <c r="G73" s="17">
        <f t="shared" si="1"/>
        <v>1.3860560668017947E-2</v>
      </c>
      <c r="H73" s="18">
        <f t="shared" si="6"/>
        <v>0.19977649175849044</v>
      </c>
      <c r="I73" s="19">
        <f t="shared" si="87"/>
        <v>1018.8059656782282</v>
      </c>
      <c r="J73" s="15">
        <f t="shared" si="7"/>
        <v>5.5376119313564564E-6</v>
      </c>
      <c r="K73" s="16">
        <f t="shared" si="8"/>
        <v>27.605268605299621</v>
      </c>
      <c r="L73" s="17">
        <f t="shared" si="9"/>
        <v>1.3858945639993665E-2</v>
      </c>
      <c r="M73" s="18">
        <f t="shared" si="10"/>
        <v>0.19980334474778913</v>
      </c>
      <c r="N73" s="19">
        <f t="shared" si="88"/>
        <v>1017.9025314388009</v>
      </c>
      <c r="O73" s="15">
        <f t="shared" si="11"/>
        <v>5.5358050628776027E-6</v>
      </c>
      <c r="P73" s="16">
        <f t="shared" si="12"/>
        <v>27.594879111546209</v>
      </c>
      <c r="Q73" s="17">
        <f t="shared" si="2"/>
        <v>1.3860560668017947E-2</v>
      </c>
      <c r="R73" s="18">
        <f t="shared" si="13"/>
        <v>0.19987857086469932</v>
      </c>
      <c r="S73" s="19">
        <f t="shared" si="89"/>
        <v>1016.4020763748888</v>
      </c>
      <c r="T73" s="15">
        <f t="shared" si="14"/>
        <v>5.5328041527497779E-6</v>
      </c>
      <c r="U73" s="16">
        <f t="shared" si="15"/>
        <v>27.577623878311222</v>
      </c>
      <c r="V73" s="17">
        <f t="shared" si="16"/>
        <v>1.3846913243504885E-2</v>
      </c>
      <c r="W73" s="18">
        <f t="shared" si="17"/>
        <v>0.20000363426298792</v>
      </c>
      <c r="X73" s="19">
        <f t="shared" si="90"/>
        <v>1014.302656996031</v>
      </c>
      <c r="Y73" s="15">
        <f t="shared" si="18"/>
        <v>5.5286053139920628E-6</v>
      </c>
      <c r="Z73" s="16">
        <f t="shared" si="19"/>
        <v>27.553480555454357</v>
      </c>
      <c r="AA73" s="17">
        <f t="shared" si="20"/>
        <v>1.3836404836845912E-2</v>
      </c>
      <c r="AB73" s="18">
        <f t="shared" si="21"/>
        <v>0.20017888443890813</v>
      </c>
      <c r="AC73" s="19">
        <f t="shared" si="91"/>
        <v>1011.6033770018628</v>
      </c>
      <c r="AD73" s="15">
        <f t="shared" si="22"/>
        <v>5.5232067540037257E-6</v>
      </c>
      <c r="AE73" s="16">
        <f t="shared" si="23"/>
        <v>27.52243883552142</v>
      </c>
      <c r="AF73" s="17">
        <f t="shared" si="24"/>
        <v>1.382289389560625E-2</v>
      </c>
      <c r="AG73" s="18">
        <f t="shared" si="25"/>
        <v>0.20040466010160923</v>
      </c>
      <c r="AH73" s="19">
        <f t="shared" si="92"/>
        <v>1008.3042628836374</v>
      </c>
      <c r="AI73" s="15">
        <f t="shared" si="26"/>
        <v>5.5166085257672756E-6</v>
      </c>
      <c r="AJ73" s="16">
        <f t="shared" si="27"/>
        <v>27.484499023161831</v>
      </c>
      <c r="AK73" s="17">
        <f t="shared" si="28"/>
        <v>1.3806380552384883E-2</v>
      </c>
      <c r="AL73" s="18">
        <f t="shared" si="29"/>
        <v>0.20068130022496874</v>
      </c>
      <c r="AM73" s="19">
        <f t="shared" si="93"/>
        <v>1004.4053359581106</v>
      </c>
      <c r="AN73" s="15">
        <f t="shared" si="30"/>
        <v>5.5088106719162211E-6</v>
      </c>
      <c r="AO73" s="16">
        <f t="shared" si="31"/>
        <v>27.439661363518269</v>
      </c>
      <c r="AP73" s="17">
        <f t="shared" si="32"/>
        <v>1.3786864913880415E-2</v>
      </c>
      <c r="AQ73" s="18">
        <f t="shared" si="33"/>
        <v>0.20100922263323426</v>
      </c>
      <c r="AR73" s="19">
        <f t="shared" si="94"/>
        <v>999.90660201014657</v>
      </c>
      <c r="AS73" s="15">
        <f t="shared" si="34"/>
        <v>5.4998132040202935E-6</v>
      </c>
      <c r="AT73" s="16">
        <f t="shared" si="35"/>
        <v>27.387925923116683</v>
      </c>
      <c r="AU73" s="17">
        <f t="shared" si="36"/>
        <v>1.376434700904834E-2</v>
      </c>
      <c r="AV73" s="18">
        <f t="shared" si="37"/>
        <v>0.20138892647378442</v>
      </c>
      <c r="AW73" s="19">
        <f t="shared" si="95"/>
        <v>994.80806216615383</v>
      </c>
      <c r="AX73" s="15">
        <f t="shared" si="38"/>
        <v>5.4896161243323084E-6</v>
      </c>
      <c r="AY73" s="16">
        <f t="shared" si="39"/>
        <v>27.329292714910768</v>
      </c>
      <c r="AZ73" s="17">
        <f t="shared" si="40"/>
        <v>1.3738826843526763E-2</v>
      </c>
      <c r="BA73" s="18">
        <f t="shared" si="41"/>
        <v>0.20182099323012095</v>
      </c>
      <c r="BB73" s="19">
        <f t="shared" si="96"/>
        <v>989.10971661050564</v>
      </c>
      <c r="BC73" s="15">
        <f t="shared" si="42"/>
        <v>5.4782194332210112E-6</v>
      </c>
      <c r="BD73" s="16">
        <f t="shared" si="43"/>
        <v>27.263761741020815</v>
      </c>
      <c r="BE73" s="17">
        <f t="shared" si="44"/>
        <v>1.3710304418238544E-2</v>
      </c>
      <c r="BF73" s="18">
        <f t="shared" si="45"/>
        <v>0.20230608866058419</v>
      </c>
      <c r="BG73" s="19">
        <f t="shared" si="97"/>
        <v>982.81156478639241</v>
      </c>
      <c r="BH73" s="15">
        <f t="shared" si="46"/>
        <v>5.465623129572785E-6</v>
      </c>
      <c r="BI73" s="16">
        <f t="shared" si="47"/>
        <v>27.19133299504351</v>
      </c>
      <c r="BJ73" s="17">
        <f t="shared" si="48"/>
        <v>1.3678779730396638E-2</v>
      </c>
      <c r="BK73" s="18">
        <f t="shared" si="49"/>
        <v>0.20284496537942437</v>
      </c>
      <c r="BL73" s="19">
        <f t="shared" si="98"/>
        <v>975.91359730541285</v>
      </c>
      <c r="BM73" s="15">
        <f t="shared" si="50"/>
        <v>5.4518271946108262E-6</v>
      </c>
      <c r="BN73" s="16">
        <f t="shared" si="51"/>
        <v>27.112006369012249</v>
      </c>
      <c r="BO73" s="17">
        <f t="shared" si="52"/>
        <v>1.3644252733008462E-2</v>
      </c>
      <c r="BP73" s="18">
        <f t="shared" si="53"/>
        <v>0.20343846652028308</v>
      </c>
      <c r="BQ73" s="19">
        <f t="shared" si="99"/>
        <v>968.41568887596679</v>
      </c>
      <c r="BR73" s="15">
        <f t="shared" si="54"/>
        <v>5.436831377751934E-6</v>
      </c>
      <c r="BS73" s="16">
        <f t="shared" si="55"/>
        <v>27.025780422073616</v>
      </c>
      <c r="BT73" s="17">
        <f t="shared" si="56"/>
        <v>1.3606722798941057E-2</v>
      </c>
      <c r="BU73" s="18">
        <f t="shared" si="57"/>
        <v>0.2040875384118436</v>
      </c>
      <c r="BV73" s="19">
        <f t="shared" si="100"/>
        <v>960.31638440394829</v>
      </c>
      <c r="BW73" s="15">
        <f t="shared" si="58"/>
        <v>5.4206327688078972E-6</v>
      </c>
      <c r="BX73" s="16">
        <f t="shared" si="59"/>
        <v>26.932638420645404</v>
      </c>
      <c r="BY73" s="17">
        <f t="shared" si="60"/>
        <v>1.3566182644885167E-2</v>
      </c>
      <c r="BZ73" s="18">
        <f t="shared" si="61"/>
        <v>0.20479334084743658</v>
      </c>
      <c r="CA73" s="19">
        <f t="shared" si="101"/>
        <v>951.60116469280331</v>
      </c>
      <c r="CB73" s="15">
        <f t="shared" si="62"/>
        <v>5.4032023293856072E-6</v>
      </c>
      <c r="CC73" s="16">
        <f t="shared" si="63"/>
        <v>26.832413393967236</v>
      </c>
      <c r="CD73" s="17">
        <f t="shared" si="64"/>
        <v>1.3522559596641781E-2</v>
      </c>
      <c r="CE73" s="18">
        <f t="shared" si="65"/>
        <v>0.20555828948431767</v>
      </c>
      <c r="CF73" s="19">
        <f t="shared" si="102"/>
        <v>942.14820471731252</v>
      </c>
      <c r="CG73" s="15">
        <f t="shared" si="66"/>
        <v>5.3842964094346264E-6</v>
      </c>
      <c r="CH73" s="16">
        <f t="shared" si="67"/>
        <v>26.723704354249094</v>
      </c>
      <c r="CI73" s="17">
        <f t="shared" si="68"/>
        <v>1.3475243872802221E-2</v>
      </c>
      <c r="CJ73" s="18">
        <f t="shared" si="69"/>
        <v>0.2063944776100253</v>
      </c>
      <c r="CK73" s="19">
        <f t="shared" si="103"/>
        <v>931.12366656361235</v>
      </c>
      <c r="CL73" s="15">
        <f t="shared" si="70"/>
        <v>5.3622473331272249E-6</v>
      </c>
      <c r="CM73" s="16">
        <f t="shared" si="71"/>
        <v>26.596922165481541</v>
      </c>
      <c r="CN73" s="17">
        <f t="shared" si="72"/>
        <v>1.3420061791835868E-2</v>
      </c>
      <c r="CO73" s="18">
        <f t="shared" si="73"/>
        <v>0.20737831865216269</v>
      </c>
      <c r="CP73" s="19">
        <f t="shared" si="104"/>
        <v>914.08050182923046</v>
      </c>
      <c r="CQ73" s="15">
        <f t="shared" si="74"/>
        <v>5.3281610036584616E-6</v>
      </c>
      <c r="CR73" s="16">
        <f t="shared" si="75"/>
        <v>26.40092577103615</v>
      </c>
      <c r="CS73" s="17">
        <f t="shared" si="76"/>
        <v>1.3334754155072888E-2</v>
      </c>
      <c r="CT73" s="18">
        <f t="shared" si="77"/>
        <v>0.20891786325353279</v>
      </c>
      <c r="CU73" s="19">
        <f t="shared" si="105"/>
        <v>873.91691552125087</v>
      </c>
      <c r="CV73" s="15">
        <f t="shared" si="78"/>
        <v>5.247833831042502E-6</v>
      </c>
      <c r="CW73" s="16">
        <f t="shared" si="79"/>
        <v>25.939044528494385</v>
      </c>
      <c r="CX73" s="17">
        <f t="shared" si="80"/>
        <v>1.3133719858611042E-2</v>
      </c>
      <c r="CY73" s="18">
        <f t="shared" si="81"/>
        <v>0.21263794022717425</v>
      </c>
      <c r="CZ73" s="20">
        <f t="shared" si="106"/>
        <v>770.31408497644088</v>
      </c>
      <c r="DA73" s="15">
        <f t="shared" si="82"/>
        <v>5.0406281699528821E-6</v>
      </c>
      <c r="DB73" s="16">
        <f t="shared" si="83"/>
        <v>24.74761197722907</v>
      </c>
      <c r="DC73" s="17">
        <f t="shared" si="84"/>
        <v>1.2615147587939742E-2</v>
      </c>
      <c r="DD73" s="18">
        <f t="shared" si="85"/>
        <v>0.22287503962301786</v>
      </c>
    </row>
    <row r="74" spans="2:108" x14ac:dyDescent="0.25">
      <c r="B74">
        <v>55</v>
      </c>
      <c r="C74">
        <f t="shared" si="86"/>
        <v>5.376880664898883E-2</v>
      </c>
      <c r="D74" s="19">
        <f t="shared" si="3"/>
        <v>1019.1121503596264</v>
      </c>
      <c r="E74" s="15">
        <f t="shared" si="4"/>
        <v>5.5382243007192532E-6</v>
      </c>
      <c r="F74" s="16">
        <f t="shared" si="5"/>
        <v>27.608789729135701</v>
      </c>
      <c r="G74" s="17">
        <f t="shared" si="1"/>
        <v>1.386047821284561E-2</v>
      </c>
      <c r="H74" s="18">
        <f t="shared" si="6"/>
        <v>0.19977786256162225</v>
      </c>
      <c r="I74" s="19">
        <f t="shared" si="87"/>
        <v>1018.7894187292023</v>
      </c>
      <c r="J74" s="15">
        <f t="shared" si="7"/>
        <v>5.5375788374584053E-6</v>
      </c>
      <c r="K74" s="16">
        <f t="shared" si="8"/>
        <v>27.605078315385825</v>
      </c>
      <c r="L74" s="17">
        <f t="shared" si="9"/>
        <v>1.3858862816108607E-2</v>
      </c>
      <c r="M74" s="18">
        <f t="shared" si="10"/>
        <v>0.19980472205093652</v>
      </c>
      <c r="N74" s="19">
        <f t="shared" si="88"/>
        <v>1017.8859286160759</v>
      </c>
      <c r="O74" s="15">
        <f t="shared" si="11"/>
        <v>5.5357718572321526E-6</v>
      </c>
      <c r="P74" s="16">
        <f t="shared" si="12"/>
        <v>27.594688179084873</v>
      </c>
      <c r="Q74" s="17">
        <f t="shared" si="2"/>
        <v>1.386047821284561E-2</v>
      </c>
      <c r="R74" s="18">
        <f t="shared" si="13"/>
        <v>0.19987995385939947</v>
      </c>
      <c r="S74" s="19">
        <f t="shared" si="89"/>
        <v>1016.3854584461707</v>
      </c>
      <c r="T74" s="15">
        <f t="shared" si="14"/>
        <v>5.5327709168923422E-6</v>
      </c>
      <c r="U74" s="16">
        <f t="shared" si="15"/>
        <v>27.577432772130962</v>
      </c>
      <c r="V74" s="17">
        <f t="shared" si="16"/>
        <v>1.384683006433899E-2</v>
      </c>
      <c r="W74" s="18">
        <f t="shared" si="17"/>
        <v>0.20000502024880096</v>
      </c>
      <c r="X74" s="19">
        <f t="shared" si="90"/>
        <v>1014.286044981185</v>
      </c>
      <c r="Y74" s="15">
        <f t="shared" si="18"/>
        <v>5.5285720899623706E-6</v>
      </c>
      <c r="Z74" s="16">
        <f t="shared" si="19"/>
        <v>27.553289517283627</v>
      </c>
      <c r="AA74" s="17">
        <f t="shared" si="20"/>
        <v>1.3836321687281234E-2</v>
      </c>
      <c r="AB74" s="18">
        <f t="shared" si="21"/>
        <v>0.20018027236058905</v>
      </c>
      <c r="AC74" s="19">
        <f t="shared" si="91"/>
        <v>1011.5867779329087</v>
      </c>
      <c r="AD74" s="15">
        <f t="shared" si="22"/>
        <v>5.5231735558658182E-6</v>
      </c>
      <c r="AE74" s="16">
        <f t="shared" si="23"/>
        <v>27.522247946228447</v>
      </c>
      <c r="AF74" s="17">
        <f t="shared" si="24"/>
        <v>1.3822810810840774E-2</v>
      </c>
      <c r="AG74" s="18">
        <f t="shared" si="25"/>
        <v>0.20040605007178719</v>
      </c>
      <c r="AH74" s="19">
        <f t="shared" si="92"/>
        <v>1008.2876803547172</v>
      </c>
      <c r="AI74" s="15">
        <f t="shared" si="26"/>
        <v>5.5165753607094344E-6</v>
      </c>
      <c r="AJ74" s="16">
        <f t="shared" si="27"/>
        <v>27.484308324079247</v>
      </c>
      <c r="AK74" s="17">
        <f t="shared" si="28"/>
        <v>1.3806297550408676E-2</v>
      </c>
      <c r="AL74" s="18">
        <f t="shared" si="29"/>
        <v>0.20068269264639677</v>
      </c>
      <c r="AM74" s="19">
        <f t="shared" si="93"/>
        <v>1004.3887733721184</v>
      </c>
      <c r="AN74" s="15">
        <f t="shared" si="30"/>
        <v>5.5087775467442372E-6</v>
      </c>
      <c r="AO74" s="16">
        <f t="shared" si="31"/>
        <v>27.439470893779362</v>
      </c>
      <c r="AP74" s="17">
        <f t="shared" si="32"/>
        <v>1.3786782011726284E-2</v>
      </c>
      <c r="AQ74" s="18">
        <f t="shared" si="33"/>
        <v>0.20101061792887612</v>
      </c>
      <c r="AR74" s="19">
        <f t="shared" si="94"/>
        <v>999.89006289690394</v>
      </c>
      <c r="AS74" s="15">
        <f t="shared" si="34"/>
        <v>5.4997801257938088E-6</v>
      </c>
      <c r="AT74" s="16">
        <f t="shared" si="35"/>
        <v>27.387735723314393</v>
      </c>
      <c r="AU74" s="17">
        <f t="shared" si="36"/>
        <v>1.3764264224384407E-2</v>
      </c>
      <c r="AV74" s="18">
        <f t="shared" si="37"/>
        <v>0.20139032506088872</v>
      </c>
      <c r="AW74" s="19">
        <f t="shared" si="95"/>
        <v>994.79155010499744</v>
      </c>
      <c r="AX74" s="15">
        <f t="shared" si="38"/>
        <v>5.4895831002099947E-6</v>
      </c>
      <c r="AY74" s="16">
        <f t="shared" si="39"/>
        <v>27.329102826207468</v>
      </c>
      <c r="AZ74" s="17">
        <f t="shared" si="40"/>
        <v>1.3738744194268992E-2</v>
      </c>
      <c r="BA74" s="18">
        <f t="shared" si="41"/>
        <v>0.20182239552740627</v>
      </c>
      <c r="BB74" s="19">
        <f t="shared" si="96"/>
        <v>989.09323518518067</v>
      </c>
      <c r="BC74" s="15">
        <f t="shared" si="42"/>
        <v>5.4781864703703624E-6</v>
      </c>
      <c r="BD74" s="16">
        <f t="shared" si="43"/>
        <v>27.263572204629575</v>
      </c>
      <c r="BE74" s="17">
        <f t="shared" si="44"/>
        <v>1.3710221922324973E-2</v>
      </c>
      <c r="BF74" s="18">
        <f t="shared" si="45"/>
        <v>0.20230749509278914</v>
      </c>
      <c r="BG74" s="19">
        <f t="shared" si="97"/>
        <v>982.79511746588855</v>
      </c>
      <c r="BH74" s="15">
        <f t="shared" si="46"/>
        <v>5.4655902349317775E-6</v>
      </c>
      <c r="BI74" s="16">
        <f t="shared" si="47"/>
        <v>27.191143850857717</v>
      </c>
      <c r="BJ74" s="17">
        <f t="shared" si="48"/>
        <v>1.3678697405190897E-2</v>
      </c>
      <c r="BK74" s="18">
        <f t="shared" si="49"/>
        <v>0.20284637638831862</v>
      </c>
      <c r="BL74" s="19">
        <f t="shared" si="98"/>
        <v>975.89718602678192</v>
      </c>
      <c r="BM74" s="15">
        <f t="shared" si="50"/>
        <v>5.4517943720535642E-6</v>
      </c>
      <c r="BN74" s="16">
        <f t="shared" si="51"/>
        <v>27.111817639307993</v>
      </c>
      <c r="BO74" s="17">
        <f t="shared" si="52"/>
        <v>1.3644170588206246E-2</v>
      </c>
      <c r="BP74" s="18">
        <f t="shared" si="53"/>
        <v>0.20343988268802701</v>
      </c>
      <c r="BQ74" s="19">
        <f t="shared" si="99"/>
        <v>968.39929828601976</v>
      </c>
      <c r="BR74" s="15">
        <f t="shared" si="54"/>
        <v>5.4367985965720401E-6</v>
      </c>
      <c r="BS74" s="16">
        <f t="shared" si="55"/>
        <v>27.025591930289224</v>
      </c>
      <c r="BT74" s="17">
        <f t="shared" si="56"/>
        <v>1.3606640757693711E-2</v>
      </c>
      <c r="BU74" s="18">
        <f t="shared" si="57"/>
        <v>0.20408896183392394</v>
      </c>
      <c r="BV74" s="19">
        <f t="shared" si="100"/>
        <v>960.29983282404976</v>
      </c>
      <c r="BW74" s="15">
        <f t="shared" si="58"/>
        <v>5.4205996656480998E-6</v>
      </c>
      <c r="BX74" s="16">
        <f t="shared" si="59"/>
        <v>26.932448077476572</v>
      </c>
      <c r="BY74" s="17">
        <f t="shared" si="60"/>
        <v>1.3566099797820795E-2</v>
      </c>
      <c r="BZ74" s="18">
        <f t="shared" si="61"/>
        <v>0.20479478820986499</v>
      </c>
      <c r="CA74" s="19">
        <f t="shared" si="101"/>
        <v>951.58294072345984</v>
      </c>
      <c r="CB74" s="15">
        <f t="shared" si="62"/>
        <v>5.4031658814469196E-6</v>
      </c>
      <c r="CC74" s="16">
        <f t="shared" si="63"/>
        <v>26.832203818319787</v>
      </c>
      <c r="CD74" s="17">
        <f t="shared" si="64"/>
        <v>1.3522468378620867E-2</v>
      </c>
      <c r="CE74" s="18">
        <f t="shared" si="65"/>
        <v>0.20555989501817165</v>
      </c>
      <c r="CF74" s="19">
        <f t="shared" si="102"/>
        <v>942.11829977856428</v>
      </c>
      <c r="CG74" s="15">
        <f t="shared" si="66"/>
        <v>5.3842365995571295E-6</v>
      </c>
      <c r="CH74" s="16">
        <f t="shared" si="67"/>
        <v>26.723360447453487</v>
      </c>
      <c r="CI74" s="17">
        <f t="shared" si="68"/>
        <v>1.3475094187007833E-2</v>
      </c>
      <c r="CJ74" s="18">
        <f t="shared" si="69"/>
        <v>0.20639713373044719</v>
      </c>
      <c r="CK74" s="19">
        <f t="shared" si="103"/>
        <v>931.03144103473687</v>
      </c>
      <c r="CL74" s="15">
        <f t="shared" si="70"/>
        <v>5.3620628820694742E-6</v>
      </c>
      <c r="CM74" s="16">
        <f t="shared" si="71"/>
        <v>26.595861571899473</v>
      </c>
      <c r="CN74" s="17">
        <f t="shared" si="72"/>
        <v>1.3419600167364112E-2</v>
      </c>
      <c r="CO74" s="18">
        <f t="shared" si="73"/>
        <v>0.20738658851449551</v>
      </c>
      <c r="CP74" s="19">
        <f t="shared" si="104"/>
        <v>913.74891024584906</v>
      </c>
      <c r="CQ74" s="15">
        <f t="shared" si="74"/>
        <v>5.3274978204916988E-6</v>
      </c>
      <c r="CR74" s="16">
        <f t="shared" si="75"/>
        <v>26.397112467827263</v>
      </c>
      <c r="CS74" s="17">
        <f t="shared" si="76"/>
        <v>1.3333094410841718E-2</v>
      </c>
      <c r="CT74" s="18">
        <f t="shared" si="77"/>
        <v>0.20894804334081732</v>
      </c>
      <c r="CU74" s="19">
        <f t="shared" si="105"/>
        <v>873.02063063562014</v>
      </c>
      <c r="CV74" s="15">
        <f t="shared" si="78"/>
        <v>5.246041261271241E-6</v>
      </c>
      <c r="CW74" s="16">
        <f t="shared" si="79"/>
        <v>25.928737252309631</v>
      </c>
      <c r="CX74" s="17">
        <f t="shared" si="80"/>
        <v>1.3129233605814031E-2</v>
      </c>
      <c r="CY74" s="18">
        <f t="shared" si="81"/>
        <v>0.21272246875457421</v>
      </c>
      <c r="CZ74" s="20">
        <f t="shared" si="106"/>
        <v>768.97546520312733</v>
      </c>
      <c r="DA74" s="15">
        <f t="shared" si="82"/>
        <v>5.0379509304062552E-6</v>
      </c>
      <c r="DB74" s="16">
        <f t="shared" si="83"/>
        <v>24.732217849835962</v>
      </c>
      <c r="DC74" s="17">
        <f t="shared" si="84"/>
        <v>1.2608447277805721E-2</v>
      </c>
      <c r="DD74" s="18">
        <f t="shared" si="85"/>
        <v>0.22301376421187324</v>
      </c>
    </row>
    <row r="75" spans="2:108" x14ac:dyDescent="0.25">
      <c r="B75">
        <v>56</v>
      </c>
      <c r="C75">
        <f t="shared" si="86"/>
        <v>5.4746421315334082E-2</v>
      </c>
      <c r="D75" s="19">
        <f t="shared" si="3"/>
        <v>1019.095673312909</v>
      </c>
      <c r="E75" s="15">
        <f t="shared" si="4"/>
        <v>5.5381913466258179E-6</v>
      </c>
      <c r="F75" s="16">
        <f t="shared" si="5"/>
        <v>27.608600243098451</v>
      </c>
      <c r="G75" s="17">
        <f t="shared" si="1"/>
        <v>1.3860395738848659E-2</v>
      </c>
      <c r="H75" s="18">
        <f t="shared" si="6"/>
        <v>0.19977923369652853</v>
      </c>
      <c r="I75" s="19">
        <f t="shared" si="87"/>
        <v>1018.7728712274888</v>
      </c>
      <c r="J75" s="15">
        <f t="shared" si="7"/>
        <v>5.5375457424549787E-6</v>
      </c>
      <c r="K75" s="16">
        <f t="shared" si="8"/>
        <v>27.604888019116121</v>
      </c>
      <c r="L75" s="17">
        <f t="shared" si="9"/>
        <v>1.3858779989457131E-2</v>
      </c>
      <c r="M75" s="18">
        <f t="shared" si="10"/>
        <v>0.19980609941907687</v>
      </c>
      <c r="N75" s="19">
        <f t="shared" si="88"/>
        <v>1017.8693262116444</v>
      </c>
      <c r="O75" s="15">
        <f t="shared" si="11"/>
        <v>5.5357386524232897E-6</v>
      </c>
      <c r="P75" s="16">
        <f t="shared" si="12"/>
        <v>27.594497251433911</v>
      </c>
      <c r="Q75" s="17">
        <f t="shared" si="2"/>
        <v>1.3860395738848659E-2</v>
      </c>
      <c r="R75" s="18">
        <f t="shared" si="13"/>
        <v>0.19988133683839404</v>
      </c>
      <c r="S75" s="19">
        <f t="shared" si="89"/>
        <v>1016.3688408864435</v>
      </c>
      <c r="T75" s="15">
        <f t="shared" si="14"/>
        <v>5.5327376817728873E-6</v>
      </c>
      <c r="U75" s="16">
        <f t="shared" si="15"/>
        <v>27.577241670194098</v>
      </c>
      <c r="V75" s="17">
        <f t="shared" si="16"/>
        <v>1.3846746887020034E-2</v>
      </c>
      <c r="W75" s="18">
        <f t="shared" si="17"/>
        <v>0.20000640622304772</v>
      </c>
      <c r="X75" s="19">
        <f t="shared" si="90"/>
        <v>1014.2694331961405</v>
      </c>
      <c r="Y75" s="15">
        <f t="shared" si="18"/>
        <v>5.528538866392282E-6</v>
      </c>
      <c r="Z75" s="16">
        <f t="shared" si="19"/>
        <v>27.553098481755615</v>
      </c>
      <c r="AA75" s="17">
        <f t="shared" si="20"/>
        <v>1.3836238538866804E-2</v>
      </c>
      <c r="AB75" s="18">
        <f t="shared" si="21"/>
        <v>0.20018166028231602</v>
      </c>
      <c r="AC75" s="19">
        <f t="shared" si="91"/>
        <v>1011.5701790542324</v>
      </c>
      <c r="AD75" s="15">
        <f t="shared" si="22"/>
        <v>5.5231403581084649E-6</v>
      </c>
      <c r="AE75" s="16">
        <f t="shared" si="23"/>
        <v>27.522057059123672</v>
      </c>
      <c r="AF75" s="17">
        <f t="shared" si="24"/>
        <v>1.3822727727027711E-2</v>
      </c>
      <c r="AG75" s="18">
        <f t="shared" si="25"/>
        <v>0.20040744004531261</v>
      </c>
      <c r="AH75" s="19">
        <f t="shared" si="92"/>
        <v>1008.2710980145301</v>
      </c>
      <c r="AI75" s="15">
        <f t="shared" si="26"/>
        <v>5.5165421960290606E-6</v>
      </c>
      <c r="AJ75" s="16">
        <f t="shared" si="27"/>
        <v>27.484117627167095</v>
      </c>
      <c r="AK75" s="17">
        <f t="shared" si="28"/>
        <v>1.3806214549377154E-2</v>
      </c>
      <c r="AL75" s="18">
        <f t="shared" si="29"/>
        <v>0.20068408507129937</v>
      </c>
      <c r="AM75" s="19">
        <f t="shared" si="93"/>
        <v>1004.3722109772457</v>
      </c>
      <c r="AN75" s="15">
        <f t="shared" si="30"/>
        <v>5.5087444219544922E-6</v>
      </c>
      <c r="AO75" s="16">
        <f t="shared" si="31"/>
        <v>27.439280426238327</v>
      </c>
      <c r="AP75" s="17">
        <f t="shared" si="32"/>
        <v>1.3786699110528784E-2</v>
      </c>
      <c r="AQ75" s="18">
        <f t="shared" si="33"/>
        <v>0.20101201322778789</v>
      </c>
      <c r="AR75" s="19">
        <f t="shared" si="94"/>
        <v>999.87352397599534</v>
      </c>
      <c r="AS75" s="15">
        <f t="shared" si="34"/>
        <v>5.4997470479519915E-6</v>
      </c>
      <c r="AT75" s="16">
        <f t="shared" si="35"/>
        <v>27.387545525723944</v>
      </c>
      <c r="AU75" s="17">
        <f t="shared" si="36"/>
        <v>1.3764181440683181E-2</v>
      </c>
      <c r="AV75" s="18">
        <f t="shared" si="37"/>
        <v>0.20139172365115415</v>
      </c>
      <c r="AW75" s="19">
        <f t="shared" si="95"/>
        <v>994.77503823659106</v>
      </c>
      <c r="AX75" s="15">
        <f t="shared" si="38"/>
        <v>5.4895500764731828E-6</v>
      </c>
      <c r="AY75" s="16">
        <f t="shared" si="39"/>
        <v>27.328912939720794</v>
      </c>
      <c r="AZ75" s="17">
        <f t="shared" si="40"/>
        <v>1.3738661545976014E-2</v>
      </c>
      <c r="BA75" s="18">
        <f t="shared" si="41"/>
        <v>0.2018237978278089</v>
      </c>
      <c r="BB75" s="19">
        <f t="shared" si="96"/>
        <v>989.07675395113495</v>
      </c>
      <c r="BC75" s="15">
        <f t="shared" si="42"/>
        <v>5.47815350790227E-6</v>
      </c>
      <c r="BD75" s="16">
        <f t="shared" si="43"/>
        <v>27.263382670438052</v>
      </c>
      <c r="BE75" s="17">
        <f t="shared" si="44"/>
        <v>1.3710139427368822E-2</v>
      </c>
      <c r="BF75" s="18">
        <f t="shared" si="45"/>
        <v>0.20230890152822617</v>
      </c>
      <c r="BG75" s="19">
        <f t="shared" si="97"/>
        <v>982.77867031462074</v>
      </c>
      <c r="BH75" s="15">
        <f t="shared" si="46"/>
        <v>5.4655573406292418E-6</v>
      </c>
      <c r="BI75" s="16">
        <f t="shared" si="47"/>
        <v>27.190954708618136</v>
      </c>
      <c r="BJ75" s="17">
        <f t="shared" si="48"/>
        <v>1.3678615080832245E-2</v>
      </c>
      <c r="BK75" s="18">
        <f t="shared" si="49"/>
        <v>0.20284778740232429</v>
      </c>
      <c r="BL75" s="19">
        <f t="shared" si="98"/>
        <v>975.88077466924403</v>
      </c>
      <c r="BM75" s="15">
        <f t="shared" si="50"/>
        <v>5.451761549338489E-6</v>
      </c>
      <c r="BN75" s="16">
        <f t="shared" si="51"/>
        <v>27.111628908696304</v>
      </c>
      <c r="BO75" s="17">
        <f t="shared" si="52"/>
        <v>1.3644088443009071E-2</v>
      </c>
      <c r="BP75" s="18">
        <f t="shared" si="53"/>
        <v>0.2034412988822967</v>
      </c>
      <c r="BQ75" s="19">
        <f t="shared" si="99"/>
        <v>968.38290524228717</v>
      </c>
      <c r="BR75" s="15">
        <f t="shared" si="54"/>
        <v>5.4367658104845753E-6</v>
      </c>
      <c r="BS75" s="16">
        <f t="shared" si="55"/>
        <v>27.025403410286302</v>
      </c>
      <c r="BT75" s="17">
        <f t="shared" si="56"/>
        <v>1.3606558704164221E-2</v>
      </c>
      <c r="BU75" s="18">
        <f t="shared" si="57"/>
        <v>0.20409038548896052</v>
      </c>
      <c r="BV75" s="19">
        <f t="shared" si="100"/>
        <v>960.28325988809002</v>
      </c>
      <c r="BW75" s="15">
        <f t="shared" si="58"/>
        <v>5.4205665197761808E-6</v>
      </c>
      <c r="BX75" s="16">
        <f t="shared" si="59"/>
        <v>26.932257488713034</v>
      </c>
      <c r="BY75" s="17">
        <f t="shared" si="60"/>
        <v>1.3566016843861071E-2</v>
      </c>
      <c r="BZ75" s="18">
        <f t="shared" si="61"/>
        <v>0.2047962374602845</v>
      </c>
      <c r="CA75" s="19">
        <f t="shared" si="101"/>
        <v>951.56457505059166</v>
      </c>
      <c r="CB75" s="15">
        <f t="shared" si="62"/>
        <v>5.4031291501011841E-6</v>
      </c>
      <c r="CC75" s="16">
        <f t="shared" si="63"/>
        <v>26.831992613081802</v>
      </c>
      <c r="CD75" s="17">
        <f t="shared" si="64"/>
        <v>1.3522376451318966E-2</v>
      </c>
      <c r="CE75" s="18">
        <f t="shared" si="65"/>
        <v>0.20556151306149678</v>
      </c>
      <c r="CF75" s="19">
        <f t="shared" si="102"/>
        <v>942.08767900394389</v>
      </c>
      <c r="CG75" s="15">
        <f t="shared" si="66"/>
        <v>5.3841753580078882E-6</v>
      </c>
      <c r="CH75" s="16">
        <f t="shared" si="67"/>
        <v>26.723008308545353</v>
      </c>
      <c r="CI75" s="17">
        <f t="shared" si="68"/>
        <v>1.3474940918177809E-2</v>
      </c>
      <c r="CJ75" s="18">
        <f t="shared" si="69"/>
        <v>0.20639985350138293</v>
      </c>
      <c r="CK75" s="19">
        <f t="shared" si="103"/>
        <v>930.93671131269195</v>
      </c>
      <c r="CL75" s="15">
        <f t="shared" si="70"/>
        <v>5.3618734226253846E-6</v>
      </c>
      <c r="CM75" s="16">
        <f t="shared" si="71"/>
        <v>26.594772180095958</v>
      </c>
      <c r="CN75" s="17">
        <f t="shared" si="72"/>
        <v>1.3419126008436189E-2</v>
      </c>
      <c r="CO75" s="18">
        <f t="shared" si="73"/>
        <v>0.20739508361451581</v>
      </c>
      <c r="CP75" s="19">
        <f t="shared" si="104"/>
        <v>913.41266505542569</v>
      </c>
      <c r="CQ75" s="15">
        <f t="shared" si="74"/>
        <v>5.3268253301108518E-6</v>
      </c>
      <c r="CR75" s="16">
        <f t="shared" si="75"/>
        <v>26.393245648137395</v>
      </c>
      <c r="CS75" s="17">
        <f t="shared" si="76"/>
        <v>1.3331411373505931E-2</v>
      </c>
      <c r="CT75" s="18">
        <f t="shared" si="77"/>
        <v>0.20897865588536454</v>
      </c>
      <c r="CU75" s="19">
        <f t="shared" si="105"/>
        <v>872.12573680615469</v>
      </c>
      <c r="CV75" s="15">
        <f t="shared" si="78"/>
        <v>5.2442514736123103E-6</v>
      </c>
      <c r="CW75" s="16">
        <f t="shared" si="79"/>
        <v>25.918445973270778</v>
      </c>
      <c r="CX75" s="17">
        <f t="shared" si="80"/>
        <v>1.3124754315791595E-2</v>
      </c>
      <c r="CY75" s="18">
        <f t="shared" si="81"/>
        <v>0.21280693316598395</v>
      </c>
      <c r="CZ75" s="20">
        <f t="shared" si="106"/>
        <v>767.65459273116778</v>
      </c>
      <c r="DA75" s="15">
        <f t="shared" si="82"/>
        <v>5.0353091854623365E-6</v>
      </c>
      <c r="DB75" s="16">
        <f t="shared" si="83"/>
        <v>24.717027816408429</v>
      </c>
      <c r="DC75" s="17">
        <f t="shared" si="84"/>
        <v>1.260183579978481E-2</v>
      </c>
      <c r="DD75" s="18">
        <f t="shared" si="85"/>
        <v>0.2231508189806885</v>
      </c>
    </row>
    <row r="76" spans="2:108" x14ac:dyDescent="0.25">
      <c r="B76">
        <v>57</v>
      </c>
      <c r="C76">
        <f t="shared" si="86"/>
        <v>5.5724035981679333E-2</v>
      </c>
      <c r="D76" s="19">
        <f t="shared" si="3"/>
        <v>1019.0791926691153</v>
      </c>
      <c r="E76" s="15">
        <f t="shared" si="4"/>
        <v>5.5381583853382312E-6</v>
      </c>
      <c r="F76" s="16">
        <f t="shared" si="5"/>
        <v>27.608410715694824</v>
      </c>
      <c r="G76" s="17">
        <f t="shared" si="1"/>
        <v>1.3860313246846953E-2</v>
      </c>
      <c r="H76" s="18">
        <f t="shared" si="6"/>
        <v>0.19978060514959228</v>
      </c>
      <c r="I76" s="19">
        <f t="shared" si="87"/>
        <v>1018.7563231710708</v>
      </c>
      <c r="J76" s="15">
        <f t="shared" si="7"/>
        <v>5.5375126463421423E-6</v>
      </c>
      <c r="K76" s="16">
        <f t="shared" si="8"/>
        <v>27.604697716467314</v>
      </c>
      <c r="L76" s="17">
        <f t="shared" si="9"/>
        <v>1.3858697160029141E-2</v>
      </c>
      <c r="M76" s="18">
        <f t="shared" si="10"/>
        <v>0.19980747685238037</v>
      </c>
      <c r="N76" s="19">
        <f t="shared" si="88"/>
        <v>1017.8527242145594</v>
      </c>
      <c r="O76" s="15">
        <f t="shared" si="11"/>
        <v>5.5357054484291192E-6</v>
      </c>
      <c r="P76" s="16">
        <f t="shared" si="12"/>
        <v>27.594306328467432</v>
      </c>
      <c r="Q76" s="17">
        <f t="shared" si="2"/>
        <v>1.3860313246846953E-2</v>
      </c>
      <c r="R76" s="18">
        <f t="shared" si="13"/>
        <v>0.19988271980259392</v>
      </c>
      <c r="S76" s="19">
        <f t="shared" si="89"/>
        <v>1016.3522236940444</v>
      </c>
      <c r="T76" s="15">
        <f t="shared" si="14"/>
        <v>5.5327044473880894E-6</v>
      </c>
      <c r="U76" s="16">
        <f t="shared" si="15"/>
        <v>27.577050572481511</v>
      </c>
      <c r="V76" s="17">
        <f t="shared" si="16"/>
        <v>1.3846663711539701E-2</v>
      </c>
      <c r="W76" s="18">
        <f t="shared" si="17"/>
        <v>0.20000779218586603</v>
      </c>
      <c r="X76" s="19">
        <f t="shared" si="90"/>
        <v>1014.2528216419646</v>
      </c>
      <c r="Y76" s="15">
        <f t="shared" si="18"/>
        <v>5.5285056432839296E-6</v>
      </c>
      <c r="Z76" s="16">
        <f t="shared" si="19"/>
        <v>27.552907448882593</v>
      </c>
      <c r="AA76" s="17">
        <f t="shared" si="20"/>
        <v>1.3836155391607957E-2</v>
      </c>
      <c r="AB76" s="18">
        <f t="shared" si="21"/>
        <v>0.20018304820399946</v>
      </c>
      <c r="AC76" s="19">
        <f t="shared" si="91"/>
        <v>1011.5535803663001</v>
      </c>
      <c r="AD76" s="15">
        <f t="shared" si="22"/>
        <v>5.5231071607326007E-6</v>
      </c>
      <c r="AE76" s="16">
        <f t="shared" si="23"/>
        <v>27.521866174212448</v>
      </c>
      <c r="AF76" s="17">
        <f t="shared" si="24"/>
        <v>1.3822644644169395E-2</v>
      </c>
      <c r="AG76" s="18">
        <f t="shared" si="25"/>
        <v>0.20040883002214629</v>
      </c>
      <c r="AH76" s="19">
        <f t="shared" si="92"/>
        <v>1008.2545158631294</v>
      </c>
      <c r="AI76" s="15">
        <f t="shared" si="26"/>
        <v>5.5165090317262595E-6</v>
      </c>
      <c r="AJ76" s="16">
        <f t="shared" si="27"/>
        <v>27.483926932425987</v>
      </c>
      <c r="AK76" s="17">
        <f t="shared" si="28"/>
        <v>1.3806131549290581E-2</v>
      </c>
      <c r="AL76" s="18">
        <f t="shared" si="29"/>
        <v>0.20068547749967183</v>
      </c>
      <c r="AM76" s="19">
        <f t="shared" si="93"/>
        <v>1004.3556487734777</v>
      </c>
      <c r="AN76" s="15">
        <f t="shared" si="30"/>
        <v>5.5087112975469564E-6</v>
      </c>
      <c r="AO76" s="16">
        <f t="shared" si="31"/>
        <v>27.439089960894993</v>
      </c>
      <c r="AP76" s="17">
        <f t="shared" si="32"/>
        <v>1.3786616210287832E-2</v>
      </c>
      <c r="AQ76" s="18">
        <f t="shared" si="33"/>
        <v>0.2010134085299706</v>
      </c>
      <c r="AR76" s="19">
        <f t="shared" si="94"/>
        <v>999.85698524740906</v>
      </c>
      <c r="AS76" s="15">
        <f t="shared" si="34"/>
        <v>5.4997139704948185E-6</v>
      </c>
      <c r="AT76" s="16">
        <f t="shared" si="35"/>
        <v>27.387355330345201</v>
      </c>
      <c r="AU76" s="17">
        <f t="shared" si="36"/>
        <v>1.37640986579446E-2</v>
      </c>
      <c r="AV76" s="18">
        <f t="shared" si="37"/>
        <v>0.20139312224458142</v>
      </c>
      <c r="AW76" s="19">
        <f t="shared" si="95"/>
        <v>994.75852656090558</v>
      </c>
      <c r="AX76" s="15">
        <f t="shared" si="38"/>
        <v>5.4895170531218114E-6</v>
      </c>
      <c r="AY76" s="16">
        <f t="shared" si="39"/>
        <v>27.328723055450414</v>
      </c>
      <c r="AZ76" s="17">
        <f t="shared" si="40"/>
        <v>1.3738578898647673E-2</v>
      </c>
      <c r="BA76" s="18">
        <f t="shared" si="41"/>
        <v>0.20182520013133101</v>
      </c>
      <c r="BB76" s="19">
        <f t="shared" si="96"/>
        <v>989.06027290806742</v>
      </c>
      <c r="BC76" s="15">
        <f t="shared" si="42"/>
        <v>5.4781205458161353E-6</v>
      </c>
      <c r="BD76" s="16">
        <f t="shared" si="43"/>
        <v>27.263193138442773</v>
      </c>
      <c r="BE76" s="17">
        <f t="shared" si="44"/>
        <v>1.3710056933368596E-2</v>
      </c>
      <c r="BF76" s="18">
        <f t="shared" si="45"/>
        <v>0.20231030796692082</v>
      </c>
      <c r="BG76" s="19">
        <f t="shared" si="97"/>
        <v>982.76222332931877</v>
      </c>
      <c r="BH76" s="15">
        <f t="shared" si="46"/>
        <v>5.465524446658638E-6</v>
      </c>
      <c r="BI76" s="16">
        <f t="shared" si="47"/>
        <v>27.190765568287166</v>
      </c>
      <c r="BJ76" s="17">
        <f t="shared" si="48"/>
        <v>1.3678532757304318E-2</v>
      </c>
      <c r="BK76" s="18">
        <f t="shared" si="49"/>
        <v>0.20284919842172164</v>
      </c>
      <c r="BL76" s="19">
        <f t="shared" si="98"/>
        <v>975.86436320221469</v>
      </c>
      <c r="BM76" s="15">
        <f t="shared" si="50"/>
        <v>5.4517287264044295E-6</v>
      </c>
      <c r="BN76" s="16">
        <f t="shared" si="51"/>
        <v>27.111440176825468</v>
      </c>
      <c r="BO76" s="17">
        <f t="shared" si="52"/>
        <v>1.3644006297263844E-2</v>
      </c>
      <c r="BP76" s="18">
        <f t="shared" si="53"/>
        <v>0.203442715105732</v>
      </c>
      <c r="BQ76" s="19">
        <f t="shared" si="99"/>
        <v>968.36650950813498</v>
      </c>
      <c r="BR76" s="15">
        <f t="shared" si="54"/>
        <v>5.4367330190162702E-6</v>
      </c>
      <c r="BS76" s="16">
        <f t="shared" si="55"/>
        <v>27.025214859343549</v>
      </c>
      <c r="BT76" s="17">
        <f t="shared" si="56"/>
        <v>1.3606476637168134E-2</v>
      </c>
      <c r="BU76" s="18">
        <f t="shared" si="57"/>
        <v>0.20409180939751376</v>
      </c>
      <c r="BV76" s="19">
        <f t="shared" si="100"/>
        <v>960.26666414836484</v>
      </c>
      <c r="BW76" s="15">
        <f t="shared" si="58"/>
        <v>5.4205333282967298E-6</v>
      </c>
      <c r="BX76" s="16">
        <f t="shared" si="59"/>
        <v>26.932066637706193</v>
      </c>
      <c r="BY76" s="17">
        <f t="shared" si="60"/>
        <v>1.3565933775759674E-2</v>
      </c>
      <c r="BZ76" s="18">
        <f t="shared" si="61"/>
        <v>0.20479768872537463</v>
      </c>
      <c r="CA76" s="19">
        <f t="shared" si="101"/>
        <v>951.5460612060308</v>
      </c>
      <c r="CB76" s="15">
        <f t="shared" si="62"/>
        <v>5.403092122412062E-6</v>
      </c>
      <c r="CC76" s="16">
        <f t="shared" si="63"/>
        <v>26.831779703869351</v>
      </c>
      <c r="CD76" s="17">
        <f t="shared" si="64"/>
        <v>1.3522283782360381E-2</v>
      </c>
      <c r="CE76" s="18">
        <f t="shared" si="65"/>
        <v>0.20556314418475208</v>
      </c>
      <c r="CF76" s="19">
        <f t="shared" si="102"/>
        <v>942.05632498749083</v>
      </c>
      <c r="CG76" s="15">
        <f t="shared" si="66"/>
        <v>5.3841126499749818E-6</v>
      </c>
      <c r="CH76" s="16">
        <f t="shared" si="67"/>
        <v>26.722647737356144</v>
      </c>
      <c r="CI76" s="17">
        <f t="shared" si="68"/>
        <v>1.347478397918858E-2</v>
      </c>
      <c r="CJ76" s="18">
        <f t="shared" si="69"/>
        <v>0.20640263847394108</v>
      </c>
      <c r="CK76" s="19">
        <f t="shared" si="103"/>
        <v>930.83947105518678</v>
      </c>
      <c r="CL76" s="15">
        <f t="shared" si="70"/>
        <v>5.3616789421103742E-6</v>
      </c>
      <c r="CM76" s="16">
        <f t="shared" si="71"/>
        <v>26.593653917134645</v>
      </c>
      <c r="CN76" s="17">
        <f t="shared" si="72"/>
        <v>1.3418639283306482E-2</v>
      </c>
      <c r="CO76" s="18">
        <f t="shared" si="73"/>
        <v>0.20740380457633201</v>
      </c>
      <c r="CP76" s="19">
        <f t="shared" si="104"/>
        <v>913.07187831217641</v>
      </c>
      <c r="CQ76" s="15">
        <f t="shared" si="74"/>
        <v>5.3261437566243535E-6</v>
      </c>
      <c r="CR76" s="16">
        <f t="shared" si="75"/>
        <v>26.389326600590028</v>
      </c>
      <c r="CS76" s="17">
        <f t="shared" si="76"/>
        <v>1.3329705603940254E-2</v>
      </c>
      <c r="CT76" s="18">
        <f t="shared" si="77"/>
        <v>0.20900969105731854</v>
      </c>
      <c r="CU76" s="19">
        <f t="shared" si="105"/>
        <v>871.23238054213255</v>
      </c>
      <c r="CV76" s="15">
        <f t="shared" si="78"/>
        <v>5.242464761084266E-6</v>
      </c>
      <c r="CW76" s="16">
        <f t="shared" si="79"/>
        <v>25.908172376234525</v>
      </c>
      <c r="CX76" s="17">
        <f t="shared" si="80"/>
        <v>1.3120282721879381E-2</v>
      </c>
      <c r="CY76" s="18">
        <f t="shared" si="81"/>
        <v>0.21289131938381972</v>
      </c>
      <c r="CZ76" s="20">
        <f t="shared" si="106"/>
        <v>766.35093640338698</v>
      </c>
      <c r="DA76" s="15">
        <f t="shared" si="82"/>
        <v>5.0327018728067744E-6</v>
      </c>
      <c r="DB76" s="16">
        <f t="shared" si="83"/>
        <v>24.70203576863895</v>
      </c>
      <c r="DC76" s="17">
        <f t="shared" si="84"/>
        <v>1.2595310495229738E-2</v>
      </c>
      <c r="DD76" s="18">
        <f t="shared" si="85"/>
        <v>0.22328625266596414</v>
      </c>
    </row>
    <row r="77" spans="2:108" x14ac:dyDescent="0.25">
      <c r="B77">
        <v>58</v>
      </c>
      <c r="C77">
        <f t="shared" si="86"/>
        <v>5.6701650648024585E-2</v>
      </c>
      <c r="D77" s="19">
        <f t="shared" si="3"/>
        <v>1019.0627085835736</v>
      </c>
      <c r="E77" s="15">
        <f t="shared" si="4"/>
        <v>5.5381254171671473E-6</v>
      </c>
      <c r="F77" s="16">
        <f t="shared" si="5"/>
        <v>27.608221148711095</v>
      </c>
      <c r="G77" s="17">
        <f t="shared" si="1"/>
        <v>1.3860230737617963E-2</v>
      </c>
      <c r="H77" s="18">
        <f t="shared" si="6"/>
        <v>0.19978197690790012</v>
      </c>
      <c r="I77" s="19">
        <f t="shared" si="87"/>
        <v>1018.7397745588941</v>
      </c>
      <c r="J77" s="15">
        <f t="shared" si="7"/>
        <v>5.5374795491177886E-6</v>
      </c>
      <c r="K77" s="16">
        <f t="shared" si="8"/>
        <v>27.604507407427281</v>
      </c>
      <c r="L77" s="17">
        <f t="shared" si="9"/>
        <v>1.3858614327819367E-2</v>
      </c>
      <c r="M77" s="18">
        <f t="shared" si="10"/>
        <v>0.19980885435093704</v>
      </c>
      <c r="N77" s="19">
        <f t="shared" si="88"/>
        <v>1017.8361226141278</v>
      </c>
      <c r="O77" s="15">
        <f t="shared" si="11"/>
        <v>5.5356722452282561E-6</v>
      </c>
      <c r="P77" s="16">
        <f t="shared" si="12"/>
        <v>27.594115410062471</v>
      </c>
      <c r="Q77" s="17">
        <f t="shared" si="2"/>
        <v>1.3860230737617963E-2</v>
      </c>
      <c r="R77" s="18">
        <f t="shared" si="13"/>
        <v>0.19988410275288881</v>
      </c>
      <c r="S77" s="19">
        <f t="shared" si="89"/>
        <v>1016.3356068672463</v>
      </c>
      <c r="T77" s="15">
        <f t="shared" si="14"/>
        <v>5.5326712137344928E-6</v>
      </c>
      <c r="U77" s="16">
        <f t="shared" si="15"/>
        <v>27.576859478973333</v>
      </c>
      <c r="V77" s="17">
        <f t="shared" si="16"/>
        <v>1.3846580537889341E-2</v>
      </c>
      <c r="W77" s="18">
        <f t="shared" si="17"/>
        <v>0.2000091781373991</v>
      </c>
      <c r="X77" s="19">
        <f t="shared" si="90"/>
        <v>1014.2362103196816</v>
      </c>
      <c r="Y77" s="15">
        <f t="shared" si="18"/>
        <v>5.5284724206393642E-6</v>
      </c>
      <c r="Z77" s="16">
        <f t="shared" si="19"/>
        <v>27.55271641867634</v>
      </c>
      <c r="AA77" s="17">
        <f t="shared" si="20"/>
        <v>1.3836072245509827E-2</v>
      </c>
      <c r="AB77" s="18">
        <f t="shared" si="21"/>
        <v>0.20018443612555339</v>
      </c>
      <c r="AC77" s="19">
        <f t="shared" si="91"/>
        <v>1011.5369818695792</v>
      </c>
      <c r="AD77" s="15">
        <f t="shared" si="22"/>
        <v>5.5230739637391584E-6</v>
      </c>
      <c r="AE77" s="16">
        <f t="shared" si="23"/>
        <v>27.521675291500159</v>
      </c>
      <c r="AF77" s="17">
        <f t="shared" si="24"/>
        <v>1.3822561562268167E-2</v>
      </c>
      <c r="AG77" s="18">
        <f t="shared" si="25"/>
        <v>0.20041022000224873</v>
      </c>
      <c r="AH77" s="19">
        <f t="shared" si="92"/>
        <v>1008.2379339005723</v>
      </c>
      <c r="AI77" s="15">
        <f t="shared" si="26"/>
        <v>5.5164758678011444E-6</v>
      </c>
      <c r="AJ77" s="16">
        <f t="shared" si="27"/>
        <v>27.483736239856583</v>
      </c>
      <c r="AK77" s="17">
        <f t="shared" si="28"/>
        <v>1.3806048550149242E-2</v>
      </c>
      <c r="AL77" s="18">
        <f t="shared" si="29"/>
        <v>0.20068686993150905</v>
      </c>
      <c r="AM77" s="19">
        <f t="shared" si="93"/>
        <v>1004.3390867608005</v>
      </c>
      <c r="AN77" s="15">
        <f t="shared" si="30"/>
        <v>5.5086781735216018E-6</v>
      </c>
      <c r="AO77" s="16">
        <f t="shared" si="31"/>
        <v>27.438899497749205</v>
      </c>
      <c r="AP77" s="17">
        <f t="shared" si="32"/>
        <v>1.3786533311003366E-2</v>
      </c>
      <c r="AQ77" s="18">
        <f t="shared" si="33"/>
        <v>0.20101480383542508</v>
      </c>
      <c r="AR77" s="19">
        <f t="shared" si="94"/>
        <v>999.84044671113281</v>
      </c>
      <c r="AS77" s="15">
        <f t="shared" si="34"/>
        <v>5.4996808934222663E-6</v>
      </c>
      <c r="AT77" s="16">
        <f t="shared" si="35"/>
        <v>27.387165137178027</v>
      </c>
      <c r="AU77" s="17">
        <f t="shared" si="36"/>
        <v>1.3764015876168609E-2</v>
      </c>
      <c r="AV77" s="18">
        <f t="shared" si="37"/>
        <v>0.20139452084117129</v>
      </c>
      <c r="AW77" s="19">
        <f t="shared" si="95"/>
        <v>994.74201507790826</v>
      </c>
      <c r="AX77" s="15">
        <f t="shared" si="38"/>
        <v>5.4894840301558164E-6</v>
      </c>
      <c r="AY77" s="16">
        <f t="shared" si="39"/>
        <v>27.328533173395947</v>
      </c>
      <c r="AZ77" s="17">
        <f t="shared" si="40"/>
        <v>1.3738496252283815E-2</v>
      </c>
      <c r="BA77" s="18">
        <f t="shared" si="41"/>
        <v>0.20182660243797518</v>
      </c>
      <c r="BB77" s="19">
        <f t="shared" si="96"/>
        <v>989.04379205563771</v>
      </c>
      <c r="BC77" s="15">
        <f t="shared" si="42"/>
        <v>5.4780875841112755E-6</v>
      </c>
      <c r="BD77" s="16">
        <f t="shared" si="43"/>
        <v>27.263003608639835</v>
      </c>
      <c r="BE77" s="17">
        <f t="shared" si="44"/>
        <v>1.3709974440322582E-2</v>
      </c>
      <c r="BF77" s="18">
        <f t="shared" si="45"/>
        <v>0.20231171440890175</v>
      </c>
      <c r="BG77" s="19">
        <f t="shared" si="97"/>
        <v>982.74577650635979</v>
      </c>
      <c r="BH77" s="15">
        <f t="shared" si="46"/>
        <v>5.4654915530127205E-6</v>
      </c>
      <c r="BI77" s="16">
        <f t="shared" si="47"/>
        <v>27.190576429823139</v>
      </c>
      <c r="BJ77" s="17">
        <f t="shared" si="48"/>
        <v>1.3678450434588981E-2</v>
      </c>
      <c r="BK77" s="18">
        <f t="shared" si="49"/>
        <v>0.20285060944682137</v>
      </c>
      <c r="BL77" s="19">
        <f t="shared" si="98"/>
        <v>975.84795159253213</v>
      </c>
      <c r="BM77" s="15">
        <f t="shared" si="50"/>
        <v>5.4516959031850647E-6</v>
      </c>
      <c r="BN77" s="16">
        <f t="shared" si="51"/>
        <v>27.111251443314117</v>
      </c>
      <c r="BO77" s="17">
        <f t="shared" si="52"/>
        <v>1.3643924150804584E-2</v>
      </c>
      <c r="BP77" s="18">
        <f t="shared" si="53"/>
        <v>0.20344413136119557</v>
      </c>
      <c r="BQ77" s="19">
        <f t="shared" si="99"/>
        <v>968.35011083247741</v>
      </c>
      <c r="BR77" s="15">
        <f t="shared" si="54"/>
        <v>5.4367002216649554E-6</v>
      </c>
      <c r="BS77" s="16">
        <f t="shared" si="55"/>
        <v>27.025026274573491</v>
      </c>
      <c r="BT77" s="17">
        <f t="shared" si="56"/>
        <v>1.3606394555448679E-2</v>
      </c>
      <c r="BU77" s="18">
        <f t="shared" si="57"/>
        <v>0.2040932335814</v>
      </c>
      <c r="BV77" s="19">
        <f t="shared" si="100"/>
        <v>960.2500441023376</v>
      </c>
      <c r="BW77" s="15">
        <f t="shared" si="58"/>
        <v>5.4205000882046757E-6</v>
      </c>
      <c r="BX77" s="16">
        <f t="shared" si="59"/>
        <v>26.931875507176883</v>
      </c>
      <c r="BY77" s="17">
        <f t="shared" si="60"/>
        <v>1.3565850585995827E-2</v>
      </c>
      <c r="BZ77" s="18">
        <f t="shared" si="61"/>
        <v>0.20479914213661726</v>
      </c>
      <c r="CA77" s="19">
        <f t="shared" si="101"/>
        <v>951.52739263425246</v>
      </c>
      <c r="CB77" s="15">
        <f t="shared" si="62"/>
        <v>5.403054785268505E-6</v>
      </c>
      <c r="CC77" s="16">
        <f t="shared" si="63"/>
        <v>26.831565015293904</v>
      </c>
      <c r="CD77" s="17">
        <f t="shared" si="64"/>
        <v>1.3522190338932183E-2</v>
      </c>
      <c r="CE77" s="18">
        <f t="shared" si="65"/>
        <v>0.20556478896613417</v>
      </c>
      <c r="CF77" s="19">
        <f t="shared" si="102"/>
        <v>942.02422062136225</v>
      </c>
      <c r="CG77" s="15">
        <f t="shared" si="66"/>
        <v>5.3840484412427252E-6</v>
      </c>
      <c r="CH77" s="16">
        <f t="shared" si="67"/>
        <v>26.722278537145662</v>
      </c>
      <c r="CI77" s="17">
        <f t="shared" si="68"/>
        <v>1.3474623284408776E-2</v>
      </c>
      <c r="CJ77" s="18">
        <f t="shared" si="69"/>
        <v>0.20640549017303789</v>
      </c>
      <c r="CK77" s="19">
        <f t="shared" si="103"/>
        <v>930.7397154204175</v>
      </c>
      <c r="CL77" s="15">
        <f t="shared" si="70"/>
        <v>5.3614794308408356E-6</v>
      </c>
      <c r="CM77" s="16">
        <f t="shared" si="71"/>
        <v>26.592506727334801</v>
      </c>
      <c r="CN77" s="17">
        <f t="shared" si="72"/>
        <v>1.3418139967739884E-2</v>
      </c>
      <c r="CO77" s="18">
        <f t="shared" si="73"/>
        <v>0.20741275189113381</v>
      </c>
      <c r="CP77" s="19">
        <f t="shared" si="104"/>
        <v>912.72666100224535</v>
      </c>
      <c r="CQ77" s="15">
        <f t="shared" si="74"/>
        <v>5.3254533220044909E-6</v>
      </c>
      <c r="CR77" s="16">
        <f t="shared" si="75"/>
        <v>26.385356601525821</v>
      </c>
      <c r="CS77" s="17">
        <f t="shared" si="76"/>
        <v>1.3327977657673296E-2</v>
      </c>
      <c r="CT77" s="18">
        <f t="shared" si="77"/>
        <v>0.20904113911733302</v>
      </c>
      <c r="CU77" s="19">
        <f t="shared" si="105"/>
        <v>870.34069853586391</v>
      </c>
      <c r="CV77" s="15">
        <f t="shared" si="78"/>
        <v>5.2406813970717283E-6</v>
      </c>
      <c r="CW77" s="16">
        <f t="shared" si="79"/>
        <v>25.897918033162433</v>
      </c>
      <c r="CX77" s="17">
        <f t="shared" si="80"/>
        <v>1.3115819508275313E-2</v>
      </c>
      <c r="CY77" s="18">
        <f t="shared" si="81"/>
        <v>0.21297561421490369</v>
      </c>
      <c r="CZ77" s="20">
        <f t="shared" si="106"/>
        <v>765.06398635205858</v>
      </c>
      <c r="DA77" s="15">
        <f t="shared" si="82"/>
        <v>5.0301279727041171E-6</v>
      </c>
      <c r="DB77" s="16">
        <f t="shared" si="83"/>
        <v>24.687235843048672</v>
      </c>
      <c r="DC77" s="17">
        <f t="shared" si="84"/>
        <v>1.2588868812055171E-2</v>
      </c>
      <c r="DD77" s="18">
        <f t="shared" si="85"/>
        <v>0.223420112120534</v>
      </c>
    </row>
    <row r="78" spans="2:108" x14ac:dyDescent="0.25">
      <c r="B78">
        <v>59</v>
      </c>
      <c r="C78">
        <f t="shared" si="86"/>
        <v>5.7679265314369836E-2</v>
      </c>
      <c r="D78" s="19">
        <f t="shared" si="3"/>
        <v>1019.0462212036279</v>
      </c>
      <c r="E78" s="15">
        <f t="shared" si="4"/>
        <v>5.5380924424072567E-6</v>
      </c>
      <c r="F78" s="16">
        <f t="shared" si="5"/>
        <v>27.608031543841719</v>
      </c>
      <c r="G78" s="17">
        <f t="shared" si="1"/>
        <v>1.3860148211899211E-2</v>
      </c>
      <c r="H78" s="18">
        <f t="shared" si="6"/>
        <v>0.19978334895920249</v>
      </c>
      <c r="I78" s="19">
        <f t="shared" si="87"/>
        <v>1018.7232253907868</v>
      </c>
      <c r="J78" s="15">
        <f t="shared" si="7"/>
        <v>5.5374464507815737E-6</v>
      </c>
      <c r="K78" s="16">
        <f t="shared" si="8"/>
        <v>27.604317091994048</v>
      </c>
      <c r="L78" s="17">
        <f t="shared" si="9"/>
        <v>1.3858531492826943E-2</v>
      </c>
      <c r="M78" s="18">
        <f t="shared" si="10"/>
        <v>0.19981023191476346</v>
      </c>
      <c r="N78" s="19">
        <f t="shared" si="88"/>
        <v>1017.8195213999121</v>
      </c>
      <c r="O78" s="15">
        <f t="shared" si="11"/>
        <v>5.5356390427998244E-6</v>
      </c>
      <c r="P78" s="16">
        <f t="shared" si="12"/>
        <v>27.593924496098989</v>
      </c>
      <c r="Q78" s="17">
        <f t="shared" si="2"/>
        <v>1.3860148211899211E-2</v>
      </c>
      <c r="R78" s="18">
        <f t="shared" si="13"/>
        <v>0.19988548569014733</v>
      </c>
      <c r="S78" s="19">
        <f t="shared" si="89"/>
        <v>1016.3189904042624</v>
      </c>
      <c r="T78" s="15">
        <f t="shared" si="14"/>
        <v>5.5326379808085255E-6</v>
      </c>
      <c r="U78" s="16">
        <f t="shared" si="15"/>
        <v>27.576668389649015</v>
      </c>
      <c r="V78" s="17">
        <f t="shared" si="16"/>
        <v>1.3846497366060013E-2</v>
      </c>
      <c r="W78" s="18">
        <f t="shared" si="17"/>
        <v>0.20001056407779508</v>
      </c>
      <c r="X78" s="19">
        <f t="shared" si="90"/>
        <v>1014.2195992302742</v>
      </c>
      <c r="Y78" s="15">
        <f t="shared" si="18"/>
        <v>5.5284391984605492E-6</v>
      </c>
      <c r="Z78" s="16">
        <f t="shared" si="19"/>
        <v>27.552525391148151</v>
      </c>
      <c r="AA78" s="17">
        <f t="shared" si="20"/>
        <v>1.3835989100577329E-2</v>
      </c>
      <c r="AB78" s="18">
        <f t="shared" si="21"/>
        <v>0.20018582404689533</v>
      </c>
      <c r="AC78" s="19">
        <f t="shared" si="91"/>
        <v>1011.5203835645376</v>
      </c>
      <c r="AD78" s="15">
        <f t="shared" si="22"/>
        <v>5.5230407671290756E-6</v>
      </c>
      <c r="AE78" s="16">
        <f t="shared" si="23"/>
        <v>27.52148441099218</v>
      </c>
      <c r="AF78" s="17">
        <f t="shared" si="24"/>
        <v>1.3822478481326369E-2</v>
      </c>
      <c r="AG78" s="18">
        <f t="shared" si="25"/>
        <v>0.20041160998558055</v>
      </c>
      <c r="AH78" s="19">
        <f t="shared" si="92"/>
        <v>1008.2213521269204</v>
      </c>
      <c r="AI78" s="15">
        <f t="shared" si="26"/>
        <v>5.5164427042538415E-6</v>
      </c>
      <c r="AJ78" s="16">
        <f t="shared" si="27"/>
        <v>27.483545549459585</v>
      </c>
      <c r="AK78" s="17">
        <f t="shared" si="28"/>
        <v>1.3805965551953448E-2</v>
      </c>
      <c r="AL78" s="18">
        <f t="shared" si="29"/>
        <v>0.2006882623668057</v>
      </c>
      <c r="AM78" s="19">
        <f t="shared" si="93"/>
        <v>1004.322524939201</v>
      </c>
      <c r="AN78" s="15">
        <f t="shared" si="30"/>
        <v>5.5086450498784023E-6</v>
      </c>
      <c r="AO78" s="16">
        <f t="shared" si="31"/>
        <v>27.438709036800809</v>
      </c>
      <c r="AP78" s="17">
        <f t="shared" si="32"/>
        <v>1.3786450412675315E-2</v>
      </c>
      <c r="AQ78" s="18">
        <f t="shared" si="33"/>
        <v>0.2010161991441522</v>
      </c>
      <c r="AR78" s="19">
        <f t="shared" si="94"/>
        <v>999.82390836715422</v>
      </c>
      <c r="AS78" s="15">
        <f t="shared" si="34"/>
        <v>5.4996478167343086E-6</v>
      </c>
      <c r="AT78" s="16">
        <f t="shared" si="35"/>
        <v>27.386974946222274</v>
      </c>
      <c r="AU78" s="17">
        <f t="shared" si="36"/>
        <v>1.3763933095355139E-2</v>
      </c>
      <c r="AV78" s="18">
        <f t="shared" si="37"/>
        <v>0.20139591944092455</v>
      </c>
      <c r="AW78" s="19">
        <f t="shared" si="95"/>
        <v>994.72550378756205</v>
      </c>
      <c r="AX78" s="15">
        <f t="shared" si="38"/>
        <v>5.4894510075751247E-6</v>
      </c>
      <c r="AY78" s="16">
        <f t="shared" si="39"/>
        <v>27.328343293556962</v>
      </c>
      <c r="AZ78" s="17">
        <f t="shared" si="40"/>
        <v>1.3738413606884249E-2</v>
      </c>
      <c r="BA78" s="18">
        <f t="shared" si="41"/>
        <v>0.20182800474774429</v>
      </c>
      <c r="BB78" s="19">
        <f t="shared" si="96"/>
        <v>989.02731139346224</v>
      </c>
      <c r="BC78" s="15">
        <f t="shared" si="42"/>
        <v>5.478054622786925E-6</v>
      </c>
      <c r="BD78" s="16">
        <f t="shared" si="43"/>
        <v>27.262814081024814</v>
      </c>
      <c r="BE78" s="17">
        <f t="shared" si="44"/>
        <v>1.3709891948228867E-2</v>
      </c>
      <c r="BF78" s="18">
        <f t="shared" si="45"/>
        <v>0.2023131208542015</v>
      </c>
      <c r="BG78" s="19">
        <f t="shared" si="97"/>
        <v>982.72932984174065</v>
      </c>
      <c r="BH78" s="15">
        <f t="shared" si="46"/>
        <v>5.4654586596834824E-6</v>
      </c>
      <c r="BI78" s="16">
        <f t="shared" si="47"/>
        <v>27.190387293180017</v>
      </c>
      <c r="BJ78" s="17">
        <f t="shared" si="48"/>
        <v>1.3678368112666196E-2</v>
      </c>
      <c r="BK78" s="18">
        <f t="shared" si="49"/>
        <v>0.20285202047796677</v>
      </c>
      <c r="BL78" s="19">
        <f t="shared" si="98"/>
        <v>975.83153980431757</v>
      </c>
      <c r="BM78" s="15">
        <f t="shared" si="50"/>
        <v>5.4516630796086358E-6</v>
      </c>
      <c r="BN78" s="16">
        <f t="shared" si="51"/>
        <v>27.111062707749653</v>
      </c>
      <c r="BO78" s="17">
        <f t="shared" si="52"/>
        <v>1.3643842003451704E-2</v>
      </c>
      <c r="BP78" s="18">
        <f t="shared" si="53"/>
        <v>0.20344554765178452</v>
      </c>
      <c r="BQ78" s="19">
        <f t="shared" si="99"/>
        <v>968.33370894936115</v>
      </c>
      <c r="BR78" s="15">
        <f t="shared" si="54"/>
        <v>5.436667417898723E-6</v>
      </c>
      <c r="BS78" s="16">
        <f t="shared" si="55"/>
        <v>27.024837652917654</v>
      </c>
      <c r="BT78" s="17">
        <f t="shared" si="56"/>
        <v>1.3606312457674649E-2</v>
      </c>
      <c r="BU78" s="18">
        <f t="shared" si="57"/>
        <v>0.20409465806372837</v>
      </c>
      <c r="BV78" s="19">
        <f t="shared" si="100"/>
        <v>960.233398192712</v>
      </c>
      <c r="BW78" s="15">
        <f t="shared" si="58"/>
        <v>5.4204667963854248E-6</v>
      </c>
      <c r="BX78" s="16">
        <f t="shared" si="59"/>
        <v>26.93168407921619</v>
      </c>
      <c r="BY78" s="17">
        <f t="shared" si="60"/>
        <v>1.3565767266774659E-2</v>
      </c>
      <c r="BZ78" s="18">
        <f t="shared" si="61"/>
        <v>0.20480059783029078</v>
      </c>
      <c r="CA78" s="19">
        <f t="shared" si="101"/>
        <v>951.50856269820838</v>
      </c>
      <c r="CB78" s="15">
        <f t="shared" si="62"/>
        <v>5.4030171253964173E-6</v>
      </c>
      <c r="CC78" s="16">
        <f t="shared" si="63"/>
        <v>26.831348471029393</v>
      </c>
      <c r="CD78" s="17">
        <f t="shared" si="64"/>
        <v>1.352209608781337E-2</v>
      </c>
      <c r="CE78" s="18">
        <f t="shared" si="65"/>
        <v>0.2055664479910648</v>
      </c>
      <c r="CF78" s="19">
        <f t="shared" si="102"/>
        <v>941.99134910755618</v>
      </c>
      <c r="CG78" s="15">
        <f t="shared" si="66"/>
        <v>5.3839826982151135E-6</v>
      </c>
      <c r="CH78" s="16">
        <f t="shared" si="67"/>
        <v>26.721900514736895</v>
      </c>
      <c r="CI78" s="17">
        <f t="shared" si="68"/>
        <v>1.3474458749757886E-2</v>
      </c>
      <c r="CJ78" s="18">
        <f t="shared" si="69"/>
        <v>0.20640841009636202</v>
      </c>
      <c r="CK78" s="19">
        <f t="shared" si="103"/>
        <v>930.63744101570433</v>
      </c>
      <c r="CL78" s="15">
        <f t="shared" si="70"/>
        <v>5.3612748820314096E-6</v>
      </c>
      <c r="CM78" s="16">
        <f t="shared" si="71"/>
        <v>26.591330571680601</v>
      </c>
      <c r="CN78" s="17">
        <f t="shared" si="72"/>
        <v>1.3417628044754723E-2</v>
      </c>
      <c r="CO78" s="18">
        <f t="shared" si="73"/>
        <v>0.20742192592175376</v>
      </c>
      <c r="CP78" s="19">
        <f t="shared" si="104"/>
        <v>912.37712295594031</v>
      </c>
      <c r="CQ78" s="15">
        <f t="shared" si="74"/>
        <v>5.3247542459118811E-6</v>
      </c>
      <c r="CR78" s="16">
        <f t="shared" si="75"/>
        <v>26.381336913993312</v>
      </c>
      <c r="CS78" s="17">
        <f t="shared" si="76"/>
        <v>1.3326228084448269E-2</v>
      </c>
      <c r="CT78" s="18">
        <f t="shared" si="77"/>
        <v>0.20907299042431685</v>
      </c>
      <c r="CU78" s="19">
        <f t="shared" si="105"/>
        <v>869.45081820593941</v>
      </c>
      <c r="CV78" s="15">
        <f t="shared" si="78"/>
        <v>5.2389016364118795E-6</v>
      </c>
      <c r="CW78" s="16">
        <f t="shared" si="79"/>
        <v>25.887684409368305</v>
      </c>
      <c r="CX78" s="17">
        <f t="shared" si="80"/>
        <v>1.3111365312758761E-2</v>
      </c>
      <c r="CY78" s="18">
        <f t="shared" si="81"/>
        <v>0.21305980530278679</v>
      </c>
      <c r="CZ78" s="20">
        <f t="shared" si="106"/>
        <v>763.79325303216285</v>
      </c>
      <c r="DA78" s="15">
        <f t="shared" si="82"/>
        <v>5.0275865060643261E-6</v>
      </c>
      <c r="DB78" s="16">
        <f t="shared" si="83"/>
        <v>24.672622409869874</v>
      </c>
      <c r="DC78" s="17">
        <f t="shared" si="84"/>
        <v>1.2582508299898789E-2</v>
      </c>
      <c r="DD78" s="18">
        <f t="shared" si="85"/>
        <v>0.22355244239435065</v>
      </c>
    </row>
    <row r="79" spans="2:108" x14ac:dyDescent="0.25">
      <c r="B79">
        <v>60</v>
      </c>
      <c r="C79">
        <f t="shared" si="86"/>
        <v>5.8656879980715088E-2</v>
      </c>
      <c r="D79" s="19">
        <f t="shared" si="3"/>
        <v>1019.0297306690908</v>
      </c>
      <c r="E79" s="15">
        <f t="shared" si="4"/>
        <v>5.5380594613381819E-6</v>
      </c>
      <c r="F79" s="16">
        <f t="shared" si="5"/>
        <v>27.607841902694545</v>
      </c>
      <c r="G79" s="17">
        <f t="shared" si="1"/>
        <v>1.38600656703905E-2</v>
      </c>
      <c r="H79" s="18">
        <f t="shared" si="6"/>
        <v>0.1997847212918758</v>
      </c>
      <c r="I79" s="19">
        <f t="shared" si="87"/>
        <v>1018.7066756673852</v>
      </c>
      <c r="J79" s="15">
        <f t="shared" si="7"/>
        <v>5.5374133513347707E-6</v>
      </c>
      <c r="K79" s="16">
        <f t="shared" si="8"/>
        <v>27.604126770174929</v>
      </c>
      <c r="L79" s="17">
        <f t="shared" si="9"/>
        <v>1.3858448655055059E-2</v>
      </c>
      <c r="M79" s="18">
        <f t="shared" si="10"/>
        <v>0.19981160954380905</v>
      </c>
      <c r="N79" s="19">
        <f t="shared" si="88"/>
        <v>1017.8029205617316</v>
      </c>
      <c r="O79" s="15">
        <f t="shared" si="11"/>
        <v>5.5356058411234638E-6</v>
      </c>
      <c r="P79" s="16">
        <f t="shared" si="12"/>
        <v>27.593733586459912</v>
      </c>
      <c r="Q79" s="17">
        <f t="shared" si="2"/>
        <v>1.38600656703905E-2</v>
      </c>
      <c r="R79" s="18">
        <f t="shared" si="13"/>
        <v>0.19988686861521654</v>
      </c>
      <c r="S79" s="19">
        <f t="shared" si="89"/>
        <v>1016.3023743032501</v>
      </c>
      <c r="T79" s="15">
        <f t="shared" si="14"/>
        <v>5.532604748606501E-6</v>
      </c>
      <c r="U79" s="16">
        <f t="shared" si="15"/>
        <v>27.576477304487376</v>
      </c>
      <c r="V79" s="17">
        <f t="shared" si="16"/>
        <v>1.3846414196042491E-2</v>
      </c>
      <c r="W79" s="18">
        <f t="shared" si="17"/>
        <v>0.20001195000720673</v>
      </c>
      <c r="X79" s="19">
        <f t="shared" si="90"/>
        <v>1014.2029883746832</v>
      </c>
      <c r="Y79" s="15">
        <f t="shared" si="18"/>
        <v>5.5284059767493666E-6</v>
      </c>
      <c r="Z79" s="16">
        <f t="shared" si="19"/>
        <v>27.552334366308855</v>
      </c>
      <c r="AA79" s="17">
        <f t="shared" si="20"/>
        <v>1.383590595681517E-2</v>
      </c>
      <c r="AB79" s="18">
        <f t="shared" si="21"/>
        <v>0.20018721196794623</v>
      </c>
      <c r="AC79" s="19">
        <f t="shared" si="91"/>
        <v>1011.5037854516437</v>
      </c>
      <c r="AD79" s="15">
        <f t="shared" si="22"/>
        <v>5.5230075709032874E-6</v>
      </c>
      <c r="AE79" s="16">
        <f t="shared" si="23"/>
        <v>27.521293532693903</v>
      </c>
      <c r="AF79" s="17">
        <f t="shared" si="24"/>
        <v>1.3822395401346343E-2</v>
      </c>
      <c r="AG79" s="18">
        <f t="shared" si="25"/>
        <v>0.20041299997210221</v>
      </c>
      <c r="AH79" s="19">
        <f t="shared" si="92"/>
        <v>1008.2047705422389</v>
      </c>
      <c r="AI79" s="15">
        <f t="shared" si="26"/>
        <v>5.5164095410844788E-6</v>
      </c>
      <c r="AJ79" s="16">
        <f t="shared" si="27"/>
        <v>27.483354861235746</v>
      </c>
      <c r="AK79" s="17">
        <f t="shared" si="28"/>
        <v>1.3805882554703525E-2</v>
      </c>
      <c r="AL79" s="18">
        <f t="shared" si="29"/>
        <v>0.20068965480555595</v>
      </c>
      <c r="AM79" s="19">
        <f t="shared" si="93"/>
        <v>1004.3059633086672</v>
      </c>
      <c r="AN79" s="15">
        <f t="shared" si="30"/>
        <v>5.5086119266173349E-6</v>
      </c>
      <c r="AO79" s="16">
        <f t="shared" si="31"/>
        <v>27.438518578049674</v>
      </c>
      <c r="AP79" s="17">
        <f t="shared" si="32"/>
        <v>1.3786367515303625E-2</v>
      </c>
      <c r="AQ79" s="18">
        <f t="shared" si="33"/>
        <v>0.20101759445615267</v>
      </c>
      <c r="AR79" s="19">
        <f t="shared" si="94"/>
        <v>999.80737021546042</v>
      </c>
      <c r="AS79" s="15">
        <f t="shared" si="34"/>
        <v>5.4996147404309216E-6</v>
      </c>
      <c r="AT79" s="16">
        <f t="shared" si="35"/>
        <v>27.386784757477795</v>
      </c>
      <c r="AU79" s="17">
        <f t="shared" si="36"/>
        <v>1.3763850315504133E-2</v>
      </c>
      <c r="AV79" s="18">
        <f t="shared" si="37"/>
        <v>0.20139731804384201</v>
      </c>
      <c r="AW79" s="19">
        <f t="shared" si="95"/>
        <v>994.70899268982532</v>
      </c>
      <c r="AX79" s="15">
        <f t="shared" si="38"/>
        <v>5.489417985379651E-6</v>
      </c>
      <c r="AY79" s="16">
        <f t="shared" si="39"/>
        <v>27.328153415932988</v>
      </c>
      <c r="AZ79" s="17">
        <f t="shared" si="40"/>
        <v>1.3738330962448768E-2</v>
      </c>
      <c r="BA79" s="18">
        <f t="shared" si="41"/>
        <v>0.20182940706064151</v>
      </c>
      <c r="BB79" s="19">
        <f t="shared" si="96"/>
        <v>989.01083092110957</v>
      </c>
      <c r="BC79" s="15">
        <f t="shared" si="42"/>
        <v>5.4780216618422197E-6</v>
      </c>
      <c r="BD79" s="16">
        <f t="shared" si="43"/>
        <v>27.262624555592758</v>
      </c>
      <c r="BE79" s="17">
        <f t="shared" si="44"/>
        <v>1.370980945708529E-2</v>
      </c>
      <c r="BF79" s="18">
        <f t="shared" si="45"/>
        <v>0.20231452730285659</v>
      </c>
      <c r="BG79" s="19">
        <f t="shared" si="97"/>
        <v>982.71288333104883</v>
      </c>
      <c r="BH79" s="15">
        <f t="shared" si="46"/>
        <v>5.4654257666620976E-6</v>
      </c>
      <c r="BI79" s="16">
        <f t="shared" si="47"/>
        <v>27.190198158307062</v>
      </c>
      <c r="BJ79" s="17">
        <f t="shared" si="48"/>
        <v>1.3678285791513872E-2</v>
      </c>
      <c r="BK79" s="18">
        <f t="shared" si="49"/>
        <v>0.2028534315155362</v>
      </c>
      <c r="BL79" s="19">
        <f t="shared" si="98"/>
        <v>975.81512779883246</v>
      </c>
      <c r="BM79" s="15">
        <f t="shared" si="50"/>
        <v>5.4516302555976654E-6</v>
      </c>
      <c r="BN79" s="16">
        <f t="shared" si="51"/>
        <v>27.110873969686573</v>
      </c>
      <c r="BO79" s="17">
        <f t="shared" si="52"/>
        <v>1.3643759855011301E-2</v>
      </c>
      <c r="BP79" s="18">
        <f t="shared" si="53"/>
        <v>0.20344696398084305</v>
      </c>
      <c r="BQ79" s="19">
        <f t="shared" si="99"/>
        <v>968.31730357755987</v>
      </c>
      <c r="BR79" s="15">
        <f t="shared" si="54"/>
        <v>5.4366346071551201E-6</v>
      </c>
      <c r="BS79" s="16">
        <f t="shared" si="55"/>
        <v>27.024648991141937</v>
      </c>
      <c r="BT79" s="17">
        <f t="shared" si="56"/>
        <v>1.3606230342438401E-2</v>
      </c>
      <c r="BU79" s="18">
        <f t="shared" si="57"/>
        <v>0.20409608286893555</v>
      </c>
      <c r="BV79" s="19">
        <f t="shared" si="100"/>
        <v>960.21672480758002</v>
      </c>
      <c r="BW79" s="15">
        <f t="shared" si="58"/>
        <v>5.4204334496151606E-6</v>
      </c>
      <c r="BX79" s="16">
        <f t="shared" si="59"/>
        <v>26.931492335287167</v>
      </c>
      <c r="BY79" s="17">
        <f t="shared" si="60"/>
        <v>1.3565683810027943E-2</v>
      </c>
      <c r="BZ79" s="18">
        <f t="shared" si="61"/>
        <v>0.20480205594745729</v>
      </c>
      <c r="CA79" s="19">
        <f t="shared" si="101"/>
        <v>951.48956468516678</v>
      </c>
      <c r="CB79" s="15">
        <f t="shared" si="62"/>
        <v>5.4029791293703344E-6</v>
      </c>
      <c r="CC79" s="16">
        <f t="shared" si="63"/>
        <v>26.831129993879415</v>
      </c>
      <c r="CD79" s="17">
        <f t="shared" si="64"/>
        <v>1.3522000995404125E-2</v>
      </c>
      <c r="CE79" s="18">
        <f t="shared" si="65"/>
        <v>0.20556812185167742</v>
      </c>
      <c r="CF79" s="19">
        <f t="shared" si="102"/>
        <v>941.95769396867752</v>
      </c>
      <c r="CG79" s="15">
        <f t="shared" si="66"/>
        <v>5.3839153879373557E-6</v>
      </c>
      <c r="CH79" s="16">
        <f t="shared" si="67"/>
        <v>26.721513480639793</v>
      </c>
      <c r="CI79" s="17">
        <f t="shared" si="68"/>
        <v>1.3474290292760174E-2</v>
      </c>
      <c r="CJ79" s="18">
        <f t="shared" si="69"/>
        <v>0.20641139971342445</v>
      </c>
      <c r="CK79" s="19">
        <f t="shared" si="103"/>
        <v>930.53264584644637</v>
      </c>
      <c r="CL79" s="15">
        <f t="shared" si="70"/>
        <v>5.3610652916928931E-6</v>
      </c>
      <c r="CM79" s="16">
        <f t="shared" si="71"/>
        <v>26.590125427234135</v>
      </c>
      <c r="CN79" s="17">
        <f t="shared" si="72"/>
        <v>1.3417103504367247E-2</v>
      </c>
      <c r="CO79" s="18">
        <f t="shared" si="73"/>
        <v>0.20743132690719793</v>
      </c>
      <c r="CP79" s="19">
        <f t="shared" si="104"/>
        <v>912.02337276916558</v>
      </c>
      <c r="CQ79" s="15">
        <f t="shared" si="74"/>
        <v>5.3240467455383316E-6</v>
      </c>
      <c r="CR79" s="16">
        <f t="shared" si="75"/>
        <v>26.377268786845406</v>
      </c>
      <c r="CS79" s="17">
        <f t="shared" si="76"/>
        <v>1.3324457427829704E-2</v>
      </c>
      <c r="CT79" s="18">
        <f t="shared" si="77"/>
        <v>0.20910523544237053</v>
      </c>
      <c r="CU79" s="19">
        <f t="shared" si="105"/>
        <v>868.56285821152187</v>
      </c>
      <c r="CV79" s="15">
        <f t="shared" si="78"/>
        <v>5.2371257164230437E-6</v>
      </c>
      <c r="CW79" s="16">
        <f t="shared" si="79"/>
        <v>25.877472869432502</v>
      </c>
      <c r="CX79" s="17">
        <f t="shared" si="80"/>
        <v>1.3106920729264768E-2</v>
      </c>
      <c r="CY79" s="18">
        <f t="shared" si="81"/>
        <v>0.21314388108257956</v>
      </c>
      <c r="CZ79" s="20">
        <f t="shared" si="106"/>
        <v>762.53826630126525</v>
      </c>
      <c r="DA79" s="15">
        <f t="shared" si="82"/>
        <v>5.0250765326025305E-6</v>
      </c>
      <c r="DB79" s="16">
        <f t="shared" si="83"/>
        <v>24.658190062464548</v>
      </c>
      <c r="DC79" s="17">
        <f t="shared" si="84"/>
        <v>1.2576226605515713E-2</v>
      </c>
      <c r="DD79" s="18">
        <f t="shared" si="85"/>
        <v>0.22368328681171346</v>
      </c>
    </row>
    <row r="80" spans="2:108" x14ac:dyDescent="0.25">
      <c r="B80">
        <v>61</v>
      </c>
      <c r="C80">
        <f t="shared" si="86"/>
        <v>5.9634494647060339E-2</v>
      </c>
      <c r="D80" s="19">
        <f t="shared" si="3"/>
        <v>1019.0132371126692</v>
      </c>
      <c r="E80" s="15">
        <f t="shared" si="4"/>
        <v>5.538026474225339E-6</v>
      </c>
      <c r="F80" s="16">
        <f t="shared" si="5"/>
        <v>27.607652226795693</v>
      </c>
      <c r="G80" s="17">
        <f t="shared" si="1"/>
        <v>1.3859983113756094E-2</v>
      </c>
      <c r="H80" s="18">
        <f t="shared" si="6"/>
        <v>0.19978609389488736</v>
      </c>
      <c r="I80" s="19">
        <f t="shared" si="87"/>
        <v>1018.6901253900644</v>
      </c>
      <c r="J80" s="15">
        <f t="shared" si="7"/>
        <v>5.537380250780129E-6</v>
      </c>
      <c r="K80" s="16">
        <f t="shared" si="8"/>
        <v>27.603936441985738</v>
      </c>
      <c r="L80" s="17">
        <f t="shared" si="9"/>
        <v>1.3858365814510594E-2</v>
      </c>
      <c r="M80" s="18">
        <f t="shared" si="10"/>
        <v>0.19981298723796162</v>
      </c>
      <c r="N80" s="19">
        <f t="shared" si="88"/>
        <v>1017.7863200896628</v>
      </c>
      <c r="O80" s="15">
        <f t="shared" si="11"/>
        <v>5.535572640179326E-6</v>
      </c>
      <c r="P80" s="16">
        <f t="shared" si="12"/>
        <v>27.593542681031121</v>
      </c>
      <c r="Q80" s="17">
        <f t="shared" si="2"/>
        <v>1.3859983113756094E-2</v>
      </c>
      <c r="R80" s="18">
        <f t="shared" si="13"/>
        <v>0.19988825152892223</v>
      </c>
      <c r="S80" s="19">
        <f t="shared" si="89"/>
        <v>1016.2857585623143</v>
      </c>
      <c r="T80" s="15">
        <f t="shared" si="14"/>
        <v>5.5325715171246291E-6</v>
      </c>
      <c r="U80" s="16">
        <f t="shared" si="15"/>
        <v>27.576286223466614</v>
      </c>
      <c r="V80" s="17">
        <f t="shared" si="16"/>
        <v>1.3846331027827292E-2</v>
      </c>
      <c r="W80" s="18">
        <f t="shared" si="17"/>
        <v>0.20001333592579135</v>
      </c>
      <c r="X80" s="19">
        <f t="shared" si="90"/>
        <v>1014.1863777538084</v>
      </c>
      <c r="Y80" s="15">
        <f t="shared" si="18"/>
        <v>5.5283727555076174E-6</v>
      </c>
      <c r="Z80" s="16">
        <f t="shared" si="19"/>
        <v>27.552143344168798</v>
      </c>
      <c r="AA80" s="17">
        <f t="shared" si="20"/>
        <v>1.383582281422786E-2</v>
      </c>
      <c r="AB80" s="18">
        <f t="shared" si="21"/>
        <v>0.20018859988863044</v>
      </c>
      <c r="AC80" s="19">
        <f t="shared" si="91"/>
        <v>1011.4871875313654</v>
      </c>
      <c r="AD80" s="15">
        <f t="shared" si="22"/>
        <v>5.5229743750627306E-6</v>
      </c>
      <c r="AE80" s="16">
        <f t="shared" si="23"/>
        <v>27.521102656610701</v>
      </c>
      <c r="AF80" s="17">
        <f t="shared" si="24"/>
        <v>1.3822312322330431E-2</v>
      </c>
      <c r="AG80" s="18">
        <f t="shared" si="25"/>
        <v>0.20041438996177433</v>
      </c>
      <c r="AH80" s="19">
        <f t="shared" si="92"/>
        <v>1008.1881891465973</v>
      </c>
      <c r="AI80" s="15">
        <f t="shared" si="26"/>
        <v>5.5163763782931953E-6</v>
      </c>
      <c r="AJ80" s="16">
        <f t="shared" si="27"/>
        <v>27.48316417518587</v>
      </c>
      <c r="AK80" s="17">
        <f t="shared" si="28"/>
        <v>1.3805799558399818E-2</v>
      </c>
      <c r="AL80" s="18">
        <f t="shared" si="29"/>
        <v>0.20069104724775372</v>
      </c>
      <c r="AM80" s="19">
        <f t="shared" si="93"/>
        <v>1004.2894018691881</v>
      </c>
      <c r="AN80" s="15">
        <f t="shared" si="30"/>
        <v>5.5085788037383768E-6</v>
      </c>
      <c r="AO80" s="16">
        <f t="shared" si="31"/>
        <v>27.438328121495662</v>
      </c>
      <c r="AP80" s="17">
        <f t="shared" si="32"/>
        <v>1.3786284618888237E-2</v>
      </c>
      <c r="AQ80" s="18">
        <f t="shared" si="33"/>
        <v>0.20101898977142721</v>
      </c>
      <c r="AR80" s="19">
        <f t="shared" si="94"/>
        <v>999.79083225603813</v>
      </c>
      <c r="AS80" s="15">
        <f t="shared" si="34"/>
        <v>5.4995816645120765E-6</v>
      </c>
      <c r="AT80" s="16">
        <f t="shared" si="35"/>
        <v>27.386594570944439</v>
      </c>
      <c r="AU80" s="17">
        <f t="shared" si="36"/>
        <v>1.3763767536615516E-2</v>
      </c>
      <c r="AV80" s="18">
        <f t="shared" si="37"/>
        <v>0.20139871664992451</v>
      </c>
      <c r="AW80" s="19">
        <f t="shared" si="95"/>
        <v>994.69248178465102</v>
      </c>
      <c r="AX80" s="15">
        <f t="shared" si="38"/>
        <v>5.489384963569302E-6</v>
      </c>
      <c r="AY80" s="16">
        <f t="shared" si="39"/>
        <v>27.327963540523484</v>
      </c>
      <c r="AZ80" s="17">
        <f t="shared" si="40"/>
        <v>1.3738248318977134E-2</v>
      </c>
      <c r="BA80" s="18">
        <f t="shared" si="41"/>
        <v>0.20183080937667061</v>
      </c>
      <c r="BB80" s="19">
        <f t="shared" si="96"/>
        <v>988.99435063809608</v>
      </c>
      <c r="BC80" s="15">
        <f t="shared" si="42"/>
        <v>5.4779887012761932E-6</v>
      </c>
      <c r="BD80" s="16">
        <f t="shared" si="43"/>
        <v>27.262435032338104</v>
      </c>
      <c r="BE80" s="17">
        <f t="shared" si="44"/>
        <v>1.3709726966889428E-2</v>
      </c>
      <c r="BF80" s="18">
        <f t="shared" si="45"/>
        <v>0.20231593375490803</v>
      </c>
      <c r="BG80" s="19">
        <f t="shared" si="97"/>
        <v>982.69643696943194</v>
      </c>
      <c r="BH80" s="15">
        <f t="shared" si="46"/>
        <v>5.4653928739388641E-6</v>
      </c>
      <c r="BI80" s="16">
        <f t="shared" si="47"/>
        <v>27.190009025148466</v>
      </c>
      <c r="BJ80" s="17">
        <f t="shared" si="48"/>
        <v>1.3678203471107731E-2</v>
      </c>
      <c r="BK80" s="18">
        <f t="shared" si="49"/>
        <v>0.2028548425599459</v>
      </c>
      <c r="BL80" s="19">
        <f t="shared" si="98"/>
        <v>975.79871553433384</v>
      </c>
      <c r="BM80" s="15">
        <f t="shared" si="50"/>
        <v>5.4515974310686683E-6</v>
      </c>
      <c r="BN80" s="16">
        <f t="shared" si="51"/>
        <v>27.11068522864484</v>
      </c>
      <c r="BO80" s="17">
        <f t="shared" si="52"/>
        <v>1.3643677705274432E-2</v>
      </c>
      <c r="BP80" s="18">
        <f t="shared" si="53"/>
        <v>0.20344838035197479</v>
      </c>
      <c r="BQ80" s="19">
        <f t="shared" si="99"/>
        <v>968.30089442018004</v>
      </c>
      <c r="BR80" s="15">
        <f t="shared" si="54"/>
        <v>5.4366017888403599E-6</v>
      </c>
      <c r="BS80" s="16">
        <f t="shared" si="55"/>
        <v>27.02446028583207</v>
      </c>
      <c r="BT80" s="17">
        <f t="shared" si="56"/>
        <v>1.3606148208253864E-2</v>
      </c>
      <c r="BU80" s="18">
        <f t="shared" si="57"/>
        <v>0.20409750802282031</v>
      </c>
      <c r="BV80" s="19">
        <f t="shared" si="100"/>
        <v>960.2000222806422</v>
      </c>
      <c r="BW80" s="15">
        <f t="shared" si="58"/>
        <v>5.4204000445612851E-6</v>
      </c>
      <c r="BX80" s="16">
        <f t="shared" si="59"/>
        <v>26.931300256227384</v>
      </c>
      <c r="BY80" s="17">
        <f t="shared" si="60"/>
        <v>1.3565600207415211E-2</v>
      </c>
      <c r="BZ80" s="18">
        <f t="shared" si="61"/>
        <v>0.20480351663394381</v>
      </c>
      <c r="CA80" s="19">
        <f t="shared" si="101"/>
        <v>951.47039181254706</v>
      </c>
      <c r="CB80" s="15">
        <f t="shared" si="62"/>
        <v>5.4029407836250949E-6</v>
      </c>
      <c r="CC80" s="16">
        <f t="shared" si="63"/>
        <v>26.830909505844289</v>
      </c>
      <c r="CD80" s="17">
        <f t="shared" si="64"/>
        <v>1.3521905027755004E-2</v>
      </c>
      <c r="CE80" s="18">
        <f t="shared" si="65"/>
        <v>0.20556981114630463</v>
      </c>
      <c r="CF80" s="19">
        <f t="shared" si="102"/>
        <v>941.92323905777732</v>
      </c>
      <c r="CG80" s="15">
        <f t="shared" si="66"/>
        <v>5.383846478115555E-6</v>
      </c>
      <c r="CH80" s="16">
        <f t="shared" si="67"/>
        <v>26.721117249164436</v>
      </c>
      <c r="CI80" s="17">
        <f t="shared" si="68"/>
        <v>1.3474117832593908E-2</v>
      </c>
      <c r="CJ80" s="18">
        <f t="shared" si="69"/>
        <v>0.20641446046469006</v>
      </c>
      <c r="CK80" s="19">
        <f t="shared" si="103"/>
        <v>930.42532926549995</v>
      </c>
      <c r="CL80" s="15">
        <f t="shared" si="70"/>
        <v>5.3608506585310009E-6</v>
      </c>
      <c r="CM80" s="16">
        <f t="shared" si="71"/>
        <v>26.588891286553249</v>
      </c>
      <c r="CN80" s="17">
        <f t="shared" si="72"/>
        <v>1.3416566343338253E-2</v>
      </c>
      <c r="CO80" s="18">
        <f t="shared" si="73"/>
        <v>0.20744095496713724</v>
      </c>
      <c r="CP80" s="19">
        <f t="shared" si="104"/>
        <v>911.66551773340984</v>
      </c>
      <c r="CQ80" s="15">
        <f t="shared" si="74"/>
        <v>5.3233310354668206E-6</v>
      </c>
      <c r="CR80" s="16">
        <f t="shared" si="75"/>
        <v>26.373153453934215</v>
      </c>
      <c r="CS80" s="17">
        <f t="shared" si="76"/>
        <v>1.3322666224853036E-2</v>
      </c>
      <c r="CT80" s="18">
        <f t="shared" si="77"/>
        <v>0.20913786474697083</v>
      </c>
      <c r="CU80" s="19">
        <f t="shared" si="105"/>
        <v>867.67692893920662</v>
      </c>
      <c r="CV80" s="15">
        <f t="shared" si="78"/>
        <v>5.2353538578784135E-6</v>
      </c>
      <c r="CW80" s="16">
        <f t="shared" si="79"/>
        <v>25.867284682800875</v>
      </c>
      <c r="CX80" s="17">
        <f t="shared" si="80"/>
        <v>1.3102486310320972E-2</v>
      </c>
      <c r="CY80" s="18">
        <f t="shared" si="81"/>
        <v>0.21322783073815754</v>
      </c>
      <c r="CZ80" s="20">
        <f t="shared" si="106"/>
        <v>761.29857454370278</v>
      </c>
      <c r="DA80" s="15">
        <f t="shared" si="82"/>
        <v>5.0225971490874059E-6</v>
      </c>
      <c r="DB80" s="16">
        <f t="shared" si="83"/>
        <v>24.643933607252581</v>
      </c>
      <c r="DC80" s="17">
        <f t="shared" si="84"/>
        <v>1.2570021468394739E-2</v>
      </c>
      <c r="DD80" s="18">
        <f t="shared" si="85"/>
        <v>0.22381268704509008</v>
      </c>
    </row>
    <row r="81" spans="2:108" x14ac:dyDescent="0.25">
      <c r="B81">
        <v>62</v>
      </c>
      <c r="C81">
        <f t="shared" si="86"/>
        <v>6.061210931340559E-2</v>
      </c>
      <c r="D81" s="19">
        <f t="shared" si="3"/>
        <v>1018.9967406603652</v>
      </c>
      <c r="E81" s="15">
        <f t="shared" si="4"/>
        <v>5.5379934813207313E-6</v>
      </c>
      <c r="F81" s="16">
        <f t="shared" si="5"/>
        <v>27.6074625175942</v>
      </c>
      <c r="G81" s="17">
        <f t="shared" si="1"/>
        <v>1.3859900542626672E-2</v>
      </c>
      <c r="H81" s="18">
        <f t="shared" si="6"/>
        <v>0.19978746675776157</v>
      </c>
      <c r="I81" s="19">
        <f t="shared" si="87"/>
        <v>1018.6735745608739</v>
      </c>
      <c r="J81" s="15">
        <f t="shared" si="7"/>
        <v>5.5373471491217484E-6</v>
      </c>
      <c r="K81" s="16">
        <f t="shared" si="8"/>
        <v>27.60374610745005</v>
      </c>
      <c r="L81" s="17">
        <f t="shared" si="9"/>
        <v>1.3858282971203806E-2</v>
      </c>
      <c r="M81" s="18">
        <f t="shared" si="10"/>
        <v>0.19981436499705282</v>
      </c>
      <c r="N81" s="19">
        <f t="shared" si="88"/>
        <v>1017.7697199740386</v>
      </c>
      <c r="O81" s="15">
        <f t="shared" si="11"/>
        <v>5.5355394399480774E-6</v>
      </c>
      <c r="P81" s="16">
        <f t="shared" si="12"/>
        <v>27.593351779701443</v>
      </c>
      <c r="Q81" s="17">
        <f t="shared" si="2"/>
        <v>1.3859900542626672E-2</v>
      </c>
      <c r="R81" s="18">
        <f t="shared" si="13"/>
        <v>0.19988963443206892</v>
      </c>
      <c r="S81" s="19">
        <f t="shared" si="89"/>
        <v>1016.2691431795121</v>
      </c>
      <c r="T81" s="15">
        <f t="shared" si="14"/>
        <v>5.5325382863590244E-6</v>
      </c>
      <c r="U81" s="16">
        <f t="shared" si="15"/>
        <v>27.576095146564388</v>
      </c>
      <c r="V81" s="17">
        <f t="shared" si="16"/>
        <v>1.3846247861404688E-2</v>
      </c>
      <c r="W81" s="18">
        <f t="shared" si="17"/>
        <v>0.20001472183371014</v>
      </c>
      <c r="X81" s="19">
        <f t="shared" si="90"/>
        <v>1014.169767368509</v>
      </c>
      <c r="Y81" s="15">
        <f t="shared" si="18"/>
        <v>5.5283395347370183E-6</v>
      </c>
      <c r="Z81" s="16">
        <f t="shared" si="19"/>
        <v>27.551952324737854</v>
      </c>
      <c r="AA81" s="17">
        <f t="shared" si="20"/>
        <v>1.3835739672819692E-2</v>
      </c>
      <c r="AB81" s="18">
        <f t="shared" si="21"/>
        <v>0.20018998780887587</v>
      </c>
      <c r="AC81" s="19">
        <f t="shared" si="91"/>
        <v>1011.47058980417</v>
      </c>
      <c r="AD81" s="15">
        <f t="shared" si="22"/>
        <v>5.5229411796083404E-6</v>
      </c>
      <c r="AE81" s="16">
        <f t="shared" si="23"/>
        <v>27.520911782747952</v>
      </c>
      <c r="AF81" s="17">
        <f t="shared" si="24"/>
        <v>1.3822229244280978E-2</v>
      </c>
      <c r="AG81" s="18">
        <f t="shared" si="25"/>
        <v>0.20041577995455742</v>
      </c>
      <c r="AH81" s="19">
        <f t="shared" si="92"/>
        <v>1008.171607940069</v>
      </c>
      <c r="AI81" s="15">
        <f t="shared" si="26"/>
        <v>5.516343215880139E-6</v>
      </c>
      <c r="AJ81" s="16">
        <f t="shared" si="27"/>
        <v>27.482973491310794</v>
      </c>
      <c r="AK81" s="17">
        <f t="shared" si="28"/>
        <v>1.3805716563042697E-2</v>
      </c>
      <c r="AL81" s="18">
        <f t="shared" si="29"/>
        <v>0.20069243969339265</v>
      </c>
      <c r="AM81" s="19">
        <f t="shared" si="93"/>
        <v>1004.2728406207534</v>
      </c>
      <c r="AN81" s="15">
        <f t="shared" si="30"/>
        <v>5.5085456812415067E-6</v>
      </c>
      <c r="AO81" s="16">
        <f t="shared" si="31"/>
        <v>27.438137667138662</v>
      </c>
      <c r="AP81" s="17">
        <f t="shared" si="32"/>
        <v>1.3786201723429098E-2</v>
      </c>
      <c r="AQ81" s="18">
        <f t="shared" si="33"/>
        <v>0.20102038508997638</v>
      </c>
      <c r="AR81" s="19">
        <f t="shared" si="94"/>
        <v>999.77429448887358</v>
      </c>
      <c r="AS81" s="15">
        <f t="shared" si="34"/>
        <v>5.499548588977748E-6</v>
      </c>
      <c r="AT81" s="16">
        <f t="shared" si="35"/>
        <v>27.386404386622047</v>
      </c>
      <c r="AU81" s="17">
        <f t="shared" si="36"/>
        <v>1.3763684758689228E-2</v>
      </c>
      <c r="AV81" s="18">
        <f t="shared" si="37"/>
        <v>0.20140011525917295</v>
      </c>
      <c r="AW81" s="19">
        <f t="shared" si="95"/>
        <v>994.67597107198628</v>
      </c>
      <c r="AX81" s="15">
        <f t="shared" si="38"/>
        <v>5.4893519421439734E-6</v>
      </c>
      <c r="AY81" s="16">
        <f t="shared" si="39"/>
        <v>27.32777366732784</v>
      </c>
      <c r="AZ81" s="17">
        <f t="shared" si="40"/>
        <v>1.3738165676469089E-2</v>
      </c>
      <c r="BA81" s="18">
        <f t="shared" si="41"/>
        <v>0.20183221169583582</v>
      </c>
      <c r="BB81" s="19">
        <f t="shared" si="96"/>
        <v>988.97787054388084</v>
      </c>
      <c r="BC81" s="15">
        <f t="shared" si="42"/>
        <v>5.4779557410877621E-6</v>
      </c>
      <c r="BD81" s="16">
        <f t="shared" si="43"/>
        <v>27.262245511254626</v>
      </c>
      <c r="BE81" s="17">
        <f t="shared" si="44"/>
        <v>1.3709644477638571E-2</v>
      </c>
      <c r="BF81" s="18">
        <f t="shared" si="45"/>
        <v>0.20231734021040174</v>
      </c>
      <c r="BG81" s="19">
        <f t="shared" si="97"/>
        <v>982.67999075156604</v>
      </c>
      <c r="BH81" s="15">
        <f t="shared" si="46"/>
        <v>5.4653599815031323E-6</v>
      </c>
      <c r="BI81" s="16">
        <f t="shared" si="47"/>
        <v>27.189819893643008</v>
      </c>
      <c r="BJ81" s="17">
        <f t="shared" si="48"/>
        <v>1.3678121151421118E-2</v>
      </c>
      <c r="BK81" s="18">
        <f t="shared" si="49"/>
        <v>0.20285625361165249</v>
      </c>
      <c r="BL81" s="19">
        <f t="shared" si="98"/>
        <v>975.7823029659279</v>
      </c>
      <c r="BM81" s="15">
        <f t="shared" si="50"/>
        <v>5.4515646059318564E-6</v>
      </c>
      <c r="BN81" s="16">
        <f t="shared" si="51"/>
        <v>27.110496484108168</v>
      </c>
      <c r="BO81" s="17">
        <f t="shared" si="52"/>
        <v>1.3643595554016393E-2</v>
      </c>
      <c r="BP81" s="18">
        <f t="shared" si="53"/>
        <v>0.20344979676905547</v>
      </c>
      <c r="BQ81" s="19">
        <f t="shared" si="99"/>
        <v>968.28448116427876</v>
      </c>
      <c r="BR81" s="15">
        <f t="shared" si="54"/>
        <v>5.4365689623285586E-6</v>
      </c>
      <c r="BS81" s="16">
        <f t="shared" si="55"/>
        <v>27.024271533389204</v>
      </c>
      <c r="BT81" s="17">
        <f t="shared" si="56"/>
        <v>1.3606066053554645E-2</v>
      </c>
      <c r="BU81" s="18">
        <f t="shared" si="57"/>
        <v>0.20409893355257697</v>
      </c>
      <c r="BV81" s="19">
        <f t="shared" si="100"/>
        <v>960.1832888914995</v>
      </c>
      <c r="BW81" s="15">
        <f t="shared" si="58"/>
        <v>5.420366577782999E-6</v>
      </c>
      <c r="BX81" s="16">
        <f t="shared" si="59"/>
        <v>26.931107822252244</v>
      </c>
      <c r="BY81" s="17">
        <f t="shared" si="60"/>
        <v>1.3565516450325193E-2</v>
      </c>
      <c r="BZ81" s="18">
        <f t="shared" si="61"/>
        <v>0.20480498004031716</v>
      </c>
      <c r="CA81" s="19">
        <f t="shared" si="101"/>
        <v>951.45103723373643</v>
      </c>
      <c r="CB81" s="15">
        <f t="shared" si="62"/>
        <v>5.4029020744674733E-6</v>
      </c>
      <c r="CC81" s="16">
        <f t="shared" si="63"/>
        <v>26.830686928187966</v>
      </c>
      <c r="CD81" s="17">
        <f t="shared" si="64"/>
        <v>1.352180815059606E-2</v>
      </c>
      <c r="CE81" s="18">
        <f t="shared" si="65"/>
        <v>0.20557151647896713</v>
      </c>
      <c r="CF81" s="19">
        <f t="shared" si="102"/>
        <v>941.88796856729653</v>
      </c>
      <c r="CG81" s="15">
        <f t="shared" si="66"/>
        <v>5.3837759371345938E-6</v>
      </c>
      <c r="CH81" s="16">
        <f t="shared" si="67"/>
        <v>26.720711638523909</v>
      </c>
      <c r="CI81" s="17">
        <f t="shared" si="68"/>
        <v>1.3473941290136139E-2</v>
      </c>
      <c r="CJ81" s="18">
        <f t="shared" si="69"/>
        <v>0.20641759376078844</v>
      </c>
      <c r="CK81" s="19">
        <f t="shared" si="103"/>
        <v>930.31549192307659</v>
      </c>
      <c r="CL81" s="15">
        <f t="shared" si="70"/>
        <v>5.360630983846154E-6</v>
      </c>
      <c r="CM81" s="16">
        <f t="shared" si="71"/>
        <v>26.587628157115383</v>
      </c>
      <c r="CN81" s="17">
        <f t="shared" si="72"/>
        <v>1.3416016564922303E-2</v>
      </c>
      <c r="CO81" s="18">
        <f t="shared" si="73"/>
        <v>0.20745081010635047</v>
      </c>
      <c r="CP81" s="19">
        <f t="shared" si="104"/>
        <v>911.3036637736875</v>
      </c>
      <c r="CQ81" s="15">
        <f t="shared" si="74"/>
        <v>5.3226073275473752E-6</v>
      </c>
      <c r="CR81" s="16">
        <f t="shared" si="75"/>
        <v>26.368992133397406</v>
      </c>
      <c r="CS81" s="17">
        <f t="shared" si="76"/>
        <v>1.3320855005713965E-2</v>
      </c>
      <c r="CT81" s="18">
        <f t="shared" si="77"/>
        <v>0.20917086903045626</v>
      </c>
      <c r="CU81" s="19">
        <f t="shared" si="105"/>
        <v>866.79313296389955</v>
      </c>
      <c r="CV81" s="15">
        <f t="shared" si="78"/>
        <v>5.2335862659277999E-6</v>
      </c>
      <c r="CW81" s="16">
        <f t="shared" si="79"/>
        <v>25.857121029084844</v>
      </c>
      <c r="CX81" s="17">
        <f t="shared" si="80"/>
        <v>1.3098062569354488E-2</v>
      </c>
      <c r="CY81" s="18">
        <f t="shared" si="81"/>
        <v>0.2133116441616166</v>
      </c>
      <c r="CZ81" s="20">
        <f t="shared" si="106"/>
        <v>760.07374383688375</v>
      </c>
      <c r="DA81" s="15">
        <f t="shared" si="82"/>
        <v>5.0201474876737677E-6</v>
      </c>
      <c r="DB81" s="16">
        <f t="shared" si="83"/>
        <v>24.62984805412416</v>
      </c>
      <c r="DC81" s="17">
        <f t="shared" si="84"/>
        <v>1.2563890716585325E-2</v>
      </c>
      <c r="DD81" s="18">
        <f t="shared" si="85"/>
        <v>0.22394068318567775</v>
      </c>
    </row>
    <row r="82" spans="2:108" x14ac:dyDescent="0.25">
      <c r="B82">
        <v>63</v>
      </c>
      <c r="C82">
        <f t="shared" si="86"/>
        <v>6.1589723979750842E-2</v>
      </c>
      <c r="D82" s="19">
        <f t="shared" si="3"/>
        <v>1018.9802414318519</v>
      </c>
      <c r="E82" s="15">
        <f t="shared" si="4"/>
        <v>5.5379604828637049E-6</v>
      </c>
      <c r="F82" s="16">
        <f t="shared" si="5"/>
        <v>27.607272776466296</v>
      </c>
      <c r="G82" s="17">
        <f t="shared" si="1"/>
        <v>1.385981795760125E-2</v>
      </c>
      <c r="H82" s="18">
        <f t="shared" si="6"/>
        <v>0.19978883987054932</v>
      </c>
      <c r="I82" s="19">
        <f t="shared" si="87"/>
        <v>1018.6570231824779</v>
      </c>
      <c r="J82" s="15">
        <f t="shared" si="7"/>
        <v>5.5373140463649567E-6</v>
      </c>
      <c r="K82" s="16">
        <f t="shared" si="8"/>
        <v>27.603555766598497</v>
      </c>
      <c r="L82" s="17">
        <f t="shared" si="9"/>
        <v>1.3858200125148035E-2</v>
      </c>
      <c r="M82" s="18">
        <f t="shared" si="10"/>
        <v>0.19981574282086317</v>
      </c>
      <c r="N82" s="19">
        <f t="shared" si="88"/>
        <v>1017.7531202054478</v>
      </c>
      <c r="O82" s="15">
        <f t="shared" si="11"/>
        <v>5.5355062404108969E-6</v>
      </c>
      <c r="P82" s="16">
        <f t="shared" si="12"/>
        <v>27.593160882362646</v>
      </c>
      <c r="Q82" s="17">
        <f t="shared" si="2"/>
        <v>1.385981795760125E-2</v>
      </c>
      <c r="R82" s="18">
        <f t="shared" si="13"/>
        <v>0.19989101732543982</v>
      </c>
      <c r="S82" s="19">
        <f t="shared" si="89"/>
        <v>1016.2525281528557</v>
      </c>
      <c r="T82" s="15">
        <f t="shared" si="14"/>
        <v>5.5325050563057117E-6</v>
      </c>
      <c r="U82" s="16">
        <f t="shared" si="15"/>
        <v>27.57590407375784</v>
      </c>
      <c r="V82" s="17">
        <f t="shared" si="16"/>
        <v>1.3846164696764734E-2</v>
      </c>
      <c r="W82" s="18">
        <f t="shared" si="17"/>
        <v>0.20001610773112802</v>
      </c>
      <c r="X82" s="19">
        <f t="shared" si="90"/>
        <v>1014.1531572196043</v>
      </c>
      <c r="Y82" s="15">
        <f t="shared" si="18"/>
        <v>5.5283063144392085E-6</v>
      </c>
      <c r="Z82" s="16">
        <f t="shared" si="19"/>
        <v>27.551761308025448</v>
      </c>
      <c r="AA82" s="17">
        <f t="shared" si="20"/>
        <v>1.3835656532594772E-2</v>
      </c>
      <c r="AB82" s="18">
        <f t="shared" si="21"/>
        <v>0.20019137572861356</v>
      </c>
      <c r="AC82" s="19">
        <f t="shared" si="91"/>
        <v>1011.4539922705237</v>
      </c>
      <c r="AD82" s="15">
        <f t="shared" si="22"/>
        <v>5.5229079845410476E-6</v>
      </c>
      <c r="AE82" s="16">
        <f t="shared" si="23"/>
        <v>27.52072091111102</v>
      </c>
      <c r="AF82" s="17">
        <f t="shared" si="24"/>
        <v>1.382214616720031E-2</v>
      </c>
      <c r="AG82" s="18">
        <f t="shared" si="25"/>
        <v>0.2004171699504122</v>
      </c>
      <c r="AH82" s="19">
        <f t="shared" si="92"/>
        <v>1008.1550269227307</v>
      </c>
      <c r="AI82" s="15">
        <f t="shared" si="26"/>
        <v>5.5163100538454617E-6</v>
      </c>
      <c r="AJ82" s="16">
        <f t="shared" si="27"/>
        <v>27.4827828096114</v>
      </c>
      <c r="AK82" s="17">
        <f t="shared" si="28"/>
        <v>1.3805633568632542E-2</v>
      </c>
      <c r="AL82" s="18">
        <f t="shared" si="29"/>
        <v>0.20069383214246597</v>
      </c>
      <c r="AM82" s="19">
        <f t="shared" si="93"/>
        <v>1004.2562795633544</v>
      </c>
      <c r="AN82" s="15">
        <f t="shared" si="30"/>
        <v>5.5085125591267087E-6</v>
      </c>
      <c r="AO82" s="16">
        <f t="shared" si="31"/>
        <v>27.437947214978575</v>
      </c>
      <c r="AP82" s="17">
        <f t="shared" si="32"/>
        <v>1.3786118828926167E-2</v>
      </c>
      <c r="AQ82" s="18">
        <f t="shared" si="33"/>
        <v>0.20102178041180063</v>
      </c>
      <c r="AR82" s="19">
        <f t="shared" si="94"/>
        <v>999.75775691395256</v>
      </c>
      <c r="AS82" s="15">
        <f t="shared" si="34"/>
        <v>5.4995155138279055E-6</v>
      </c>
      <c r="AT82" s="16">
        <f t="shared" si="35"/>
        <v>27.386214204510452</v>
      </c>
      <c r="AU82" s="17">
        <f t="shared" si="36"/>
        <v>1.3763601981725188E-2</v>
      </c>
      <c r="AV82" s="18">
        <f t="shared" si="37"/>
        <v>0.20140151387158828</v>
      </c>
      <c r="AW82" s="19">
        <f t="shared" si="95"/>
        <v>994.65946055177164</v>
      </c>
      <c r="AX82" s="15">
        <f t="shared" si="38"/>
        <v>5.4893189211035435E-6</v>
      </c>
      <c r="AY82" s="16">
        <f t="shared" si="39"/>
        <v>27.327583796345372</v>
      </c>
      <c r="AZ82" s="17">
        <f t="shared" si="40"/>
        <v>1.3738083034924329E-2</v>
      </c>
      <c r="BA82" s="18">
        <f t="shared" si="41"/>
        <v>0.20183361401814187</v>
      </c>
      <c r="BB82" s="19">
        <f t="shared" si="96"/>
        <v>988.96139063786018</v>
      </c>
      <c r="BC82" s="15">
        <f t="shared" si="42"/>
        <v>5.4779227812757211E-6</v>
      </c>
      <c r="BD82" s="16">
        <f t="shared" si="43"/>
        <v>27.262055992335391</v>
      </c>
      <c r="BE82" s="17">
        <f t="shared" si="44"/>
        <v>1.3709561989329705E-2</v>
      </c>
      <c r="BF82" s="18">
        <f t="shared" si="45"/>
        <v>0.20231874666938893</v>
      </c>
      <c r="BG82" s="19">
        <f t="shared" si="97"/>
        <v>982.66354467162284</v>
      </c>
      <c r="BH82" s="15">
        <f t="shared" si="46"/>
        <v>5.465327089343246E-6</v>
      </c>
      <c r="BI82" s="16">
        <f t="shared" si="47"/>
        <v>27.189630763723663</v>
      </c>
      <c r="BJ82" s="17">
        <f t="shared" si="48"/>
        <v>1.367803883242486E-2</v>
      </c>
      <c r="BK82" s="18">
        <f t="shared" si="49"/>
        <v>0.20285766467115593</v>
      </c>
      <c r="BL82" s="19">
        <f t="shared" si="98"/>
        <v>975.76589004542109</v>
      </c>
      <c r="BM82" s="15">
        <f t="shared" si="50"/>
        <v>5.4515317800908433E-6</v>
      </c>
      <c r="BN82" s="16">
        <f t="shared" si="51"/>
        <v>27.110307735522341</v>
      </c>
      <c r="BO82" s="17">
        <f t="shared" si="52"/>
        <v>1.3643513400995955E-2</v>
      </c>
      <c r="BP82" s="18">
        <f t="shared" si="53"/>
        <v>0.20345121323624582</v>
      </c>
      <c r="BQ82" s="19">
        <f t="shared" si="99"/>
        <v>968.26806348049445</v>
      </c>
      <c r="BR82" s="15">
        <f t="shared" si="54"/>
        <v>5.4365361269609889E-6</v>
      </c>
      <c r="BS82" s="16">
        <f t="shared" si="55"/>
        <v>27.024082730025686</v>
      </c>
      <c r="BT82" s="17">
        <f t="shared" si="56"/>
        <v>1.3605983876692153E-2</v>
      </c>
      <c r="BU82" s="18">
        <f t="shared" si="57"/>
        <v>0.20410035948682717</v>
      </c>
      <c r="BV82" s="19">
        <f t="shared" si="100"/>
        <v>960.16652286601402</v>
      </c>
      <c r="BW82" s="15">
        <f t="shared" si="58"/>
        <v>5.4203330457320287E-6</v>
      </c>
      <c r="BX82" s="16">
        <f t="shared" si="59"/>
        <v>26.930915012959161</v>
      </c>
      <c r="BY82" s="17">
        <f t="shared" si="60"/>
        <v>1.3565432529877651E-2</v>
      </c>
      <c r="BZ82" s="18">
        <f t="shared" si="61"/>
        <v>0.2048064463218528</v>
      </c>
      <c r="CA82" s="19">
        <f t="shared" si="101"/>
        <v>951.43149404387816</v>
      </c>
      <c r="CB82" s="15">
        <f t="shared" si="62"/>
        <v>5.4028629880877564E-6</v>
      </c>
      <c r="CC82" s="16">
        <f t="shared" si="63"/>
        <v>26.8304621815046</v>
      </c>
      <c r="CD82" s="17">
        <f t="shared" si="64"/>
        <v>1.3521710329365812E-2</v>
      </c>
      <c r="CE82" s="18">
        <f t="shared" si="65"/>
        <v>0.20557323845886483</v>
      </c>
      <c r="CF82" s="19">
        <f t="shared" si="102"/>
        <v>941.85186703714544</v>
      </c>
      <c r="CG82" s="15">
        <f t="shared" si="66"/>
        <v>5.3837037340742907E-6</v>
      </c>
      <c r="CH82" s="16">
        <f t="shared" si="67"/>
        <v>26.720296470927174</v>
      </c>
      <c r="CI82" s="17">
        <f t="shared" si="68"/>
        <v>1.3473760588003128E-2</v>
      </c>
      <c r="CJ82" s="18">
        <f t="shared" si="69"/>
        <v>0.20642080098180182</v>
      </c>
      <c r="CK82" s="19">
        <f t="shared" si="103"/>
        <v>930.20313571724421</v>
      </c>
      <c r="CL82" s="15">
        <f t="shared" si="70"/>
        <v>5.3604062714344889E-6</v>
      </c>
      <c r="CM82" s="16">
        <f t="shared" si="71"/>
        <v>26.586336060748309</v>
      </c>
      <c r="CN82" s="17">
        <f t="shared" si="72"/>
        <v>1.3415454178619958E-2</v>
      </c>
      <c r="CO82" s="18">
        <f t="shared" si="73"/>
        <v>0.20746089221911215</v>
      </c>
      <c r="CP82" s="19">
        <f t="shared" si="104"/>
        <v>910.9379153938678</v>
      </c>
      <c r="CQ82" s="15">
        <f t="shared" si="74"/>
        <v>5.321875830787736E-6</v>
      </c>
      <c r="CR82" s="16">
        <f t="shared" si="75"/>
        <v>26.364786027029481</v>
      </c>
      <c r="CS82" s="17">
        <f t="shared" si="76"/>
        <v>1.3319024293494811E-2</v>
      </c>
      <c r="CT82" s="18">
        <f t="shared" si="77"/>
        <v>0.20920423910686467</v>
      </c>
      <c r="CU82" s="19">
        <f t="shared" si="105"/>
        <v>865.91156548508229</v>
      </c>
      <c r="CV82" s="15">
        <f t="shared" si="78"/>
        <v>5.2318231309701647E-6</v>
      </c>
      <c r="CW82" s="16">
        <f t="shared" si="79"/>
        <v>25.846983003078446</v>
      </c>
      <c r="CX82" s="17">
        <f t="shared" si="80"/>
        <v>1.3093649982875561E-2</v>
      </c>
      <c r="CY82" s="18">
        <f t="shared" si="81"/>
        <v>0.21339531191485961</v>
      </c>
      <c r="CZ82" s="20">
        <f t="shared" si="106"/>
        <v>758.86335715761288</v>
      </c>
      <c r="DA82" s="15">
        <f t="shared" si="82"/>
        <v>5.0177267143152262E-6</v>
      </c>
      <c r="DB82" s="16">
        <f t="shared" si="83"/>
        <v>24.615928607312547</v>
      </c>
      <c r="DC82" s="17">
        <f t="shared" si="84"/>
        <v>1.2557832262724954E-2</v>
      </c>
      <c r="DD82" s="18">
        <f t="shared" si="85"/>
        <v>0.22406731381084269</v>
      </c>
    </row>
    <row r="83" spans="2:108" x14ac:dyDescent="0.25">
      <c r="B83">
        <v>64</v>
      </c>
      <c r="C83">
        <f t="shared" si="86"/>
        <v>6.2567338646096093E-2</v>
      </c>
      <c r="D83" s="19">
        <f t="shared" si="3"/>
        <v>1018.9637395408291</v>
      </c>
      <c r="E83" s="15">
        <f t="shared" si="4"/>
        <v>5.5379274790816584E-6</v>
      </c>
      <c r="F83" s="16">
        <f t="shared" si="5"/>
        <v>27.607083004719534</v>
      </c>
      <c r="G83" s="17">
        <f t="shared" ref="G83:G146" si="107">($E83*$M$8)/($D$6^2)</f>
        <v>1.3859735359248934E-2</v>
      </c>
      <c r="H83" s="18">
        <f t="shared" si="6"/>
        <v>0.19979021322379778</v>
      </c>
      <c r="I83" s="19">
        <f t="shared" si="87"/>
        <v>1018.6404712580996</v>
      </c>
      <c r="J83" s="15">
        <f t="shared" si="7"/>
        <v>5.5372809425161997E-6</v>
      </c>
      <c r="K83" s="16">
        <f t="shared" si="8"/>
        <v>27.603365419468147</v>
      </c>
      <c r="L83" s="17">
        <f t="shared" si="9"/>
        <v>1.3858117276359409E-2</v>
      </c>
      <c r="M83" s="18">
        <f t="shared" si="10"/>
        <v>0.19981712070912669</v>
      </c>
      <c r="N83" s="19">
        <f t="shared" si="88"/>
        <v>1017.7365207747334</v>
      </c>
      <c r="O83" s="15">
        <f t="shared" si="11"/>
        <v>5.5354730415494674E-6</v>
      </c>
      <c r="P83" s="16">
        <f t="shared" si="12"/>
        <v>27.592969988909434</v>
      </c>
      <c r="Q83" s="17">
        <f t="shared" ref="Q83:Q146" si="108">($E83*$M$8)/($D$6^2)</f>
        <v>1.3859735359248934E-2</v>
      </c>
      <c r="R83" s="18">
        <f t="shared" si="13"/>
        <v>0.1998924002097969</v>
      </c>
      <c r="S83" s="19">
        <f t="shared" si="89"/>
        <v>1016.2359134803165</v>
      </c>
      <c r="T83" s="15">
        <f t="shared" si="14"/>
        <v>5.5324718269606328E-6</v>
      </c>
      <c r="U83" s="16">
        <f t="shared" si="15"/>
        <v>27.575713005023637</v>
      </c>
      <c r="V83" s="17">
        <f t="shared" si="16"/>
        <v>1.3846081533897273E-2</v>
      </c>
      <c r="W83" s="18">
        <f t="shared" si="17"/>
        <v>0.20001749361821342</v>
      </c>
      <c r="X83" s="19">
        <f t="shared" si="90"/>
        <v>1014.1365473078738</v>
      </c>
      <c r="Y83" s="15">
        <f t="shared" si="18"/>
        <v>5.5282730946157482E-6</v>
      </c>
      <c r="Z83" s="16">
        <f t="shared" si="19"/>
        <v>27.551570294040548</v>
      </c>
      <c r="AA83" s="17">
        <f t="shared" si="20"/>
        <v>1.3835573393557005E-2</v>
      </c>
      <c r="AB83" s="18">
        <f t="shared" si="21"/>
        <v>0.20019276364777797</v>
      </c>
      <c r="AC83" s="19">
        <f t="shared" si="91"/>
        <v>1011.4373949308912</v>
      </c>
      <c r="AD83" s="15">
        <f t="shared" si="22"/>
        <v>5.5228747898617823E-6</v>
      </c>
      <c r="AE83" s="16">
        <f t="shared" si="23"/>
        <v>27.52053004170525</v>
      </c>
      <c r="AF83" s="17">
        <f t="shared" si="24"/>
        <v>1.3822063091090757E-2</v>
      </c>
      <c r="AG83" s="18">
        <f t="shared" si="25"/>
        <v>0.20041855994929944</v>
      </c>
      <c r="AH83" s="19">
        <f t="shared" si="92"/>
        <v>1008.1384460946632</v>
      </c>
      <c r="AI83" s="15">
        <f t="shared" si="26"/>
        <v>5.5162768921893267E-6</v>
      </c>
      <c r="AJ83" s="16">
        <f t="shared" si="27"/>
        <v>27.482592130088626</v>
      </c>
      <c r="AK83" s="17">
        <f t="shared" si="28"/>
        <v>1.3805550575169764E-2</v>
      </c>
      <c r="AL83" s="18">
        <f t="shared" si="29"/>
        <v>0.20069522459496666</v>
      </c>
      <c r="AM83" s="19">
        <f t="shared" si="93"/>
        <v>1004.2397186969828</v>
      </c>
      <c r="AN83" s="15">
        <f t="shared" si="30"/>
        <v>5.5084794373939666E-6</v>
      </c>
      <c r="AO83" s="16">
        <f t="shared" si="31"/>
        <v>27.437756765015301</v>
      </c>
      <c r="AP83" s="17">
        <f t="shared" si="32"/>
        <v>1.3786035935379406E-2</v>
      </c>
      <c r="AQ83" s="18">
        <f t="shared" si="33"/>
        <v>0.20102317573690046</v>
      </c>
      <c r="AR83" s="19">
        <f t="shared" si="94"/>
        <v>999.74121953126019</v>
      </c>
      <c r="AS83" s="15">
        <f t="shared" si="34"/>
        <v>5.4994824390625212E-6</v>
      </c>
      <c r="AT83" s="16">
        <f t="shared" si="35"/>
        <v>27.38602402460949</v>
      </c>
      <c r="AU83" s="17">
        <f t="shared" si="36"/>
        <v>1.3763519205723331E-2</v>
      </c>
      <c r="AV83" s="18">
        <f t="shared" si="37"/>
        <v>0.20140291248717146</v>
      </c>
      <c r="AW83" s="19">
        <f t="shared" si="95"/>
        <v>994.64295022394037</v>
      </c>
      <c r="AX83" s="15">
        <f t="shared" si="38"/>
        <v>5.4892859004478807E-6</v>
      </c>
      <c r="AY83" s="16">
        <f t="shared" si="39"/>
        <v>27.327393927575315</v>
      </c>
      <c r="AZ83" s="17">
        <f t="shared" si="40"/>
        <v>1.3738000394342522E-2</v>
      </c>
      <c r="BA83" s="18">
        <f t="shared" si="41"/>
        <v>0.20183501634359419</v>
      </c>
      <c r="BB83" s="19">
        <f t="shared" si="96"/>
        <v>988.9449109193622</v>
      </c>
      <c r="BC83" s="15">
        <f t="shared" si="42"/>
        <v>5.4778898218387243E-6</v>
      </c>
      <c r="BD83" s="16">
        <f t="shared" si="43"/>
        <v>27.261866475572667</v>
      </c>
      <c r="BE83" s="17">
        <f t="shared" si="44"/>
        <v>1.3709479501959457E-2</v>
      </c>
      <c r="BF83" s="18">
        <f t="shared" si="45"/>
        <v>0.20232015313192667</v>
      </c>
      <c r="BG83" s="19">
        <f t="shared" si="97"/>
        <v>982.64709872323533</v>
      </c>
      <c r="BH83" s="15">
        <f t="shared" si="46"/>
        <v>5.4652941974464711E-6</v>
      </c>
      <c r="BI83" s="16">
        <f t="shared" si="47"/>
        <v>27.189441635317205</v>
      </c>
      <c r="BJ83" s="17">
        <f t="shared" si="48"/>
        <v>1.3677956514087092E-2</v>
      </c>
      <c r="BK83" s="18">
        <f t="shared" si="49"/>
        <v>0.20285907573900247</v>
      </c>
      <c r="BL83" s="19">
        <f t="shared" si="98"/>
        <v>975.74947672117014</v>
      </c>
      <c r="BM83" s="15">
        <f t="shared" si="50"/>
        <v>5.4514989534423411E-6</v>
      </c>
      <c r="BN83" s="16">
        <f t="shared" si="51"/>
        <v>27.110118982293457</v>
      </c>
      <c r="BO83" s="17">
        <f t="shared" si="52"/>
        <v>1.3643431245954615E-2</v>
      </c>
      <c r="BP83" s="18">
        <f t="shared" si="53"/>
        <v>0.20345262975800449</v>
      </c>
      <c r="BQ83" s="19">
        <f t="shared" si="99"/>
        <v>968.25164102269048</v>
      </c>
      <c r="BR83" s="15">
        <f t="shared" si="54"/>
        <v>5.4365032820453809E-6</v>
      </c>
      <c r="BS83" s="16">
        <f t="shared" si="55"/>
        <v>27.02389387176094</v>
      </c>
      <c r="BT83" s="17">
        <f t="shared" si="56"/>
        <v>1.3605901675933847E-2</v>
      </c>
      <c r="BU83" s="18">
        <f t="shared" si="57"/>
        <v>0.20410178585565134</v>
      </c>
      <c r="BV83" s="19">
        <f t="shared" si="100"/>
        <v>960.14972237673658</v>
      </c>
      <c r="BW83" s="15">
        <f t="shared" si="58"/>
        <v>5.4202994447534736E-6</v>
      </c>
      <c r="BX83" s="16">
        <f t="shared" si="59"/>
        <v>26.930721807332468</v>
      </c>
      <c r="BY83" s="17">
        <f t="shared" si="60"/>
        <v>1.3565348436925488E-2</v>
      </c>
      <c r="BZ83" s="18">
        <f t="shared" si="61"/>
        <v>0.20480791563849776</v>
      </c>
      <c r="CA83" s="19">
        <f t="shared" si="101"/>
        <v>951.41175528562087</v>
      </c>
      <c r="CB83" s="15">
        <f t="shared" si="62"/>
        <v>5.4028235105712417E-6</v>
      </c>
      <c r="CC83" s="16">
        <f t="shared" si="63"/>
        <v>26.830235185784638</v>
      </c>
      <c r="CD83" s="17">
        <f t="shared" si="64"/>
        <v>1.3521611529240024E-2</v>
      </c>
      <c r="CE83" s="18">
        <f t="shared" si="65"/>
        <v>0.20557497769987207</v>
      </c>
      <c r="CF83" s="19">
        <f t="shared" si="102"/>
        <v>941.81491936195005</v>
      </c>
      <c r="CG83" s="15">
        <f t="shared" si="66"/>
        <v>5.3836298387239011E-6</v>
      </c>
      <c r="CH83" s="16">
        <f t="shared" si="67"/>
        <v>26.719871572662427</v>
      </c>
      <c r="CI83" s="17">
        <f t="shared" si="68"/>
        <v>1.3473575650586642E-2</v>
      </c>
      <c r="CJ83" s="18">
        <f t="shared" si="69"/>
        <v>0.20642408347662619</v>
      </c>
      <c r="CK83" s="19">
        <f t="shared" si="103"/>
        <v>930.08826374510738</v>
      </c>
      <c r="CL83" s="15">
        <f t="shared" si="70"/>
        <v>5.3601765274902153E-6</v>
      </c>
      <c r="CM83" s="16">
        <f t="shared" si="71"/>
        <v>26.585015033068736</v>
      </c>
      <c r="CN83" s="17">
        <f t="shared" si="72"/>
        <v>1.3414879199933427E-2</v>
      </c>
      <c r="CO83" s="18">
        <f t="shared" si="73"/>
        <v>0.20747120109351791</v>
      </c>
      <c r="CP83" s="19">
        <f t="shared" si="104"/>
        <v>910.56837562886358</v>
      </c>
      <c r="CQ83" s="15">
        <f t="shared" si="74"/>
        <v>5.3211367512577273E-6</v>
      </c>
      <c r="CR83" s="16">
        <f t="shared" si="75"/>
        <v>26.360536319731928</v>
      </c>
      <c r="CS83" s="17">
        <f t="shared" si="76"/>
        <v>1.3317174603925192E-2</v>
      </c>
      <c r="CT83" s="18">
        <f t="shared" si="77"/>
        <v>0.20923796591616883</v>
      </c>
      <c r="CU83" s="19">
        <f t="shared" si="105"/>
        <v>865.03231473976473</v>
      </c>
      <c r="CV83" s="15">
        <f t="shared" si="78"/>
        <v>5.2300646294795295E-6</v>
      </c>
      <c r="CW83" s="16">
        <f t="shared" si="79"/>
        <v>25.836871619507292</v>
      </c>
      <c r="CX83" s="17">
        <f t="shared" si="80"/>
        <v>1.3089248992544591E-2</v>
      </c>
      <c r="CY83" s="18">
        <f t="shared" si="81"/>
        <v>0.21347882519320205</v>
      </c>
      <c r="CZ83" s="20">
        <f t="shared" si="106"/>
        <v>757.66701362645915</v>
      </c>
      <c r="DA83" s="15">
        <f t="shared" si="82"/>
        <v>5.0153340272529181E-6</v>
      </c>
      <c r="DB83" s="16">
        <f t="shared" si="83"/>
        <v>24.602170656704281</v>
      </c>
      <c r="DC83" s="17">
        <f t="shared" si="84"/>
        <v>1.2551844100256891E-2</v>
      </c>
      <c r="DD83" s="18">
        <f t="shared" si="85"/>
        <v>0.22419261604857413</v>
      </c>
    </row>
    <row r="84" spans="2:108" x14ac:dyDescent="0.25">
      <c r="B84">
        <v>65</v>
      </c>
      <c r="C84">
        <f t="shared" si="86"/>
        <v>6.3544953312441338E-2</v>
      </c>
      <c r="D84" s="19">
        <f t="shared" ref="D84:D147" si="109">D83+(4*$H$7*(I83-D83))</f>
        <v>1018.9472350953559</v>
      </c>
      <c r="E84" s="15">
        <f t="shared" ref="E84:E147" si="110">IF($D84&gt;=650,((0.00002*$D84)+0.035)/10000,IF($D84&lt;650,((-0.0000000000003*($D84^4))+(0.0000000004*($D84^3))-(0.0000002*($D84^2))-(0.0001*$D84)+0.1409)/10000))</f>
        <v>5.5378944701907133E-6</v>
      </c>
      <c r="F84" s="16">
        <f t="shared" ref="F84:F147" si="111">IF($D84&lt;650,(53.495-(0.029*D84)),IF(D84&lt;700,((0.00000000000000006*(D84^2))-(0.2008*D84) + 164.43),IF(D84&lt;1250,((0.0115*D84)+ 15.889))))</f>
        <v>27.606893203596591</v>
      </c>
      <c r="G84" s="17">
        <f t="shared" si="107"/>
        <v>1.385965274811061E-2</v>
      </c>
      <c r="H84" s="18">
        <f t="shared" ref="H84:H147" si="112">($C$8*$D$6)/F84</f>
        <v>0.1997915868085233</v>
      </c>
      <c r="I84" s="19">
        <f t="shared" si="87"/>
        <v>1018.6239187914698</v>
      </c>
      <c r="J84" s="15">
        <f t="shared" ref="J84:J147" si="113">IF($I84&gt;=650,((0.00002*$I84)+0.035)/10000,IF($I84&lt;650,((-0.0000000000003*($I84^4))+(0.0000000004*($I84^3))-(0.0000002*($I84^2))-(0.0001*$I84)+0.1409)/10000))</f>
        <v>5.5372478375829398E-6</v>
      </c>
      <c r="K84" s="16">
        <f t="shared" ref="K84:K147" si="114">IF($I84&lt;650,(53.495-(0.029*I84)),IF(I84&lt;700,((0.00000000000000006*(I84^2))-(0.2008*I84) + 164.43),IF(I84&lt;1250,((0.0115*I84)+ 15.889))))</f>
        <v>27.603175066101901</v>
      </c>
      <c r="L84" s="17">
        <f t="shared" ref="L84:L147" si="115">($J84*$M$8)/($D$6^2)</f>
        <v>1.3858034424856603E-2</v>
      </c>
      <c r="M84" s="18">
        <f t="shared" ref="M84:M147" si="116">($C$8*$D$6)/K84</f>
        <v>0.19981849866153503</v>
      </c>
      <c r="N84" s="19">
        <f t="shared" si="88"/>
        <v>1017.7199216729908</v>
      </c>
      <c r="O84" s="15">
        <f t="shared" ref="O84:O147" si="117">IF($N84&gt;=650,((0.00002*$N84)+0.035)/10000,IF($N84&lt;650,((-0.0000000000003*($N84^4))+(0.0000000004*($N84^3))-(0.0000002*($N84^2))-(0.0001*$N84)+0.1409)/10000))</f>
        <v>5.5354398433459827E-6</v>
      </c>
      <c r="P84" s="16">
        <f t="shared" ref="P84:P147" si="118">IF($N84&lt;650,(53.495-(0.029*$N84)),IF($N84&lt;700,((0.00000000000000006*($N84^2))-(0.2008*$N84) + 164.43),IF($N84&lt;1250,((0.0115*$N84)+ 15.889))))</f>
        <v>27.592779099239394</v>
      </c>
      <c r="Q84" s="17">
        <f t="shared" si="108"/>
        <v>1.385965274811061E-2</v>
      </c>
      <c r="R84" s="18">
        <f t="shared" ref="R84:R147" si="119">($C$8*$D$6)/P84</f>
        <v>0.19989378308588135</v>
      </c>
      <c r="S84" s="19">
        <f t="shared" si="89"/>
        <v>1016.2192991598284</v>
      </c>
      <c r="T84" s="15">
        <f t="shared" ref="T84:T147" si="120">IF($S84&gt;=650,((0.00002*$S84)+0.035)/10000,IF($S84&lt;650,((-0.0000000000003*($S84^4))+(0.0000000004*($S84^3))-(0.0000002*($S84^2))-(0.0001*$S84)+0.1409)/10000))</f>
        <v>5.5324385983196569E-6</v>
      </c>
      <c r="U84" s="16">
        <f t="shared" ref="U84:U147" si="121">IF($S84&lt;650,(53.495-(0.029*$S84)),IF($S84&lt;700,((0.00000000000000006*($S84^2))-(0.2008*$S84) + 164.43),IF($S84&lt;1250,((0.0115*$S84)+ 15.889))))</f>
        <v>27.575521940338028</v>
      </c>
      <c r="V84" s="17">
        <f t="shared" ref="V84:V147" si="122">($T84*$M$8)/($D$6^2)</f>
        <v>1.3845998372791966E-2</v>
      </c>
      <c r="W84" s="18">
        <f t="shared" ref="W84:W147" si="123">($C$8*$D$6)/U84</f>
        <v>0.20001887949513777</v>
      </c>
      <c r="X84" s="19">
        <f t="shared" si="90"/>
        <v>1014.1199376340584</v>
      </c>
      <c r="Y84" s="15">
        <f t="shared" ref="Y84:Y147" si="124">IF($X84&gt;=650,((0.00002*$X84)+0.035)/10000,IF($X84&lt;650,((-0.0000000000003*($X84^4))+(0.0000000004*($X84^3))-(0.0000002*($X84^2))-(0.0001*$X84)+0.1409)/10000))</f>
        <v>5.528239875268117E-6</v>
      </c>
      <c r="Z84" s="16">
        <f t="shared" ref="Z84:Z147" si="125">IF($X84&lt;650,(53.495-(0.029*$X84)),IF($X84&lt;700,((0.00000000000000006*($X84^2))-(0.2008*$X84) + 164.43),IF($X84&lt;1250,((0.0115*$X84)+ 15.889))))</f>
        <v>27.551379282791672</v>
      </c>
      <c r="AA84" s="17">
        <f t="shared" ref="AA84:AA147" si="126">($Y84*$M$8)/($D$6^2)</f>
        <v>1.3835490255710093E-2</v>
      </c>
      <c r="AB84" s="18">
        <f t="shared" ref="AB84:AB147" si="127">($C$8*$D$6)/Z84</f>
        <v>0.20019415156630677</v>
      </c>
      <c r="AC84" s="19">
        <f t="shared" si="91"/>
        <v>1011.4207977857351</v>
      </c>
      <c r="AD84" s="15">
        <f t="shared" ref="AD84:AD147" si="128">IF(AC84&gt;=650,((0.00002*AC84)+0.035)/10000,IF(AC84&lt;650,((-0.0000000000003*(AC84^4))+(0.0000000004*(AC84^3))-(0.0000002*(AC84^2))-(0.0001*AC84)+0.1409)/10000))</f>
        <v>5.5228415955714704E-6</v>
      </c>
      <c r="AE84" s="16">
        <f t="shared" ref="AE84:AE147" si="129">IF(AC84&lt;650,(53.495-(0.029*AC84)),IF(AC84&lt;700,((0.00000000000000006*(AC84^2))-(0.2008*AC84) + 164.43),IF(AC84&lt;1250,((0.0115*AC84)+ 15.889))))</f>
        <v>27.520339174535952</v>
      </c>
      <c r="AF84" s="17">
        <f t="shared" ref="AF84:AF147" si="130">(AD84*$M$8)/($D$6^2)</f>
        <v>1.3821980015954635E-2</v>
      </c>
      <c r="AG84" s="18">
        <f t="shared" ref="AG84:AG147" si="131">($C$8*$D$6)/AE84</f>
        <v>0.20041994995118023</v>
      </c>
      <c r="AH84" s="19">
        <f t="shared" si="92"/>
        <v>1008.1218654559506</v>
      </c>
      <c r="AI84" s="15">
        <f t="shared" ref="AI84:AI147" si="132">IF(AH84&gt;=650,((0.00002*AH84)+0.035)/10000,IF(AH84&lt;650,((-0.0000000000003*(AH84^4))+(0.0000000004*(AH84^3))-(0.0000002*(AH84^2))-(0.0001*AH84)+0.1409)/10000))</f>
        <v>5.5162437309119019E-6</v>
      </c>
      <c r="AJ84" s="16">
        <f t="shared" ref="AJ84:AJ147" si="133">IF(AH84&lt;650,(53.495-(0.029*AH84)),IF(AH84&lt;700,((0.00000000000000006*(AH84^2))-(0.2008*AH84) + 164.43),IF(AH84&lt;1250,((0.0115*AH84)+ 15.889))))</f>
        <v>27.482401452743431</v>
      </c>
      <c r="AK84" s="17">
        <f t="shared" ref="AK84:AK147" si="134">(AI84*$M$8)/($D$6^2)</f>
        <v>1.380546758265478E-2</v>
      </c>
      <c r="AL84" s="18">
        <f t="shared" ref="AL84:AL147" si="135">($C$8*$D$6)/AJ84</f>
        <v>0.2006966170508874</v>
      </c>
      <c r="AM84" s="19">
        <f t="shared" si="93"/>
        <v>1004.2231580216317</v>
      </c>
      <c r="AN84" s="15">
        <f t="shared" ref="AN84:AN147" si="136">IF(AM84&gt;=650,((0.00002*AM84)+0.035)/10000,IF(AM84&lt;650,((-0.0000000000003*(AM84^4))+(0.0000000004*(AM84^3))-(0.0000002*(AM84^2))-(0.0001*AM84)+0.1409)/10000))</f>
        <v>5.5084463160432643E-6</v>
      </c>
      <c r="AO84" s="16">
        <f t="shared" ref="AO84:AO147" si="137">IF(AM84&lt;650,(53.495-(0.029*AM84)),IF(AM84&lt;700,((0.00000000000000006*(AM84^2))-(0.2008*AM84) + 164.43),IF(AM84&lt;1250,((0.0115*AM84)+ 15.889))))</f>
        <v>27.437566317248763</v>
      </c>
      <c r="AP84" s="17">
        <f t="shared" ref="AP84:AP147" si="138">(AN84*$M$8)/($D$6^2)</f>
        <v>1.3785953042788774E-2</v>
      </c>
      <c r="AQ84" s="18">
        <f t="shared" ref="AQ84:AQ147" si="139">($C$8*$D$6)/AO84</f>
        <v>0.2010245710652761</v>
      </c>
      <c r="AR84" s="19">
        <f t="shared" si="94"/>
        <v>999.72468234078087</v>
      </c>
      <c r="AS84" s="15">
        <f t="shared" ref="AS84:AS147" si="140">IF(AR84&gt;=650,((0.00002*AR84)+0.035)/10000,IF(AR84&lt;650,((-0.0000000000003*(AR84^4))+(0.0000000004*(AR84^3))-(0.0000002*(AR84^2))-(0.0001*AR84)+0.1409)/10000))</f>
        <v>5.4994493646815618E-6</v>
      </c>
      <c r="AT84" s="16">
        <f t="shared" ref="AT84:AT147" si="141">IF(AR84&lt;650,(53.495-(0.029*AR84)),IF(AR84&lt;700,((0.00000000000000006*(AR84^2))-(0.2008*AR84) + 164.43),IF(AR84&lt;1250,((0.0115*AR84)+ 15.889))))</f>
        <v>27.385833846918977</v>
      </c>
      <c r="AU84" s="17">
        <f t="shared" ref="AU84:AU147" si="142">(AS84*$M$8)/($D$6^2)</f>
        <v>1.3763436430683571E-2</v>
      </c>
      <c r="AV84" s="18">
        <f t="shared" ref="AV84:AV147" si="143">($C$8*$D$6)/AT84</f>
        <v>0.20140431110592352</v>
      </c>
      <c r="AW84" s="19">
        <f t="shared" si="95"/>
        <v>994.62644008841755</v>
      </c>
      <c r="AX84" s="15">
        <f t="shared" ref="AX84:AX147" si="144">IF(AW84&gt;=650,((0.00002*AW84)+0.035)/10000,IF(AW84&lt;650,((-0.0000000000003*(AW84^4))+(0.0000000004*(AW84^3))-(0.0000002*(AW84^2))-(0.0001*AW84)+0.1409)/10000))</f>
        <v>5.4892528801768354E-6</v>
      </c>
      <c r="AY84" s="16">
        <f t="shared" ref="AY84:AY147" si="145">IF(AW84&lt;650,(53.495-(0.029*AW84)),IF(AW84&lt;700,((0.00000000000000006*(AW84^2))-(0.2008*AW84) + 164.43),IF(AW84&lt;1250,((0.0115*AW84)+ 15.889))))</f>
        <v>27.327204061016801</v>
      </c>
      <c r="AZ84" s="17">
        <f t="shared" ref="AZ84:AZ147" si="146">(AX84*$M$8)/($D$6^2)</f>
        <v>1.3737917754723295E-2</v>
      </c>
      <c r="BA84" s="18">
        <f t="shared" ref="BA84:BA147" si="147">($C$8*$D$6)/AY84</f>
        <v>0.20183641867219887</v>
      </c>
      <c r="BB84" s="19">
        <f t="shared" si="96"/>
        <v>988.9284313876409</v>
      </c>
      <c r="BC84" s="15">
        <f t="shared" ref="BC84:BC147" si="148">IF(BB84&gt;=650,((0.00002*BB84)+0.035)/10000,IF(BB84&lt;650,((-0.0000000000003*(BB84^4))+(0.0000000004*(BB84^3))-(0.0000002*(BB84^2))-(0.0001*BB84)+0.1409)/10000))</f>
        <v>5.4778568627752817E-6</v>
      </c>
      <c r="BD84" s="16">
        <f t="shared" ref="BD84:BD147" si="149">IF(BB84&lt;650,(53.495-(0.029*BB84)),IF(BB84&lt;700,((0.00000000000000006*(BB84^2))-(0.2008*BB84) + 164.43),IF(BB84&lt;1250,((0.0115*BB84)+ 15.889))))</f>
        <v>27.261676960957871</v>
      </c>
      <c r="BE84" s="17">
        <f t="shared" ref="BE84:BE147" si="150">(BC84*$M$8)/($D$6^2)</f>
        <v>1.3709397015524103E-2</v>
      </c>
      <c r="BF84" s="18">
        <f t="shared" ref="BF84:BF147" si="151">($C$8*$D$6)/BD84</f>
        <v>0.20232155959807846</v>
      </c>
      <c r="BG84" s="19">
        <f t="shared" si="97"/>
        <v>982.63065289946212</v>
      </c>
      <c r="BH84" s="15">
        <f t="shared" ref="BH84:BH147" si="152">IF(BG84&gt;=650,((0.00002*BG84)+0.035)/10000,IF(BG84&lt;650,((-0.0000000000003*(BG84^4))+(0.0000000004*(BG84^3))-(0.0000002*(BG84^2))-(0.0001*BG84)+0.1409)/10000))</f>
        <v>5.4652613057989246E-6</v>
      </c>
      <c r="BI84" s="16">
        <f t="shared" ref="BI84:BI147" si="153">IF(BG84&lt;650,(53.495-(0.029*BG84)),IF(BG84&lt;700,((0.00000000000000006*(BG84^2))-(0.2008*BG84) + 164.43),IF(BG84&lt;1250,((0.0115*BG84)+ 15.889))))</f>
        <v>27.189252508343813</v>
      </c>
      <c r="BJ84" s="17">
        <f t="shared" ref="BJ84:BJ147" si="154">(BH84*$M$8)/($D$6^2)</f>
        <v>1.3677874196373065E-2</v>
      </c>
      <c r="BK84" s="18">
        <f t="shared" ref="BK84:BK147" si="155">($C$8*$D$6)/BI84</f>
        <v>0.20286048681578761</v>
      </c>
      <c r="BL84" s="19">
        <f t="shared" si="98"/>
        <v>975.73306293793019</v>
      </c>
      <c r="BM84" s="15">
        <f t="shared" ref="BM84:BM147" si="156">IF(BL84&gt;=650,((0.00002*BL84)+0.035)/10000,IF(BL84&lt;650,((-0.0000000000003*(BL84^4))+(0.0000000004*(BL84^3))-(0.0000002*(BL84^2))-(0.0001*BL84)+0.1409)/10000))</f>
        <v>5.4514661258758601E-6</v>
      </c>
      <c r="BN84" s="16">
        <f t="shared" ref="BN84:BN147" si="157">IF(BL84&lt;650,(53.495-(0.029*BL84)),IF(BL84&lt;700,((0.00000000000000006*(BL84^2))-(0.2008*BL84) + 164.43),IF(BL84&lt;1250,((0.0115*BL84)+ 15.889))))</f>
        <v>27.109930223786197</v>
      </c>
      <c r="BO84" s="17">
        <f t="shared" ref="BO84:BO147" si="158">(BM84*$M$8)/($D$6^2)</f>
        <v>1.3643349088615857E-2</v>
      </c>
      <c r="BP84" s="18">
        <f t="shared" ref="BP84:BP147" si="159">($C$8*$D$6)/BN84</f>
        <v>0.2034540463391013</v>
      </c>
      <c r="BQ84" s="19">
        <f t="shared" si="99"/>
        <v>968.23521342761273</v>
      </c>
      <c r="BR84" s="15">
        <f t="shared" ref="BR84:BR147" si="160">IF(BQ84&gt;=650,((0.00002*BQ84)+0.035)/10000,IF(BQ84&lt;650,((-0.0000000000003*(BQ84^4))+(0.0000000004*(BQ84^3))-(0.0000002*(BQ84^2))-(0.0001*BQ84)+0.1409)/10000))</f>
        <v>5.4364704268552268E-6</v>
      </c>
      <c r="BS84" s="16">
        <f t="shared" ref="BS84:BS147" si="161">IF(BQ84&lt;650,(53.495-(0.029*BQ84)),IF(BQ84&lt;700,((0.00000000000000006*(BQ84^2))-(0.2008*BQ84) + 164.43),IF(BQ84&lt;1250,((0.0115*BQ84)+ 15.889))))</f>
        <v>27.023704954417546</v>
      </c>
      <c r="BT84" s="17">
        <f t="shared" ref="BT84:BT147" si="162">(BR84*$M$8)/($D$6^2)</f>
        <v>1.3605819449461503E-2</v>
      </c>
      <c r="BU84" s="18">
        <f t="shared" ref="BU84:BU147" si="163">($C$8*$D$6)/BS84</f>
        <v>0.20410321269061829</v>
      </c>
      <c r="BV84" s="19">
        <f t="shared" si="100"/>
        <v>960.13288554339886</v>
      </c>
      <c r="BW84" s="15">
        <f t="shared" ref="BW84:BW147" si="164">IF(BV84&gt;=650,((0.00002*BV84)+0.035)/10000,IF(BV84&lt;650,((-0.0000000000003*(BV84^4))+(0.0000000004*(BV84^3))-(0.0000002*(BV84^2))-(0.0001*BV84)+0.1409)/10000))</f>
        <v>5.420265771086798E-6</v>
      </c>
      <c r="BX84" s="16">
        <f t="shared" ref="BX84:BX147" si="165">IF(BV84&lt;650,(53.495-(0.029*BV84)),IF(BV84&lt;700,((0.00000000000000006*(BV84^2))-(0.2008*BV84) + 164.43),IF(BV84&lt;1250,((0.0115*BV84)+ 15.889))))</f>
        <v>26.930528183749086</v>
      </c>
      <c r="BY84" s="17">
        <f t="shared" ref="BY84:BY147" si="166">(BW84*$M$8)/($D$6^2)</f>
        <v>1.3565264162057234E-2</v>
      </c>
      <c r="BZ84" s="18">
        <f t="shared" ref="BZ84:BZ147" si="167">($C$8*$D$6)/BX84</f>
        <v>0.20480938815482794</v>
      </c>
      <c r="CA84" s="19">
        <f t="shared" si="101"/>
        <v>951.39181395481819</v>
      </c>
      <c r="CB84" s="15">
        <f t="shared" ref="CB84:CB147" si="168">IF(CA84&gt;=650,((0.00002*CA84)+0.035)/10000,IF(CA84&lt;650,((-0.0000000000003*(CA84^4))+(0.0000000004*(CA84^3))-(0.0000002*(CA84^2))-(0.0001*CA84)+0.1409)/10000))</f>
        <v>5.4027836279096365E-6</v>
      </c>
      <c r="CC84" s="16">
        <f t="shared" ref="CC84:CC147" si="169">IF(CA84&lt;650,(53.495-(0.029*CA84)),IF(CA84&lt;700,((0.00000000000000006*(CA84^2))-(0.2008*CA84) + 164.43),IF(CA84&lt;1250,((0.0115*CA84)+ 15.889))))</f>
        <v>26.830005860480409</v>
      </c>
      <c r="CD84" s="17">
        <f t="shared" ref="CD84:CD147" si="170">(CB84*$M$8)/($D$6^2)</f>
        <v>1.3521511715160233E-2</v>
      </c>
      <c r="CE84" s="18">
        <f t="shared" ref="CE84:CE147" si="171">($C$8*$D$6)/CC84</f>
        <v>0.20557673482003627</v>
      </c>
      <c r="CF84" s="19">
        <f t="shared" si="102"/>
        <v>941.77711079749656</v>
      </c>
      <c r="CG84" s="15">
        <f t="shared" ref="CG84:CG147" si="172">IF(CF84&gt;=650,((0.00002*CF84)+0.035)/10000,IF(CF84&lt;650,((-0.0000000000003*(CF84^4))+(0.0000000004*(CF84^3))-(0.0000002*(CF84^2))-(0.0001*CF84)+0.1409)/10000))</f>
        <v>5.3835542215949935E-6</v>
      </c>
      <c r="CH84" s="16">
        <f t="shared" ref="CH84:CH147" si="173">IF(CF84&lt;650,(53.495-(0.029*CF84)),IF(CF84&lt;700,((0.00000000000000006*(CF84^2))-(0.2008*CF84) + 164.43),IF(CF84&lt;1250,((0.0115*CF84)+ 15.889))))</f>
        <v>26.719436774171207</v>
      </c>
      <c r="CI84" s="17">
        <f t="shared" ref="CI84:CI147" si="174">(CG84*$M$8)/($D$6^2)</f>
        <v>1.3473386404086169E-2</v>
      </c>
      <c r="CJ84" s="18">
        <f t="shared" ref="CJ84:CJ147" si="175">($C$8*$D$6)/CH84</f>
        <v>0.20642744256240356</v>
      </c>
      <c r="CK84" s="19">
        <f t="shared" si="103"/>
        <v>929.97088025473226</v>
      </c>
      <c r="CL84" s="15">
        <f t="shared" ref="CL84:CL147" si="176">IF(CK84&gt;=650,((0.00002*CK84)+0.035)/10000,IF(CK84&lt;650,((-0.0000000000003*(CK84^4))+(0.0000000004*(CK84^3))-(0.0000002*(CK84^2))-(0.0001*CK84)+0.1409)/10000))</f>
        <v>5.3599417605094649E-6</v>
      </c>
      <c r="CM84" s="16">
        <f t="shared" ref="CM84:CM147" si="177">IF(CK84&lt;650,(53.495-(0.029*CK84)),IF(CK84&lt;700,((0.00000000000000006*(CK84^2))-(0.2008*CK84) + 164.43),IF(CK84&lt;1250,((0.0115*CK84)+ 15.889))))</f>
        <v>26.583665122929418</v>
      </c>
      <c r="CN84" s="17">
        <f t="shared" ref="CN84:CN147" si="178">(CL84*$M$8)/($D$6^2)</f>
        <v>1.3414291650125925E-2</v>
      </c>
      <c r="CO84" s="18">
        <f t="shared" ref="CO84:CO147" si="179">($C$8*$D$6)/CM84</f>
        <v>0.20748173641574219</v>
      </c>
      <c r="CP84" s="19">
        <f t="shared" si="104"/>
        <v>910.19514600318143</v>
      </c>
      <c r="CQ84" s="15">
        <f t="shared" ref="CQ84:CQ147" si="180">IF(CP84&gt;=650,((0.00002*CP84)+0.035)/10000,IF(CP84&lt;650,((-0.0000000000003*(CP84^4))+(0.0000000004*(CP84^3))-(0.0000002*(CP84^2))-(0.0001*CP84)+0.1409)/10000))</f>
        <v>5.3203902920063636E-6</v>
      </c>
      <c r="CR84" s="16">
        <f t="shared" ref="CR84:CR147" si="181">IF(CP84&lt;650,(53.495-(0.029*CP84)),IF(CP84&lt;700,((0.00000000000000006*(CP84^2))-(0.2008*CP84) + 164.43),IF(CP84&lt;1250,((0.0115*CP84)+ 15.889))))</f>
        <v>26.356244179036587</v>
      </c>
      <c r="CS84" s="17">
        <f t="shared" ref="CS84:CS147" si="182">(CQ84*$M$8)/($D$6^2)</f>
        <v>1.3315306445174568E-2</v>
      </c>
      <c r="CT84" s="18">
        <f t="shared" ref="CT84:CT147" si="183">($C$8*$D$6)/CR84</f>
        <v>0.20927204052795415</v>
      </c>
      <c r="CU84" s="19">
        <f t="shared" si="105"/>
        <v>864.15546239335583</v>
      </c>
      <c r="CV84" s="15">
        <f t="shared" ref="CV84:CV147" si="184">IF(CU84&gt;=650,((0.00002*CU84)+0.035)/10000,IF(CU84&lt;650,((-0.0000000000003*(CU84^4))+(0.0000000004*(CU84^3))-(0.0000002*(CU84^2))-(0.0001*CU84)+0.1409)/10000))</f>
        <v>5.2283109247867121E-6</v>
      </c>
      <c r="CW84" s="16">
        <f t="shared" ref="CW84:CW147" si="185">IF(CU84&lt;650,(53.495-(0.029*CU84)),IF(CU84&lt;700,((0.00000000000000006*(CU84^2))-(0.2008*CU84) + 164.43),IF(CU84&lt;1250,((0.0115*CU84)+ 15.889))))</f>
        <v>25.826787817523591</v>
      </c>
      <c r="CX84" s="17">
        <f t="shared" ref="CX84:CX147" si="186">(CV84*$M$8)/($D$6^2)</f>
        <v>1.3084860007128562E-2</v>
      </c>
      <c r="CY84" s="18">
        <f t="shared" ref="CY84:CY147" si="187">($C$8*$D$6)/CW84</f>
        <v>0.2135621757908904</v>
      </c>
      <c r="CZ84" s="20">
        <f t="shared" si="106"/>
        <v>756.48432778828362</v>
      </c>
      <c r="DA84" s="15">
        <f t="shared" ref="DA84:DA147" si="188">IF(CZ84&gt;=650,((0.00002*CZ84)+0.035)/10000,IF(CZ84&lt;650,((-0.0000000000003*(CZ84^4))+(0.0000000004*(CZ84^3))-(0.0000002*(CZ84^2))-(0.0001*CZ84)+0.1409)/10000))</f>
        <v>5.0129686555765673E-6</v>
      </c>
      <c r="DB84" s="16">
        <f t="shared" ref="DB84:DB147" si="189">IF(CZ84&lt;650,(53.495-(0.029*CZ84)),IF(CZ84&lt;700,((0.00000000000000006*(CZ84^2))-(0.2008*CZ84) + 164.43),IF(CZ84&lt;1250,((0.0115*CZ84)+ 15.889))))</f>
        <v>24.588569769565261</v>
      </c>
      <c r="DC84" s="17">
        <f t="shared" ref="DC84:DC147" si="190">(DA84*$M$8)/($D$6^2)</f>
        <v>1.2545924299828965E-2</v>
      </c>
      <c r="DD84" s="18">
        <f t="shared" ref="DD84:DD147" si="191">($C$8*$D$6)/DB84</f>
        <v>0.22431662563908122</v>
      </c>
    </row>
    <row r="85" spans="2:108" x14ac:dyDescent="0.25">
      <c r="B85">
        <v>66</v>
      </c>
      <c r="C85">
        <f t="shared" ref="C85:C148" si="192">$B85*$M$8</f>
        <v>6.4522567978786596E-2</v>
      </c>
      <c r="D85" s="19">
        <f t="shared" si="109"/>
        <v>1018.9307281981651</v>
      </c>
      <c r="E85" s="15">
        <f t="shared" si="110"/>
        <v>5.5378614563963308E-6</v>
      </c>
      <c r="F85" s="16">
        <f t="shared" si="111"/>
        <v>27.606703374278897</v>
      </c>
      <c r="G85" s="17">
        <f t="shared" si="107"/>
        <v>1.3859570124700484E-2</v>
      </c>
      <c r="H85" s="18">
        <f t="shared" si="112"/>
        <v>0.19979296061618482</v>
      </c>
      <c r="I85" s="19">
        <f t="shared" ref="I85:I148" si="193">I84+(G85*(D84+N84-(2*I84))+((G85/(2*$I$18))*(N84-D84)))</f>
        <v>1018.6073657867788</v>
      </c>
      <c r="J85" s="15">
        <f t="shared" si="113"/>
        <v>5.5372147315735576E-6</v>
      </c>
      <c r="K85" s="16">
        <f t="shared" si="114"/>
        <v>27.602984706547957</v>
      </c>
      <c r="L85" s="17">
        <f t="shared" si="115"/>
        <v>1.3857951570660594E-2</v>
      </c>
      <c r="M85" s="18">
        <f t="shared" si="116"/>
        <v>0.19981987667774159</v>
      </c>
      <c r="N85" s="19">
        <f t="shared" ref="N85:N148" si="194">N84+(L85*(I84+S84-(2*N84))+((L85/(2*N$18))*(S84-I84)))</f>
        <v>1017.7033228915652</v>
      </c>
      <c r="O85" s="15">
        <f t="shared" si="117"/>
        <v>5.5354066457831309E-6</v>
      </c>
      <c r="P85" s="16">
        <f t="shared" si="118"/>
        <v>27.592588213252998</v>
      </c>
      <c r="Q85" s="17">
        <f t="shared" si="108"/>
        <v>1.3859570124700484E-2</v>
      </c>
      <c r="R85" s="18">
        <f t="shared" si="119"/>
        <v>0.19989516595441342</v>
      </c>
      <c r="S85" s="19">
        <f t="shared" ref="S85:S148" si="195">S84+(Q85*(N84+X84-(2*S84))+((Q85/(2*S$18))*(X84-N84)))</f>
        <v>1016.2026851892909</v>
      </c>
      <c r="T85" s="15">
        <f t="shared" si="120"/>
        <v>5.5324053703785818E-6</v>
      </c>
      <c r="U85" s="16">
        <f t="shared" si="121"/>
        <v>27.575330879676844</v>
      </c>
      <c r="V85" s="17">
        <f t="shared" si="122"/>
        <v>1.3845915213438295E-2</v>
      </c>
      <c r="W85" s="18">
        <f t="shared" si="123"/>
        <v>0.20002026536207559</v>
      </c>
      <c r="X85" s="19">
        <f t="shared" ref="X85:X148" si="196">X84+(V85*(S84+AC84-(2*X84))+((V85/(2*X$18))*(AC84-S84)))</f>
        <v>1014.1033281988603</v>
      </c>
      <c r="Y85" s="15">
        <f t="shared" si="124"/>
        <v>5.5282066563977212E-6</v>
      </c>
      <c r="Z85" s="16">
        <f t="shared" si="125"/>
        <v>27.551188274286893</v>
      </c>
      <c r="AA85" s="17">
        <f t="shared" si="126"/>
        <v>1.3835407119057551E-2</v>
      </c>
      <c r="AB85" s="18">
        <f t="shared" si="127"/>
        <v>0.20019553948414084</v>
      </c>
      <c r="AC85" s="19">
        <f t="shared" ref="AC85:AC148" si="197">AC84+(AA85*(X84+AH84-(2*AC84))+((AA85/(2*AC$18))*(AH84-X84)))</f>
        <v>1011.4042008355158</v>
      </c>
      <c r="AD85" s="15">
        <f t="shared" si="128"/>
        <v>5.5228084016710324E-6</v>
      </c>
      <c r="AE85" s="16">
        <f t="shared" si="129"/>
        <v>27.52014830960843</v>
      </c>
      <c r="AF85" s="17">
        <f t="shared" si="130"/>
        <v>1.3821896941794245E-2</v>
      </c>
      <c r="AG85" s="18">
        <f t="shared" si="131"/>
        <v>0.20042133995601563</v>
      </c>
      <c r="AH85" s="19">
        <f t="shared" ref="AH85:AH148" si="198">AH84+(AF85*(AC84+AM84-(2*AH84))+((AF85/(2*AH$18))*(AM84-AC84)))</f>
        <v>1008.1052850066804</v>
      </c>
      <c r="AI85" s="15">
        <f t="shared" si="132"/>
        <v>5.5162105700133618E-6</v>
      </c>
      <c r="AJ85" s="16">
        <f t="shared" si="133"/>
        <v>27.482210777576825</v>
      </c>
      <c r="AK85" s="17">
        <f t="shared" si="134"/>
        <v>1.380538459108803E-2</v>
      </c>
      <c r="AL85" s="18">
        <f t="shared" si="135"/>
        <v>0.20069800951022057</v>
      </c>
      <c r="AM85" s="19">
        <f t="shared" ref="AM85:AM148" si="199">AM84+(AK85*(AH84+AR84-(2*AM84))+((AK85/(2*AM$18))*(AR84-AH84)))</f>
        <v>1004.2065975372951</v>
      </c>
      <c r="AN85" s="15">
        <f t="shared" si="136"/>
        <v>5.5084131950745907E-6</v>
      </c>
      <c r="AO85" s="16">
        <f t="shared" si="137"/>
        <v>27.437375871678896</v>
      </c>
      <c r="AP85" s="17">
        <f t="shared" si="138"/>
        <v>1.3785870151154242E-2</v>
      </c>
      <c r="AQ85" s="18">
        <f t="shared" si="139"/>
        <v>0.20102596639692782</v>
      </c>
      <c r="AR85" s="19">
        <f t="shared" ref="AR85:AR148" si="200">AR84+(AP85*(AM84+AW84-(2*AR84))+((AP85/(2*AR$18))*(AW84-AM84)))</f>
        <v>999.70814534249848</v>
      </c>
      <c r="AS85" s="15">
        <f t="shared" si="140"/>
        <v>5.4994162906849979E-6</v>
      </c>
      <c r="AT85" s="16">
        <f t="shared" si="141"/>
        <v>27.385643671438732</v>
      </c>
      <c r="AU85" s="17">
        <f t="shared" si="142"/>
        <v>1.3763353656605835E-2</v>
      </c>
      <c r="AV85" s="18">
        <f t="shared" si="143"/>
        <v>0.20140570972784555</v>
      </c>
      <c r="AW85" s="19">
        <f t="shared" ref="AW85:AW148" si="201">AW84+(AU85*(AR84+BB84-(2*AW84))+((AU85/(2*AW$18))*(BB84-AR84)))</f>
        <v>994.60993014511928</v>
      </c>
      <c r="AX85" s="15">
        <f t="shared" si="144"/>
        <v>5.4892198602902387E-6</v>
      </c>
      <c r="AY85" s="16">
        <f t="shared" si="145"/>
        <v>27.32701419666887</v>
      </c>
      <c r="AZ85" s="17">
        <f t="shared" si="146"/>
        <v>1.3737835116066226E-2</v>
      </c>
      <c r="BA85" s="18">
        <f t="shared" si="147"/>
        <v>0.20183782100396275</v>
      </c>
      <c r="BB85" s="19">
        <f t="shared" ref="BB85:BB148" si="202">BB84+(AZ85*(AW84+BG84-(2*BB84))+((AZ85/(2*BB$18))*(BG84-AW84)))</f>
        <v>988.91195204186954</v>
      </c>
      <c r="BC85" s="15">
        <f t="shared" si="148"/>
        <v>5.4778239040837391E-6</v>
      </c>
      <c r="BD85" s="16">
        <f t="shared" si="149"/>
        <v>27.2614874484815</v>
      </c>
      <c r="BE85" s="17">
        <f t="shared" si="150"/>
        <v>1.3709314530019499E-2</v>
      </c>
      <c r="BF85" s="18">
        <f t="shared" si="151"/>
        <v>0.20232296606791453</v>
      </c>
      <c r="BG85" s="19">
        <f t="shared" ref="BG85:BG148" si="203">BG84+(BE85*(BB84+BL84-(2*BG84))+((BE85/(2*BG$18))*(BL84-BB84)))</f>
        <v>982.61420719275077</v>
      </c>
      <c r="BH85" s="15">
        <f t="shared" si="152"/>
        <v>5.4652284143855022E-6</v>
      </c>
      <c r="BI85" s="16">
        <f t="shared" si="153"/>
        <v>27.189063382716633</v>
      </c>
      <c r="BJ85" s="17">
        <f t="shared" si="154"/>
        <v>1.3677791879244979E-2</v>
      </c>
      <c r="BK85" s="18">
        <f t="shared" si="155"/>
        <v>0.2028618979021593</v>
      </c>
      <c r="BL85" s="19">
        <f t="shared" ref="BL85:BL148" si="204">BL84+(BJ85*(BG84+BQ84-(2*BL84))+((BJ85/(2*BL$18))*(BQ84-BG84)))</f>
        <v>975.7166486367023</v>
      </c>
      <c r="BM85" s="15">
        <f t="shared" si="156"/>
        <v>5.4514332972734053E-6</v>
      </c>
      <c r="BN85" s="16">
        <f t="shared" si="157"/>
        <v>27.109741459322073</v>
      </c>
      <c r="BO85" s="17">
        <f t="shared" si="158"/>
        <v>1.3643266928684375E-2</v>
      </c>
      <c r="BP85" s="18">
        <f t="shared" si="159"/>
        <v>0.20345546298463033</v>
      </c>
      <c r="BQ85" s="19">
        <f t="shared" ref="BQ85:BQ148" si="205">BQ84+(BO85*(BL84+BV84-(2*BQ84))+((BO85/(2*BQ$18))*(BV84-BL84)))</f>
        <v>968.21878031456163</v>
      </c>
      <c r="BR85" s="15">
        <f t="shared" si="160"/>
        <v>5.4364375606291236E-6</v>
      </c>
      <c r="BS85" s="16">
        <f t="shared" si="161"/>
        <v>27.023515973617457</v>
      </c>
      <c r="BT85" s="17">
        <f t="shared" si="162"/>
        <v>1.3605737195369557E-2</v>
      </c>
      <c r="BU85" s="18">
        <f t="shared" si="163"/>
        <v>0.20410464002481393</v>
      </c>
      <c r="BV85" s="19">
        <f t="shared" ref="BV85:BV148" si="206">BV84+(BT85*(BQ84+CA84-(2*BV84))+((BT85/(2*BV$18))*(CA84-BQ84)))</f>
        <v>960.11601043346832</v>
      </c>
      <c r="BW85" s="15">
        <f t="shared" si="164"/>
        <v>5.4202320208669373E-6</v>
      </c>
      <c r="BX85" s="16">
        <f t="shared" si="165"/>
        <v>26.930334119984884</v>
      </c>
      <c r="BY85" s="17">
        <f t="shared" si="166"/>
        <v>1.3565179695599817E-2</v>
      </c>
      <c r="BZ85" s="18">
        <f t="shared" si="167"/>
        <v>0.2048108640400001</v>
      </c>
      <c r="CA85" s="19">
        <f t="shared" ref="CA85:CA148" si="207">CA84+(BY85*(BV84+CF84-(2*CA84))+((BY85/(2*CA$18))*(CF84-BV84)))</f>
        <v>951.37166300617116</v>
      </c>
      <c r="CB85" s="15">
        <f t="shared" si="168"/>
        <v>5.4027433260123428E-6</v>
      </c>
      <c r="CC85" s="16">
        <f t="shared" si="169"/>
        <v>26.829774124570967</v>
      </c>
      <c r="CD85" s="17">
        <f t="shared" si="170"/>
        <v>1.3521410851861992E-2</v>
      </c>
      <c r="CE85" s="18">
        <f t="shared" si="171"/>
        <v>0.20557851044108258</v>
      </c>
      <c r="CF85" s="19">
        <f t="shared" ref="CF85:CF148" si="208">CF84+(CD85*(CA84+CK84-(2*CF84))+((CD85/(2*CF$18))*(CK84-CA84)))</f>
        <v>941.73842696640645</v>
      </c>
      <c r="CG85" s="15">
        <f t="shared" si="172"/>
        <v>5.3834768539328128E-6</v>
      </c>
      <c r="CH85" s="16">
        <f t="shared" si="173"/>
        <v>26.718991910113672</v>
      </c>
      <c r="CI85" s="17">
        <f t="shared" si="174"/>
        <v>1.3473192776537371E-2</v>
      </c>
      <c r="CJ85" s="18">
        <f t="shared" si="175"/>
        <v>0.20643087952402223</v>
      </c>
      <c r="CK85" s="19">
        <f t="shared" ref="CK85:CK148" si="209">CK84+(CI85*(CF84+CP84-(2*CK84))+((CI85/(2*CK$18))*(CP84-CF84)))</f>
        <v>929.85099059787353</v>
      </c>
      <c r="CL85" s="15">
        <f t="shared" si="176"/>
        <v>5.3597019811957476E-6</v>
      </c>
      <c r="CM85" s="16">
        <f t="shared" si="177"/>
        <v>26.582286391875545</v>
      </c>
      <c r="CN85" s="17">
        <f t="shared" si="178"/>
        <v>1.341369155598506E-2</v>
      </c>
      <c r="CO85" s="18">
        <f t="shared" si="179"/>
        <v>0.20749249777422318</v>
      </c>
      <c r="CP85" s="19">
        <f t="shared" ref="CP85:CP148" si="210">CP84+(CN85*(CK84+CU84-(2*CP84))+((CN85/(2*CP$18))*(CU84-CK84)))</f>
        <v>909.81832649536921</v>
      </c>
      <c r="CQ85" s="15">
        <f t="shared" si="180"/>
        <v>5.3196366529907391E-6</v>
      </c>
      <c r="CR85" s="16">
        <f t="shared" si="181"/>
        <v>26.351910754696746</v>
      </c>
      <c r="CS85" s="17">
        <f t="shared" si="182"/>
        <v>1.331342031767427E-2</v>
      </c>
      <c r="CT85" s="18">
        <f t="shared" si="183"/>
        <v>0.20930645414458005</v>
      </c>
      <c r="CU85" s="19">
        <f t="shared" ref="CU85:CU148" si="211">CU84+(CS85*(CP84+CZ84-(2*CU84))+((CS85/(2*CU$18))*(CZ84-CP84)))</f>
        <v>863.28108390961881</v>
      </c>
      <c r="CV85" s="15">
        <f t="shared" si="184"/>
        <v>5.2265621678192381E-6</v>
      </c>
      <c r="CW85" s="16">
        <f t="shared" si="185"/>
        <v>25.816732464960616</v>
      </c>
      <c r="CX85" s="17">
        <f t="shared" si="186"/>
        <v>1.3080483404352816E-2</v>
      </c>
      <c r="CY85" s="18">
        <f t="shared" si="187"/>
        <v>0.2136453560684336</v>
      </c>
      <c r="CZ85" s="20">
        <f t="shared" ref="CZ85:CZ148" si="212">CZ84+((2*$CX85)*(CU84-CZ84))+((2*$CX85*$CY85)*($C$14-CZ84))+((($CX85*$CY85)/$C$5)*($C$14-CZ84))+(((CZ84-$C$14)*$CX85*($D$6^2))/($CW85*($D$4/(2*$C$8))))</f>
        <v>755.31492892713595</v>
      </c>
      <c r="DA85" s="15">
        <f t="shared" si="188"/>
        <v>5.0106298578542718E-6</v>
      </c>
      <c r="DB85" s="16">
        <f t="shared" si="189"/>
        <v>24.575121682662065</v>
      </c>
      <c r="DC85" s="17">
        <f t="shared" si="190"/>
        <v>1.2540071005864342E-2</v>
      </c>
      <c r="DD85" s="18">
        <f t="shared" si="191"/>
        <v>0.2244393769936576</v>
      </c>
    </row>
    <row r="86" spans="2:108" x14ac:dyDescent="0.25">
      <c r="B86">
        <v>67</v>
      </c>
      <c r="C86">
        <f t="shared" si="192"/>
        <v>6.5500182645131855E-2</v>
      </c>
      <c r="D86" s="19">
        <f t="shared" si="109"/>
        <v>1018.9142189469582</v>
      </c>
      <c r="E86" s="15">
        <f t="shared" si="110"/>
        <v>5.5378284378939174E-6</v>
      </c>
      <c r="F86" s="16">
        <f t="shared" si="111"/>
        <v>27.606513517890019</v>
      </c>
      <c r="G86" s="17">
        <f t="shared" si="107"/>
        <v>1.3859487489507601E-2</v>
      </c>
      <c r="H86" s="18">
        <f t="shared" si="112"/>
        <v>0.19979433463865967</v>
      </c>
      <c r="I86" s="19">
        <f t="shared" si="193"/>
        <v>1018.5908122486321</v>
      </c>
      <c r="J86" s="15">
        <f t="shared" si="113"/>
        <v>5.5371816244972646E-6</v>
      </c>
      <c r="K86" s="16">
        <f t="shared" si="114"/>
        <v>27.602794340859269</v>
      </c>
      <c r="L86" s="17">
        <f t="shared" si="115"/>
        <v>1.3857868713794434E-2</v>
      </c>
      <c r="M86" s="18">
        <f t="shared" si="116"/>
        <v>0.19982125475736526</v>
      </c>
      <c r="N86" s="19">
        <f t="shared" si="194"/>
        <v>1017.686724422049</v>
      </c>
      <c r="O86" s="15">
        <f t="shared" si="117"/>
        <v>5.5353734488440986E-6</v>
      </c>
      <c r="P86" s="16">
        <f t="shared" si="118"/>
        <v>27.592397330853565</v>
      </c>
      <c r="Q86" s="17">
        <f t="shared" si="108"/>
        <v>1.3859487489507601E-2</v>
      </c>
      <c r="R86" s="18">
        <f t="shared" si="119"/>
        <v>0.19989654881609287</v>
      </c>
      <c r="S86" s="19">
        <f t="shared" si="195"/>
        <v>1016.1860715665728</v>
      </c>
      <c r="T86" s="15">
        <f t="shared" si="120"/>
        <v>5.532372143133146E-6</v>
      </c>
      <c r="U86" s="16">
        <f t="shared" si="121"/>
        <v>27.575139823015586</v>
      </c>
      <c r="V86" s="17">
        <f t="shared" si="122"/>
        <v>1.3845832055825598E-2</v>
      </c>
      <c r="W86" s="18">
        <f t="shared" si="123"/>
        <v>0.20002165121920376</v>
      </c>
      <c r="X86" s="19">
        <f t="shared" si="196"/>
        <v>1014.0867190029442</v>
      </c>
      <c r="Y86" s="15">
        <f t="shared" si="124"/>
        <v>5.5281734380058889E-6</v>
      </c>
      <c r="Z86" s="16">
        <f t="shared" si="125"/>
        <v>27.550997268533855</v>
      </c>
      <c r="AA86" s="17">
        <f t="shared" si="126"/>
        <v>1.383532398360271E-2</v>
      </c>
      <c r="AB86" s="18">
        <f t="shared" si="127"/>
        <v>0.20019692740122425</v>
      </c>
      <c r="AC86" s="19">
        <f t="shared" si="197"/>
        <v>1011.3876040806909</v>
      </c>
      <c r="AD86" s="15">
        <f t="shared" si="128"/>
        <v>5.5227752081613824E-6</v>
      </c>
      <c r="AE86" s="16">
        <f t="shared" si="129"/>
        <v>27.519957446927947</v>
      </c>
      <c r="AF86" s="17">
        <f t="shared" si="130"/>
        <v>1.3821813868611883E-2</v>
      </c>
      <c r="AG86" s="18">
        <f t="shared" si="131"/>
        <v>0.20042272996376706</v>
      </c>
      <c r="AH86" s="19">
        <f t="shared" si="198"/>
        <v>1008.0887047469438</v>
      </c>
      <c r="AI86" s="15">
        <f t="shared" si="132"/>
        <v>5.5161774094938883E-6</v>
      </c>
      <c r="AJ86" s="16">
        <f t="shared" si="133"/>
        <v>27.482020104589854</v>
      </c>
      <c r="AK86" s="17">
        <f t="shared" si="134"/>
        <v>1.3805301600469968E-2</v>
      </c>
      <c r="AL86" s="18">
        <f t="shared" si="135"/>
        <v>0.20069940197295827</v>
      </c>
      <c r="AM86" s="19">
        <f t="shared" si="199"/>
        <v>1004.1900372439683</v>
      </c>
      <c r="AN86" s="15">
        <f t="shared" si="136"/>
        <v>5.5083800744879367E-6</v>
      </c>
      <c r="AO86" s="16">
        <f t="shared" si="137"/>
        <v>27.437185428305632</v>
      </c>
      <c r="AP86" s="17">
        <f t="shared" si="138"/>
        <v>1.3785787260475789E-2</v>
      </c>
      <c r="AQ86" s="18">
        <f t="shared" si="139"/>
        <v>0.20102736173185584</v>
      </c>
      <c r="AR86" s="19">
        <f t="shared" si="200"/>
        <v>999.69160853639585</v>
      </c>
      <c r="AS86" s="15">
        <f t="shared" si="140"/>
        <v>5.4993832170727921E-6</v>
      </c>
      <c r="AT86" s="16">
        <f t="shared" si="141"/>
        <v>27.385453498168552</v>
      </c>
      <c r="AU86" s="17">
        <f t="shared" si="142"/>
        <v>1.376327088349003E-2</v>
      </c>
      <c r="AV86" s="18">
        <f t="shared" si="143"/>
        <v>0.20140710835293879</v>
      </c>
      <c r="AW86" s="19">
        <f t="shared" si="201"/>
        <v>994.59342039395176</v>
      </c>
      <c r="AX86" s="15">
        <f t="shared" si="144"/>
        <v>5.4891868407879037E-6</v>
      </c>
      <c r="AY86" s="16">
        <f t="shared" si="145"/>
        <v>27.326824334530443</v>
      </c>
      <c r="AZ86" s="17">
        <f t="shared" si="146"/>
        <v>1.3737752478370845E-2</v>
      </c>
      <c r="BA86" s="18">
        <f t="shared" si="147"/>
        <v>0.20183922333889351</v>
      </c>
      <c r="BB86" s="19">
        <f t="shared" si="202"/>
        <v>988.89547288113408</v>
      </c>
      <c r="BC86" s="15">
        <f t="shared" si="148"/>
        <v>5.4777909457622686E-6</v>
      </c>
      <c r="BD86" s="16">
        <f t="shared" si="149"/>
        <v>27.26129793813304</v>
      </c>
      <c r="BE86" s="17">
        <f t="shared" si="150"/>
        <v>1.3709232045441075E-2</v>
      </c>
      <c r="BF86" s="18">
        <f t="shared" si="151"/>
        <v>0.20232437254151264</v>
      </c>
      <c r="BG86" s="19">
        <f t="shared" si="203"/>
        <v>982.59776159489968</v>
      </c>
      <c r="BH86" s="15">
        <f t="shared" si="152"/>
        <v>5.4651955231898003E-6</v>
      </c>
      <c r="BI86" s="16">
        <f t="shared" si="153"/>
        <v>27.188874258341343</v>
      </c>
      <c r="BJ86" s="17">
        <f t="shared" si="154"/>
        <v>1.3677709562661781E-2</v>
      </c>
      <c r="BK86" s="18">
        <f t="shared" si="155"/>
        <v>0.20286330899882138</v>
      </c>
      <c r="BL86" s="19">
        <f t="shared" si="204"/>
        <v>975.70023375457947</v>
      </c>
      <c r="BM86" s="15">
        <f t="shared" si="156"/>
        <v>5.4514004675091601E-6</v>
      </c>
      <c r="BN86" s="16">
        <f t="shared" si="157"/>
        <v>27.109552688177665</v>
      </c>
      <c r="BO86" s="17">
        <f t="shared" si="158"/>
        <v>1.3643184765845286E-2</v>
      </c>
      <c r="BP86" s="18">
        <f t="shared" si="159"/>
        <v>0.20345687970002307</v>
      </c>
      <c r="BQ86" s="19">
        <f t="shared" si="205"/>
        <v>968.20234128507877</v>
      </c>
      <c r="BR86" s="15">
        <f t="shared" si="160"/>
        <v>5.4364046825701574E-6</v>
      </c>
      <c r="BS86" s="16">
        <f t="shared" si="161"/>
        <v>27.023326924778406</v>
      </c>
      <c r="BT86" s="17">
        <f t="shared" si="162"/>
        <v>1.3605654911663583E-2</v>
      </c>
      <c r="BU86" s="18">
        <f t="shared" si="163"/>
        <v>0.20410606789286839</v>
      </c>
      <c r="BV86" s="19">
        <f t="shared" si="206"/>
        <v>960.0990950627629</v>
      </c>
      <c r="BW86" s="15">
        <f t="shared" si="164"/>
        <v>5.4201981901255258E-6</v>
      </c>
      <c r="BX86" s="16">
        <f t="shared" si="165"/>
        <v>26.930139593221774</v>
      </c>
      <c r="BY86" s="17">
        <f t="shared" si="166"/>
        <v>1.3565095027621635E-2</v>
      </c>
      <c r="BZ86" s="18">
        <f t="shared" si="167"/>
        <v>0.20481234346769833</v>
      </c>
      <c r="CA86" s="19">
        <f t="shared" si="207"/>
        <v>951.35129535880378</v>
      </c>
      <c r="CB86" s="15">
        <f t="shared" si="168"/>
        <v>5.4027025907176074E-6</v>
      </c>
      <c r="CC86" s="16">
        <f t="shared" si="169"/>
        <v>26.829539896626244</v>
      </c>
      <c r="CD86" s="17">
        <f t="shared" si="170"/>
        <v>1.352130890390277E-2</v>
      </c>
      <c r="CE86" s="18">
        <f t="shared" si="171"/>
        <v>0.20558030518792378</v>
      </c>
      <c r="CF86" s="19">
        <f t="shared" si="208"/>
        <v>941.69885386307203</v>
      </c>
      <c r="CG86" s="15">
        <f t="shared" si="172"/>
        <v>5.3833977077261447E-6</v>
      </c>
      <c r="CH86" s="16">
        <f t="shared" si="173"/>
        <v>26.718536819425328</v>
      </c>
      <c r="CI86" s="17">
        <f t="shared" si="174"/>
        <v>1.3472994697836764E-2</v>
      </c>
      <c r="CJ86" s="18">
        <f t="shared" si="175"/>
        <v>0.20643439561368288</v>
      </c>
      <c r="CK86" s="19">
        <f t="shared" si="209"/>
        <v>929.72860118355402</v>
      </c>
      <c r="CL86" s="15">
        <f t="shared" si="176"/>
        <v>5.3594572023671088E-6</v>
      </c>
      <c r="CM86" s="16">
        <f t="shared" si="177"/>
        <v>26.580878913610871</v>
      </c>
      <c r="CN86" s="17">
        <f t="shared" si="178"/>
        <v>1.3413078949590467E-2</v>
      </c>
      <c r="CO86" s="18">
        <f t="shared" si="179"/>
        <v>0.20750348466377072</v>
      </c>
      <c r="CP86" s="19">
        <f t="shared" si="210"/>
        <v>909.43801550792341</v>
      </c>
      <c r="CQ86" s="15">
        <f t="shared" si="180"/>
        <v>5.3188760310158471E-6</v>
      </c>
      <c r="CR86" s="16">
        <f t="shared" si="181"/>
        <v>26.347537178341121</v>
      </c>
      <c r="CS86" s="17">
        <f t="shared" si="182"/>
        <v>1.3311516713966881E-2</v>
      </c>
      <c r="CT86" s="18">
        <f t="shared" si="183"/>
        <v>0.20934119810386284</v>
      </c>
      <c r="CU86" s="19">
        <f t="shared" si="211"/>
        <v>862.4092489008159</v>
      </c>
      <c r="CV86" s="15">
        <f t="shared" si="184"/>
        <v>5.224818497801632E-6</v>
      </c>
      <c r="CW86" s="16">
        <f t="shared" si="185"/>
        <v>25.806706362359382</v>
      </c>
      <c r="CX86" s="17">
        <f t="shared" si="186"/>
        <v>1.3076119532653672E-2</v>
      </c>
      <c r="CY86" s="18">
        <f t="shared" si="187"/>
        <v>0.21372835892165098</v>
      </c>
      <c r="CZ86" s="20">
        <f t="shared" si="212"/>
        <v>754.15846041382201</v>
      </c>
      <c r="DA86" s="15">
        <f t="shared" si="188"/>
        <v>5.0083169208276447E-6</v>
      </c>
      <c r="DB86" s="16">
        <f t="shared" si="189"/>
        <v>24.561822294758954</v>
      </c>
      <c r="DC86" s="17">
        <f t="shared" si="190"/>
        <v>1.253428243329586E-2</v>
      </c>
      <c r="DD86" s="18">
        <f t="shared" si="191"/>
        <v>0.22456090325093403</v>
      </c>
    </row>
    <row r="87" spans="2:108" x14ac:dyDescent="0.25">
      <c r="B87">
        <v>68</v>
      </c>
      <c r="C87">
        <f t="shared" si="192"/>
        <v>6.6477797311477099E-2</v>
      </c>
      <c r="D87" s="19">
        <f t="shared" si="109"/>
        <v>1018.8977074346839</v>
      </c>
      <c r="E87" s="15">
        <f t="shared" si="110"/>
        <v>5.5377954148693686E-6</v>
      </c>
      <c r="F87" s="16">
        <f t="shared" si="111"/>
        <v>27.606323635498864</v>
      </c>
      <c r="G87" s="17">
        <f t="shared" si="107"/>
        <v>1.3859404842997199E-2</v>
      </c>
      <c r="H87" s="18">
        <f t="shared" si="112"/>
        <v>0.19979570886822029</v>
      </c>
      <c r="I87" s="19">
        <f t="shared" si="193"/>
        <v>1018.5742581820093</v>
      </c>
      <c r="J87" s="15">
        <f t="shared" si="113"/>
        <v>5.5371485163640193E-6</v>
      </c>
      <c r="K87" s="16">
        <f t="shared" si="114"/>
        <v>27.602603969093106</v>
      </c>
      <c r="L87" s="17">
        <f t="shared" si="115"/>
        <v>1.3857785854283045E-2</v>
      </c>
      <c r="M87" s="18">
        <f t="shared" si="116"/>
        <v>0.19982263289999366</v>
      </c>
      <c r="N87" s="19">
        <f t="shared" si="194"/>
        <v>1017.6701262562786</v>
      </c>
      <c r="O87" s="15">
        <f t="shared" si="117"/>
        <v>5.5353402525125575E-6</v>
      </c>
      <c r="P87" s="16">
        <f t="shared" si="118"/>
        <v>27.592206451947206</v>
      </c>
      <c r="Q87" s="17">
        <f t="shared" si="108"/>
        <v>1.3859404842997199E-2</v>
      </c>
      <c r="R87" s="18">
        <f t="shared" si="119"/>
        <v>0.19989793167159917</v>
      </c>
      <c r="S87" s="19">
        <f t="shared" si="195"/>
        <v>1016.1694582895148</v>
      </c>
      <c r="T87" s="15">
        <f t="shared" si="120"/>
        <v>5.5323389165790297E-6</v>
      </c>
      <c r="U87" s="16">
        <f t="shared" si="121"/>
        <v>27.574948770329421</v>
      </c>
      <c r="V87" s="17">
        <f t="shared" si="122"/>
        <v>1.3845748899943059E-2</v>
      </c>
      <c r="W87" s="18">
        <f t="shared" si="123"/>
        <v>0.20002303706670163</v>
      </c>
      <c r="X87" s="19">
        <f t="shared" si="196"/>
        <v>1014.0701100469378</v>
      </c>
      <c r="Y87" s="15">
        <f t="shared" si="124"/>
        <v>5.5281402200938761E-6</v>
      </c>
      <c r="Z87" s="16">
        <f t="shared" si="125"/>
        <v>27.550806265539784</v>
      </c>
      <c r="AA87" s="17">
        <f t="shared" si="126"/>
        <v>1.383524084934871E-2</v>
      </c>
      <c r="AB87" s="18">
        <f t="shared" si="127"/>
        <v>0.20019831531750407</v>
      </c>
      <c r="AC87" s="19">
        <f t="shared" si="197"/>
        <v>1011.3710075217153</v>
      </c>
      <c r="AD87" s="15">
        <f t="shared" si="128"/>
        <v>5.5227420150434309E-6</v>
      </c>
      <c r="AE87" s="16">
        <f t="shared" si="129"/>
        <v>27.519766586499728</v>
      </c>
      <c r="AF87" s="17">
        <f t="shared" si="130"/>
        <v>1.3821730796409819E-2</v>
      </c>
      <c r="AG87" s="18">
        <f t="shared" si="131"/>
        <v>0.20042411997439616</v>
      </c>
      <c r="AH87" s="19">
        <f t="shared" si="198"/>
        <v>1008.0721246768346</v>
      </c>
      <c r="AI87" s="15">
        <f t="shared" si="132"/>
        <v>5.5161442493536696E-6</v>
      </c>
      <c r="AJ87" s="16">
        <f t="shared" si="133"/>
        <v>27.481829433783595</v>
      </c>
      <c r="AK87" s="17">
        <f t="shared" si="134"/>
        <v>1.3805218610801064E-2</v>
      </c>
      <c r="AL87" s="18">
        <f t="shared" si="135"/>
        <v>0.20070079443909239</v>
      </c>
      <c r="AM87" s="19">
        <f t="shared" si="199"/>
        <v>1004.1734771416473</v>
      </c>
      <c r="AN87" s="15">
        <f t="shared" si="136"/>
        <v>5.5083469542832954E-6</v>
      </c>
      <c r="AO87" s="16">
        <f t="shared" si="137"/>
        <v>27.436994987128941</v>
      </c>
      <c r="AP87" s="17">
        <f t="shared" si="138"/>
        <v>1.3785704370753398E-2</v>
      </c>
      <c r="AQ87" s="18">
        <f t="shared" si="139"/>
        <v>0.20102875707006007</v>
      </c>
      <c r="AR87" s="19">
        <f t="shared" si="200"/>
        <v>999.67507192245478</v>
      </c>
      <c r="AS87" s="15">
        <f t="shared" si="140"/>
        <v>5.4993501438449098E-6</v>
      </c>
      <c r="AT87" s="16">
        <f t="shared" si="141"/>
        <v>27.385263327108227</v>
      </c>
      <c r="AU87" s="17">
        <f t="shared" si="142"/>
        <v>1.376318811133607E-2</v>
      </c>
      <c r="AV87" s="18">
        <f t="shared" si="143"/>
        <v>0.20140850698120447</v>
      </c>
      <c r="AW87" s="19">
        <f t="shared" si="201"/>
        <v>994.57691083481029</v>
      </c>
      <c r="AX87" s="15">
        <f t="shared" si="144"/>
        <v>5.489153821669621E-6</v>
      </c>
      <c r="AY87" s="16">
        <f t="shared" si="145"/>
        <v>27.326634474600318</v>
      </c>
      <c r="AZ87" s="17">
        <f t="shared" si="146"/>
        <v>1.3737669841636629E-2</v>
      </c>
      <c r="BA87" s="18">
        <f t="shared" si="147"/>
        <v>0.20184062567699976</v>
      </c>
      <c r="BB87" s="19">
        <f t="shared" si="202"/>
        <v>988.87899390442624</v>
      </c>
      <c r="BC87" s="15">
        <f t="shared" si="148"/>
        <v>5.4777579878088526E-6</v>
      </c>
      <c r="BD87" s="16">
        <f t="shared" si="149"/>
        <v>27.261108429900901</v>
      </c>
      <c r="BE87" s="17">
        <f t="shared" si="150"/>
        <v>1.3709149561783776E-2</v>
      </c>
      <c r="BF87" s="18">
        <f t="shared" si="151"/>
        <v>0.20232577901895862</v>
      </c>
      <c r="BG87" s="19">
        <f t="shared" si="203"/>
        <v>982.58131609701877</v>
      </c>
      <c r="BH87" s="15">
        <f t="shared" si="152"/>
        <v>5.4651626321940381E-6</v>
      </c>
      <c r="BI87" s="16">
        <f t="shared" si="153"/>
        <v>27.188685135115715</v>
      </c>
      <c r="BJ87" s="17">
        <f t="shared" si="154"/>
        <v>1.3677627246578972E-2</v>
      </c>
      <c r="BK87" s="18">
        <f t="shared" si="155"/>
        <v>0.20286472010653653</v>
      </c>
      <c r="BL87" s="19">
        <f t="shared" si="204"/>
        <v>975.68381822459219</v>
      </c>
      <c r="BM87" s="15">
        <f t="shared" si="156"/>
        <v>5.4513676364491849E-6</v>
      </c>
      <c r="BN87" s="16">
        <f t="shared" si="157"/>
        <v>27.109363909582811</v>
      </c>
      <c r="BO87" s="17">
        <f t="shared" si="158"/>
        <v>1.3643102599763384E-2</v>
      </c>
      <c r="BP87" s="18">
        <f t="shared" si="159"/>
        <v>0.20345829649106217</v>
      </c>
      <c r="BQ87" s="19">
        <f t="shared" si="205"/>
        <v>968.18589592264902</v>
      </c>
      <c r="BR87" s="15">
        <f t="shared" si="160"/>
        <v>5.4363717918452982E-6</v>
      </c>
      <c r="BS87" s="16">
        <f t="shared" si="161"/>
        <v>27.023137803110465</v>
      </c>
      <c r="BT87" s="17">
        <f t="shared" si="162"/>
        <v>1.3605572596258759E-2</v>
      </c>
      <c r="BU87" s="18">
        <f t="shared" si="163"/>
        <v>0.20410749633098235</v>
      </c>
      <c r="BV87" s="19">
        <f t="shared" si="206"/>
        <v>960.08213739612358</v>
      </c>
      <c r="BW87" s="15">
        <f t="shared" si="164"/>
        <v>5.4201642747922477E-6</v>
      </c>
      <c r="BX87" s="16">
        <f t="shared" si="165"/>
        <v>26.92994458005542</v>
      </c>
      <c r="BY87" s="17">
        <f t="shared" si="166"/>
        <v>1.3565010147935935E-2</v>
      </c>
      <c r="BZ87" s="18">
        <f t="shared" si="167"/>
        <v>0.20481382661607578</v>
      </c>
      <c r="CA87" s="19">
        <f t="shared" si="207"/>
        <v>951.33070390176488</v>
      </c>
      <c r="CB87" s="15">
        <f t="shared" si="168"/>
        <v>5.4026614078035304E-6</v>
      </c>
      <c r="CC87" s="16">
        <f t="shared" si="169"/>
        <v>26.829303094870298</v>
      </c>
      <c r="CD87" s="17">
        <f t="shared" si="170"/>
        <v>1.3521205835689509E-2</v>
      </c>
      <c r="CE87" s="18">
        <f t="shared" si="171"/>
        <v>0.20558211968817688</v>
      </c>
      <c r="CF87" s="19">
        <f t="shared" si="208"/>
        <v>941.65837785788449</v>
      </c>
      <c r="CG87" s="15">
        <f t="shared" si="172"/>
        <v>5.3833167557157696E-6</v>
      </c>
      <c r="CH87" s="16">
        <f t="shared" si="173"/>
        <v>26.718071345365672</v>
      </c>
      <c r="CI87" s="17">
        <f t="shared" si="174"/>
        <v>1.3472792099762876E-2</v>
      </c>
      <c r="CJ87" s="18">
        <f t="shared" si="175"/>
        <v>0.20643799205052657</v>
      </c>
      <c r="CK87" s="19">
        <f t="shared" si="209"/>
        <v>929.60371943254006</v>
      </c>
      <c r="CL87" s="15">
        <f t="shared" si="176"/>
        <v>5.3592074388650811E-6</v>
      </c>
      <c r="CM87" s="16">
        <f t="shared" si="177"/>
        <v>26.579442773474209</v>
      </c>
      <c r="CN87" s="17">
        <f t="shared" si="178"/>
        <v>1.3412453868085955E-2</v>
      </c>
      <c r="CO87" s="18">
        <f t="shared" si="179"/>
        <v>0.20751469648959275</v>
      </c>
      <c r="CP87" s="19">
        <f t="shared" si="210"/>
        <v>909.05430984224893</v>
      </c>
      <c r="CQ87" s="15">
        <f t="shared" si="180"/>
        <v>5.3181086196844983E-6</v>
      </c>
      <c r="CR87" s="16">
        <f t="shared" si="181"/>
        <v>26.34312456318586</v>
      </c>
      <c r="CS87" s="17">
        <f t="shared" si="182"/>
        <v>1.3309596118580907E-2</v>
      </c>
      <c r="CT87" s="18">
        <f t="shared" si="183"/>
        <v>0.20937626388131675</v>
      </c>
      <c r="CU87" s="19">
        <f t="shared" si="211"/>
        <v>861.54002145909021</v>
      </c>
      <c r="CV87" s="15">
        <f t="shared" si="184"/>
        <v>5.2230800429181806E-6</v>
      </c>
      <c r="CW87" s="16">
        <f t="shared" si="185"/>
        <v>25.796710246779536</v>
      </c>
      <c r="CX87" s="17">
        <f t="shared" si="186"/>
        <v>1.3071768712837115E-2</v>
      </c>
      <c r="CY87" s="18">
        <f t="shared" si="187"/>
        <v>0.21381117775234815</v>
      </c>
      <c r="CZ87" s="20">
        <f t="shared" si="212"/>
        <v>753.0145790845263</v>
      </c>
      <c r="DA87" s="15">
        <f t="shared" si="188"/>
        <v>5.0060291581690526E-6</v>
      </c>
      <c r="DB87" s="16">
        <f t="shared" si="189"/>
        <v>24.548667659472052</v>
      </c>
      <c r="DC87" s="17">
        <f t="shared" si="190"/>
        <v>1.2528556864455778E-2</v>
      </c>
      <c r="DD87" s="18">
        <f t="shared" si="191"/>
        <v>0.22468123633063269</v>
      </c>
    </row>
    <row r="88" spans="2:108" x14ac:dyDescent="0.25">
      <c r="B88">
        <v>69</v>
      </c>
      <c r="C88">
        <f t="shared" si="192"/>
        <v>6.7455411977822344E-2</v>
      </c>
      <c r="D88" s="19">
        <f t="shared" si="109"/>
        <v>1018.8811937497995</v>
      </c>
      <c r="E88" s="15">
        <f t="shared" si="110"/>
        <v>5.5377623874995993E-6</v>
      </c>
      <c r="F88" s="16">
        <f t="shared" si="111"/>
        <v>27.606133728122693</v>
      </c>
      <c r="G88" s="17">
        <f t="shared" si="107"/>
        <v>1.385932218561204E-2</v>
      </c>
      <c r="H88" s="18">
        <f t="shared" si="112"/>
        <v>0.19979708329751253</v>
      </c>
      <c r="I88" s="19">
        <f t="shared" si="193"/>
        <v>1018.5577035922256</v>
      </c>
      <c r="J88" s="15">
        <f t="shared" si="113"/>
        <v>5.537115407184452E-6</v>
      </c>
      <c r="K88" s="16">
        <f t="shared" si="114"/>
        <v>27.602413591310594</v>
      </c>
      <c r="L88" s="17">
        <f t="shared" si="115"/>
        <v>1.3857702992153035E-2</v>
      </c>
      <c r="M88" s="18">
        <f t="shared" si="116"/>
        <v>0.19982401110518655</v>
      </c>
      <c r="N88" s="19">
        <f t="shared" si="194"/>
        <v>1017.6535283863315</v>
      </c>
      <c r="O88" s="15">
        <f t="shared" si="117"/>
        <v>5.535307056772663E-6</v>
      </c>
      <c r="P88" s="16">
        <f t="shared" si="118"/>
        <v>27.592015576442812</v>
      </c>
      <c r="Q88" s="17">
        <f t="shared" si="108"/>
        <v>1.385932218561204E-2</v>
      </c>
      <c r="R88" s="18">
        <f t="shared" si="119"/>
        <v>0.19989931452159174</v>
      </c>
      <c r="S88" s="19">
        <f t="shared" si="195"/>
        <v>1016.152845355933</v>
      </c>
      <c r="T88" s="15">
        <f t="shared" si="120"/>
        <v>5.5323056907118664E-6</v>
      </c>
      <c r="U88" s="16">
        <f t="shared" si="121"/>
        <v>27.57475772159323</v>
      </c>
      <c r="V88" s="17">
        <f t="shared" si="122"/>
        <v>1.3845665745779756E-2</v>
      </c>
      <c r="W88" s="18">
        <f t="shared" si="123"/>
        <v>0.20002442290475056</v>
      </c>
      <c r="X88" s="19">
        <f t="shared" si="196"/>
        <v>1014.0535013314321</v>
      </c>
      <c r="Y88" s="15">
        <f t="shared" si="124"/>
        <v>5.5281070026628645E-6</v>
      </c>
      <c r="Z88" s="16">
        <f t="shared" si="125"/>
        <v>27.550615265311471</v>
      </c>
      <c r="AA88" s="17">
        <f t="shared" si="126"/>
        <v>1.3835157716298506E-2</v>
      </c>
      <c r="AB88" s="18">
        <f t="shared" si="127"/>
        <v>0.20019970323293046</v>
      </c>
      <c r="AC88" s="19">
        <f t="shared" si="197"/>
        <v>1011.3544111590402</v>
      </c>
      <c r="AD88" s="15">
        <f t="shared" si="128"/>
        <v>5.5227088223180809E-6</v>
      </c>
      <c r="AE88" s="16">
        <f t="shared" si="129"/>
        <v>27.519575728328959</v>
      </c>
      <c r="AF88" s="17">
        <f t="shared" si="130"/>
        <v>1.3821647725190317E-2</v>
      </c>
      <c r="AG88" s="18">
        <f t="shared" si="131"/>
        <v>0.20042550998786487</v>
      </c>
      <c r="AH88" s="19">
        <f t="shared" si="198"/>
        <v>1008.0555447964501</v>
      </c>
      <c r="AI88" s="15">
        <f t="shared" si="132"/>
        <v>5.5161110895929014E-6</v>
      </c>
      <c r="AJ88" s="16">
        <f t="shared" si="133"/>
        <v>27.481638765159175</v>
      </c>
      <c r="AK88" s="17">
        <f t="shared" si="134"/>
        <v>1.3805135622081806E-2</v>
      </c>
      <c r="AL88" s="18">
        <f t="shared" si="135"/>
        <v>0.20070218690861441</v>
      </c>
      <c r="AM88" s="19">
        <f t="shared" si="199"/>
        <v>1004.1569172303292</v>
      </c>
      <c r="AN88" s="15">
        <f t="shared" si="136"/>
        <v>5.5083138344606591E-6</v>
      </c>
      <c r="AO88" s="16">
        <f t="shared" si="137"/>
        <v>27.436804548148785</v>
      </c>
      <c r="AP88" s="17">
        <f t="shared" si="138"/>
        <v>1.3785621481987045E-2</v>
      </c>
      <c r="AQ88" s="18">
        <f t="shared" si="139"/>
        <v>0.20103015241154057</v>
      </c>
      <c r="AR88" s="19">
        <f t="shared" si="200"/>
        <v>999.65853550065617</v>
      </c>
      <c r="AS88" s="15">
        <f t="shared" si="140"/>
        <v>5.4993170710013127E-6</v>
      </c>
      <c r="AT88" s="16">
        <f t="shared" si="141"/>
        <v>27.385073158257548</v>
      </c>
      <c r="AU88" s="17">
        <f t="shared" si="142"/>
        <v>1.3763105340143855E-2</v>
      </c>
      <c r="AV88" s="18">
        <f t="shared" si="143"/>
        <v>0.20140990561264388</v>
      </c>
      <c r="AW88" s="19">
        <f t="shared" si="201"/>
        <v>994.56040146757812</v>
      </c>
      <c r="AX88" s="15">
        <f t="shared" si="144"/>
        <v>5.4891208029351569E-6</v>
      </c>
      <c r="AY88" s="16">
        <f t="shared" si="145"/>
        <v>27.326444616877147</v>
      </c>
      <c r="AZ88" s="17">
        <f t="shared" si="146"/>
        <v>1.3737587205862994E-2</v>
      </c>
      <c r="BA88" s="18">
        <f t="shared" si="147"/>
        <v>0.20184202801829121</v>
      </c>
      <c r="BB88" s="19">
        <f t="shared" si="202"/>
        <v>988.86251511063563</v>
      </c>
      <c r="BC88" s="15">
        <f t="shared" si="148"/>
        <v>5.4777250302212709E-6</v>
      </c>
      <c r="BD88" s="16">
        <f t="shared" si="149"/>
        <v>27.260918923772309</v>
      </c>
      <c r="BE88" s="17">
        <f t="shared" si="150"/>
        <v>1.3709067079042047E-2</v>
      </c>
      <c r="BF88" s="18">
        <f t="shared" si="151"/>
        <v>0.20232718550034701</v>
      </c>
      <c r="BG88" s="19">
        <f t="shared" si="203"/>
        <v>982.56487068948866</v>
      </c>
      <c r="BH88" s="15">
        <f t="shared" si="152"/>
        <v>5.4651297413789784E-6</v>
      </c>
      <c r="BI88" s="16">
        <f t="shared" si="153"/>
        <v>27.188496012929118</v>
      </c>
      <c r="BJ88" s="17">
        <f t="shared" si="154"/>
        <v>1.3677544930948403E-2</v>
      </c>
      <c r="BK88" s="18">
        <f t="shared" si="155"/>
        <v>0.20286613122613034</v>
      </c>
      <c r="BL88" s="19">
        <f t="shared" si="204"/>
        <v>975.66740197555339</v>
      </c>
      <c r="BM88" s="15">
        <f t="shared" si="156"/>
        <v>5.451334803951107E-6</v>
      </c>
      <c r="BN88" s="16">
        <f t="shared" si="157"/>
        <v>27.109175122718863</v>
      </c>
      <c r="BO88" s="17">
        <f t="shared" si="158"/>
        <v>1.3643020430082349E-2</v>
      </c>
      <c r="BP88" s="18">
        <f t="shared" si="159"/>
        <v>0.20345971336389451</v>
      </c>
      <c r="BQ88" s="19">
        <f t="shared" si="205"/>
        <v>968.16944379241795</v>
      </c>
      <c r="BR88" s="15">
        <f t="shared" si="160"/>
        <v>5.4363388875848365E-6</v>
      </c>
      <c r="BS88" s="16">
        <f t="shared" si="161"/>
        <v>27.022948603612804</v>
      </c>
      <c r="BT88" s="17">
        <f t="shared" si="162"/>
        <v>1.3605490246978472E-2</v>
      </c>
      <c r="BU88" s="18">
        <f t="shared" si="163"/>
        <v>0.20410892537695144</v>
      </c>
      <c r="BV88" s="19">
        <f t="shared" si="206"/>
        <v>960.06513534814223</v>
      </c>
      <c r="BW88" s="15">
        <f t="shared" si="164"/>
        <v>5.4201302706962847E-6</v>
      </c>
      <c r="BX88" s="16">
        <f t="shared" si="165"/>
        <v>26.929749056503635</v>
      </c>
      <c r="BY88" s="17">
        <f t="shared" si="166"/>
        <v>1.3564925046104436E-2</v>
      </c>
      <c r="BZ88" s="18">
        <f t="shared" si="167"/>
        <v>0.2048153136676911</v>
      </c>
      <c r="CA88" s="19">
        <f t="shared" si="207"/>
        <v>951.30988149944835</v>
      </c>
      <c r="CB88" s="15">
        <f t="shared" si="168"/>
        <v>5.4026197629988975E-6</v>
      </c>
      <c r="CC88" s="16">
        <f t="shared" si="169"/>
        <v>26.829063637243657</v>
      </c>
      <c r="CD88" s="17">
        <f t="shared" si="170"/>
        <v>1.3521101611505737E-2</v>
      </c>
      <c r="CE88" s="18">
        <f t="shared" si="171"/>
        <v>0.20558395457168702</v>
      </c>
      <c r="CF88" s="19">
        <f t="shared" si="208"/>
        <v>941.61698570078488</v>
      </c>
      <c r="CG88" s="15">
        <f t="shared" si="172"/>
        <v>5.3832339714015699E-6</v>
      </c>
      <c r="CH88" s="16">
        <f t="shared" si="173"/>
        <v>26.717595335559025</v>
      </c>
      <c r="CI88" s="17">
        <f t="shared" si="174"/>
        <v>1.3472584915994032E-2</v>
      </c>
      <c r="CJ88" s="18">
        <f t="shared" si="175"/>
        <v>0.2064416700203231</v>
      </c>
      <c r="CK88" s="19">
        <f t="shared" si="209"/>
        <v>929.47635373274932</v>
      </c>
      <c r="CL88" s="15">
        <f t="shared" si="176"/>
        <v>5.3589527074654992E-6</v>
      </c>
      <c r="CM88" s="16">
        <f t="shared" si="177"/>
        <v>26.577978067926615</v>
      </c>
      <c r="CN88" s="17">
        <f t="shared" si="178"/>
        <v>1.3411816353456295E-2</v>
      </c>
      <c r="CO88" s="18">
        <f t="shared" si="179"/>
        <v>0.2075261325712382</v>
      </c>
      <c r="CP88" s="19">
        <f t="shared" si="210"/>
        <v>908.667304678287</v>
      </c>
      <c r="CQ88" s="15">
        <f t="shared" si="180"/>
        <v>5.317334609356575E-6</v>
      </c>
      <c r="CR88" s="16">
        <f t="shared" si="181"/>
        <v>26.3386740038003</v>
      </c>
      <c r="CS88" s="17">
        <f t="shared" si="182"/>
        <v>1.3307659007928796E-2</v>
      </c>
      <c r="CT88" s="18">
        <f t="shared" si="183"/>
        <v>0.20941164309198607</v>
      </c>
      <c r="CU88" s="19">
        <f t="shared" si="211"/>
        <v>860.67346047007618</v>
      </c>
      <c r="CV88" s="15">
        <f t="shared" si="184"/>
        <v>5.2213469209401526E-6</v>
      </c>
      <c r="CW88" s="16">
        <f t="shared" si="185"/>
        <v>25.786744795405873</v>
      </c>
      <c r="CX88" s="17">
        <f t="shared" si="186"/>
        <v>1.3067431239648545E-2</v>
      </c>
      <c r="CY88" s="18">
        <f t="shared" si="187"/>
        <v>0.21389380644053432</v>
      </c>
      <c r="CZ88" s="20">
        <f t="shared" si="212"/>
        <v>751.88295464895418</v>
      </c>
      <c r="DA88" s="15">
        <f t="shared" si="188"/>
        <v>5.0037659092979084E-6</v>
      </c>
      <c r="DB88" s="16">
        <f t="shared" si="189"/>
        <v>24.535653978462975</v>
      </c>
      <c r="DC88" s="17">
        <f t="shared" si="190"/>
        <v>1.2522892646113327E-2</v>
      </c>
      <c r="DD88" s="18">
        <f t="shared" si="191"/>
        <v>0.22480040698493434</v>
      </c>
    </row>
    <row r="89" spans="2:108" x14ac:dyDescent="0.25">
      <c r="B89">
        <v>70</v>
      </c>
      <c r="C89">
        <f t="shared" si="192"/>
        <v>6.8433026644167602E-2</v>
      </c>
      <c r="D89" s="19">
        <f t="shared" si="109"/>
        <v>1018.8646779765177</v>
      </c>
      <c r="E89" s="15">
        <f t="shared" si="110"/>
        <v>5.537729355953036E-6</v>
      </c>
      <c r="F89" s="16">
        <f t="shared" si="111"/>
        <v>27.605943796729953</v>
      </c>
      <c r="G89" s="17">
        <f t="shared" si="107"/>
        <v>1.3859239517773648E-2</v>
      </c>
      <c r="H89" s="18">
        <f t="shared" si="112"/>
        <v>0.19979845791953507</v>
      </c>
      <c r="I89" s="19">
        <f t="shared" si="193"/>
        <v>1018.5411484848966</v>
      </c>
      <c r="J89" s="15">
        <f t="shared" si="113"/>
        <v>5.5370822969697935E-6</v>
      </c>
      <c r="K89" s="16">
        <f t="shared" si="114"/>
        <v>27.602223207576309</v>
      </c>
      <c r="L89" s="17">
        <f t="shared" si="115"/>
        <v>1.3857620127432507E-2</v>
      </c>
      <c r="M89" s="18">
        <f t="shared" si="116"/>
        <v>0.19982538937247857</v>
      </c>
      <c r="N89" s="19">
        <f t="shared" si="194"/>
        <v>1017.6369308045217</v>
      </c>
      <c r="O89" s="15">
        <f t="shared" si="117"/>
        <v>5.5352738616090439E-6</v>
      </c>
      <c r="P89" s="16">
        <f t="shared" si="118"/>
        <v>27.591824704251998</v>
      </c>
      <c r="Q89" s="17">
        <f t="shared" si="108"/>
        <v>1.3859239517773648E-2</v>
      </c>
      <c r="R89" s="18">
        <f t="shared" si="119"/>
        <v>0.19990069736671032</v>
      </c>
      <c r="S89" s="19">
        <f t="shared" si="195"/>
        <v>1016.1362327636217</v>
      </c>
      <c r="T89" s="15">
        <f t="shared" si="120"/>
        <v>5.532272465527244E-6</v>
      </c>
      <c r="U89" s="16">
        <f t="shared" si="121"/>
        <v>27.57456667678165</v>
      </c>
      <c r="V89" s="17">
        <f t="shared" si="122"/>
        <v>1.3845582593324642E-2</v>
      </c>
      <c r="W89" s="18">
        <f t="shared" si="123"/>
        <v>0.20002580873353376</v>
      </c>
      <c r="X89" s="19">
        <f t="shared" si="196"/>
        <v>1014.0368928569825</v>
      </c>
      <c r="Y89" s="15">
        <f t="shared" si="124"/>
        <v>5.5280737857139655E-6</v>
      </c>
      <c r="Z89" s="16">
        <f t="shared" si="125"/>
        <v>27.550424267855298</v>
      </c>
      <c r="AA89" s="17">
        <f t="shared" si="126"/>
        <v>1.3835074584454883E-2</v>
      </c>
      <c r="AB89" s="18">
        <f t="shared" si="127"/>
        <v>0.20020109114745663</v>
      </c>
      <c r="AC89" s="19">
        <f t="shared" si="197"/>
        <v>1011.3378149931133</v>
      </c>
      <c r="AD89" s="15">
        <f t="shared" si="128"/>
        <v>5.5226756299862276E-6</v>
      </c>
      <c r="AE89" s="16">
        <f t="shared" si="129"/>
        <v>27.519384872420801</v>
      </c>
      <c r="AF89" s="17">
        <f t="shared" si="130"/>
        <v>1.3821564654955614E-2</v>
      </c>
      <c r="AG89" s="18">
        <f t="shared" si="131"/>
        <v>0.20042690000413538</v>
      </c>
      <c r="AH89" s="19">
        <f t="shared" si="198"/>
        <v>1008.0389651058905</v>
      </c>
      <c r="AI89" s="15">
        <f t="shared" si="132"/>
        <v>5.5160779302117809E-6</v>
      </c>
      <c r="AJ89" s="16">
        <f t="shared" si="133"/>
        <v>27.481448098717742</v>
      </c>
      <c r="AK89" s="17">
        <f t="shared" si="134"/>
        <v>1.3805052634312693E-2</v>
      </c>
      <c r="AL89" s="18">
        <f t="shared" si="135"/>
        <v>0.2007035793815157</v>
      </c>
      <c r="AM89" s="19">
        <f t="shared" si="199"/>
        <v>1004.1403575100123</v>
      </c>
      <c r="AN89" s="15">
        <f t="shared" si="136"/>
        <v>5.5082807150200254E-6</v>
      </c>
      <c r="AO89" s="16">
        <f t="shared" si="137"/>
        <v>27.436614111365142</v>
      </c>
      <c r="AP89" s="17">
        <f t="shared" si="138"/>
        <v>1.378553859417673E-2</v>
      </c>
      <c r="AQ89" s="18">
        <f t="shared" si="139"/>
        <v>0.20103154775629722</v>
      </c>
      <c r="AR89" s="19">
        <f t="shared" si="200"/>
        <v>999.64199927097957</v>
      </c>
      <c r="AS89" s="15">
        <f t="shared" si="140"/>
        <v>5.4992839985419594E-6</v>
      </c>
      <c r="AT89" s="16">
        <f t="shared" si="141"/>
        <v>27.384882991616266</v>
      </c>
      <c r="AU89" s="17">
        <f t="shared" si="142"/>
        <v>1.3763022569913288E-2</v>
      </c>
      <c r="AV89" s="18">
        <f t="shared" si="143"/>
        <v>0.20141130424725856</v>
      </c>
      <c r="AW89" s="19">
        <f t="shared" si="201"/>
        <v>994.54389229212541</v>
      </c>
      <c r="AX89" s="15">
        <f t="shared" si="144"/>
        <v>5.4890877845842514E-6</v>
      </c>
      <c r="AY89" s="16">
        <f t="shared" si="145"/>
        <v>27.326254761359444</v>
      </c>
      <c r="AZ89" s="17">
        <f t="shared" si="146"/>
        <v>1.3737504571049287E-2</v>
      </c>
      <c r="BA89" s="18">
        <f t="shared" si="147"/>
        <v>0.20184343036277852</v>
      </c>
      <c r="BB89" s="19">
        <f t="shared" si="202"/>
        <v>988.84603649854228</v>
      </c>
      <c r="BC89" s="15">
        <f t="shared" si="148"/>
        <v>5.4776920729970858E-6</v>
      </c>
      <c r="BD89" s="16">
        <f t="shared" si="149"/>
        <v>27.260729419733238</v>
      </c>
      <c r="BE89" s="17">
        <f t="shared" si="150"/>
        <v>1.3708984597209791E-2</v>
      </c>
      <c r="BF89" s="18">
        <f t="shared" si="151"/>
        <v>0.20232859198578163</v>
      </c>
      <c r="BG89" s="19">
        <f t="shared" si="203"/>
        <v>982.54842536191927</v>
      </c>
      <c r="BH89" s="15">
        <f t="shared" si="152"/>
        <v>5.4650968507238394E-6</v>
      </c>
      <c r="BI89" s="16">
        <f t="shared" si="153"/>
        <v>27.188306891662073</v>
      </c>
      <c r="BJ89" s="17">
        <f t="shared" si="154"/>
        <v>1.367746261571807E-2</v>
      </c>
      <c r="BK89" s="18">
        <f t="shared" si="155"/>
        <v>0.20286754235849436</v>
      </c>
      <c r="BL89" s="19">
        <f t="shared" si="204"/>
        <v>975.65098493190305</v>
      </c>
      <c r="BM89" s="15">
        <f t="shared" si="156"/>
        <v>5.4513019698638064E-6</v>
      </c>
      <c r="BN89" s="16">
        <f t="shared" si="157"/>
        <v>27.108986326716884</v>
      </c>
      <c r="BO89" s="17">
        <f t="shared" si="158"/>
        <v>1.364293825642398E-2</v>
      </c>
      <c r="BP89" s="18">
        <f t="shared" si="159"/>
        <v>0.20346113032504473</v>
      </c>
      <c r="BQ89" s="19">
        <f t="shared" si="205"/>
        <v>968.15298444092582</v>
      </c>
      <c r="BR89" s="15">
        <f t="shared" si="160"/>
        <v>5.4363059688818523E-6</v>
      </c>
      <c r="BS89" s="16">
        <f t="shared" si="161"/>
        <v>27.022759321070644</v>
      </c>
      <c r="BT89" s="17">
        <f t="shared" si="162"/>
        <v>1.3605407861552976E-2</v>
      </c>
      <c r="BU89" s="18">
        <f t="shared" si="163"/>
        <v>0.20411035507018943</v>
      </c>
      <c r="BV89" s="19">
        <f t="shared" si="206"/>
        <v>960.04808678394227</v>
      </c>
      <c r="BW89" s="15">
        <f t="shared" si="164"/>
        <v>5.4200961735678852E-6</v>
      </c>
      <c r="BX89" s="16">
        <f t="shared" si="165"/>
        <v>26.929552998015335</v>
      </c>
      <c r="BY89" s="17">
        <f t="shared" si="166"/>
        <v>1.356483971144126E-2</v>
      </c>
      <c r="BZ89" s="18">
        <f t="shared" si="167"/>
        <v>0.20481680480944087</v>
      </c>
      <c r="CA89" s="19">
        <f t="shared" si="207"/>
        <v>951.28882099692566</v>
      </c>
      <c r="CB89" s="15">
        <f t="shared" si="168"/>
        <v>5.402577641993852E-6</v>
      </c>
      <c r="CC89" s="16">
        <f t="shared" si="169"/>
        <v>26.828821441464644</v>
      </c>
      <c r="CD89" s="17">
        <f t="shared" si="170"/>
        <v>1.3520996195538265E-2</v>
      </c>
      <c r="CE89" s="18">
        <f t="shared" si="171"/>
        <v>0.20558581047005881</v>
      </c>
      <c r="CF89" s="19">
        <f t="shared" si="208"/>
        <v>941.5746645241677</v>
      </c>
      <c r="CG89" s="15">
        <f t="shared" si="172"/>
        <v>5.383149329048335E-6</v>
      </c>
      <c r="CH89" s="16">
        <f t="shared" si="173"/>
        <v>26.717108642027927</v>
      </c>
      <c r="CI89" s="17">
        <f t="shared" si="174"/>
        <v>1.3472373082122884E-2</v>
      </c>
      <c r="CJ89" s="18">
        <f t="shared" si="175"/>
        <v>0.20644543067521634</v>
      </c>
      <c r="CK89" s="19">
        <f t="shared" si="209"/>
        <v>929.34651339562151</v>
      </c>
      <c r="CL89" s="15">
        <f t="shared" si="176"/>
        <v>5.3586930267912431E-6</v>
      </c>
      <c r="CM89" s="16">
        <f t="shared" si="177"/>
        <v>26.576484904049646</v>
      </c>
      <c r="CN89" s="17">
        <f t="shared" si="178"/>
        <v>1.3411166452308856E-2</v>
      </c>
      <c r="CO89" s="18">
        <f t="shared" si="179"/>
        <v>0.20753779214645296</v>
      </c>
      <c r="CP89" s="19">
        <f t="shared" si="210"/>
        <v>908.27709355845411</v>
      </c>
      <c r="CQ89" s="15">
        <f t="shared" si="180"/>
        <v>5.3165541871169092E-6</v>
      </c>
      <c r="CR89" s="16">
        <f t="shared" si="181"/>
        <v>26.334186575922221</v>
      </c>
      <c r="CS89" s="17">
        <f t="shared" si="182"/>
        <v>1.330570585022655E-2</v>
      </c>
      <c r="CT89" s="18">
        <f t="shared" si="183"/>
        <v>0.20944732749190084</v>
      </c>
      <c r="CU89" s="19">
        <f t="shared" si="211"/>
        <v>859.80961990967876</v>
      </c>
      <c r="CV89" s="15">
        <f t="shared" si="184"/>
        <v>5.2196192398193578E-6</v>
      </c>
      <c r="CW89" s="16">
        <f t="shared" si="185"/>
        <v>25.776810628961307</v>
      </c>
      <c r="CX89" s="17">
        <f t="shared" si="186"/>
        <v>1.3063107383258256E-2</v>
      </c>
      <c r="CY89" s="18">
        <f t="shared" si="187"/>
        <v>0.21397623931810122</v>
      </c>
      <c r="CZ89" s="20">
        <f t="shared" si="212"/>
        <v>750.76326912654008</v>
      </c>
      <c r="DA89" s="15">
        <f t="shared" si="188"/>
        <v>5.0015265382530805E-6</v>
      </c>
      <c r="DB89" s="16">
        <f t="shared" si="189"/>
        <v>24.522777594955208</v>
      </c>
      <c r="DC89" s="17">
        <f t="shared" si="190"/>
        <v>1.2517288186652686E-2</v>
      </c>
      <c r="DD89" s="18">
        <f t="shared" si="191"/>
        <v>0.22491844484756354</v>
      </c>
    </row>
    <row r="90" spans="2:108" x14ac:dyDescent="0.25">
      <c r="B90">
        <v>71</v>
      </c>
      <c r="C90">
        <f t="shared" si="192"/>
        <v>6.9410641310512861E-2</v>
      </c>
      <c r="D90" s="19">
        <f t="shared" si="109"/>
        <v>1018.8481601950381</v>
      </c>
      <c r="E90" s="15">
        <f t="shared" si="110"/>
        <v>5.5376963203900762E-6</v>
      </c>
      <c r="F90" s="16">
        <f t="shared" si="111"/>
        <v>27.605753842242937</v>
      </c>
      <c r="G90" s="17">
        <f t="shared" si="107"/>
        <v>1.3859156839883447E-2</v>
      </c>
      <c r="H90" s="18">
        <f t="shared" si="112"/>
        <v>0.19979983272762031</v>
      </c>
      <c r="I90" s="19">
        <f t="shared" si="193"/>
        <v>1018.5245928659053</v>
      </c>
      <c r="J90" s="15">
        <f t="shared" si="113"/>
        <v>5.5370491857318116E-6</v>
      </c>
      <c r="K90" s="16">
        <f t="shared" si="114"/>
        <v>27.602032817957912</v>
      </c>
      <c r="L90" s="17">
        <f t="shared" si="115"/>
        <v>1.3857537260150914E-2</v>
      </c>
      <c r="M90" s="18">
        <f t="shared" si="116"/>
        <v>0.19982676770138208</v>
      </c>
      <c r="N90" s="19">
        <f t="shared" si="194"/>
        <v>1017.6203335033971</v>
      </c>
      <c r="O90" s="15">
        <f t="shared" si="117"/>
        <v>5.5352406670067943E-6</v>
      </c>
      <c r="P90" s="16">
        <f t="shared" si="118"/>
        <v>27.591633835289066</v>
      </c>
      <c r="Q90" s="17">
        <f t="shared" si="108"/>
        <v>1.3859156839883447E-2</v>
      </c>
      <c r="R90" s="18">
        <f t="shared" si="119"/>
        <v>0.19990208020757519</v>
      </c>
      <c r="S90" s="19">
        <f t="shared" si="195"/>
        <v>1016.1196205103561</v>
      </c>
      <c r="T90" s="15">
        <f t="shared" si="120"/>
        <v>5.532239241020713E-6</v>
      </c>
      <c r="U90" s="16">
        <f t="shared" si="121"/>
        <v>27.574375635869096</v>
      </c>
      <c r="V90" s="17">
        <f t="shared" si="122"/>
        <v>1.3845499442566583E-2</v>
      </c>
      <c r="W90" s="18">
        <f t="shared" si="123"/>
        <v>0.20002719455323606</v>
      </c>
      <c r="X90" s="19">
        <f t="shared" si="196"/>
        <v>1014.0202846241091</v>
      </c>
      <c r="Y90" s="15">
        <f t="shared" si="124"/>
        <v>5.5280405692482191E-6</v>
      </c>
      <c r="Z90" s="16">
        <f t="shared" si="125"/>
        <v>27.550233273177255</v>
      </c>
      <c r="AA90" s="17">
        <f t="shared" si="126"/>
        <v>1.3834991453820446E-2</v>
      </c>
      <c r="AB90" s="18">
        <f t="shared" si="127"/>
        <v>0.20020247906103866</v>
      </c>
      <c r="AC90" s="19">
        <f t="shared" si="197"/>
        <v>1011.3212190243783</v>
      </c>
      <c r="AD90" s="15">
        <f t="shared" si="128"/>
        <v>5.5226424380487572E-6</v>
      </c>
      <c r="AE90" s="16">
        <f t="shared" si="129"/>
        <v>27.519194018780347</v>
      </c>
      <c r="AF90" s="17">
        <f t="shared" si="130"/>
        <v>1.3821481585707932E-2</v>
      </c>
      <c r="AG90" s="18">
        <f t="shared" si="131"/>
        <v>0.20042829002317028</v>
      </c>
      <c r="AH90" s="19">
        <f t="shared" si="198"/>
        <v>1008.0223856052589</v>
      </c>
      <c r="AI90" s="15">
        <f t="shared" si="132"/>
        <v>5.5160447712105183E-6</v>
      </c>
      <c r="AJ90" s="16">
        <f t="shared" si="133"/>
        <v>27.481257434460478</v>
      </c>
      <c r="AK90" s="17">
        <f t="shared" si="134"/>
        <v>1.3804969647494246E-2</v>
      </c>
      <c r="AL90" s="18">
        <f t="shared" si="135"/>
        <v>0.20070497185778738</v>
      </c>
      <c r="AM90" s="19">
        <f t="shared" si="199"/>
        <v>1004.1237979806959</v>
      </c>
      <c r="AN90" s="15">
        <f t="shared" si="136"/>
        <v>5.5082475959613926E-6</v>
      </c>
      <c r="AO90" s="16">
        <f t="shared" si="137"/>
        <v>27.436423676778002</v>
      </c>
      <c r="AP90" s="17">
        <f t="shared" si="138"/>
        <v>1.3785455707322444E-2</v>
      </c>
      <c r="AQ90" s="18">
        <f t="shared" si="139"/>
        <v>0.20103294310432984</v>
      </c>
      <c r="AR90" s="19">
        <f t="shared" si="200"/>
        <v>999.62546323340325</v>
      </c>
      <c r="AS90" s="15">
        <f t="shared" si="140"/>
        <v>5.4992509264668076E-6</v>
      </c>
      <c r="AT90" s="16">
        <f t="shared" si="141"/>
        <v>27.384692827184136</v>
      </c>
      <c r="AU90" s="17">
        <f t="shared" si="142"/>
        <v>1.3762939800644258E-2</v>
      </c>
      <c r="AV90" s="18">
        <f t="shared" si="143"/>
        <v>0.20141270288505006</v>
      </c>
      <c r="AW90" s="19">
        <f t="shared" si="201"/>
        <v>994.527383308308</v>
      </c>
      <c r="AX90" s="15">
        <f t="shared" si="144"/>
        <v>5.4890547666166164E-6</v>
      </c>
      <c r="AY90" s="16">
        <f t="shared" si="145"/>
        <v>27.326064908045542</v>
      </c>
      <c r="AZ90" s="17">
        <f t="shared" si="146"/>
        <v>1.3737421937194792E-2</v>
      </c>
      <c r="BA90" s="18">
        <f t="shared" si="147"/>
        <v>0.20184483271047376</v>
      </c>
      <c r="BB90" s="19">
        <f t="shared" si="202"/>
        <v>988.8295580668082</v>
      </c>
      <c r="BC90" s="15">
        <f t="shared" si="148"/>
        <v>5.4776591161336165E-6</v>
      </c>
      <c r="BD90" s="16">
        <f t="shared" si="149"/>
        <v>27.260539917768291</v>
      </c>
      <c r="BE90" s="17">
        <f t="shared" si="150"/>
        <v>1.3708902116280296E-2</v>
      </c>
      <c r="BF90" s="18">
        <f t="shared" si="151"/>
        <v>0.20232999847537655</v>
      </c>
      <c r="BG90" s="19">
        <f t="shared" si="203"/>
        <v>982.53198010310666</v>
      </c>
      <c r="BH90" s="15">
        <f t="shared" si="152"/>
        <v>5.4650639602062137E-6</v>
      </c>
      <c r="BI90" s="16">
        <f t="shared" si="153"/>
        <v>27.188117771185723</v>
      </c>
      <c r="BJ90" s="17">
        <f t="shared" si="154"/>
        <v>1.3677380300831887E-2</v>
      </c>
      <c r="BK90" s="18">
        <f t="shared" si="155"/>
        <v>0.20286895350459022</v>
      </c>
      <c r="BL90" s="19">
        <f t="shared" si="204"/>
        <v>975.63456701355267</v>
      </c>
      <c r="BM90" s="15">
        <f t="shared" si="156"/>
        <v>5.4512691340271066E-6</v>
      </c>
      <c r="BN90" s="16">
        <f t="shared" si="157"/>
        <v>27.108797520655855</v>
      </c>
      <c r="BO90" s="17">
        <f t="shared" si="158"/>
        <v>1.3642856078387397E-2</v>
      </c>
      <c r="BP90" s="18">
        <f t="shared" si="159"/>
        <v>0.20346254738142874</v>
      </c>
      <c r="BQ90" s="19">
        <f t="shared" si="205"/>
        <v>968.13651739585725</v>
      </c>
      <c r="BR90" s="15">
        <f t="shared" si="160"/>
        <v>5.4362730347917151E-6</v>
      </c>
      <c r="BS90" s="16">
        <f t="shared" si="161"/>
        <v>27.022569950052358</v>
      </c>
      <c r="BT90" s="17">
        <f t="shared" si="162"/>
        <v>1.360532543761815E-2</v>
      </c>
      <c r="BU90" s="18">
        <f t="shared" si="163"/>
        <v>0.20411178545175024</v>
      </c>
      <c r="BV90" s="19">
        <f t="shared" si="206"/>
        <v>960.03098952000971</v>
      </c>
      <c r="BW90" s="15">
        <f t="shared" si="164"/>
        <v>5.4200619790400192E-6</v>
      </c>
      <c r="BX90" s="16">
        <f t="shared" si="165"/>
        <v>26.929356379480112</v>
      </c>
      <c r="BY90" s="17">
        <f t="shared" si="166"/>
        <v>1.3564754133017066E-2</v>
      </c>
      <c r="BZ90" s="18">
        <f t="shared" si="167"/>
        <v>0.20481830023248712</v>
      </c>
      <c r="CA90" s="19">
        <f t="shared" si="207"/>
        <v>951.26751522518475</v>
      </c>
      <c r="CB90" s="15">
        <f t="shared" si="168"/>
        <v>5.4025350304503697E-6</v>
      </c>
      <c r="CC90" s="16">
        <f t="shared" si="169"/>
        <v>26.828576425089622</v>
      </c>
      <c r="CD90" s="17">
        <f t="shared" si="170"/>
        <v>1.3520889551903413E-2</v>
      </c>
      <c r="CE90" s="18">
        <f t="shared" si="171"/>
        <v>0.20558768801619615</v>
      </c>
      <c r="CF90" s="19">
        <f t="shared" si="208"/>
        <v>941.53140184516803</v>
      </c>
      <c r="CG90" s="15">
        <f t="shared" si="172"/>
        <v>5.3830628036903361E-6</v>
      </c>
      <c r="CH90" s="16">
        <f t="shared" si="173"/>
        <v>26.716611121219429</v>
      </c>
      <c r="CI90" s="17">
        <f t="shared" si="174"/>
        <v>1.3472156535667868E-2</v>
      </c>
      <c r="CJ90" s="18">
        <f t="shared" si="175"/>
        <v>0.2064492751335241</v>
      </c>
      <c r="CK90" s="19">
        <f t="shared" si="209"/>
        <v>929.21420861347838</v>
      </c>
      <c r="CL90" s="15">
        <f t="shared" si="176"/>
        <v>5.3584284172269568E-6</v>
      </c>
      <c r="CM90" s="16">
        <f t="shared" si="177"/>
        <v>26.574963399055001</v>
      </c>
      <c r="CN90" s="17">
        <f t="shared" si="178"/>
        <v>1.3410504215660146E-2</v>
      </c>
      <c r="CO90" s="18">
        <f t="shared" si="179"/>
        <v>0.20754967437494701</v>
      </c>
      <c r="CP90" s="19">
        <f t="shared" si="210"/>
        <v>907.88376837555609</v>
      </c>
      <c r="CQ90" s="15">
        <f t="shared" si="180"/>
        <v>5.3157675367511124E-6</v>
      </c>
      <c r="CR90" s="16">
        <f t="shared" si="181"/>
        <v>26.329663336318895</v>
      </c>
      <c r="CS90" s="17">
        <f t="shared" si="182"/>
        <v>1.3303737105433236E-2</v>
      </c>
      <c r="CT90" s="18">
        <f t="shared" si="183"/>
        <v>0.20948330897918463</v>
      </c>
      <c r="CU90" s="19">
        <f t="shared" si="211"/>
        <v>858.94854912491155</v>
      </c>
      <c r="CV90" s="15">
        <f t="shared" si="184"/>
        <v>5.2178970982498238E-6</v>
      </c>
      <c r="CW90" s="16">
        <f t="shared" si="185"/>
        <v>25.766908314936479</v>
      </c>
      <c r="CX90" s="17">
        <f t="shared" si="186"/>
        <v>1.3058797390667154E-2</v>
      </c>
      <c r="CY90" s="18">
        <f t="shared" si="187"/>
        <v>0.21405847114388651</v>
      </c>
      <c r="CZ90" s="20">
        <f t="shared" si="212"/>
        <v>749.65521630933415</v>
      </c>
      <c r="DA90" s="15">
        <f t="shared" si="188"/>
        <v>4.9993104326186689E-6</v>
      </c>
      <c r="DB90" s="16">
        <f t="shared" si="189"/>
        <v>24.51003498755734</v>
      </c>
      <c r="DC90" s="17">
        <f t="shared" si="190"/>
        <v>1.2511741953384536E-2</v>
      </c>
      <c r="DD90" s="18">
        <f t="shared" si="191"/>
        <v>0.22503537848069327</v>
      </c>
    </row>
    <row r="91" spans="2:108" x14ac:dyDescent="0.25">
      <c r="B91">
        <v>72</v>
      </c>
      <c r="C91">
        <f t="shared" si="192"/>
        <v>7.0388255976858105E-2</v>
      </c>
      <c r="D91" s="19">
        <f t="shared" si="109"/>
        <v>1018.8316404817663</v>
      </c>
      <c r="E91" s="15">
        <f t="shared" si="110"/>
        <v>5.5376632809635323E-6</v>
      </c>
      <c r="F91" s="16">
        <f t="shared" si="111"/>
        <v>27.605563865540311</v>
      </c>
      <c r="G91" s="17">
        <f t="shared" si="107"/>
        <v>1.3859074152323875E-2</v>
      </c>
      <c r="H91" s="18">
        <f t="shared" si="112"/>
        <v>0.19980120771541593</v>
      </c>
      <c r="I91" s="19">
        <f t="shared" si="193"/>
        <v>1018.5080367413723</v>
      </c>
      <c r="J91" s="15">
        <f t="shared" si="113"/>
        <v>5.5370160734827451E-6</v>
      </c>
      <c r="K91" s="16">
        <f t="shared" si="114"/>
        <v>27.601842422525781</v>
      </c>
      <c r="L91" s="17">
        <f t="shared" si="115"/>
        <v>1.3857454390338888E-2</v>
      </c>
      <c r="M91" s="18">
        <f t="shared" si="116"/>
        <v>0.19982814609138971</v>
      </c>
      <c r="N91" s="19">
        <f t="shared" si="194"/>
        <v>1017.6037364757343</v>
      </c>
      <c r="O91" s="15">
        <f t="shared" si="117"/>
        <v>5.5352074729514695E-6</v>
      </c>
      <c r="P91" s="16">
        <f t="shared" si="118"/>
        <v>27.591442969470943</v>
      </c>
      <c r="Q91" s="17">
        <f t="shared" si="108"/>
        <v>1.3859074152323875E-2</v>
      </c>
      <c r="R91" s="18">
        <f t="shared" si="119"/>
        <v>0.19990346304478762</v>
      </c>
      <c r="S91" s="19">
        <f t="shared" si="195"/>
        <v>1016.1030085938949</v>
      </c>
      <c r="T91" s="15">
        <f t="shared" si="120"/>
        <v>5.5322060171877909E-6</v>
      </c>
      <c r="U91" s="16">
        <f t="shared" si="121"/>
        <v>27.574184598829788</v>
      </c>
      <c r="V91" s="17">
        <f t="shared" si="122"/>
        <v>1.384541629349436E-2</v>
      </c>
      <c r="W91" s="18">
        <f t="shared" si="123"/>
        <v>0.2000285803640437</v>
      </c>
      <c r="X91" s="19">
        <f t="shared" si="196"/>
        <v>1014.0036766332977</v>
      </c>
      <c r="Y91" s="15">
        <f t="shared" si="124"/>
        <v>5.5280073532665961E-6</v>
      </c>
      <c r="Z91" s="16">
        <f t="shared" si="125"/>
        <v>27.55004228128292</v>
      </c>
      <c r="AA91" s="17">
        <f t="shared" si="126"/>
        <v>1.3834908324397618E-2</v>
      </c>
      <c r="AB91" s="18">
        <f t="shared" si="127"/>
        <v>0.20020386697363554</v>
      </c>
      <c r="AC91" s="19">
        <f t="shared" si="197"/>
        <v>1011.3046232532746</v>
      </c>
      <c r="AD91" s="15">
        <f t="shared" si="128"/>
        <v>5.5226092465065496E-6</v>
      </c>
      <c r="AE91" s="16">
        <f t="shared" si="129"/>
        <v>27.519003167412656</v>
      </c>
      <c r="AF91" s="17">
        <f t="shared" si="130"/>
        <v>1.3821398517449473E-2</v>
      </c>
      <c r="AG91" s="18">
        <f t="shared" si="131"/>
        <v>0.20042968004493239</v>
      </c>
      <c r="AH91" s="19">
        <f t="shared" si="198"/>
        <v>1008.0058062946611</v>
      </c>
      <c r="AI91" s="15">
        <f t="shared" si="132"/>
        <v>5.5160116125893219E-6</v>
      </c>
      <c r="AJ91" s="16">
        <f t="shared" si="133"/>
        <v>27.481066772388601</v>
      </c>
      <c r="AK91" s="17">
        <f t="shared" si="134"/>
        <v>1.3804886661626988E-2</v>
      </c>
      <c r="AL91" s="18">
        <f t="shared" si="135"/>
        <v>0.20070636433742026</v>
      </c>
      <c r="AM91" s="19">
        <f t="shared" si="199"/>
        <v>1004.1072386423803</v>
      </c>
      <c r="AN91" s="15">
        <f t="shared" si="136"/>
        <v>5.5082144772847606E-6</v>
      </c>
      <c r="AO91" s="16">
        <f t="shared" si="137"/>
        <v>27.436233244387374</v>
      </c>
      <c r="AP91" s="17">
        <f t="shared" si="138"/>
        <v>1.3785372821424191E-2</v>
      </c>
      <c r="AQ91" s="18">
        <f t="shared" si="139"/>
        <v>0.20103433845563806</v>
      </c>
      <c r="AR91" s="19">
        <f t="shared" si="200"/>
        <v>999.60892738790392</v>
      </c>
      <c r="AS91" s="15">
        <f t="shared" si="140"/>
        <v>5.499217854775808E-6</v>
      </c>
      <c r="AT91" s="16">
        <f t="shared" si="141"/>
        <v>27.384502664960895</v>
      </c>
      <c r="AU91" s="17">
        <f t="shared" si="142"/>
        <v>1.3762857032336642E-2</v>
      </c>
      <c r="AV91" s="18">
        <f t="shared" si="143"/>
        <v>0.20141410152602005</v>
      </c>
      <c r="AW91" s="19">
        <f t="shared" si="201"/>
        <v>994.51087451596572</v>
      </c>
      <c r="AX91" s="15">
        <f t="shared" si="144"/>
        <v>5.4890217490319318E-6</v>
      </c>
      <c r="AY91" s="16">
        <f t="shared" si="145"/>
        <v>27.325875056933604</v>
      </c>
      <c r="AZ91" s="17">
        <f t="shared" si="146"/>
        <v>1.3737339304298702E-2</v>
      </c>
      <c r="BA91" s="18">
        <f t="shared" si="147"/>
        <v>0.20184623506139021</v>
      </c>
      <c r="BB91" s="19">
        <f t="shared" si="202"/>
        <v>988.81307981396856</v>
      </c>
      <c r="BC91" s="15">
        <f t="shared" si="148"/>
        <v>5.4776261596279381E-6</v>
      </c>
      <c r="BD91" s="16">
        <f t="shared" si="149"/>
        <v>27.260350417860636</v>
      </c>
      <c r="BE91" s="17">
        <f t="shared" si="150"/>
        <v>1.370881963624624E-2</v>
      </c>
      <c r="BF91" s="18">
        <f t="shared" si="151"/>
        <v>0.20233140496925647</v>
      </c>
      <c r="BG91" s="19">
        <f t="shared" si="203"/>
        <v>982.51553490098888</v>
      </c>
      <c r="BH91" s="15">
        <f t="shared" si="152"/>
        <v>5.4650310698019786E-6</v>
      </c>
      <c r="BI91" s="16">
        <f t="shared" si="153"/>
        <v>27.187928651361371</v>
      </c>
      <c r="BJ91" s="17">
        <f t="shared" si="154"/>
        <v>1.3677297986229488E-2</v>
      </c>
      <c r="BK91" s="18">
        <f t="shared" si="155"/>
        <v>0.20287036466545302</v>
      </c>
      <c r="BL91" s="19">
        <f t="shared" si="204"/>
        <v>975.61814813573017</v>
      </c>
      <c r="BM91" s="15">
        <f t="shared" si="156"/>
        <v>5.4512362962714613E-6</v>
      </c>
      <c r="BN91" s="16">
        <f t="shared" si="157"/>
        <v>27.108608703560897</v>
      </c>
      <c r="BO91" s="17">
        <f t="shared" si="158"/>
        <v>1.3642773895548283E-2</v>
      </c>
      <c r="BP91" s="18">
        <f t="shared" si="159"/>
        <v>0.20346396454036705</v>
      </c>
      <c r="BQ91" s="19">
        <f t="shared" si="205"/>
        <v>968.12004216580772</v>
      </c>
      <c r="BR91" s="15">
        <f t="shared" si="160"/>
        <v>5.4362400843316158E-6</v>
      </c>
      <c r="BS91" s="16">
        <f t="shared" si="161"/>
        <v>27.02238048490679</v>
      </c>
      <c r="BT91" s="17">
        <f t="shared" si="162"/>
        <v>1.3605242972714328E-2</v>
      </c>
      <c r="BU91" s="18">
        <f t="shared" si="163"/>
        <v>0.20411321656434833</v>
      </c>
      <c r="BV91" s="19">
        <f t="shared" si="206"/>
        <v>960.01384132507224</v>
      </c>
      <c r="BW91" s="15">
        <f t="shared" si="164"/>
        <v>5.4200276826501453E-6</v>
      </c>
      <c r="BX91" s="16">
        <f t="shared" si="165"/>
        <v>26.929159175238329</v>
      </c>
      <c r="BY91" s="17">
        <f t="shared" si="166"/>
        <v>1.3564668299663482E-2</v>
      </c>
      <c r="BZ91" s="18">
        <f t="shared" si="167"/>
        <v>0.2048198001321809</v>
      </c>
      <c r="CA91" s="19">
        <f t="shared" si="207"/>
        <v>951.24595700626912</v>
      </c>
      <c r="CB91" s="15">
        <f t="shared" si="168"/>
        <v>5.4024919140125391E-6</v>
      </c>
      <c r="CC91" s="16">
        <f t="shared" si="169"/>
        <v>26.828328505572095</v>
      </c>
      <c r="CD91" s="17">
        <f t="shared" si="170"/>
        <v>1.3520781644672734E-2</v>
      </c>
      <c r="CE91" s="18">
        <f t="shared" si="171"/>
        <v>0.20558958784385079</v>
      </c>
      <c r="CF91" s="19">
        <f t="shared" si="208"/>
        <v>941.4871855673598</v>
      </c>
      <c r="CG91" s="15">
        <f t="shared" si="172"/>
        <v>5.38297437113472E-6</v>
      </c>
      <c r="CH91" s="16">
        <f t="shared" si="173"/>
        <v>26.716102634024637</v>
      </c>
      <c r="CI91" s="17">
        <f t="shared" si="174"/>
        <v>1.3471935216081686E-2</v>
      </c>
      <c r="CJ91" s="18">
        <f t="shared" si="175"/>
        <v>0.20645320447958995</v>
      </c>
      <c r="CK91" s="19">
        <f t="shared" si="209"/>
        <v>929.07945041789219</v>
      </c>
      <c r="CL91" s="15">
        <f t="shared" si="176"/>
        <v>5.3581589008357846E-6</v>
      </c>
      <c r="CM91" s="16">
        <f t="shared" si="177"/>
        <v>26.573413679805761</v>
      </c>
      <c r="CN91" s="17">
        <f t="shared" si="178"/>
        <v>1.3409829698727461E-2</v>
      </c>
      <c r="CO91" s="18">
        <f t="shared" si="179"/>
        <v>0.20756177834207098</v>
      </c>
      <c r="CP91" s="19">
        <f t="shared" si="210"/>
        <v>907.48741936436306</v>
      </c>
      <c r="CQ91" s="15">
        <f t="shared" si="180"/>
        <v>5.3149748387287265E-6</v>
      </c>
      <c r="CR91" s="16">
        <f t="shared" si="181"/>
        <v>26.325105322690174</v>
      </c>
      <c r="CS91" s="17">
        <f t="shared" si="182"/>
        <v>1.3301753225208808E-2</v>
      </c>
      <c r="CT91" s="18">
        <f t="shared" si="183"/>
        <v>0.20951957959484266</v>
      </c>
      <c r="CU91" s="19">
        <f t="shared" si="211"/>
        <v>858.09029309963785</v>
      </c>
      <c r="CV91" s="15">
        <f t="shared" si="184"/>
        <v>5.2161805861992762E-6</v>
      </c>
      <c r="CW91" s="16">
        <f t="shared" si="185"/>
        <v>25.757038370645834</v>
      </c>
      <c r="CX91" s="17">
        <f t="shared" si="186"/>
        <v>1.3054501487036884E-2</v>
      </c>
      <c r="CY91" s="18">
        <f t="shared" si="187"/>
        <v>0.21414049708004923</v>
      </c>
      <c r="CZ91" s="20">
        <f t="shared" si="212"/>
        <v>748.55850125025449</v>
      </c>
      <c r="DA91" s="15">
        <f t="shared" si="188"/>
        <v>4.9971170025005088E-6</v>
      </c>
      <c r="DB91" s="16">
        <f t="shared" si="189"/>
        <v>24.497422764377927</v>
      </c>
      <c r="DC91" s="17">
        <f t="shared" si="190"/>
        <v>1.2506252469984557E-2</v>
      </c>
      <c r="DD91" s="18">
        <f t="shared" si="191"/>
        <v>0.22515123541976645</v>
      </c>
    </row>
    <row r="92" spans="2:108" x14ac:dyDescent="0.25">
      <c r="B92">
        <v>73</v>
      </c>
      <c r="C92">
        <f t="shared" si="192"/>
        <v>7.136587064320335E-2</v>
      </c>
      <c r="D92" s="19">
        <f t="shared" si="109"/>
        <v>1018.8151189095194</v>
      </c>
      <c r="E92" s="15">
        <f t="shared" si="110"/>
        <v>5.537630237819039E-6</v>
      </c>
      <c r="F92" s="16">
        <f t="shared" si="111"/>
        <v>27.60537386745947</v>
      </c>
      <c r="G92" s="17">
        <f t="shared" si="107"/>
        <v>1.3858991455459418E-2</v>
      </c>
      <c r="H92" s="18">
        <f t="shared" si="112"/>
        <v>0.19980258287686811</v>
      </c>
      <c r="I92" s="19">
        <f t="shared" si="193"/>
        <v>1018.4914801176268</v>
      </c>
      <c r="J92" s="15">
        <f t="shared" si="113"/>
        <v>5.5369829602352538E-6</v>
      </c>
      <c r="K92" s="16">
        <f t="shared" si="114"/>
        <v>27.601652021352706</v>
      </c>
      <c r="L92" s="17">
        <f t="shared" si="115"/>
        <v>1.3857371518028109E-2</v>
      </c>
      <c r="M92" s="18">
        <f t="shared" si="116"/>
        <v>0.19982952454197664</v>
      </c>
      <c r="N92" s="19">
        <f t="shared" si="194"/>
        <v>1017.5871397145353</v>
      </c>
      <c r="O92" s="15">
        <f t="shared" si="117"/>
        <v>5.5351742794290708E-6</v>
      </c>
      <c r="P92" s="16">
        <f t="shared" si="118"/>
        <v>27.591252106717157</v>
      </c>
      <c r="Q92" s="17">
        <f t="shared" si="108"/>
        <v>1.3858991455459418E-2</v>
      </c>
      <c r="R92" s="18">
        <f t="shared" si="119"/>
        <v>0.19990484587893015</v>
      </c>
      <c r="S92" s="19">
        <f t="shared" si="195"/>
        <v>1016.0863970119829</v>
      </c>
      <c r="T92" s="15">
        <f t="shared" si="120"/>
        <v>5.5321727940239663E-6</v>
      </c>
      <c r="U92" s="16">
        <f t="shared" si="121"/>
        <v>27.573993565637799</v>
      </c>
      <c r="V92" s="17">
        <f t="shared" si="122"/>
        <v>1.3845333146096685E-2</v>
      </c>
      <c r="W92" s="18">
        <f t="shared" si="123"/>
        <v>0.20002996616614396</v>
      </c>
      <c r="X92" s="19">
        <f t="shared" si="196"/>
        <v>1013.9870688850003</v>
      </c>
      <c r="Y92" s="15">
        <f t="shared" si="124"/>
        <v>5.5279741377700012E-6</v>
      </c>
      <c r="Z92" s="16">
        <f t="shared" si="125"/>
        <v>27.5498512921775</v>
      </c>
      <c r="AA92" s="17">
        <f t="shared" si="126"/>
        <v>1.3834825196188668E-2</v>
      </c>
      <c r="AB92" s="18">
        <f t="shared" si="127"/>
        <v>0.20020525488520896</v>
      </c>
      <c r="AC92" s="19">
        <f t="shared" si="197"/>
        <v>1011.2880276802373</v>
      </c>
      <c r="AD92" s="15">
        <f t="shared" si="128"/>
        <v>5.5225760553604747E-6</v>
      </c>
      <c r="AE92" s="16">
        <f t="shared" si="129"/>
        <v>27.51881231832273</v>
      </c>
      <c r="AF92" s="17">
        <f t="shared" si="130"/>
        <v>1.3821315450182413E-2</v>
      </c>
      <c r="AG92" s="18">
        <f t="shared" si="131"/>
        <v>0.20043107006938507</v>
      </c>
      <c r="AH92" s="19">
        <f t="shared" si="198"/>
        <v>1007.9892271742054</v>
      </c>
      <c r="AI92" s="15">
        <f t="shared" si="132"/>
        <v>5.5159784543484111E-6</v>
      </c>
      <c r="AJ92" s="16">
        <f t="shared" si="133"/>
        <v>27.48087611250336</v>
      </c>
      <c r="AK92" s="17">
        <f t="shared" si="134"/>
        <v>1.3804803676711469E-2</v>
      </c>
      <c r="AL92" s="18">
        <f t="shared" si="135"/>
        <v>0.20070775682040495</v>
      </c>
      <c r="AM92" s="19">
        <f t="shared" si="199"/>
        <v>1004.0906794950666</v>
      </c>
      <c r="AN92" s="15">
        <f t="shared" si="136"/>
        <v>5.5081813589901336E-6</v>
      </c>
      <c r="AO92" s="16">
        <f t="shared" si="137"/>
        <v>27.436042814193264</v>
      </c>
      <c r="AP92" s="17">
        <f t="shared" si="138"/>
        <v>1.3785289936481978E-2</v>
      </c>
      <c r="AQ92" s="18">
        <f t="shared" si="139"/>
        <v>0.20103573381022158</v>
      </c>
      <c r="AR92" s="19">
        <f t="shared" si="200"/>
        <v>999.59239173445656</v>
      </c>
      <c r="AS92" s="15">
        <f t="shared" si="140"/>
        <v>5.4991847834689134E-6</v>
      </c>
      <c r="AT92" s="16">
        <f t="shared" si="141"/>
        <v>27.384312504946251</v>
      </c>
      <c r="AU92" s="17">
        <f t="shared" si="142"/>
        <v>1.3762774264990325E-2</v>
      </c>
      <c r="AV92" s="18">
        <f t="shared" si="143"/>
        <v>0.20141550017017035</v>
      </c>
      <c r="AW92" s="19">
        <f t="shared" si="201"/>
        <v>994.49436591492145</v>
      </c>
      <c r="AX92" s="15">
        <f t="shared" si="144"/>
        <v>5.4889887318298434E-6</v>
      </c>
      <c r="AY92" s="16">
        <f t="shared" si="145"/>
        <v>27.325685208021596</v>
      </c>
      <c r="AZ92" s="17">
        <f t="shared" si="146"/>
        <v>1.3737256672360133E-2</v>
      </c>
      <c r="BA92" s="18">
        <f t="shared" si="147"/>
        <v>0.20184763741554262</v>
      </c>
      <c r="BB92" s="19">
        <f t="shared" si="202"/>
        <v>988.79660173842285</v>
      </c>
      <c r="BC92" s="15">
        <f t="shared" si="148"/>
        <v>5.4775932034768464E-6</v>
      </c>
      <c r="BD92" s="16">
        <f t="shared" si="149"/>
        <v>27.260160919991861</v>
      </c>
      <c r="BE92" s="17">
        <f t="shared" si="150"/>
        <v>1.3708737157099606E-2</v>
      </c>
      <c r="BF92" s="18">
        <f t="shared" si="151"/>
        <v>0.2023328114675578</v>
      </c>
      <c r="BG92" s="19">
        <f t="shared" si="203"/>
        <v>982.49908974260097</v>
      </c>
      <c r="BH92" s="15">
        <f t="shared" si="152"/>
        <v>5.4649981794852021E-6</v>
      </c>
      <c r="BI92" s="16">
        <f t="shared" si="153"/>
        <v>27.18773953203991</v>
      </c>
      <c r="BJ92" s="17">
        <f t="shared" si="154"/>
        <v>1.3677215671845971E-2</v>
      </c>
      <c r="BK92" s="18">
        <f t="shared" si="155"/>
        <v>0.2028717758421956</v>
      </c>
      <c r="BL92" s="19">
        <f t="shared" si="204"/>
        <v>975.60172820882474</v>
      </c>
      <c r="BM92" s="15">
        <f t="shared" si="156"/>
        <v>5.4512034564176502E-6</v>
      </c>
      <c r="BN92" s="16">
        <f t="shared" si="157"/>
        <v>27.108419874401484</v>
      </c>
      <c r="BO92" s="17">
        <f t="shared" si="158"/>
        <v>1.3642691707458104E-2</v>
      </c>
      <c r="BP92" s="18">
        <f t="shared" si="159"/>
        <v>0.20346538180959828</v>
      </c>
      <c r="BQ92" s="19">
        <f t="shared" si="205"/>
        <v>968.10355824006683</v>
      </c>
      <c r="BR92" s="15">
        <f t="shared" si="160"/>
        <v>5.4362071164801336E-6</v>
      </c>
      <c r="BS92" s="16">
        <f t="shared" si="161"/>
        <v>27.022190919760767</v>
      </c>
      <c r="BT92" s="17">
        <f t="shared" si="162"/>
        <v>1.3605160464285202E-2</v>
      </c>
      <c r="BU92" s="18">
        <f t="shared" si="163"/>
        <v>0.20411464845237764</v>
      </c>
      <c r="BV92" s="19">
        <f t="shared" si="206"/>
        <v>959.99663992102353</v>
      </c>
      <c r="BW92" s="15">
        <f t="shared" si="164"/>
        <v>5.4199932798420478E-6</v>
      </c>
      <c r="BX92" s="16">
        <f t="shared" si="165"/>
        <v>26.928961359091769</v>
      </c>
      <c r="BY92" s="17">
        <f t="shared" si="166"/>
        <v>1.3564582199977698E-2</v>
      </c>
      <c r="BZ92" s="18">
        <f t="shared" si="167"/>
        <v>0.20482130470798168</v>
      </c>
      <c r="CA92" s="19">
        <f t="shared" si="207"/>
        <v>951.22413915831362</v>
      </c>
      <c r="CB92" s="15">
        <f t="shared" si="168"/>
        <v>5.4024482783166278E-6</v>
      </c>
      <c r="CC92" s="16">
        <f t="shared" si="169"/>
        <v>26.828077600320604</v>
      </c>
      <c r="CD92" s="17">
        <f t="shared" si="170"/>
        <v>1.3520672437898208E-2</v>
      </c>
      <c r="CE92" s="18">
        <f t="shared" si="171"/>
        <v>0.20559151058718</v>
      </c>
      <c r="CF92" s="19">
        <f t="shared" si="208"/>
        <v>941.44200398189594</v>
      </c>
      <c r="CG92" s="15">
        <f t="shared" si="172"/>
        <v>5.3828840079637921E-6</v>
      </c>
      <c r="CH92" s="16">
        <f t="shared" si="173"/>
        <v>26.715583045791803</v>
      </c>
      <c r="CI92" s="17">
        <f t="shared" si="174"/>
        <v>1.3471709064757023E-2</v>
      </c>
      <c r="CJ92" s="18">
        <f t="shared" si="175"/>
        <v>0.20645721976368442</v>
      </c>
      <c r="CK92" s="19">
        <f t="shared" si="209"/>
        <v>928.94225063907993</v>
      </c>
      <c r="CL92" s="15">
        <f t="shared" si="176"/>
        <v>5.3578845012781601E-6</v>
      </c>
      <c r="CM92" s="16">
        <f t="shared" si="177"/>
        <v>26.571835882349419</v>
      </c>
      <c r="CN92" s="17">
        <f t="shared" si="178"/>
        <v>1.3409142960725611E-2</v>
      </c>
      <c r="CO92" s="18">
        <f t="shared" si="179"/>
        <v>0.20757410306240087</v>
      </c>
      <c r="CP92" s="19">
        <f t="shared" si="210"/>
        <v>907.08813509655226</v>
      </c>
      <c r="CQ92" s="15">
        <f t="shared" si="180"/>
        <v>5.3141762701931053E-6</v>
      </c>
      <c r="CR92" s="16">
        <f t="shared" si="181"/>
        <v>26.32051355361035</v>
      </c>
      <c r="CS92" s="17">
        <f t="shared" si="182"/>
        <v>1.3299754652888796E-2</v>
      </c>
      <c r="CT92" s="18">
        <f t="shared" si="183"/>
        <v>0.2095561315232555</v>
      </c>
      <c r="CU92" s="19">
        <f t="shared" si="211"/>
        <v>857.23489270601351</v>
      </c>
      <c r="CV92" s="15">
        <f t="shared" si="184"/>
        <v>5.2144697854120279E-6</v>
      </c>
      <c r="CW92" s="16">
        <f t="shared" si="185"/>
        <v>25.747201266119156</v>
      </c>
      <c r="CX92" s="17">
        <f t="shared" si="186"/>
        <v>1.3050219876948415E-2</v>
      </c>
      <c r="CY92" s="18">
        <f t="shared" si="187"/>
        <v>0.21422231266968939</v>
      </c>
      <c r="CZ92" s="20">
        <f t="shared" si="212"/>
        <v>747.47283977545681</v>
      </c>
      <c r="DA92" s="15">
        <f t="shared" si="188"/>
        <v>4.9949456795509141E-6</v>
      </c>
      <c r="DB92" s="16">
        <f t="shared" si="189"/>
        <v>24.484937657417753</v>
      </c>
      <c r="DC92" s="17">
        <f t="shared" si="190"/>
        <v>1.2500818314052664E-2</v>
      </c>
      <c r="DD92" s="18">
        <f t="shared" si="191"/>
        <v>0.2252660422163269</v>
      </c>
    </row>
    <row r="93" spans="2:108" x14ac:dyDescent="0.25">
      <c r="B93">
        <v>74</v>
      </c>
      <c r="C93">
        <f t="shared" si="192"/>
        <v>7.2343485309548608E-2</v>
      </c>
      <c r="D93" s="19">
        <f t="shared" si="109"/>
        <v>1018.79859554772</v>
      </c>
      <c r="E93" s="15">
        <f t="shared" si="110"/>
        <v>5.5375971910954409E-6</v>
      </c>
      <c r="F93" s="16">
        <f t="shared" si="111"/>
        <v>27.605183848798781</v>
      </c>
      <c r="G93" s="17">
        <f t="shared" si="107"/>
        <v>1.3858908749637558E-2</v>
      </c>
      <c r="H93" s="18">
        <f t="shared" si="112"/>
        <v>0.19980395820620511</v>
      </c>
      <c r="I93" s="19">
        <f t="shared" si="193"/>
        <v>1018.4749230011815</v>
      </c>
      <c r="J93" s="15">
        <f t="shared" si="113"/>
        <v>5.5369498460023633E-6</v>
      </c>
      <c r="K93" s="16">
        <f t="shared" si="114"/>
        <v>27.601461614513589</v>
      </c>
      <c r="L93" s="17">
        <f t="shared" si="115"/>
        <v>1.3857288643251179E-2</v>
      </c>
      <c r="M93" s="18">
        <f t="shared" si="116"/>
        <v>0.1998309030526027</v>
      </c>
      <c r="N93" s="19">
        <f t="shared" si="194"/>
        <v>1017.5705432130227</v>
      </c>
      <c r="O93" s="15">
        <f t="shared" si="117"/>
        <v>5.5351410864260456E-6</v>
      </c>
      <c r="P93" s="16">
        <f t="shared" si="118"/>
        <v>27.59106124694976</v>
      </c>
      <c r="Q93" s="17">
        <f t="shared" si="108"/>
        <v>1.3858908749637558E-2</v>
      </c>
      <c r="R93" s="18">
        <f t="shared" si="119"/>
        <v>0.19990622871056699</v>
      </c>
      <c r="S93" s="19">
        <f t="shared" si="195"/>
        <v>1016.0697857623537</v>
      </c>
      <c r="T93" s="15">
        <f t="shared" si="120"/>
        <v>5.5321395715247077E-6</v>
      </c>
      <c r="U93" s="16">
        <f t="shared" si="121"/>
        <v>27.573802536267067</v>
      </c>
      <c r="V93" s="17">
        <f t="shared" si="122"/>
        <v>1.3845250000362212E-2</v>
      </c>
      <c r="W93" s="18">
        <f t="shared" si="123"/>
        <v>0.20003135195972516</v>
      </c>
      <c r="X93" s="19">
        <f t="shared" si="196"/>
        <v>1013.9704613796359</v>
      </c>
      <c r="Y93" s="15">
        <f t="shared" si="124"/>
        <v>5.5279409227592728E-6</v>
      </c>
      <c r="Z93" s="16">
        <f t="shared" si="125"/>
        <v>27.549660305865814</v>
      </c>
      <c r="AA93" s="17">
        <f t="shared" si="126"/>
        <v>1.3834742069195693E-2</v>
      </c>
      <c r="AB93" s="18">
        <f t="shared" si="127"/>
        <v>0.20020664279572351</v>
      </c>
      <c r="AC93" s="19">
        <f t="shared" si="197"/>
        <v>1011.2714323056965</v>
      </c>
      <c r="AD93" s="15">
        <f t="shared" si="128"/>
        <v>5.5225428646113932E-6</v>
      </c>
      <c r="AE93" s="16">
        <f t="shared" si="129"/>
        <v>27.518621471515509</v>
      </c>
      <c r="AF93" s="17">
        <f t="shared" si="130"/>
        <v>1.3821232383908906E-2</v>
      </c>
      <c r="AG93" s="18">
        <f t="shared" si="131"/>
        <v>0.20043246009649199</v>
      </c>
      <c r="AH93" s="19">
        <f t="shared" si="198"/>
        <v>1007.972648244003</v>
      </c>
      <c r="AI93" s="15">
        <f t="shared" si="132"/>
        <v>5.5159452964880062E-6</v>
      </c>
      <c r="AJ93" s="16">
        <f t="shared" si="133"/>
        <v>27.480685454806036</v>
      </c>
      <c r="AK93" s="17">
        <f t="shared" si="134"/>
        <v>1.380472069274824E-2</v>
      </c>
      <c r="AL93" s="18">
        <f t="shared" si="135"/>
        <v>0.20070914930673189</v>
      </c>
      <c r="AM93" s="19">
        <f t="shared" si="199"/>
        <v>1004.0741205387574</v>
      </c>
      <c r="AN93" s="15">
        <f t="shared" si="136"/>
        <v>5.5081482410775152E-6</v>
      </c>
      <c r="AO93" s="16">
        <f t="shared" si="137"/>
        <v>27.435852386195709</v>
      </c>
      <c r="AP93" s="17">
        <f t="shared" si="138"/>
        <v>1.3785207052495816E-2</v>
      </c>
      <c r="AQ93" s="18">
        <f t="shared" si="139"/>
        <v>0.20103712916807989</v>
      </c>
      <c r="AR93" s="19">
        <f t="shared" si="200"/>
        <v>999.57585627303433</v>
      </c>
      <c r="AS93" s="15">
        <f t="shared" si="140"/>
        <v>5.4991517125460686E-6</v>
      </c>
      <c r="AT93" s="16">
        <f t="shared" si="141"/>
        <v>27.384122347139893</v>
      </c>
      <c r="AU93" s="17">
        <f t="shared" si="142"/>
        <v>1.3762691498605165E-2</v>
      </c>
      <c r="AV93" s="18">
        <f t="shared" si="143"/>
        <v>0.20141689881750305</v>
      </c>
      <c r="AW93" s="19">
        <f t="shared" si="201"/>
        <v>994.47785750497917</v>
      </c>
      <c r="AX93" s="15">
        <f t="shared" si="144"/>
        <v>5.4889557150099593E-6</v>
      </c>
      <c r="AY93" s="16">
        <f t="shared" si="145"/>
        <v>27.325495361307262</v>
      </c>
      <c r="AZ93" s="17">
        <f t="shared" si="146"/>
        <v>1.3737174041378104E-2</v>
      </c>
      <c r="BA93" s="18">
        <f t="shared" si="147"/>
        <v>0.20184903977294744</v>
      </c>
      <c r="BB93" s="19">
        <f t="shared" si="202"/>
        <v>988.7801238384252</v>
      </c>
      <c r="BC93" s="15">
        <f t="shared" si="148"/>
        <v>5.4775602476768507E-6</v>
      </c>
      <c r="BD93" s="16">
        <f t="shared" si="149"/>
        <v>27.259971424141888</v>
      </c>
      <c r="BE93" s="17">
        <f t="shared" si="150"/>
        <v>1.3708654678831658E-2</v>
      </c>
      <c r="BF93" s="18">
        <f t="shared" si="151"/>
        <v>0.20233421797042933</v>
      </c>
      <c r="BG93" s="19">
        <f t="shared" si="203"/>
        <v>982.48264461402823</v>
      </c>
      <c r="BH93" s="15">
        <f t="shared" si="152"/>
        <v>5.4649652892280568E-6</v>
      </c>
      <c r="BI93" s="16">
        <f t="shared" si="153"/>
        <v>27.187550413061324</v>
      </c>
      <c r="BJ93" s="17">
        <f t="shared" si="154"/>
        <v>1.3677133357611691E-2</v>
      </c>
      <c r="BK93" s="18">
        <f t="shared" si="155"/>
        <v>0.20287318703601218</v>
      </c>
      <c r="BL93" s="19">
        <f t="shared" si="204"/>
        <v>975.58530713823234</v>
      </c>
      <c r="BM93" s="15">
        <f t="shared" si="156"/>
        <v>5.4511706142764655E-6</v>
      </c>
      <c r="BN93" s="16">
        <f t="shared" si="157"/>
        <v>27.10823103208967</v>
      </c>
      <c r="BO93" s="17">
        <f t="shared" si="158"/>
        <v>1.3642609513643331E-2</v>
      </c>
      <c r="BP93" s="18">
        <f t="shared" si="159"/>
        <v>0.20346679919729244</v>
      </c>
      <c r="BQ93" s="19">
        <f t="shared" si="205"/>
        <v>968.08706508841885</v>
      </c>
      <c r="BR93" s="15">
        <f t="shared" si="160"/>
        <v>5.4361741301768381E-6</v>
      </c>
      <c r="BS93" s="16">
        <f t="shared" si="161"/>
        <v>27.022001248516816</v>
      </c>
      <c r="BT93" s="17">
        <f t="shared" si="162"/>
        <v>1.3605077909676843E-2</v>
      </c>
      <c r="BU93" s="18">
        <f t="shared" si="163"/>
        <v>0.20411608116192881</v>
      </c>
      <c r="BV93" s="19">
        <f t="shared" si="206"/>
        <v>959.97938298389079</v>
      </c>
      <c r="BW93" s="15">
        <f t="shared" si="164"/>
        <v>5.4199587659677817E-6</v>
      </c>
      <c r="BX93" s="16">
        <f t="shared" si="165"/>
        <v>26.928762904314745</v>
      </c>
      <c r="BY93" s="17">
        <f t="shared" si="166"/>
        <v>1.3564495822327332E-2</v>
      </c>
      <c r="BZ93" s="18">
        <f t="shared" si="167"/>
        <v>0.20482281416337331</v>
      </c>
      <c r="CA93" s="19">
        <f t="shared" si="207"/>
        <v>951.20205450047081</v>
      </c>
      <c r="CB93" s="15">
        <f t="shared" si="168"/>
        <v>5.4024041090009424E-6</v>
      </c>
      <c r="CC93" s="16">
        <f t="shared" si="169"/>
        <v>26.827823626755414</v>
      </c>
      <c r="CD93" s="17">
        <f t="shared" si="170"/>
        <v>1.3520561895636917E-2</v>
      </c>
      <c r="CE93" s="18">
        <f t="shared" si="171"/>
        <v>0.20559345688031369</v>
      </c>
      <c r="CF93" s="19">
        <f t="shared" si="208"/>
        <v>941.39584576811603</v>
      </c>
      <c r="CG93" s="15">
        <f t="shared" si="172"/>
        <v>5.3827916915362328E-6</v>
      </c>
      <c r="CH93" s="16">
        <f t="shared" si="173"/>
        <v>26.715052226333334</v>
      </c>
      <c r="CI93" s="17">
        <f t="shared" si="174"/>
        <v>1.3471478025029597E-2</v>
      </c>
      <c r="CJ93" s="18">
        <f t="shared" si="175"/>
        <v>0.20646132200195308</v>
      </c>
      <c r="CK93" s="19">
        <f t="shared" si="209"/>
        <v>928.80262186633411</v>
      </c>
      <c r="CL93" s="15">
        <f t="shared" si="176"/>
        <v>5.3576052437326689E-6</v>
      </c>
      <c r="CM93" s="16">
        <f t="shared" si="177"/>
        <v>26.570230151462841</v>
      </c>
      <c r="CN93" s="17">
        <f t="shared" si="178"/>
        <v>1.3408444064668883E-2</v>
      </c>
      <c r="CO93" s="18">
        <f t="shared" si="179"/>
        <v>0.2075866474832298</v>
      </c>
      <c r="CP93" s="19">
        <f t="shared" si="210"/>
        <v>906.6860024787436</v>
      </c>
      <c r="CQ93" s="15">
        <f t="shared" si="180"/>
        <v>5.3133720049574881E-6</v>
      </c>
      <c r="CR93" s="16">
        <f t="shared" si="181"/>
        <v>26.315889028505552</v>
      </c>
      <c r="CS93" s="17">
        <f t="shared" si="182"/>
        <v>1.3297741823474468E-2</v>
      </c>
      <c r="CT93" s="18">
        <f t="shared" si="183"/>
        <v>0.20959295709240289</v>
      </c>
      <c r="CU93" s="19">
        <f t="shared" si="211"/>
        <v>856.38238494238885</v>
      </c>
      <c r="CV93" s="15">
        <f t="shared" si="184"/>
        <v>5.2127647698847783E-6</v>
      </c>
      <c r="CW93" s="16">
        <f t="shared" si="185"/>
        <v>25.737397426837472</v>
      </c>
      <c r="CX93" s="17">
        <f t="shared" si="186"/>
        <v>1.3045952745592802E-2</v>
      </c>
      <c r="CY93" s="18">
        <f t="shared" si="187"/>
        <v>0.21430391381564573</v>
      </c>
      <c r="CZ93" s="20">
        <f t="shared" si="212"/>
        <v>746.39795801963385</v>
      </c>
      <c r="DA93" s="15">
        <f t="shared" si="188"/>
        <v>4.9927959160392683E-6</v>
      </c>
      <c r="DB93" s="16">
        <f t="shared" si="189"/>
        <v>24.472576517225789</v>
      </c>
      <c r="DC93" s="17">
        <f t="shared" si="190"/>
        <v>1.2495438114786978E-2</v>
      </c>
      <c r="DD93" s="18">
        <f t="shared" si="191"/>
        <v>0.22537982447894911</v>
      </c>
    </row>
    <row r="94" spans="2:108" x14ac:dyDescent="0.25">
      <c r="B94">
        <v>75</v>
      </c>
      <c r="C94">
        <f t="shared" si="192"/>
        <v>7.3321099975893866E-2</v>
      </c>
      <c r="D94" s="19">
        <f t="shared" si="109"/>
        <v>1018.7820704625789</v>
      </c>
      <c r="E94" s="15">
        <f t="shared" si="110"/>
        <v>5.5375641409251583E-6</v>
      </c>
      <c r="F94" s="16">
        <f t="shared" si="111"/>
        <v>27.604993810319655</v>
      </c>
      <c r="G94" s="17">
        <f t="shared" si="107"/>
        <v>1.3858826035189703E-2</v>
      </c>
      <c r="H94" s="18">
        <f t="shared" si="112"/>
        <v>0.19980533369792236</v>
      </c>
      <c r="I94" s="19">
        <f t="shared" si="193"/>
        <v>1018.4583653987082</v>
      </c>
      <c r="J94" s="15">
        <f t="shared" si="113"/>
        <v>5.5369167307974169E-6</v>
      </c>
      <c r="K94" s="16">
        <f t="shared" si="114"/>
        <v>27.601271202085144</v>
      </c>
      <c r="L94" s="17">
        <f t="shared" si="115"/>
        <v>1.385720576604149E-2</v>
      </c>
      <c r="M94" s="18">
        <f t="shared" si="116"/>
        <v>0.19983228162271457</v>
      </c>
      <c r="N94" s="19">
        <f t="shared" si="194"/>
        <v>1017.5539469646355</v>
      </c>
      <c r="O94" s="15">
        <f t="shared" si="117"/>
        <v>5.5351078939292708E-6</v>
      </c>
      <c r="P94" s="16">
        <f t="shared" si="118"/>
        <v>27.590870390093308</v>
      </c>
      <c r="Q94" s="17">
        <f t="shared" si="108"/>
        <v>1.3858826035189703E-2</v>
      </c>
      <c r="R94" s="18">
        <f t="shared" si="119"/>
        <v>0.19990761154024425</v>
      </c>
      <c r="S94" s="19">
        <f t="shared" si="195"/>
        <v>1016.0531748427318</v>
      </c>
      <c r="T94" s="15">
        <f t="shared" si="120"/>
        <v>5.5321063496854648E-6</v>
      </c>
      <c r="U94" s="16">
        <f t="shared" si="121"/>
        <v>27.573611510691414</v>
      </c>
      <c r="V94" s="17">
        <f t="shared" si="122"/>
        <v>1.3845166856279557E-2</v>
      </c>
      <c r="W94" s="18">
        <f t="shared" si="123"/>
        <v>0.20003273774497646</v>
      </c>
      <c r="X94" s="19">
        <f t="shared" si="196"/>
        <v>1013.9538541175912</v>
      </c>
      <c r="Y94" s="15">
        <f t="shared" si="124"/>
        <v>5.5279077082351826E-6</v>
      </c>
      <c r="Z94" s="16">
        <f t="shared" si="125"/>
        <v>27.549469322352298</v>
      </c>
      <c r="AA94" s="17">
        <f t="shared" si="126"/>
        <v>1.3834658943420624E-2</v>
      </c>
      <c r="AB94" s="18">
        <f t="shared" si="127"/>
        <v>0.20020803070514648</v>
      </c>
      <c r="AC94" s="19">
        <f t="shared" si="197"/>
        <v>1011.2548371300776</v>
      </c>
      <c r="AD94" s="15">
        <f t="shared" si="128"/>
        <v>5.5225096742601554E-6</v>
      </c>
      <c r="AE94" s="16">
        <f t="shared" si="129"/>
        <v>27.518430626995894</v>
      </c>
      <c r="AF94" s="17">
        <f t="shared" si="130"/>
        <v>1.3821149318631078E-2</v>
      </c>
      <c r="AG94" s="18">
        <f t="shared" si="131"/>
        <v>0.2004338501262172</v>
      </c>
      <c r="AH94" s="19">
        <f t="shared" si="198"/>
        <v>1007.9560695041673</v>
      </c>
      <c r="AI94" s="15">
        <f t="shared" si="132"/>
        <v>5.5159121390083349E-6</v>
      </c>
      <c r="AJ94" s="16">
        <f t="shared" si="133"/>
        <v>27.480494799297922</v>
      </c>
      <c r="AK94" s="17">
        <f t="shared" si="134"/>
        <v>1.3804637709737869E-2</v>
      </c>
      <c r="AL94" s="18">
        <f t="shared" si="135"/>
        <v>0.20071054179639133</v>
      </c>
      <c r="AM94" s="19">
        <f t="shared" si="199"/>
        <v>1004.0575617734556</v>
      </c>
      <c r="AN94" s="15">
        <f t="shared" si="136"/>
        <v>5.508115123546912E-6</v>
      </c>
      <c r="AO94" s="16">
        <f t="shared" si="137"/>
        <v>27.435661960394739</v>
      </c>
      <c r="AP94" s="17">
        <f t="shared" si="138"/>
        <v>1.3785124169465722E-2</v>
      </c>
      <c r="AQ94" s="18">
        <f t="shared" si="139"/>
        <v>0.2010385245292125</v>
      </c>
      <c r="AR94" s="19">
        <f t="shared" si="200"/>
        <v>999.55932100360826</v>
      </c>
      <c r="AS94" s="15">
        <f t="shared" si="140"/>
        <v>5.4991186420072168E-6</v>
      </c>
      <c r="AT94" s="16">
        <f t="shared" si="141"/>
        <v>27.383932191541493</v>
      </c>
      <c r="AU94" s="17">
        <f t="shared" si="142"/>
        <v>1.3762608733181024E-2</v>
      </c>
      <c r="AV94" s="18">
        <f t="shared" si="143"/>
        <v>0.20141829746802023</v>
      </c>
      <c r="AW94" s="19">
        <f t="shared" si="201"/>
        <v>994.46134928592278</v>
      </c>
      <c r="AX94" s="15">
        <f t="shared" si="144"/>
        <v>5.4889226985718464E-6</v>
      </c>
      <c r="AY94" s="16">
        <f t="shared" si="145"/>
        <v>27.325305516788113</v>
      </c>
      <c r="AZ94" s="17">
        <f t="shared" si="146"/>
        <v>1.3737091411351533E-2</v>
      </c>
      <c r="BA94" s="18">
        <f t="shared" si="147"/>
        <v>0.20185044213362269</v>
      </c>
      <c r="BB94" s="19">
        <f t="shared" si="202"/>
        <v>988.76364611207453</v>
      </c>
      <c r="BC94" s="15">
        <f t="shared" si="148"/>
        <v>5.4775272922241495E-6</v>
      </c>
      <c r="BD94" s="16">
        <f t="shared" si="149"/>
        <v>27.259781930288856</v>
      </c>
      <c r="BE94" s="17">
        <f t="shared" si="150"/>
        <v>1.3708572201432883E-2</v>
      </c>
      <c r="BF94" s="18">
        <f t="shared" si="151"/>
        <v>0.20233562447803316</v>
      </c>
      <c r="BG94" s="19">
        <f t="shared" si="203"/>
        <v>982.46619950035927</v>
      </c>
      <c r="BH94" s="15">
        <f t="shared" si="152"/>
        <v>5.4649323990007186E-6</v>
      </c>
      <c r="BI94" s="16">
        <f t="shared" si="153"/>
        <v>27.187361294254131</v>
      </c>
      <c r="BJ94" s="17">
        <f t="shared" si="154"/>
        <v>1.3677051043452012E-2</v>
      </c>
      <c r="BK94" s="18">
        <f t="shared" si="155"/>
        <v>0.20287459824818271</v>
      </c>
      <c r="BL94" s="19">
        <f t="shared" si="204"/>
        <v>975.56888482420243</v>
      </c>
      <c r="BM94" s="15">
        <f t="shared" si="156"/>
        <v>5.4511377696484049E-6</v>
      </c>
      <c r="BN94" s="16">
        <f t="shared" si="157"/>
        <v>27.108042175478325</v>
      </c>
      <c r="BO94" s="17">
        <f t="shared" si="158"/>
        <v>1.3642527313604668E-2</v>
      </c>
      <c r="BP94" s="18">
        <f t="shared" si="159"/>
        <v>0.20346821671206419</v>
      </c>
      <c r="BQ94" s="19">
        <f t="shared" si="205"/>
        <v>968.07056216095987</v>
      </c>
      <c r="BR94" s="15">
        <f t="shared" si="160"/>
        <v>5.4361411243219208E-6</v>
      </c>
      <c r="BS94" s="16">
        <f t="shared" si="161"/>
        <v>27.021811464851037</v>
      </c>
      <c r="BT94" s="17">
        <f t="shared" si="162"/>
        <v>1.3604995306136767E-2</v>
      </c>
      <c r="BU94" s="18">
        <f t="shared" si="163"/>
        <v>0.20411751474080556</v>
      </c>
      <c r="BV94" s="19">
        <f t="shared" si="206"/>
        <v>959.96206814484231</v>
      </c>
      <c r="BW94" s="15">
        <f t="shared" si="164"/>
        <v>5.4199241362896843E-6</v>
      </c>
      <c r="BX94" s="16">
        <f t="shared" si="165"/>
        <v>26.928563783665687</v>
      </c>
      <c r="BY94" s="17">
        <f t="shared" si="166"/>
        <v>1.3564409154855463E-2</v>
      </c>
      <c r="BZ94" s="18">
        <f t="shared" si="167"/>
        <v>0.20482432870577616</v>
      </c>
      <c r="CA94" s="19">
        <f t="shared" si="207"/>
        <v>951.17969585772494</v>
      </c>
      <c r="CB94" s="15">
        <f t="shared" si="168"/>
        <v>5.4023593917154497E-6</v>
      </c>
      <c r="CC94" s="16">
        <f t="shared" si="169"/>
        <v>26.827566502363837</v>
      </c>
      <c r="CD94" s="17">
        <f t="shared" si="170"/>
        <v>1.3520449981975128E-2</v>
      </c>
      <c r="CE94" s="18">
        <f t="shared" si="171"/>
        <v>0.20559542735693176</v>
      </c>
      <c r="CF94" s="19">
        <f t="shared" si="208"/>
        <v>941.34869999365151</v>
      </c>
      <c r="CG94" s="15">
        <f t="shared" si="172"/>
        <v>5.382697399987303E-6</v>
      </c>
      <c r="CH94" s="16">
        <f t="shared" si="173"/>
        <v>26.714510049926993</v>
      </c>
      <c r="CI94" s="17">
        <f t="shared" si="174"/>
        <v>1.3471242042178659E-2</v>
      </c>
      <c r="CJ94" s="18">
        <f t="shared" si="175"/>
        <v>0.20646551217640891</v>
      </c>
      <c r="CK94" s="19">
        <f t="shared" si="209"/>
        <v>928.66057740949907</v>
      </c>
      <c r="CL94" s="15">
        <f t="shared" si="176"/>
        <v>5.3573211548189985E-6</v>
      </c>
      <c r="CM94" s="16">
        <f t="shared" si="177"/>
        <v>26.568596640209236</v>
      </c>
      <c r="CN94" s="17">
        <f t="shared" si="178"/>
        <v>1.3407733077178194E-2</v>
      </c>
      <c r="CO94" s="18">
        <f t="shared" si="179"/>
        <v>0.20759941048796632</v>
      </c>
      <c r="CP94" s="19">
        <f t="shared" si="210"/>
        <v>906.28110675337189</v>
      </c>
      <c r="CQ94" s="15">
        <f t="shared" si="180"/>
        <v>5.312562213506744E-6</v>
      </c>
      <c r="CR94" s="16">
        <f t="shared" si="181"/>
        <v>26.311232727663779</v>
      </c>
      <c r="CS94" s="17">
        <f t="shared" si="182"/>
        <v>1.3295715163637211E-2</v>
      </c>
      <c r="CT94" s="18">
        <f t="shared" si="183"/>
        <v>0.20963004877383951</v>
      </c>
      <c r="CU94" s="19">
        <f t="shared" si="211"/>
        <v>855.53280315838708</v>
      </c>
      <c r="CV94" s="15">
        <f t="shared" si="184"/>
        <v>5.211065606316775E-6</v>
      </c>
      <c r="CW94" s="16">
        <f t="shared" si="185"/>
        <v>25.727627236321453</v>
      </c>
      <c r="CX94" s="17">
        <f t="shared" si="186"/>
        <v>1.3041700259897829E-2</v>
      </c>
      <c r="CY94" s="18">
        <f t="shared" si="187"/>
        <v>0.21438529676041071</v>
      </c>
      <c r="CZ94" s="20">
        <f t="shared" si="212"/>
        <v>745.33359198311905</v>
      </c>
      <c r="DA94" s="15">
        <f t="shared" si="188"/>
        <v>4.9906671839662389E-6</v>
      </c>
      <c r="DB94" s="16">
        <f t="shared" si="189"/>
        <v>24.460336307805868</v>
      </c>
      <c r="DC94" s="17">
        <f t="shared" si="190"/>
        <v>1.2490110550766978E-2</v>
      </c>
      <c r="DD94" s="18">
        <f t="shared" si="191"/>
        <v>0.22549260691235201</v>
      </c>
    </row>
    <row r="95" spans="2:108" x14ac:dyDescent="0.25">
      <c r="B95">
        <v>76</v>
      </c>
      <c r="C95">
        <f t="shared" si="192"/>
        <v>7.4298714642239111E-2</v>
      </c>
      <c r="D95" s="19">
        <f t="shared" si="109"/>
        <v>1018.7655437172671</v>
      </c>
      <c r="E95" s="15">
        <f t="shared" si="110"/>
        <v>5.5375310874345344E-6</v>
      </c>
      <c r="F95" s="16">
        <f t="shared" si="111"/>
        <v>27.60480375274857</v>
      </c>
      <c r="G95" s="17">
        <f t="shared" si="107"/>
        <v>1.385874331243205E-2</v>
      </c>
      <c r="H95" s="18">
        <f t="shared" si="112"/>
        <v>0.19980670934676786</v>
      </c>
      <c r="I95" s="19">
        <f t="shared" si="193"/>
        <v>1018.4418073170156</v>
      </c>
      <c r="J95" s="15">
        <f t="shared" si="113"/>
        <v>5.5368836146340316E-6</v>
      </c>
      <c r="K95" s="16">
        <f t="shared" si="114"/>
        <v>27.60108078414568</v>
      </c>
      <c r="L95" s="17">
        <f t="shared" si="115"/>
        <v>1.3857122886433121E-2</v>
      </c>
      <c r="M95" s="18">
        <f t="shared" si="116"/>
        <v>0.19983366025174734</v>
      </c>
      <c r="N95" s="19">
        <f t="shared" si="194"/>
        <v>1017.5373509630247</v>
      </c>
      <c r="O95" s="15">
        <f t="shared" si="117"/>
        <v>5.5350747019260503E-6</v>
      </c>
      <c r="P95" s="16">
        <f t="shared" si="118"/>
        <v>27.590679536074781</v>
      </c>
      <c r="Q95" s="17">
        <f t="shared" si="108"/>
        <v>1.385874331243205E-2</v>
      </c>
      <c r="R95" s="18">
        <f t="shared" si="119"/>
        <v>0.19990899436849052</v>
      </c>
      <c r="S95" s="19">
        <f t="shared" si="195"/>
        <v>1016.0365642508348</v>
      </c>
      <c r="T95" s="15">
        <f t="shared" si="120"/>
        <v>5.5320731285016704E-6</v>
      </c>
      <c r="U95" s="16">
        <f t="shared" si="121"/>
        <v>27.573420488884601</v>
      </c>
      <c r="V95" s="17">
        <f t="shared" si="122"/>
        <v>1.3845083713837289E-2</v>
      </c>
      <c r="W95" s="18">
        <f t="shared" si="123"/>
        <v>0.20003412352208749</v>
      </c>
      <c r="X95" s="19">
        <f t="shared" si="196"/>
        <v>1013.9372470992208</v>
      </c>
      <c r="Y95" s="15">
        <f t="shared" si="124"/>
        <v>5.5278744941984429E-6</v>
      </c>
      <c r="Z95" s="16">
        <f t="shared" si="125"/>
        <v>27.549278341641038</v>
      </c>
      <c r="AA95" s="17">
        <f t="shared" si="126"/>
        <v>1.3834575818865245E-2</v>
      </c>
      <c r="AB95" s="18">
        <f t="shared" si="127"/>
        <v>0.20020941861344774</v>
      </c>
      <c r="AC95" s="19">
        <f t="shared" si="197"/>
        <v>1011.2382421538003</v>
      </c>
      <c r="AD95" s="15">
        <f t="shared" si="128"/>
        <v>5.5224764843076007E-6</v>
      </c>
      <c r="AE95" s="16">
        <f t="shared" si="129"/>
        <v>27.518239784768703</v>
      </c>
      <c r="AF95" s="17">
        <f t="shared" si="130"/>
        <v>1.3821066254351033E-2</v>
      </c>
      <c r="AG95" s="18">
        <f t="shared" si="131"/>
        <v>0.20043524015852529</v>
      </c>
      <c r="AH95" s="19">
        <f t="shared" si="198"/>
        <v>1007.9394909548139</v>
      </c>
      <c r="AI95" s="15">
        <f t="shared" si="132"/>
        <v>5.5158789819096286E-6</v>
      </c>
      <c r="AJ95" s="16">
        <f t="shared" si="133"/>
        <v>27.480304145980359</v>
      </c>
      <c r="AK95" s="17">
        <f t="shared" si="134"/>
        <v>1.3804554727680938E-2</v>
      </c>
      <c r="AL95" s="18">
        <f t="shared" si="135"/>
        <v>0.2007119342893732</v>
      </c>
      <c r="AM95" s="19">
        <f t="shared" si="199"/>
        <v>1004.0410031991655</v>
      </c>
      <c r="AN95" s="15">
        <f t="shared" si="136"/>
        <v>5.5080820063983316E-6</v>
      </c>
      <c r="AO95" s="16">
        <f t="shared" si="137"/>
        <v>27.435471536790402</v>
      </c>
      <c r="AP95" s="17">
        <f t="shared" si="138"/>
        <v>1.3785041287391712E-2</v>
      </c>
      <c r="AQ95" s="18">
        <f t="shared" si="139"/>
        <v>0.20103991989361875</v>
      </c>
      <c r="AR95" s="19">
        <f t="shared" si="200"/>
        <v>999.54278592614708</v>
      </c>
      <c r="AS95" s="15">
        <f t="shared" si="140"/>
        <v>5.4990855718522946E-6</v>
      </c>
      <c r="AT95" s="16">
        <f t="shared" si="141"/>
        <v>27.383742038150693</v>
      </c>
      <c r="AU95" s="17">
        <f t="shared" si="142"/>
        <v>1.3762525968717739E-2</v>
      </c>
      <c r="AV95" s="18">
        <f t="shared" si="143"/>
        <v>0.20141969612172431</v>
      </c>
      <c r="AW95" s="19">
        <f t="shared" si="201"/>
        <v>994.44484125751399</v>
      </c>
      <c r="AX95" s="15">
        <f t="shared" si="144"/>
        <v>5.4888896825150288E-6</v>
      </c>
      <c r="AY95" s="16">
        <f t="shared" si="145"/>
        <v>27.325115674461408</v>
      </c>
      <c r="AZ95" s="17">
        <f t="shared" si="146"/>
        <v>1.3737008782279226E-2</v>
      </c>
      <c r="BA95" s="18">
        <f t="shared" si="147"/>
        <v>0.20185184449758842</v>
      </c>
      <c r="BB95" s="19">
        <f t="shared" si="202"/>
        <v>988.74716855730401</v>
      </c>
      <c r="BC95" s="15">
        <f t="shared" si="148"/>
        <v>5.4774943371146084E-6</v>
      </c>
      <c r="BD95" s="16">
        <f t="shared" si="149"/>
        <v>27.259592438408994</v>
      </c>
      <c r="BE95" s="17">
        <f t="shared" si="150"/>
        <v>1.3708489724892933E-2</v>
      </c>
      <c r="BF95" s="18">
        <f t="shared" si="151"/>
        <v>0.20233703099054548</v>
      </c>
      <c r="BG95" s="19">
        <f t="shared" si="203"/>
        <v>982.44975438563711</v>
      </c>
      <c r="BH95" s="15">
        <f t="shared" si="152"/>
        <v>5.4648995087712746E-6</v>
      </c>
      <c r="BI95" s="16">
        <f t="shared" si="153"/>
        <v>27.187172175434824</v>
      </c>
      <c r="BJ95" s="17">
        <f t="shared" si="154"/>
        <v>1.3676968729287061E-2</v>
      </c>
      <c r="BK95" s="18">
        <f t="shared" si="155"/>
        <v>0.20287600948007697</v>
      </c>
      <c r="BL95" s="19">
        <f t="shared" si="204"/>
        <v>975.55246116168496</v>
      </c>
      <c r="BM95" s="15">
        <f t="shared" si="156"/>
        <v>5.4511049223233701E-6</v>
      </c>
      <c r="BN95" s="16">
        <f t="shared" si="157"/>
        <v>27.107853303359377</v>
      </c>
      <c r="BO95" s="17">
        <f t="shared" si="158"/>
        <v>1.3642445106816305E-2</v>
      </c>
      <c r="BP95" s="18">
        <f t="shared" si="159"/>
        <v>0.20346963436298621</v>
      </c>
      <c r="BQ95" s="19">
        <f t="shared" si="205"/>
        <v>968.05404888793248</v>
      </c>
      <c r="BR95" s="15">
        <f t="shared" si="160"/>
        <v>5.4361080977758656E-6</v>
      </c>
      <c r="BS95" s="16">
        <f t="shared" si="161"/>
        <v>27.021621562211223</v>
      </c>
      <c r="BT95" s="17">
        <f t="shared" si="162"/>
        <v>1.3604912650813112E-2</v>
      </c>
      <c r="BU95" s="18">
        <f t="shared" si="163"/>
        <v>0.20411894923853888</v>
      </c>
      <c r="BV95" s="19">
        <f t="shared" si="206"/>
        <v>959.94469299123341</v>
      </c>
      <c r="BW95" s="15">
        <f t="shared" si="164"/>
        <v>5.4198893859824671E-6</v>
      </c>
      <c r="BX95" s="16">
        <f t="shared" si="165"/>
        <v>26.928363969399186</v>
      </c>
      <c r="BY95" s="17">
        <f t="shared" si="166"/>
        <v>1.3564322185485872E-2</v>
      </c>
      <c r="BZ95" s="18">
        <f t="shared" si="167"/>
        <v>0.204825848546456</v>
      </c>
      <c r="CA95" s="19">
        <f t="shared" si="207"/>
        <v>951.1570560655905</v>
      </c>
      <c r="CB95" s="15">
        <f t="shared" si="168"/>
        <v>5.402314112131182E-6</v>
      </c>
      <c r="CC95" s="16">
        <f t="shared" si="169"/>
        <v>26.827306144754289</v>
      </c>
      <c r="CD95" s="17">
        <f t="shared" si="170"/>
        <v>1.3520336661051825E-2</v>
      </c>
      <c r="CE95" s="18">
        <f t="shared" si="171"/>
        <v>0.20559742264985129</v>
      </c>
      <c r="CF95" s="19">
        <f t="shared" si="208"/>
        <v>941.30055611405248</v>
      </c>
      <c r="CG95" s="15">
        <f t="shared" si="172"/>
        <v>5.3826011122281057E-6</v>
      </c>
      <c r="CH95" s="16">
        <f t="shared" si="173"/>
        <v>26.713956395311605</v>
      </c>
      <c r="CI95" s="17">
        <f t="shared" si="174"/>
        <v>1.3471001063425173E-2</v>
      </c>
      <c r="CJ95" s="18">
        <f t="shared" si="175"/>
        <v>0.20646979123496706</v>
      </c>
      <c r="CK95" s="19">
        <f t="shared" si="209"/>
        <v>928.51613126149687</v>
      </c>
      <c r="CL95" s="15">
        <f t="shared" si="176"/>
        <v>5.3570322625229938E-6</v>
      </c>
      <c r="CM95" s="16">
        <f t="shared" si="177"/>
        <v>26.566935509507211</v>
      </c>
      <c r="CN95" s="17">
        <f t="shared" si="178"/>
        <v>1.340701006829354E-2</v>
      </c>
      <c r="CO95" s="18">
        <f t="shared" si="179"/>
        <v>0.20761239089943909</v>
      </c>
      <c r="CP95" s="19">
        <f t="shared" si="210"/>
        <v>905.87353150215552</v>
      </c>
      <c r="CQ95" s="15">
        <f t="shared" si="180"/>
        <v>5.3117470630043119E-6</v>
      </c>
      <c r="CR95" s="16">
        <f t="shared" si="181"/>
        <v>26.306545612274789</v>
      </c>
      <c r="CS95" s="17">
        <f t="shared" si="182"/>
        <v>1.3293675091735884E-2</v>
      </c>
      <c r="CT95" s="18">
        <f t="shared" si="183"/>
        <v>0.20966739918244442</v>
      </c>
      <c r="CU95" s="19">
        <f t="shared" si="211"/>
        <v>854.68617726783816</v>
      </c>
      <c r="CV95" s="15">
        <f t="shared" si="184"/>
        <v>5.2093723545356771E-6</v>
      </c>
      <c r="CW95" s="16">
        <f t="shared" si="185"/>
        <v>25.717891038580138</v>
      </c>
      <c r="CX95" s="17">
        <f t="shared" si="186"/>
        <v>1.3037462569593787E-2</v>
      </c>
      <c r="CY95" s="18">
        <f t="shared" si="187"/>
        <v>0.21446645806710413</v>
      </c>
      <c r="CZ95" s="20">
        <f t="shared" si="212"/>
        <v>744.27948710972464</v>
      </c>
      <c r="DA95" s="15">
        <f t="shared" si="188"/>
        <v>4.9885589742194497E-6</v>
      </c>
      <c r="DB95" s="16">
        <f t="shared" si="189"/>
        <v>24.448214101761835</v>
      </c>
      <c r="DC95" s="17">
        <f t="shared" si="190"/>
        <v>1.2484834347840401E-2</v>
      </c>
      <c r="DD95" s="18">
        <f t="shared" si="191"/>
        <v>0.22560441335477843</v>
      </c>
    </row>
    <row r="96" spans="2:108" x14ac:dyDescent="0.25">
      <c r="B96">
        <v>77</v>
      </c>
      <c r="C96">
        <f t="shared" si="192"/>
        <v>7.5276329308584355E-2</v>
      </c>
      <c r="D96" s="19">
        <f t="shared" si="109"/>
        <v>1018.749015372078</v>
      </c>
      <c r="E96" s="15">
        <f t="shared" si="110"/>
        <v>5.5374980307441563E-6</v>
      </c>
      <c r="F96" s="16">
        <f t="shared" si="111"/>
        <v>27.604613676778897</v>
      </c>
      <c r="G96" s="17">
        <f t="shared" si="107"/>
        <v>1.3858660581666394E-2</v>
      </c>
      <c r="H96" s="18">
        <f t="shared" si="112"/>
        <v>0.19980808514772891</v>
      </c>
      <c r="I96" s="19">
        <f t="shared" si="193"/>
        <v>1018.4252487630288</v>
      </c>
      <c r="J96" s="15">
        <f t="shared" si="113"/>
        <v>5.5368504975260581E-6</v>
      </c>
      <c r="K96" s="16">
        <f t="shared" si="114"/>
        <v>27.60089036077483</v>
      </c>
      <c r="L96" s="17">
        <f t="shared" si="115"/>
        <v>1.385704000446074E-2</v>
      </c>
      <c r="M96" s="18">
        <f t="shared" si="116"/>
        <v>0.19983503893912652</v>
      </c>
      <c r="N96" s="19">
        <f t="shared" si="194"/>
        <v>1017.5207552020481</v>
      </c>
      <c r="O96" s="15">
        <f t="shared" si="117"/>
        <v>5.5350415104040969E-6</v>
      </c>
      <c r="P96" s="16">
        <f t="shared" si="118"/>
        <v>27.590488684823555</v>
      </c>
      <c r="Q96" s="17">
        <f t="shared" si="108"/>
        <v>1.3858660581666394E-2</v>
      </c>
      <c r="R96" s="18">
        <f t="shared" si="119"/>
        <v>0.19991037719581708</v>
      </c>
      <c r="S96" s="19">
        <f t="shared" si="195"/>
        <v>1016.0199539843758</v>
      </c>
      <c r="T96" s="15">
        <f t="shared" si="120"/>
        <v>5.5320399079687522E-6</v>
      </c>
      <c r="U96" s="16">
        <f t="shared" si="121"/>
        <v>27.573229470820323</v>
      </c>
      <c r="V96" s="17">
        <f t="shared" si="122"/>
        <v>1.3845000573023968E-2</v>
      </c>
      <c r="W96" s="18">
        <f t="shared" si="123"/>
        <v>0.2000355092912483</v>
      </c>
      <c r="X96" s="19">
        <f t="shared" si="196"/>
        <v>1013.920640324849</v>
      </c>
      <c r="Y96" s="15">
        <f t="shared" si="124"/>
        <v>5.5278412806496985E-6</v>
      </c>
      <c r="Z96" s="16">
        <f t="shared" si="125"/>
        <v>27.549087363735765</v>
      </c>
      <c r="AA96" s="17">
        <f t="shared" si="126"/>
        <v>1.3834492695531168E-2</v>
      </c>
      <c r="AB96" s="18">
        <f t="shared" si="127"/>
        <v>0.20021080652059972</v>
      </c>
      <c r="AC96" s="19">
        <f t="shared" si="197"/>
        <v>1011.2216473772793</v>
      </c>
      <c r="AD96" s="15">
        <f t="shared" si="128"/>
        <v>5.5224432947545585E-6</v>
      </c>
      <c r="AE96" s="16">
        <f t="shared" si="129"/>
        <v>27.518048944838711</v>
      </c>
      <c r="AF96" s="17">
        <f t="shared" si="130"/>
        <v>1.3820983191070843E-2</v>
      </c>
      <c r="AG96" s="18">
        <f t="shared" si="131"/>
        <v>0.20043663019338118</v>
      </c>
      <c r="AH96" s="19">
        <f t="shared" si="198"/>
        <v>1007.9229125960607</v>
      </c>
      <c r="AI96" s="15">
        <f t="shared" si="132"/>
        <v>5.5158458251921218E-6</v>
      </c>
      <c r="AJ96" s="16">
        <f t="shared" si="133"/>
        <v>27.480113494854699</v>
      </c>
      <c r="AK96" s="17">
        <f t="shared" si="134"/>
        <v>1.3804471746578034E-2</v>
      </c>
      <c r="AL96" s="18">
        <f t="shared" si="135"/>
        <v>0.20071332678566742</v>
      </c>
      <c r="AM96" s="19">
        <f t="shared" si="199"/>
        <v>1004.0244448158923</v>
      </c>
      <c r="AN96" s="15">
        <f t="shared" si="136"/>
        <v>5.5080488896317852E-6</v>
      </c>
      <c r="AO96" s="16">
        <f t="shared" si="137"/>
        <v>27.435281115382761</v>
      </c>
      <c r="AP96" s="17">
        <f t="shared" si="138"/>
        <v>1.3784958406273817E-2</v>
      </c>
      <c r="AQ96" s="18">
        <f t="shared" si="139"/>
        <v>0.20104131526129795</v>
      </c>
      <c r="AR96" s="19">
        <f t="shared" si="200"/>
        <v>999.52625104061678</v>
      </c>
      <c r="AS96" s="15">
        <f t="shared" si="140"/>
        <v>5.4990525020812333E-6</v>
      </c>
      <c r="AT96" s="16">
        <f t="shared" si="141"/>
        <v>27.383551886967091</v>
      </c>
      <c r="AU96" s="17">
        <f t="shared" si="142"/>
        <v>1.3762443205215143E-2</v>
      </c>
      <c r="AV96" s="18">
        <f t="shared" si="143"/>
        <v>0.20142109477861792</v>
      </c>
      <c r="AW96" s="19">
        <f t="shared" si="201"/>
        <v>994.42833341949063</v>
      </c>
      <c r="AX96" s="15">
        <f t="shared" si="144"/>
        <v>5.4888566668389813E-6</v>
      </c>
      <c r="AY96" s="16">
        <f t="shared" si="145"/>
        <v>27.324925834324141</v>
      </c>
      <c r="AZ96" s="17">
        <f t="shared" si="146"/>
        <v>1.3736926154159871E-2</v>
      </c>
      <c r="BA96" s="18">
        <f t="shared" si="147"/>
        <v>0.20185324686486653</v>
      </c>
      <c r="BB96" s="19">
        <f t="shared" si="202"/>
        <v>988.73069117187049</v>
      </c>
      <c r="BC96" s="15">
        <f t="shared" si="148"/>
        <v>5.4774613823437416E-6</v>
      </c>
      <c r="BD96" s="16">
        <f t="shared" si="149"/>
        <v>27.259402948476509</v>
      </c>
      <c r="BE96" s="17">
        <f t="shared" si="150"/>
        <v>1.3708407249200579E-2</v>
      </c>
      <c r="BF96" s="18">
        <f t="shared" si="151"/>
        <v>0.20233843750815755</v>
      </c>
      <c r="BG96" s="19">
        <f t="shared" si="203"/>
        <v>982.4333092528102</v>
      </c>
      <c r="BH96" s="15">
        <f t="shared" si="152"/>
        <v>5.4648666185056209E-6</v>
      </c>
      <c r="BI96" s="16">
        <f t="shared" si="153"/>
        <v>27.186983056407314</v>
      </c>
      <c r="BJ96" s="17">
        <f t="shared" si="154"/>
        <v>1.3676886415031488E-2</v>
      </c>
      <c r="BK96" s="18">
        <f t="shared" si="155"/>
        <v>0.20287742073315856</v>
      </c>
      <c r="BL96" s="19">
        <f t="shared" si="204"/>
        <v>975.53603604017906</v>
      </c>
      <c r="BM96" s="15">
        <f t="shared" si="156"/>
        <v>5.4510720720803586E-6</v>
      </c>
      <c r="BN96" s="16">
        <f t="shared" si="157"/>
        <v>27.107664414462057</v>
      </c>
      <c r="BO96" s="17">
        <f t="shared" si="158"/>
        <v>1.364236289272514E-2</v>
      </c>
      <c r="BP96" s="18">
        <f t="shared" si="159"/>
        <v>0.20347105215960215</v>
      </c>
      <c r="BQ96" s="19">
        <f t="shared" si="205"/>
        <v>968.03752467957793</v>
      </c>
      <c r="BR96" s="15">
        <f t="shared" si="160"/>
        <v>5.4360750493591563E-6</v>
      </c>
      <c r="BS96" s="16">
        <f t="shared" si="161"/>
        <v>27.021431533815147</v>
      </c>
      <c r="BT96" s="17">
        <f t="shared" si="162"/>
        <v>1.3604829940753915E-2</v>
      </c>
      <c r="BU96" s="18">
        <f t="shared" si="163"/>
        <v>0.20412038470640015</v>
      </c>
      <c r="BV96" s="19">
        <f t="shared" si="206"/>
        <v>959.92725506768761</v>
      </c>
      <c r="BW96" s="15">
        <f t="shared" si="164"/>
        <v>5.4198545101353761E-6</v>
      </c>
      <c r="BX96" s="16">
        <f t="shared" si="165"/>
        <v>26.928163433278407</v>
      </c>
      <c r="BY96" s="17">
        <f t="shared" si="166"/>
        <v>1.3564234901928453E-2</v>
      </c>
      <c r="BZ96" s="18">
        <f t="shared" si="167"/>
        <v>0.20482737390042988</v>
      </c>
      <c r="CA96" s="19">
        <f t="shared" si="207"/>
        <v>951.13412797469107</v>
      </c>
      <c r="CB96" s="15">
        <f t="shared" si="168"/>
        <v>5.402268255949383E-6</v>
      </c>
      <c r="CC96" s="16">
        <f t="shared" si="169"/>
        <v>26.827042471708946</v>
      </c>
      <c r="CD96" s="17">
        <f t="shared" si="170"/>
        <v>1.3520221897081597E-2</v>
      </c>
      <c r="CE96" s="18">
        <f t="shared" si="171"/>
        <v>0.20559944339062441</v>
      </c>
      <c r="CF96" s="19">
        <f t="shared" si="208"/>
        <v>941.25140397196435</v>
      </c>
      <c r="CG96" s="15">
        <f t="shared" si="172"/>
        <v>5.3825028079439295E-6</v>
      </c>
      <c r="CH96" s="16">
        <f t="shared" si="173"/>
        <v>26.713391145677591</v>
      </c>
      <c r="CI96" s="17">
        <f t="shared" si="174"/>
        <v>1.3470755037927639E-2</v>
      </c>
      <c r="CJ96" s="18">
        <f t="shared" si="175"/>
        <v>0.20647416009151898</v>
      </c>
      <c r="CK96" s="19">
        <f t="shared" si="209"/>
        <v>928.36929806190449</v>
      </c>
      <c r="CL96" s="15">
        <f t="shared" si="176"/>
        <v>5.3567385961238097E-6</v>
      </c>
      <c r="CM96" s="16">
        <f t="shared" si="177"/>
        <v>26.5652469277119</v>
      </c>
      <c r="CN96" s="17">
        <f t="shared" si="178"/>
        <v>1.3406275111291671E-2</v>
      </c>
      <c r="CO96" s="18">
        <f t="shared" si="179"/>
        <v>0.2076255874831075</v>
      </c>
      <c r="CP96" s="19">
        <f t="shared" si="210"/>
        <v>905.46335865193828</v>
      </c>
      <c r="CQ96" s="15">
        <f t="shared" si="180"/>
        <v>5.310926717303877E-6</v>
      </c>
      <c r="CR96" s="16">
        <f t="shared" si="181"/>
        <v>26.30182862449729</v>
      </c>
      <c r="CS96" s="17">
        <f t="shared" si="182"/>
        <v>1.3291622017846044E-2</v>
      </c>
      <c r="CT96" s="18">
        <f t="shared" si="183"/>
        <v>0.20970500107596304</v>
      </c>
      <c r="CU96" s="19">
        <f t="shared" si="211"/>
        <v>853.84253395021233</v>
      </c>
      <c r="CV96" s="15">
        <f t="shared" si="184"/>
        <v>5.2076850679004251E-6</v>
      </c>
      <c r="CW96" s="16">
        <f t="shared" si="185"/>
        <v>25.708189140427443</v>
      </c>
      <c r="CX96" s="17">
        <f t="shared" si="186"/>
        <v>1.3033239808221752E-2</v>
      </c>
      <c r="CY96" s="18">
        <f t="shared" si="187"/>
        <v>0.21454739460145006</v>
      </c>
      <c r="CZ96" s="20">
        <f t="shared" si="212"/>
        <v>743.23539788429639</v>
      </c>
      <c r="DA96" s="15">
        <f t="shared" si="188"/>
        <v>4.9864707957685931E-6</v>
      </c>
      <c r="DB96" s="16">
        <f t="shared" si="189"/>
        <v>24.436207075669408</v>
      </c>
      <c r="DC96" s="17">
        <f t="shared" si="190"/>
        <v>1.2479608277108872E-2</v>
      </c>
      <c r="DD96" s="18">
        <f t="shared" si="191"/>
        <v>0.22571526681371865</v>
      </c>
    </row>
    <row r="97" spans="2:108" x14ac:dyDescent="0.25">
      <c r="B97">
        <v>78</v>
      </c>
      <c r="C97">
        <f t="shared" si="192"/>
        <v>7.6253943974929614E-2</v>
      </c>
      <c r="D97" s="19">
        <f t="shared" si="109"/>
        <v>1018.7324854845804</v>
      </c>
      <c r="E97" s="15">
        <f t="shared" si="110"/>
        <v>5.5374649709691612E-6</v>
      </c>
      <c r="F97" s="16">
        <f t="shared" si="111"/>
        <v>27.604423583072673</v>
      </c>
      <c r="G97" s="17">
        <f t="shared" si="107"/>
        <v>1.3858577843180887E-2</v>
      </c>
      <c r="H97" s="18">
        <f t="shared" si="112"/>
        <v>0.19980946109601941</v>
      </c>
      <c r="I97" s="19">
        <f t="shared" si="193"/>
        <v>1018.4086897437708</v>
      </c>
      <c r="J97" s="15">
        <f t="shared" si="113"/>
        <v>5.5368173794875425E-6</v>
      </c>
      <c r="K97" s="16">
        <f t="shared" si="114"/>
        <v>27.600699932053363</v>
      </c>
      <c r="L97" s="17">
        <f t="shared" si="115"/>
        <v>1.3856957120159497E-2</v>
      </c>
      <c r="M97" s="18">
        <f t="shared" si="116"/>
        <v>0.19983641768426932</v>
      </c>
      <c r="N97" s="19">
        <f t="shared" si="194"/>
        <v>1017.5041596757667</v>
      </c>
      <c r="O97" s="15">
        <f t="shared" si="117"/>
        <v>5.5350083193515337E-6</v>
      </c>
      <c r="P97" s="16">
        <f t="shared" si="118"/>
        <v>27.590297836271318</v>
      </c>
      <c r="Q97" s="17">
        <f t="shared" si="108"/>
        <v>1.3858577843180887E-2</v>
      </c>
      <c r="R97" s="18">
        <f t="shared" si="119"/>
        <v>0.19991176002271846</v>
      </c>
      <c r="S97" s="19">
        <f t="shared" si="195"/>
        <v>1016.0033440410652</v>
      </c>
      <c r="T97" s="15">
        <f t="shared" si="120"/>
        <v>5.5320066880821303E-6</v>
      </c>
      <c r="U97" s="16">
        <f t="shared" si="121"/>
        <v>27.573038456472247</v>
      </c>
      <c r="V97" s="17">
        <f t="shared" si="122"/>
        <v>1.3844917433828124E-2</v>
      </c>
      <c r="W97" s="18">
        <f t="shared" si="123"/>
        <v>0.20003689505264921</v>
      </c>
      <c r="X97" s="19">
        <f t="shared" si="196"/>
        <v>1013.9040337947696</v>
      </c>
      <c r="Y97" s="15">
        <f t="shared" si="124"/>
        <v>5.5278080675895396E-6</v>
      </c>
      <c r="Z97" s="16">
        <f t="shared" si="125"/>
        <v>27.54889638863985</v>
      </c>
      <c r="AA97" s="17">
        <f t="shared" si="126"/>
        <v>1.383440957341987E-2</v>
      </c>
      <c r="AB97" s="18">
        <f t="shared" si="127"/>
        <v>0.20021219442657748</v>
      </c>
      <c r="AC97" s="19">
        <f t="shared" si="197"/>
        <v>1011.2050528009232</v>
      </c>
      <c r="AD97" s="15">
        <f t="shared" si="128"/>
        <v>5.522410105601847E-6</v>
      </c>
      <c r="AE97" s="16">
        <f t="shared" si="129"/>
        <v>27.517858107210614</v>
      </c>
      <c r="AF97" s="17">
        <f t="shared" si="130"/>
        <v>1.3820900128792562E-2</v>
      </c>
      <c r="AG97" s="18">
        <f t="shared" si="131"/>
        <v>0.20043802023075041</v>
      </c>
      <c r="AH97" s="19">
        <f t="shared" si="198"/>
        <v>1007.9063344280275</v>
      </c>
      <c r="AI97" s="15">
        <f t="shared" si="132"/>
        <v>5.515812668856056E-6</v>
      </c>
      <c r="AJ97" s="16">
        <f t="shared" si="133"/>
        <v>27.479922845922317</v>
      </c>
      <c r="AK97" s="17">
        <f t="shared" si="134"/>
        <v>1.3804388766429757E-2</v>
      </c>
      <c r="AL97" s="18">
        <f t="shared" si="135"/>
        <v>0.2007147192852636</v>
      </c>
      <c r="AM97" s="19">
        <f t="shared" si="199"/>
        <v>1004.0078866236416</v>
      </c>
      <c r="AN97" s="15">
        <f t="shared" si="136"/>
        <v>5.5080157732472836E-6</v>
      </c>
      <c r="AO97" s="16">
        <f t="shared" si="137"/>
        <v>27.435090696171876</v>
      </c>
      <c r="AP97" s="17">
        <f t="shared" si="138"/>
        <v>1.3784875526112064E-2</v>
      </c>
      <c r="AQ97" s="18">
        <f t="shared" si="139"/>
        <v>0.20104271063224938</v>
      </c>
      <c r="AR97" s="19">
        <f t="shared" si="200"/>
        <v>999.50971634698078</v>
      </c>
      <c r="AS97" s="15">
        <f t="shared" si="140"/>
        <v>5.4990194326939618E-6</v>
      </c>
      <c r="AT97" s="16">
        <f t="shared" si="141"/>
        <v>27.383361737990278</v>
      </c>
      <c r="AU97" s="17">
        <f t="shared" si="142"/>
        <v>1.3762360442673052E-2</v>
      </c>
      <c r="AV97" s="18">
        <f t="shared" si="143"/>
        <v>0.20142249343870383</v>
      </c>
      <c r="AW97" s="19">
        <f t="shared" si="201"/>
        <v>994.41182577156485</v>
      </c>
      <c r="AX97" s="15">
        <f t="shared" si="144"/>
        <v>5.4888236515431304E-6</v>
      </c>
      <c r="AY97" s="16">
        <f t="shared" si="145"/>
        <v>27.324735996372993</v>
      </c>
      <c r="AZ97" s="17">
        <f t="shared" si="146"/>
        <v>1.373684352699203E-2</v>
      </c>
      <c r="BA97" s="18">
        <f t="shared" si="147"/>
        <v>0.2018546492354813</v>
      </c>
      <c r="BB97" s="19">
        <f t="shared" si="202"/>
        <v>988.71421395334301</v>
      </c>
      <c r="BC97" s="15">
        <f t="shared" si="148"/>
        <v>5.4774284279066863E-6</v>
      </c>
      <c r="BD97" s="16">
        <f t="shared" si="149"/>
        <v>27.259213460463442</v>
      </c>
      <c r="BE97" s="17">
        <f t="shared" si="150"/>
        <v>1.3708324774343654E-2</v>
      </c>
      <c r="BF97" s="18">
        <f t="shared" si="151"/>
        <v>0.20233984403107672</v>
      </c>
      <c r="BG97" s="19">
        <f t="shared" si="203"/>
        <v>982.41686408368173</v>
      </c>
      <c r="BH97" s="15">
        <f t="shared" si="152"/>
        <v>5.4648337281673637E-6</v>
      </c>
      <c r="BI97" s="16">
        <f t="shared" si="153"/>
        <v>27.186793936962339</v>
      </c>
      <c r="BJ97" s="17">
        <f t="shared" si="154"/>
        <v>1.3676804100594211E-2</v>
      </c>
      <c r="BK97" s="18">
        <f t="shared" si="155"/>
        <v>0.20287883200898962</v>
      </c>
      <c r="BL97" s="19">
        <f t="shared" si="204"/>
        <v>975.51960934358306</v>
      </c>
      <c r="BM97" s="15">
        <f t="shared" si="156"/>
        <v>5.4510392186871662E-6</v>
      </c>
      <c r="BN97" s="16">
        <f t="shared" si="157"/>
        <v>27.107475507451205</v>
      </c>
      <c r="BO97" s="17">
        <f t="shared" si="158"/>
        <v>1.3642280670750039E-2</v>
      </c>
      <c r="BP97" s="18">
        <f t="shared" si="159"/>
        <v>0.20347247011193959</v>
      </c>
      <c r="BQ97" s="19">
        <f t="shared" si="205"/>
        <v>968.0209889260052</v>
      </c>
      <c r="BR97" s="15">
        <f t="shared" si="160"/>
        <v>5.4360419778520112E-6</v>
      </c>
      <c r="BS97" s="16">
        <f t="shared" si="161"/>
        <v>27.021241372649058</v>
      </c>
      <c r="BT97" s="17">
        <f t="shared" si="162"/>
        <v>1.3604747172906431E-2</v>
      </c>
      <c r="BU97" s="18">
        <f t="shared" si="163"/>
        <v>0.20412182119741265</v>
      </c>
      <c r="BV97" s="19">
        <f t="shared" si="206"/>
        <v>959.90975187721153</v>
      </c>
      <c r="BW97" s="15">
        <f t="shared" si="164"/>
        <v>5.4198195037544238E-6</v>
      </c>
      <c r="BX97" s="16">
        <f t="shared" si="165"/>
        <v>26.92796214658793</v>
      </c>
      <c r="BY97" s="17">
        <f t="shared" si="166"/>
        <v>1.3564147291684779E-2</v>
      </c>
      <c r="BZ97" s="18">
        <f t="shared" si="167"/>
        <v>0.20482890498636899</v>
      </c>
      <c r="CA97" s="19">
        <f t="shared" si="207"/>
        <v>951.11090445521688</v>
      </c>
      <c r="CB97" s="15">
        <f t="shared" si="168"/>
        <v>5.4022218089104343E-6</v>
      </c>
      <c r="CC97" s="16">
        <f t="shared" si="169"/>
        <v>26.826775401234993</v>
      </c>
      <c r="CD97" s="17">
        <f t="shared" si="170"/>
        <v>1.3520105654376998E-2</v>
      </c>
      <c r="CE97" s="18">
        <f t="shared" si="171"/>
        <v>0.20560149020914692</v>
      </c>
      <c r="CF97" s="19">
        <f t="shared" si="208"/>
        <v>941.20123379587858</v>
      </c>
      <c r="CG97" s="15">
        <f t="shared" si="172"/>
        <v>5.3824024675917576E-6</v>
      </c>
      <c r="CH97" s="16">
        <f t="shared" si="173"/>
        <v>26.712814188652601</v>
      </c>
      <c r="CI97" s="17">
        <f t="shared" si="174"/>
        <v>1.347050391677587E-2</v>
      </c>
      <c r="CJ97" s="18">
        <f t="shared" si="175"/>
        <v>0.20647861962604433</v>
      </c>
      <c r="CK97" s="19">
        <f t="shared" si="209"/>
        <v>928.22009306158122</v>
      </c>
      <c r="CL97" s="15">
        <f t="shared" si="176"/>
        <v>5.3564401861231628E-6</v>
      </c>
      <c r="CM97" s="16">
        <f t="shared" si="177"/>
        <v>26.563531070208185</v>
      </c>
      <c r="CN97" s="17">
        <f t="shared" si="178"/>
        <v>1.3405528282509035E-2</v>
      </c>
      <c r="CO97" s="18">
        <f t="shared" si="179"/>
        <v>0.20763899895017882</v>
      </c>
      <c r="CP97" s="19">
        <f t="shared" si="210"/>
        <v>905.05066848269439</v>
      </c>
      <c r="CQ97" s="15">
        <f t="shared" si="180"/>
        <v>5.3101013369653897E-6</v>
      </c>
      <c r="CR97" s="16">
        <f t="shared" si="181"/>
        <v>26.297082687550983</v>
      </c>
      <c r="CS97" s="17">
        <f t="shared" si="182"/>
        <v>1.3289556343800047E-2</v>
      </c>
      <c r="CT97" s="18">
        <f t="shared" si="183"/>
        <v>0.20974284735436041</v>
      </c>
      <c r="CU97" s="19">
        <f t="shared" si="211"/>
        <v>853.00189684116287</v>
      </c>
      <c r="CV97" s="15">
        <f t="shared" si="184"/>
        <v>5.206003793682326E-6</v>
      </c>
      <c r="CW97" s="16">
        <f t="shared" si="185"/>
        <v>25.698521813673374</v>
      </c>
      <c r="CX97" s="17">
        <f t="shared" si="186"/>
        <v>1.3029032094087322E-2</v>
      </c>
      <c r="CY97" s="18">
        <f t="shared" si="187"/>
        <v>0.21462810351470527</v>
      </c>
      <c r="CZ97" s="20">
        <f t="shared" si="212"/>
        <v>742.20108744902154</v>
      </c>
      <c r="DA97" s="15">
        <f t="shared" si="188"/>
        <v>4.9844021748980435E-6</v>
      </c>
      <c r="DB97" s="16">
        <f t="shared" si="189"/>
        <v>24.42431250566375</v>
      </c>
      <c r="DC97" s="17">
        <f t="shared" si="190"/>
        <v>1.2474431153007351E-2</v>
      </c>
      <c r="DD97" s="18">
        <f t="shared" si="191"/>
        <v>0.22582518950005176</v>
      </c>
    </row>
    <row r="98" spans="2:108" x14ac:dyDescent="0.25">
      <c r="B98">
        <v>79</v>
      </c>
      <c r="C98">
        <f t="shared" si="192"/>
        <v>7.7231558641274872E-2</v>
      </c>
      <c r="D98" s="19">
        <f t="shared" si="109"/>
        <v>1018.7159541097622</v>
      </c>
      <c r="E98" s="15">
        <f t="shared" si="110"/>
        <v>5.5374319082195245E-6</v>
      </c>
      <c r="F98" s="16">
        <f t="shared" si="111"/>
        <v>27.604233472262266</v>
      </c>
      <c r="G98" s="17">
        <f t="shared" si="107"/>
        <v>1.3858495097250763E-2</v>
      </c>
      <c r="H98" s="18">
        <f t="shared" si="112"/>
        <v>0.19981083718706769</v>
      </c>
      <c r="I98" s="19">
        <f t="shared" si="193"/>
        <v>1018.3921302663449</v>
      </c>
      <c r="J98" s="15">
        <f t="shared" si="113"/>
        <v>5.5367842605326899E-6</v>
      </c>
      <c r="K98" s="16">
        <f t="shared" si="114"/>
        <v>27.600509498062966</v>
      </c>
      <c r="L98" s="17">
        <f t="shared" si="115"/>
        <v>1.3856874233564942E-2</v>
      </c>
      <c r="M98" s="18">
        <f t="shared" si="116"/>
        <v>0.19983779648658634</v>
      </c>
      <c r="N98" s="19">
        <f t="shared" si="194"/>
        <v>1017.4875643784391</v>
      </c>
      <c r="O98" s="15">
        <f t="shared" si="117"/>
        <v>5.5349751287568789E-6</v>
      </c>
      <c r="P98" s="16">
        <f t="shared" si="118"/>
        <v>27.590106990352048</v>
      </c>
      <c r="Q98" s="17">
        <f t="shared" si="108"/>
        <v>1.3858495097250763E-2</v>
      </c>
      <c r="R98" s="18">
        <f t="shared" si="119"/>
        <v>0.19991314284967263</v>
      </c>
      <c r="S98" s="19">
        <f t="shared" si="195"/>
        <v>1015.9867344186129</v>
      </c>
      <c r="T98" s="15">
        <f t="shared" si="120"/>
        <v>5.5319734688372256E-6</v>
      </c>
      <c r="U98" s="16">
        <f t="shared" si="121"/>
        <v>27.572847445814048</v>
      </c>
      <c r="V98" s="17">
        <f t="shared" si="122"/>
        <v>1.3844834296238303E-2</v>
      </c>
      <c r="W98" s="18">
        <f t="shared" si="123"/>
        <v>0.20003828080648053</v>
      </c>
      <c r="X98" s="19">
        <f t="shared" si="196"/>
        <v>1013.8874275092469</v>
      </c>
      <c r="Y98" s="15">
        <f t="shared" si="124"/>
        <v>5.5277748550184939E-6</v>
      </c>
      <c r="Z98" s="16">
        <f t="shared" si="125"/>
        <v>27.548705416356338</v>
      </c>
      <c r="AA98" s="17">
        <f t="shared" si="126"/>
        <v>1.3834326452532674E-2</v>
      </c>
      <c r="AB98" s="18">
        <f t="shared" si="127"/>
        <v>0.20021358233135844</v>
      </c>
      <c r="AC98" s="19">
        <f t="shared" si="197"/>
        <v>1011.1884584251353</v>
      </c>
      <c r="AD98" s="15">
        <f t="shared" si="128"/>
        <v>5.5223769168502707E-6</v>
      </c>
      <c r="AE98" s="16">
        <f t="shared" si="129"/>
        <v>27.517667271889053</v>
      </c>
      <c r="AF98" s="17">
        <f t="shared" si="130"/>
        <v>1.3820817067518197E-2</v>
      </c>
      <c r="AG98" s="18">
        <f t="shared" si="131"/>
        <v>0.20043941027059883</v>
      </c>
      <c r="AH98" s="19">
        <f t="shared" si="198"/>
        <v>1007.8897564508366</v>
      </c>
      <c r="AI98" s="15">
        <f t="shared" si="132"/>
        <v>5.5157795129016733E-6</v>
      </c>
      <c r="AJ98" s="16">
        <f t="shared" si="133"/>
        <v>27.479732199184618</v>
      </c>
      <c r="AK98" s="17">
        <f t="shared" si="134"/>
        <v>1.3804305787236718E-2</v>
      </c>
      <c r="AL98" s="18">
        <f t="shared" si="135"/>
        <v>0.2007161117881513</v>
      </c>
      <c r="AM98" s="19">
        <f t="shared" si="199"/>
        <v>1003.9913286224205</v>
      </c>
      <c r="AN98" s="15">
        <f t="shared" si="136"/>
        <v>5.5079826572448413E-6</v>
      </c>
      <c r="AO98" s="16">
        <f t="shared" si="137"/>
        <v>27.434900279157837</v>
      </c>
      <c r="AP98" s="17">
        <f t="shared" si="138"/>
        <v>1.3784792646906487E-2</v>
      </c>
      <c r="AQ98" s="18">
        <f t="shared" si="139"/>
        <v>0.20104410600647213</v>
      </c>
      <c r="AR98" s="19">
        <f t="shared" si="200"/>
        <v>999.49318184519927</v>
      </c>
      <c r="AS98" s="15">
        <f t="shared" si="140"/>
        <v>5.4989863636903987E-6</v>
      </c>
      <c r="AT98" s="16">
        <f t="shared" si="141"/>
        <v>27.383171591219792</v>
      </c>
      <c r="AU98" s="17">
        <f t="shared" si="142"/>
        <v>1.3762277681091268E-2</v>
      </c>
      <c r="AV98" s="18">
        <f t="shared" si="143"/>
        <v>0.20142389210198514</v>
      </c>
      <c r="AW98" s="19">
        <f t="shared" si="201"/>
        <v>994.39531831342072</v>
      </c>
      <c r="AX98" s="15">
        <f t="shared" si="144"/>
        <v>5.4887906366268418E-6</v>
      </c>
      <c r="AY98" s="16">
        <f t="shared" si="145"/>
        <v>27.324546160604335</v>
      </c>
      <c r="AZ98" s="17">
        <f t="shared" si="146"/>
        <v>1.3736760900774119E-2</v>
      </c>
      <c r="BA98" s="18">
        <f t="shared" si="147"/>
        <v>0.20185605160945924</v>
      </c>
      <c r="BB98" s="19">
        <f t="shared" si="202"/>
        <v>988.6977368990913</v>
      </c>
      <c r="BC98" s="15">
        <f t="shared" si="148"/>
        <v>5.4773954737981831E-6</v>
      </c>
      <c r="BD98" s="16">
        <f t="shared" si="149"/>
        <v>27.259023974339549</v>
      </c>
      <c r="BE98" s="17">
        <f t="shared" si="150"/>
        <v>1.3708242300308995E-2</v>
      </c>
      <c r="BF98" s="18">
        <f t="shared" si="151"/>
        <v>0.20234125055952729</v>
      </c>
      <c r="BG98" s="19">
        <f t="shared" si="203"/>
        <v>982.40041885885853</v>
      </c>
      <c r="BH98" s="15">
        <f t="shared" si="152"/>
        <v>5.4648008377177174E-6</v>
      </c>
      <c r="BI98" s="16">
        <f t="shared" si="153"/>
        <v>27.186604816876873</v>
      </c>
      <c r="BJ98" s="17">
        <f t="shared" si="154"/>
        <v>1.3676721785878162E-2</v>
      </c>
      <c r="BK98" s="18">
        <f t="shared" si="155"/>
        <v>0.20288024330923499</v>
      </c>
      <c r="BL98" s="19">
        <f t="shared" si="204"/>
        <v>975.50318095004582</v>
      </c>
      <c r="BM98" s="15">
        <f t="shared" si="156"/>
        <v>5.4510063619000916E-6</v>
      </c>
      <c r="BN98" s="16">
        <f t="shared" si="157"/>
        <v>27.107286580925525</v>
      </c>
      <c r="BO98" s="17">
        <f t="shared" si="158"/>
        <v>1.3642198440281089E-2</v>
      </c>
      <c r="BP98" s="18">
        <f t="shared" si="159"/>
        <v>0.20347388823052315</v>
      </c>
      <c r="BQ98" s="19">
        <f t="shared" si="205"/>
        <v>968.00444099707818</v>
      </c>
      <c r="BR98" s="15">
        <f t="shared" si="160"/>
        <v>5.4360088819941563E-6</v>
      </c>
      <c r="BS98" s="16">
        <f t="shared" si="161"/>
        <v>27.021051071466399</v>
      </c>
      <c r="BT98" s="17">
        <f t="shared" si="162"/>
        <v>1.3604664344116583E-2</v>
      </c>
      <c r="BU98" s="18">
        <f t="shared" si="163"/>
        <v>0.20412325876636131</v>
      </c>
      <c r="BV98" s="19">
        <f t="shared" si="206"/>
        <v>959.89218088233974</v>
      </c>
      <c r="BW98" s="15">
        <f t="shared" si="164"/>
        <v>5.4197843617646807E-6</v>
      </c>
      <c r="BX98" s="16">
        <f t="shared" si="165"/>
        <v>26.927760080146907</v>
      </c>
      <c r="BY98" s="17">
        <f t="shared" si="166"/>
        <v>1.3564059342053861E-2</v>
      </c>
      <c r="BZ98" s="18">
        <f t="shared" si="167"/>
        <v>0.2048304420264988</v>
      </c>
      <c r="CA98" s="19">
        <f t="shared" si="207"/>
        <v>951.08737840125843</v>
      </c>
      <c r="CB98" s="15">
        <f t="shared" si="168"/>
        <v>5.402174756802518E-6</v>
      </c>
      <c r="CC98" s="16">
        <f t="shared" si="169"/>
        <v>26.826504851614473</v>
      </c>
      <c r="CD98" s="17">
        <f t="shared" si="170"/>
        <v>1.3519987897370196E-2</v>
      </c>
      <c r="CE98" s="18">
        <f t="shared" si="171"/>
        <v>0.20560356373327771</v>
      </c>
      <c r="CF98" s="19">
        <f t="shared" si="208"/>
        <v>941.15003619848164</v>
      </c>
      <c r="CG98" s="15">
        <f t="shared" si="172"/>
        <v>5.3823000723969641E-6</v>
      </c>
      <c r="CH98" s="16">
        <f t="shared" si="173"/>
        <v>26.712225416282536</v>
      </c>
      <c r="CI98" s="17">
        <f t="shared" si="174"/>
        <v>1.3470247652982733E-2</v>
      </c>
      <c r="CJ98" s="18">
        <f t="shared" si="175"/>
        <v>0.20648317068475808</v>
      </c>
      <c r="CK98" s="19">
        <f t="shared" si="209"/>
        <v>928.06853208834264</v>
      </c>
      <c r="CL98" s="15">
        <f t="shared" si="176"/>
        <v>5.356137064176686E-6</v>
      </c>
      <c r="CM98" s="16">
        <f t="shared" si="177"/>
        <v>26.56178811901594</v>
      </c>
      <c r="CN98" s="17">
        <f t="shared" si="178"/>
        <v>1.3404769661169985E-2</v>
      </c>
      <c r="CO98" s="18">
        <f t="shared" si="179"/>
        <v>0.207652623960632</v>
      </c>
      <c r="CP98" s="19">
        <f t="shared" si="210"/>
        <v>904.63553963750292</v>
      </c>
      <c r="CQ98" s="15">
        <f t="shared" si="180"/>
        <v>5.3092710792750061E-6</v>
      </c>
      <c r="CR98" s="16">
        <f t="shared" si="181"/>
        <v>26.292308705831282</v>
      </c>
      <c r="CS98" s="17">
        <f t="shared" si="182"/>
        <v>1.3287478463236935E-2</v>
      </c>
      <c r="CT98" s="18">
        <f t="shared" si="183"/>
        <v>0.20978093105900236</v>
      </c>
      <c r="CU98" s="19">
        <f t="shared" si="211"/>
        <v>852.16428671275582</v>
      </c>
      <c r="CV98" s="15">
        <f t="shared" si="184"/>
        <v>5.2043285734255126E-6</v>
      </c>
      <c r="CW98" s="16">
        <f t="shared" si="185"/>
        <v>25.688889297196692</v>
      </c>
      <c r="CX98" s="17">
        <f t="shared" si="186"/>
        <v>1.302483953116273E-2</v>
      </c>
      <c r="CY98" s="18">
        <f t="shared" si="187"/>
        <v>0.21470858222748829</v>
      </c>
      <c r="CZ98" s="20">
        <f t="shared" si="212"/>
        <v>741.17632723757185</v>
      </c>
      <c r="DA98" s="15">
        <f t="shared" si="188"/>
        <v>4.9823526544751443E-6</v>
      </c>
      <c r="DB98" s="16">
        <f t="shared" si="189"/>
        <v>24.412527763232077</v>
      </c>
      <c r="DC98" s="17">
        <f t="shared" si="190"/>
        <v>1.2469301831472886E-2</v>
      </c>
      <c r="DD98" s="18">
        <f t="shared" si="191"/>
        <v>0.22593420286067759</v>
      </c>
    </row>
    <row r="99" spans="2:108" x14ac:dyDescent="0.25">
      <c r="B99">
        <v>80</v>
      </c>
      <c r="C99">
        <f t="shared" si="192"/>
        <v>7.8209173307620117E-2</v>
      </c>
      <c r="D99" s="19">
        <f t="shared" si="109"/>
        <v>1018.6994213001668</v>
      </c>
      <c r="E99" s="15">
        <f t="shared" si="110"/>
        <v>5.5373988426003341E-6</v>
      </c>
      <c r="F99" s="16">
        <f t="shared" si="111"/>
        <v>27.604043344951918</v>
      </c>
      <c r="G99" s="17">
        <f t="shared" si="107"/>
        <v>1.3858412344139025E-2</v>
      </c>
      <c r="H99" s="18">
        <f t="shared" si="112"/>
        <v>0.19981221341650546</v>
      </c>
      <c r="I99" s="19">
        <f t="shared" si="193"/>
        <v>1018.3755703379188</v>
      </c>
      <c r="J99" s="15">
        <f t="shared" si="113"/>
        <v>5.5367511406758386E-6</v>
      </c>
      <c r="K99" s="16">
        <f t="shared" si="114"/>
        <v>27.600319058886065</v>
      </c>
      <c r="L99" s="17">
        <f t="shared" si="115"/>
        <v>1.3856791344712962E-2</v>
      </c>
      <c r="M99" s="18">
        <f t="shared" si="116"/>
        <v>0.19983917534548268</v>
      </c>
      <c r="N99" s="19">
        <f t="shared" si="194"/>
        <v>1017.4709693045172</v>
      </c>
      <c r="O99" s="15">
        <f t="shared" si="117"/>
        <v>5.5349419386090349E-6</v>
      </c>
      <c r="P99" s="16">
        <f t="shared" si="118"/>
        <v>27.589916147001947</v>
      </c>
      <c r="Q99" s="17">
        <f t="shared" si="108"/>
        <v>1.3858412344139025E-2</v>
      </c>
      <c r="R99" s="18">
        <f t="shared" si="119"/>
        <v>0.19991452567714144</v>
      </c>
      <c r="S99" s="19">
        <f t="shared" si="195"/>
        <v>1015.9701251147296</v>
      </c>
      <c r="T99" s="15">
        <f t="shared" si="120"/>
        <v>5.53194025022946E-6</v>
      </c>
      <c r="U99" s="16">
        <f t="shared" si="121"/>
        <v>27.57265643881939</v>
      </c>
      <c r="V99" s="17">
        <f t="shared" si="122"/>
        <v>1.3844751160243047E-2</v>
      </c>
      <c r="W99" s="18">
        <f t="shared" si="123"/>
        <v>0.20003966655293257</v>
      </c>
      <c r="X99" s="19">
        <f t="shared" si="196"/>
        <v>1013.8708214685164</v>
      </c>
      <c r="Y99" s="15">
        <f t="shared" si="124"/>
        <v>5.5277416429370333E-6</v>
      </c>
      <c r="Z99" s="16">
        <f t="shared" si="125"/>
        <v>27.548514446887935</v>
      </c>
      <c r="AA99" s="17">
        <f t="shared" si="126"/>
        <v>1.3834243332870757E-2</v>
      </c>
      <c r="AB99" s="18">
        <f t="shared" si="127"/>
        <v>0.20021497023492249</v>
      </c>
      <c r="AC99" s="19">
        <f t="shared" si="197"/>
        <v>1011.1718642503125</v>
      </c>
      <c r="AD99" s="15">
        <f t="shared" si="128"/>
        <v>5.5223437285006251E-6</v>
      </c>
      <c r="AE99" s="16">
        <f t="shared" si="129"/>
        <v>27.517476438878592</v>
      </c>
      <c r="AF99" s="17">
        <f t="shared" si="130"/>
        <v>1.382073400724974E-2</v>
      </c>
      <c r="AG99" s="18">
        <f t="shared" si="131"/>
        <v>0.20044080031289294</v>
      </c>
      <c r="AH99" s="19">
        <f t="shared" si="198"/>
        <v>1007.8731786646113</v>
      </c>
      <c r="AI99" s="15">
        <f t="shared" si="132"/>
        <v>5.515746357329223E-6</v>
      </c>
      <c r="AJ99" s="16">
        <f t="shared" si="133"/>
        <v>27.479541554643028</v>
      </c>
      <c r="AK99" s="17">
        <f t="shared" si="134"/>
        <v>1.3804222808999537E-2</v>
      </c>
      <c r="AL99" s="18">
        <f t="shared" si="135"/>
        <v>0.20071750429431975</v>
      </c>
      <c r="AM99" s="19">
        <f t="shared" si="199"/>
        <v>1003.9747708122363</v>
      </c>
      <c r="AN99" s="15">
        <f t="shared" si="136"/>
        <v>5.5079495416244736E-6</v>
      </c>
      <c r="AO99" s="16">
        <f t="shared" si="137"/>
        <v>27.434709864340718</v>
      </c>
      <c r="AP99" s="17">
        <f t="shared" si="138"/>
        <v>1.3784709768657127E-2</v>
      </c>
      <c r="AQ99" s="18">
        <f t="shared" si="139"/>
        <v>0.20104550138396537</v>
      </c>
      <c r="AR99" s="19">
        <f t="shared" si="200"/>
        <v>999.47664753522884</v>
      </c>
      <c r="AS99" s="15">
        <f t="shared" si="140"/>
        <v>5.4989532950704578E-6</v>
      </c>
      <c r="AT99" s="16">
        <f t="shared" si="141"/>
        <v>27.38298144665513</v>
      </c>
      <c r="AU99" s="17">
        <f t="shared" si="142"/>
        <v>1.3762194920469572E-2</v>
      </c>
      <c r="AV99" s="18">
        <f t="shared" si="143"/>
        <v>0.2014252907684653</v>
      </c>
      <c r="AW99" s="19">
        <f t="shared" si="201"/>
        <v>994.37881104471262</v>
      </c>
      <c r="AX99" s="15">
        <f t="shared" si="144"/>
        <v>5.4887576220894252E-6</v>
      </c>
      <c r="AY99" s="16">
        <f t="shared" si="145"/>
        <v>27.324356327014193</v>
      </c>
      <c r="AZ99" s="17">
        <f t="shared" si="146"/>
        <v>1.3736678275504406E-2</v>
      </c>
      <c r="BA99" s="18">
        <f t="shared" si="147"/>
        <v>0.20185745398682947</v>
      </c>
      <c r="BB99" s="19">
        <f t="shared" si="202"/>
        <v>988.68126000627353</v>
      </c>
      <c r="BC99" s="15">
        <f t="shared" si="148"/>
        <v>5.4773625200125478E-6</v>
      </c>
      <c r="BD99" s="16">
        <f t="shared" si="149"/>
        <v>27.258834490072147</v>
      </c>
      <c r="BE99" s="17">
        <f t="shared" si="150"/>
        <v>1.3708159827082374E-2</v>
      </c>
      <c r="BF99" s="18">
        <f t="shared" si="151"/>
        <v>0.20234265709375168</v>
      </c>
      <c r="BG99" s="19">
        <f t="shared" si="203"/>
        <v>982.3839735576986</v>
      </c>
      <c r="BH99" s="15">
        <f t="shared" si="152"/>
        <v>5.4647679471153986E-6</v>
      </c>
      <c r="BI99" s="16">
        <f t="shared" si="153"/>
        <v>27.186415695913531</v>
      </c>
      <c r="BJ99" s="17">
        <f t="shared" si="154"/>
        <v>1.367663947078002E-2</v>
      </c>
      <c r="BK99" s="18">
        <f t="shared" si="155"/>
        <v>0.20288165463566679</v>
      </c>
      <c r="BL99" s="19">
        <f t="shared" si="204"/>
        <v>975.48675073182005</v>
      </c>
      <c r="BM99" s="15">
        <f t="shared" si="156"/>
        <v>5.4509735014636407E-6</v>
      </c>
      <c r="BN99" s="16">
        <f t="shared" si="157"/>
        <v>27.107097633415929</v>
      </c>
      <c r="BO99" s="17">
        <f t="shared" si="158"/>
        <v>1.364211620067887E-2</v>
      </c>
      <c r="BP99" s="18">
        <f t="shared" si="159"/>
        <v>0.20347530652638679</v>
      </c>
      <c r="BQ99" s="19">
        <f t="shared" si="205"/>
        <v>967.98788024231931</v>
      </c>
      <c r="BR99" s="15">
        <f t="shared" si="160"/>
        <v>5.4359757604846387E-6</v>
      </c>
      <c r="BS99" s="16">
        <f t="shared" si="161"/>
        <v>27.020860622786671</v>
      </c>
      <c r="BT99" s="17">
        <f t="shared" si="162"/>
        <v>1.3604581451128485E-2</v>
      </c>
      <c r="BU99" s="18">
        <f t="shared" si="163"/>
        <v>0.20412469746980144</v>
      </c>
      <c r="BV99" s="19">
        <f t="shared" si="206"/>
        <v>959.87453950630857</v>
      </c>
      <c r="BW99" s="15">
        <f t="shared" si="164"/>
        <v>5.4197490790126172E-6</v>
      </c>
      <c r="BX99" s="16">
        <f t="shared" si="165"/>
        <v>26.927557204322547</v>
      </c>
      <c r="BY99" s="17">
        <f t="shared" si="166"/>
        <v>1.3563971040137993E-2</v>
      </c>
      <c r="BZ99" s="18">
        <f t="shared" si="167"/>
        <v>0.20483198524649701</v>
      </c>
      <c r="CA99" s="19">
        <f t="shared" si="207"/>
        <v>951.06354273501415</v>
      </c>
      <c r="CB99" s="15">
        <f t="shared" si="168"/>
        <v>5.402127085470029E-6</v>
      </c>
      <c r="CC99" s="16">
        <f t="shared" si="169"/>
        <v>26.826230741452662</v>
      </c>
      <c r="CD99" s="17">
        <f t="shared" si="170"/>
        <v>1.3519868590634055E-2</v>
      </c>
      <c r="CE99" s="18">
        <f t="shared" si="171"/>
        <v>0.20560566458846929</v>
      </c>
      <c r="CF99" s="19">
        <f t="shared" si="208"/>
        <v>941.09780217462708</v>
      </c>
      <c r="CG99" s="15">
        <f t="shared" si="172"/>
        <v>5.382195604349255E-6</v>
      </c>
      <c r="CH99" s="16">
        <f t="shared" si="173"/>
        <v>26.71162472500821</v>
      </c>
      <c r="CI99" s="17">
        <f t="shared" si="174"/>
        <v>1.3469986201473985E-2</v>
      </c>
      <c r="CJ99" s="18">
        <f t="shared" si="175"/>
        <v>0.20648781408029102</v>
      </c>
      <c r="CK99" s="19">
        <f t="shared" si="209"/>
        <v>927.91463151367486</v>
      </c>
      <c r="CL99" s="15">
        <f t="shared" si="176"/>
        <v>5.3558292630273503E-6</v>
      </c>
      <c r="CM99" s="16">
        <f t="shared" si="177"/>
        <v>26.560018262407262</v>
      </c>
      <c r="CN99" s="17">
        <f t="shared" si="178"/>
        <v>1.3403999329220139E-2</v>
      </c>
      <c r="CO99" s="18">
        <f t="shared" si="179"/>
        <v>0.20766646112614881</v>
      </c>
      <c r="CP99" s="19">
        <f t="shared" si="210"/>
        <v>904.21804913430844</v>
      </c>
      <c r="CQ99" s="15">
        <f t="shared" si="180"/>
        <v>5.3084360982686172E-6</v>
      </c>
      <c r="CR99" s="16">
        <f t="shared" si="181"/>
        <v>26.287507565044546</v>
      </c>
      <c r="CS99" s="17">
        <f t="shared" si="182"/>
        <v>1.3285388761661342E-2</v>
      </c>
      <c r="CT99" s="18">
        <f t="shared" si="183"/>
        <v>0.20981924537168092</v>
      </c>
      <c r="CU99" s="19">
        <f t="shared" si="211"/>
        <v>851.32972164393368</v>
      </c>
      <c r="CV99" s="15">
        <f t="shared" si="184"/>
        <v>5.2026594432878681E-6</v>
      </c>
      <c r="CW99" s="16">
        <f t="shared" si="185"/>
        <v>25.679291798905236</v>
      </c>
      <c r="CX99" s="17">
        <f t="shared" si="186"/>
        <v>1.3020662209940071E-2</v>
      </c>
      <c r="CY99" s="18">
        <f t="shared" si="187"/>
        <v>0.21478882841446365</v>
      </c>
      <c r="CZ99" s="20">
        <f t="shared" si="212"/>
        <v>740.16089662621027</v>
      </c>
      <c r="DA99" s="15">
        <f t="shared" si="188"/>
        <v>4.9803217932524211E-6</v>
      </c>
      <c r="DB99" s="16">
        <f t="shared" si="189"/>
        <v>24.400850311201417</v>
      </c>
      <c r="DC99" s="17">
        <f t="shared" si="190"/>
        <v>1.2464219208198271E-2</v>
      </c>
      <c r="DD99" s="18">
        <f t="shared" si="191"/>
        <v>0.22604232760970652</v>
      </c>
    </row>
    <row r="100" spans="2:108" x14ac:dyDescent="0.25">
      <c r="B100">
        <v>81</v>
      </c>
      <c r="C100">
        <f t="shared" si="192"/>
        <v>7.9186787973965361E-2</v>
      </c>
      <c r="D100" s="19">
        <f t="shared" si="109"/>
        <v>1018.682887106021</v>
      </c>
      <c r="E100" s="15">
        <f t="shared" si="110"/>
        <v>5.5373657742120431E-6</v>
      </c>
      <c r="F100" s="16">
        <f t="shared" si="111"/>
        <v>27.60385320171924</v>
      </c>
      <c r="G100" s="17">
        <f t="shared" si="107"/>
        <v>1.3858329584097079E-2</v>
      </c>
      <c r="H100" s="18">
        <f t="shared" si="112"/>
        <v>0.19981358978015695</v>
      </c>
      <c r="I100" s="19">
        <f t="shared" si="193"/>
        <v>1018.3590099657098</v>
      </c>
      <c r="J100" s="15">
        <f t="shared" si="113"/>
        <v>5.5367180199314196E-6</v>
      </c>
      <c r="K100" s="16">
        <f t="shared" si="114"/>
        <v>27.600128614605662</v>
      </c>
      <c r="L100" s="17">
        <f t="shared" si="115"/>
        <v>1.385670845363967E-2</v>
      </c>
      <c r="M100" s="18">
        <f t="shared" si="116"/>
        <v>0.19984055426035938</v>
      </c>
      <c r="N100" s="19">
        <f t="shared" si="194"/>
        <v>1017.4543744486419</v>
      </c>
      <c r="O100" s="15">
        <f t="shared" si="117"/>
        <v>5.5349087488972841E-6</v>
      </c>
      <c r="P100" s="16">
        <f t="shared" si="118"/>
        <v>27.58972530615938</v>
      </c>
      <c r="Q100" s="17">
        <f t="shared" si="108"/>
        <v>1.3858329584097079E-2</v>
      </c>
      <c r="R100" s="18">
        <f t="shared" si="119"/>
        <v>0.19991590850557117</v>
      </c>
      <c r="S100" s="19">
        <f t="shared" si="195"/>
        <v>1015.9535161271293</v>
      </c>
      <c r="T100" s="15">
        <f t="shared" si="120"/>
        <v>5.5319070322542586E-6</v>
      </c>
      <c r="U100" s="16">
        <f t="shared" si="121"/>
        <v>27.572465435461986</v>
      </c>
      <c r="V100" s="17">
        <f t="shared" si="122"/>
        <v>1.3844668025830903E-2</v>
      </c>
      <c r="W100" s="18">
        <f t="shared" si="123"/>
        <v>0.20004105229219535</v>
      </c>
      <c r="X100" s="19">
        <f t="shared" si="196"/>
        <v>1013.8542156727856</v>
      </c>
      <c r="Y100" s="15">
        <f t="shared" si="124"/>
        <v>5.5277084313455719E-6</v>
      </c>
      <c r="Z100" s="16">
        <f t="shared" si="125"/>
        <v>27.548323480237034</v>
      </c>
      <c r="AA100" s="17">
        <f t="shared" si="126"/>
        <v>1.383416021443516E-2</v>
      </c>
      <c r="AB100" s="18">
        <f t="shared" si="127"/>
        <v>0.20021635813725178</v>
      </c>
      <c r="AC100" s="19">
        <f t="shared" si="197"/>
        <v>1011.1552702768456</v>
      </c>
      <c r="AD100" s="15">
        <f t="shared" si="128"/>
        <v>5.5223105405536921E-6</v>
      </c>
      <c r="AE100" s="16">
        <f t="shared" si="129"/>
        <v>27.517285608183723</v>
      </c>
      <c r="AF100" s="17">
        <f t="shared" si="130"/>
        <v>1.3820650947989151E-2</v>
      </c>
      <c r="AG100" s="18">
        <f t="shared" si="131"/>
        <v>0.20044219035759969</v>
      </c>
      <c r="AH100" s="19">
        <f t="shared" si="198"/>
        <v>1007.8566010694772</v>
      </c>
      <c r="AI100" s="15">
        <f t="shared" si="132"/>
        <v>5.5157132021389547E-6</v>
      </c>
      <c r="AJ100" s="16">
        <f t="shared" si="133"/>
        <v>27.479350912298987</v>
      </c>
      <c r="AK100" s="17">
        <f t="shared" si="134"/>
        <v>1.380413983171884E-2</v>
      </c>
      <c r="AL100" s="18">
        <f t="shared" si="135"/>
        <v>0.20071889680375823</v>
      </c>
      <c r="AM100" s="19">
        <f t="shared" si="199"/>
        <v>1003.9582131930975</v>
      </c>
      <c r="AN100" s="15">
        <f t="shared" si="136"/>
        <v>5.5079164263861957E-6</v>
      </c>
      <c r="AO100" s="16">
        <f t="shared" si="137"/>
        <v>27.434519451720622</v>
      </c>
      <c r="AP100" s="17">
        <f t="shared" si="138"/>
        <v>1.378462689136402E-2</v>
      </c>
      <c r="AQ100" s="18">
        <f t="shared" si="139"/>
        <v>0.20104689676472806</v>
      </c>
      <c r="AR100" s="19">
        <f t="shared" si="200"/>
        <v>999.46011341702251</v>
      </c>
      <c r="AS100" s="15">
        <f t="shared" si="140"/>
        <v>5.4989202268340457E-6</v>
      </c>
      <c r="AT100" s="16">
        <f t="shared" si="141"/>
        <v>27.382791304295758</v>
      </c>
      <c r="AU100" s="17">
        <f t="shared" si="142"/>
        <v>1.376211216080773E-2</v>
      </c>
      <c r="AV100" s="18">
        <f t="shared" si="143"/>
        <v>0.20142668943814795</v>
      </c>
      <c r="AW100" s="19">
        <f t="shared" si="201"/>
        <v>994.36230396506221</v>
      </c>
      <c r="AX100" s="15">
        <f t="shared" si="144"/>
        <v>5.4887246079301248E-6</v>
      </c>
      <c r="AY100" s="16">
        <f t="shared" si="145"/>
        <v>27.324166495598213</v>
      </c>
      <c r="AZ100" s="17">
        <f t="shared" si="146"/>
        <v>1.3736595651181006E-2</v>
      </c>
      <c r="BA100" s="18">
        <f t="shared" si="147"/>
        <v>0.20185885636762385</v>
      </c>
      <c r="BB100" s="19">
        <f t="shared" si="202"/>
        <v>988.66478327182381</v>
      </c>
      <c r="BC100" s="15">
        <f t="shared" si="148"/>
        <v>5.4773295665436486E-6</v>
      </c>
      <c r="BD100" s="16">
        <f t="shared" si="149"/>
        <v>27.258645007625972</v>
      </c>
      <c r="BE100" s="17">
        <f t="shared" si="150"/>
        <v>1.3708077354648447E-2</v>
      </c>
      <c r="BF100" s="18">
        <f t="shared" si="151"/>
        <v>0.2023440636340115</v>
      </c>
      <c r="BG100" s="19">
        <f t="shared" si="203"/>
        <v>982.36752815825832</v>
      </c>
      <c r="BH100" s="15">
        <f t="shared" si="152"/>
        <v>5.4647350563165172E-6</v>
      </c>
      <c r="BI100" s="16">
        <f t="shared" si="153"/>
        <v>27.186226573819972</v>
      </c>
      <c r="BJ100" s="17">
        <f t="shared" si="154"/>
        <v>1.367655715518994E-2</v>
      </c>
      <c r="BK100" s="18">
        <f t="shared" si="155"/>
        <v>0.20288306599016886</v>
      </c>
      <c r="BL100" s="19">
        <f t="shared" si="204"/>
        <v>975.47031855511796</v>
      </c>
      <c r="BM100" s="15">
        <f t="shared" si="156"/>
        <v>5.4509406371102368E-6</v>
      </c>
      <c r="BN100" s="16">
        <f t="shared" si="157"/>
        <v>27.106908663383855</v>
      </c>
      <c r="BO100" s="17">
        <f t="shared" si="158"/>
        <v>1.3642033951273717E-2</v>
      </c>
      <c r="BP100" s="18">
        <f t="shared" si="159"/>
        <v>0.20347672501108668</v>
      </c>
      <c r="BQ100" s="19">
        <f t="shared" si="205"/>
        <v>967.97130599083152</v>
      </c>
      <c r="BR100" s="15">
        <f t="shared" si="160"/>
        <v>5.4359426119816633E-6</v>
      </c>
      <c r="BS100" s="16">
        <f t="shared" si="161"/>
        <v>27.020670018894563</v>
      </c>
      <c r="BT100" s="17">
        <f t="shared" si="162"/>
        <v>1.3604498490584033E-2</v>
      </c>
      <c r="BU100" s="18">
        <f t="shared" si="163"/>
        <v>0.20412613736606552</v>
      </c>
      <c r="BV100" s="19">
        <f t="shared" si="206"/>
        <v>959.85682513425559</v>
      </c>
      <c r="BW100" s="15">
        <f t="shared" si="164"/>
        <v>5.4197136502685113E-6</v>
      </c>
      <c r="BX100" s="16">
        <f t="shared" si="165"/>
        <v>26.927353489043938</v>
      </c>
      <c r="BY100" s="17">
        <f t="shared" si="166"/>
        <v>1.3563882372848781E-2</v>
      </c>
      <c r="BZ100" s="18">
        <f t="shared" si="167"/>
        <v>0.20483353487538866</v>
      </c>
      <c r="CA100" s="19">
        <f t="shared" si="207"/>
        <v>951.03939041087108</v>
      </c>
      <c r="CB100" s="15">
        <f t="shared" si="168"/>
        <v>5.4020787808217423E-6</v>
      </c>
      <c r="CC100" s="16">
        <f t="shared" si="169"/>
        <v>26.825952989725018</v>
      </c>
      <c r="CD100" s="17">
        <f t="shared" si="170"/>
        <v>1.3519747698902554E-2</v>
      </c>
      <c r="CE100" s="18">
        <f t="shared" si="171"/>
        <v>0.20560779339740945</v>
      </c>
      <c r="CF100" s="19">
        <f t="shared" si="208"/>
        <v>941.04452309895305</v>
      </c>
      <c r="CG100" s="15">
        <f t="shared" si="172"/>
        <v>5.3820890461979058E-6</v>
      </c>
      <c r="CH100" s="16">
        <f t="shared" si="173"/>
        <v>26.711012015637959</v>
      </c>
      <c r="CI100" s="17">
        <f t="shared" si="174"/>
        <v>1.3469719519076348E-2</v>
      </c>
      <c r="CJ100" s="18">
        <f t="shared" si="175"/>
        <v>0.20649255059190114</v>
      </c>
      <c r="CK100" s="19">
        <f t="shared" si="209"/>
        <v>927.75840822048087</v>
      </c>
      <c r="CL100" s="15">
        <f t="shared" si="176"/>
        <v>5.3555168164409626E-6</v>
      </c>
      <c r="CM100" s="16">
        <f t="shared" si="177"/>
        <v>26.558221694535529</v>
      </c>
      <c r="CN100" s="17">
        <f t="shared" si="178"/>
        <v>1.3403217371164965E-2</v>
      </c>
      <c r="CO100" s="18">
        <f t="shared" si="179"/>
        <v>0.20768050901295337</v>
      </c>
      <c r="CP100" s="19">
        <f t="shared" si="210"/>
        <v>903.79827237929931</v>
      </c>
      <c r="CQ100" s="15">
        <f t="shared" si="180"/>
        <v>5.3075965447585993E-6</v>
      </c>
      <c r="CR100" s="16">
        <f t="shared" si="181"/>
        <v>26.282680132361939</v>
      </c>
      <c r="CS100" s="17">
        <f t="shared" si="182"/>
        <v>1.3283287616510431E-2</v>
      </c>
      <c r="CT100" s="18">
        <f t="shared" si="183"/>
        <v>0.20985778361349819</v>
      </c>
      <c r="CU100" s="19">
        <f t="shared" si="211"/>
        <v>850.49821718173109</v>
      </c>
      <c r="CV100" s="15">
        <f t="shared" si="184"/>
        <v>5.2009964343634629E-6</v>
      </c>
      <c r="CW100" s="16">
        <f t="shared" si="185"/>
        <v>25.669729497589906</v>
      </c>
      <c r="CX100" s="17">
        <f t="shared" si="186"/>
        <v>1.3016500208238283E-2</v>
      </c>
      <c r="CY100" s="18">
        <f t="shared" si="187"/>
        <v>0.21486883998983528</v>
      </c>
      <c r="CZ100" s="20">
        <f t="shared" si="212"/>
        <v>739.15458260103503</v>
      </c>
      <c r="DA100" s="15">
        <f t="shared" si="188"/>
        <v>4.9783091652020702E-6</v>
      </c>
      <c r="DB100" s="16">
        <f t="shared" si="189"/>
        <v>24.389277699911901</v>
      </c>
      <c r="DC100" s="17">
        <f t="shared" si="190"/>
        <v>1.2459182216966474E-2</v>
      </c>
      <c r="DD100" s="18">
        <f t="shared" si="191"/>
        <v>0.22614958375827274</v>
      </c>
    </row>
    <row r="101" spans="2:108" x14ac:dyDescent="0.25">
      <c r="B101">
        <v>82</v>
      </c>
      <c r="C101">
        <f t="shared" si="192"/>
        <v>8.016440264031062E-2</v>
      </c>
      <c r="D101" s="19">
        <f t="shared" si="109"/>
        <v>1018.6663515753554</v>
      </c>
      <c r="E101" s="15">
        <f t="shared" si="110"/>
        <v>5.5373327031507118E-6</v>
      </c>
      <c r="F101" s="16">
        <f t="shared" si="111"/>
        <v>27.603663043116587</v>
      </c>
      <c r="G101" s="17">
        <f t="shared" si="107"/>
        <v>1.3858246817365329E-2</v>
      </c>
      <c r="H101" s="18">
        <f t="shared" si="112"/>
        <v>0.19981496627402895</v>
      </c>
      <c r="I101" s="19">
        <f t="shared" si="193"/>
        <v>1018.3424491569714</v>
      </c>
      <c r="J101" s="15">
        <f t="shared" si="113"/>
        <v>5.5366848983139434E-6</v>
      </c>
      <c r="K101" s="16">
        <f t="shared" si="114"/>
        <v>27.599938165305169</v>
      </c>
      <c r="L101" s="17">
        <f t="shared" si="115"/>
        <v>1.3856625560381383E-2</v>
      </c>
      <c r="M101" s="18">
        <f t="shared" si="116"/>
        <v>0.19984193323061433</v>
      </c>
      <c r="N101" s="19">
        <f t="shared" si="194"/>
        <v>1017.4377798056379</v>
      </c>
      <c r="O101" s="15">
        <f t="shared" si="117"/>
        <v>5.5348755596112767E-6</v>
      </c>
      <c r="P101" s="16">
        <f t="shared" si="118"/>
        <v>27.589534467764835</v>
      </c>
      <c r="Q101" s="17">
        <f t="shared" si="108"/>
        <v>1.3858246817365329E-2</v>
      </c>
      <c r="R101" s="18">
        <f t="shared" si="119"/>
        <v>0.19991729133539266</v>
      </c>
      <c r="S101" s="19">
        <f t="shared" si="195"/>
        <v>1015.9369074535304</v>
      </c>
      <c r="T101" s="15">
        <f t="shared" si="120"/>
        <v>5.5318738149070609E-6</v>
      </c>
      <c r="U101" s="16">
        <f t="shared" si="121"/>
        <v>27.572274435715599</v>
      </c>
      <c r="V101" s="17">
        <f t="shared" si="122"/>
        <v>1.3844584892990463E-2</v>
      </c>
      <c r="W101" s="18">
        <f t="shared" si="123"/>
        <v>0.20004243802445854</v>
      </c>
      <c r="X101" s="19">
        <f t="shared" si="196"/>
        <v>1013.8376101222345</v>
      </c>
      <c r="Y101" s="15">
        <f t="shared" si="124"/>
        <v>5.5276752202444697E-6</v>
      </c>
      <c r="Z101" s="16">
        <f t="shared" si="125"/>
        <v>27.548132516405694</v>
      </c>
      <c r="AA101" s="17">
        <f t="shared" si="126"/>
        <v>1.3834077097226781E-2</v>
      </c>
      <c r="AB101" s="18">
        <f t="shared" si="127"/>
        <v>0.20021774603833087</v>
      </c>
      <c r="AC101" s="19">
        <f t="shared" si="197"/>
        <v>1011.1386765051191</v>
      </c>
      <c r="AD101" s="15">
        <f t="shared" si="128"/>
        <v>5.522277353010238E-6</v>
      </c>
      <c r="AE101" s="16">
        <f t="shared" si="129"/>
        <v>27.517094779808868</v>
      </c>
      <c r="AF101" s="17">
        <f t="shared" si="130"/>
        <v>1.3820567889738348E-2</v>
      </c>
      <c r="AG101" s="18">
        <f t="shared" si="131"/>
        <v>0.20044358040468657</v>
      </c>
      <c r="AH101" s="19">
        <f t="shared" si="198"/>
        <v>1007.8400236655614</v>
      </c>
      <c r="AI101" s="15">
        <f t="shared" si="132"/>
        <v>5.5156800473311227E-6</v>
      </c>
      <c r="AJ101" s="16">
        <f t="shared" si="133"/>
        <v>27.479160272153955</v>
      </c>
      <c r="AK101" s="17">
        <f t="shared" si="134"/>
        <v>1.3804056855395265E-2</v>
      </c>
      <c r="AL101" s="18">
        <f t="shared" si="135"/>
        <v>0.2007202893164558</v>
      </c>
      <c r="AM101" s="19">
        <f t="shared" si="199"/>
        <v>1003.941655765013</v>
      </c>
      <c r="AN101" s="15">
        <f t="shared" si="136"/>
        <v>5.5078833115300262E-6</v>
      </c>
      <c r="AO101" s="16">
        <f t="shared" si="137"/>
        <v>27.434329041297651</v>
      </c>
      <c r="AP101" s="17">
        <f t="shared" si="138"/>
        <v>1.3784544015027213E-2</v>
      </c>
      <c r="AQ101" s="18">
        <f t="shared" si="139"/>
        <v>0.20104829214875924</v>
      </c>
      <c r="AR101" s="19">
        <f t="shared" si="200"/>
        <v>999.44357949052915</v>
      </c>
      <c r="AS101" s="15">
        <f t="shared" si="140"/>
        <v>5.4988871589810583E-6</v>
      </c>
      <c r="AT101" s="16">
        <f t="shared" si="141"/>
        <v>27.382601164141086</v>
      </c>
      <c r="AU101" s="17">
        <f t="shared" si="142"/>
        <v>1.3762029402105485E-2</v>
      </c>
      <c r="AV101" s="18">
        <f t="shared" si="143"/>
        <v>0.20142808811103718</v>
      </c>
      <c r="AW101" s="19">
        <f t="shared" si="201"/>
        <v>994.3457970740568</v>
      </c>
      <c r="AX101" s="15">
        <f t="shared" si="144"/>
        <v>5.4886915941481142E-6</v>
      </c>
      <c r="AY101" s="16">
        <f t="shared" si="145"/>
        <v>27.323976666351655</v>
      </c>
      <c r="AZ101" s="17">
        <f t="shared" si="146"/>
        <v>1.3736513027801843E-2</v>
      </c>
      <c r="BA101" s="18">
        <f t="shared" si="147"/>
        <v>0.20186025875187719</v>
      </c>
      <c r="BB101" s="19">
        <f t="shared" si="202"/>
        <v>988.64830669243895</v>
      </c>
      <c r="BC101" s="15">
        <f t="shared" si="148"/>
        <v>5.4772966133848786E-6</v>
      </c>
      <c r="BD101" s="16">
        <f t="shared" si="149"/>
        <v>27.258455526963047</v>
      </c>
      <c r="BE101" s="17">
        <f t="shared" si="150"/>
        <v>1.3707994882990678E-2</v>
      </c>
      <c r="BF101" s="18">
        <f t="shared" si="151"/>
        <v>0.20234547018058854</v>
      </c>
      <c r="BG101" s="19">
        <f t="shared" si="203"/>
        <v>982.35108263723885</v>
      </c>
      <c r="BH101" s="15">
        <f t="shared" si="152"/>
        <v>5.4647021652744781E-6</v>
      </c>
      <c r="BI101" s="16">
        <f t="shared" si="153"/>
        <v>27.186037450328246</v>
      </c>
      <c r="BJ101" s="17">
        <f t="shared" si="154"/>
        <v>1.3676474838991313E-2</v>
      </c>
      <c r="BK101" s="18">
        <f t="shared" si="155"/>
        <v>0.20288447737474163</v>
      </c>
      <c r="BL101" s="19">
        <f t="shared" si="204"/>
        <v>975.45388427996807</v>
      </c>
      <c r="BM101" s="15">
        <f t="shared" si="156"/>
        <v>5.4509077685599362E-6</v>
      </c>
      <c r="BN101" s="16">
        <f t="shared" si="157"/>
        <v>27.106719669219633</v>
      </c>
      <c r="BO101" s="17">
        <f t="shared" si="158"/>
        <v>1.364195169136502E-2</v>
      </c>
      <c r="BP101" s="18">
        <f t="shared" si="159"/>
        <v>0.20347814369671341</v>
      </c>
      <c r="BQ101" s="19">
        <f t="shared" si="205"/>
        <v>967.95471755123663</v>
      </c>
      <c r="BR101" s="15">
        <f t="shared" si="160"/>
        <v>5.4359094351024736E-6</v>
      </c>
      <c r="BS101" s="16">
        <f t="shared" si="161"/>
        <v>27.02047925183922</v>
      </c>
      <c r="BT101" s="17">
        <f t="shared" si="162"/>
        <v>1.3604415459022615E-2</v>
      </c>
      <c r="BU101" s="18">
        <f t="shared" si="163"/>
        <v>0.20412757851526872</v>
      </c>
      <c r="BV101" s="19">
        <f t="shared" si="206"/>
        <v>959.8390351144435</v>
      </c>
      <c r="BW101" s="15">
        <f t="shared" si="164"/>
        <v>5.419678070228888E-6</v>
      </c>
      <c r="BX101" s="16">
        <f t="shared" si="165"/>
        <v>26.9271489038161</v>
      </c>
      <c r="BY101" s="17">
        <f t="shared" si="166"/>
        <v>1.3563793326913256E-2</v>
      </c>
      <c r="BZ101" s="18">
        <f t="shared" si="167"/>
        <v>0.2048350911454398</v>
      </c>
      <c r="CA101" s="19">
        <f t="shared" si="207"/>
        <v>951.01491441935684</v>
      </c>
      <c r="CB101" s="15">
        <f t="shared" si="168"/>
        <v>5.4020298288387146E-6</v>
      </c>
      <c r="CC101" s="16">
        <f t="shared" si="169"/>
        <v>26.825671515822602</v>
      </c>
      <c r="CD101" s="17">
        <f t="shared" si="170"/>
        <v>1.3519625187090574E-2</v>
      </c>
      <c r="CE101" s="18">
        <f t="shared" si="171"/>
        <v>0.20560995077967445</v>
      </c>
      <c r="CF101" s="19">
        <f t="shared" si="208"/>
        <v>940.99019072316776</v>
      </c>
      <c r="CG101" s="15">
        <f t="shared" si="172"/>
        <v>5.3819803814463357E-6</v>
      </c>
      <c r="CH101" s="16">
        <f t="shared" si="173"/>
        <v>26.710387193316429</v>
      </c>
      <c r="CI101" s="17">
        <f t="shared" si="174"/>
        <v>1.346944756450393E-2</v>
      </c>
      <c r="CJ101" s="18">
        <f t="shared" si="175"/>
        <v>0.20649738096571435</v>
      </c>
      <c r="CK101" s="19">
        <f t="shared" si="209"/>
        <v>927.59987957184944</v>
      </c>
      <c r="CL101" s="15">
        <f t="shared" si="176"/>
        <v>5.3551997591436996E-6</v>
      </c>
      <c r="CM101" s="16">
        <f t="shared" si="177"/>
        <v>26.556398615076269</v>
      </c>
      <c r="CN101" s="17">
        <f t="shared" si="178"/>
        <v>1.3402423873913442E-2</v>
      </c>
      <c r="CO101" s="18">
        <f t="shared" si="179"/>
        <v>0.20769476614456064</v>
      </c>
      <c r="CP101" s="19">
        <f t="shared" si="210"/>
        <v>903.37628318174518</v>
      </c>
      <c r="CQ101" s="15">
        <f t="shared" si="180"/>
        <v>5.3067525663634905E-6</v>
      </c>
      <c r="CR101" s="16">
        <f t="shared" si="181"/>
        <v>26.277827256590069</v>
      </c>
      <c r="CS101" s="17">
        <f t="shared" si="182"/>
        <v>1.3281175397228161E-2</v>
      </c>
      <c r="CT101" s="18">
        <f t="shared" si="183"/>
        <v>0.20989653924362286</v>
      </c>
      <c r="CU101" s="19">
        <f t="shared" si="211"/>
        <v>849.6697864937347</v>
      </c>
      <c r="CV101" s="15">
        <f t="shared" si="184"/>
        <v>5.1993395729874696E-6</v>
      </c>
      <c r="CW101" s="16">
        <f t="shared" si="185"/>
        <v>25.660202544677951</v>
      </c>
      <c r="CX101" s="17">
        <f t="shared" si="186"/>
        <v>1.3012353591966225E-2</v>
      </c>
      <c r="CY101" s="18">
        <f t="shared" si="187"/>
        <v>0.21494861509360794</v>
      </c>
      <c r="CZ101" s="20">
        <f t="shared" si="212"/>
        <v>738.1571794405744</v>
      </c>
      <c r="DA101" s="15">
        <f t="shared" si="188"/>
        <v>4.9763143588811496E-6</v>
      </c>
      <c r="DB101" s="16">
        <f t="shared" si="189"/>
        <v>24.377807563566606</v>
      </c>
      <c r="DC101" s="17">
        <f t="shared" si="190"/>
        <v>1.2454189828061898E-2</v>
      </c>
      <c r="DD101" s="18">
        <f t="shared" si="191"/>
        <v>0.22625599064303362</v>
      </c>
    </row>
    <row r="102" spans="2:108" x14ac:dyDescent="0.25">
      <c r="B102">
        <v>83</v>
      </c>
      <c r="C102">
        <f t="shared" si="192"/>
        <v>8.1142017306655878E-2</v>
      </c>
      <c r="D102" s="19">
        <f t="shared" si="109"/>
        <v>1018.6498147541191</v>
      </c>
      <c r="E102" s="15">
        <f t="shared" si="110"/>
        <v>5.5372996295082381E-6</v>
      </c>
      <c r="F102" s="16">
        <f t="shared" si="111"/>
        <v>27.60347286967237</v>
      </c>
      <c r="G102" s="17">
        <f t="shared" si="107"/>
        <v>1.3858164044173775E-2</v>
      </c>
      <c r="H102" s="18">
        <f t="shared" si="112"/>
        <v>0.19981634289430139</v>
      </c>
      <c r="I102" s="19">
        <f t="shared" si="193"/>
        <v>1018.3258879189807</v>
      </c>
      <c r="J102" s="15">
        <f t="shared" si="113"/>
        <v>5.536651775837962E-6</v>
      </c>
      <c r="K102" s="16">
        <f t="shared" si="114"/>
        <v>27.599747711068275</v>
      </c>
      <c r="L102" s="17">
        <f t="shared" si="115"/>
        <v>1.3856542664974523E-2</v>
      </c>
      <c r="M102" s="18">
        <f t="shared" si="116"/>
        <v>0.19984331225564353</v>
      </c>
      <c r="N102" s="19">
        <f t="shared" si="194"/>
        <v>1017.4211853705092</v>
      </c>
      <c r="O102" s="15">
        <f t="shared" si="117"/>
        <v>5.5348423707410193E-6</v>
      </c>
      <c r="P102" s="16">
        <f t="shared" si="118"/>
        <v>27.589343631760855</v>
      </c>
      <c r="Q102" s="17">
        <f t="shared" si="108"/>
        <v>1.3858164044173775E-2</v>
      </c>
      <c r="R102" s="18">
        <f t="shared" si="119"/>
        <v>0.19991867416702194</v>
      </c>
      <c r="S102" s="19">
        <f t="shared" si="195"/>
        <v>1015.9202990916574</v>
      </c>
      <c r="T102" s="15">
        <f t="shared" si="120"/>
        <v>5.5318405981833159E-6</v>
      </c>
      <c r="U102" s="16">
        <f t="shared" si="121"/>
        <v>27.57208343955406</v>
      </c>
      <c r="V102" s="17">
        <f t="shared" si="122"/>
        <v>1.3844501761710332E-2</v>
      </c>
      <c r="W102" s="18">
        <f t="shared" si="123"/>
        <v>0.20004382374991128</v>
      </c>
      <c r="X102" s="19">
        <f t="shared" si="196"/>
        <v>1013.8210048170168</v>
      </c>
      <c r="Y102" s="15">
        <f t="shared" si="124"/>
        <v>5.5276420096340343E-6</v>
      </c>
      <c r="Z102" s="16">
        <f t="shared" si="125"/>
        <v>27.547941555395695</v>
      </c>
      <c r="AA102" s="17">
        <f t="shared" si="126"/>
        <v>1.3833993981246391E-2</v>
      </c>
      <c r="AB102" s="18">
        <f t="shared" si="127"/>
        <v>0.20021913393814642</v>
      </c>
      <c r="AC102" s="19">
        <f t="shared" si="197"/>
        <v>1011.122082935511</v>
      </c>
      <c r="AD102" s="15">
        <f t="shared" si="128"/>
        <v>5.522244165871022E-6</v>
      </c>
      <c r="AE102" s="16">
        <f t="shared" si="129"/>
        <v>27.516903953758376</v>
      </c>
      <c r="AF102" s="17">
        <f t="shared" si="130"/>
        <v>1.3820484832499225E-2</v>
      </c>
      <c r="AG102" s="18">
        <f t="shared" si="131"/>
        <v>0.2004449704541216</v>
      </c>
      <c r="AH102" s="19">
        <f t="shared" si="198"/>
        <v>1007.8234464529924</v>
      </c>
      <c r="AI102" s="15">
        <f t="shared" si="132"/>
        <v>5.515646892905986E-6</v>
      </c>
      <c r="AJ102" s="16">
        <f t="shared" si="133"/>
        <v>27.478969634209413</v>
      </c>
      <c r="AK102" s="17">
        <f t="shared" si="134"/>
        <v>1.3803973880029461E-2</v>
      </c>
      <c r="AL102" s="18">
        <f t="shared" si="135"/>
        <v>0.20072168183240136</v>
      </c>
      <c r="AM102" s="19">
        <f t="shared" si="199"/>
        <v>1003.9250985279923</v>
      </c>
      <c r="AN102" s="15">
        <f t="shared" si="136"/>
        <v>5.5078501970559854E-6</v>
      </c>
      <c r="AO102" s="16">
        <f t="shared" si="137"/>
        <v>27.43413863307191</v>
      </c>
      <c r="AP102" s="17">
        <f t="shared" si="138"/>
        <v>1.3784461139646757E-2</v>
      </c>
      <c r="AQ102" s="18">
        <f t="shared" si="139"/>
        <v>0.20104968753605781</v>
      </c>
      <c r="AR102" s="19">
        <f t="shared" si="200"/>
        <v>999.42704575569303</v>
      </c>
      <c r="AS102" s="15">
        <f t="shared" si="140"/>
        <v>5.4988540915113864E-6</v>
      </c>
      <c r="AT102" s="16">
        <f t="shared" si="141"/>
        <v>27.382411026190468</v>
      </c>
      <c r="AU102" s="17">
        <f t="shared" si="142"/>
        <v>1.376194664436256E-2</v>
      </c>
      <c r="AV102" s="18">
        <f t="shared" si="143"/>
        <v>0.20142948678713746</v>
      </c>
      <c r="AW102" s="19">
        <f t="shared" si="201"/>
        <v>994.32929037124609</v>
      </c>
      <c r="AX102" s="15">
        <f t="shared" si="144"/>
        <v>5.4886585807424927E-6</v>
      </c>
      <c r="AY102" s="16">
        <f t="shared" si="145"/>
        <v>27.323786839269331</v>
      </c>
      <c r="AZ102" s="17">
        <f t="shared" si="146"/>
        <v>1.3736430405364666E-2</v>
      </c>
      <c r="BA102" s="18">
        <f t="shared" si="147"/>
        <v>0.20186166113962753</v>
      </c>
      <c r="BB102" s="19">
        <f t="shared" si="202"/>
        <v>988.63183026456534</v>
      </c>
      <c r="BC102" s="15">
        <f t="shared" si="148"/>
        <v>5.4772636605291313E-6</v>
      </c>
      <c r="BD102" s="16">
        <f t="shared" si="149"/>
        <v>27.258266048042501</v>
      </c>
      <c r="BE102" s="17">
        <f t="shared" si="150"/>
        <v>1.3707912412091284E-2</v>
      </c>
      <c r="BF102" s="18">
        <f t="shared" si="151"/>
        <v>0.20234687673378601</v>
      </c>
      <c r="BG102" s="19">
        <f t="shared" si="203"/>
        <v>982.33463696993113</v>
      </c>
      <c r="BH102" s="15">
        <f t="shared" si="152"/>
        <v>5.464669273939862E-6</v>
      </c>
      <c r="BI102" s="16">
        <f t="shared" si="153"/>
        <v>27.185848325154208</v>
      </c>
      <c r="BJ102" s="17">
        <f t="shared" si="154"/>
        <v>1.3676392522060455E-2</v>
      </c>
      <c r="BK102" s="18">
        <f t="shared" si="155"/>
        <v>0.20288588879150651</v>
      </c>
      <c r="BL102" s="19">
        <f t="shared" si="204"/>
        <v>975.43744776007543</v>
      </c>
      <c r="BM102" s="15">
        <f t="shared" si="156"/>
        <v>5.4508748955201509E-6</v>
      </c>
      <c r="BN102" s="16">
        <f t="shared" si="157"/>
        <v>27.106530649240867</v>
      </c>
      <c r="BO102" s="17">
        <f t="shared" si="158"/>
        <v>1.3641869420220517E-2</v>
      </c>
      <c r="BP102" s="18">
        <f t="shared" si="159"/>
        <v>0.20347956259590411</v>
      </c>
      <c r="BQ102" s="19">
        <f t="shared" si="205"/>
        <v>967.93811421163127</v>
      </c>
      <c r="BR102" s="15">
        <f t="shared" si="160"/>
        <v>5.4358762284232629E-6</v>
      </c>
      <c r="BS102" s="16">
        <f t="shared" si="161"/>
        <v>27.02028831343376</v>
      </c>
      <c r="BT102" s="17">
        <f t="shared" si="162"/>
        <v>1.3604332352880876E-2</v>
      </c>
      <c r="BU102" s="18">
        <f t="shared" si="163"/>
        <v>0.20412902097931279</v>
      </c>
      <c r="BV102" s="19">
        <f t="shared" si="206"/>
        <v>959.82116675950476</v>
      </c>
      <c r="BW102" s="15">
        <f t="shared" si="164"/>
        <v>5.4196423335190109E-6</v>
      </c>
      <c r="BX102" s="16">
        <f t="shared" si="165"/>
        <v>26.926943417734304</v>
      </c>
      <c r="BY102" s="17">
        <f t="shared" si="166"/>
        <v>1.3563703888880096E-2</v>
      </c>
      <c r="BZ102" s="18">
        <f t="shared" si="167"/>
        <v>0.20483665429204878</v>
      </c>
      <c r="CA102" s="19">
        <f t="shared" si="207"/>
        <v>950.99010779096272</v>
      </c>
      <c r="CB102" s="15">
        <f t="shared" si="168"/>
        <v>5.4019802155819261E-6</v>
      </c>
      <c r="CC102" s="16">
        <f t="shared" si="169"/>
        <v>26.825386239596071</v>
      </c>
      <c r="CD102" s="17">
        <f t="shared" si="170"/>
        <v>1.3519501020313022E-2</v>
      </c>
      <c r="CE102" s="18">
        <f t="shared" si="171"/>
        <v>0.20561213735139319</v>
      </c>
      <c r="CF102" s="19">
        <f t="shared" si="208"/>
        <v>940.93479717302444</v>
      </c>
      <c r="CG102" s="15">
        <f t="shared" si="172"/>
        <v>5.3818695943460491E-6</v>
      </c>
      <c r="CH102" s="16">
        <f t="shared" si="173"/>
        <v>26.70975016748978</v>
      </c>
      <c r="CI102" s="17">
        <f t="shared" si="174"/>
        <v>1.3469170298343082E-2</v>
      </c>
      <c r="CJ102" s="18">
        <f t="shared" si="175"/>
        <v>0.20650230591499263</v>
      </c>
      <c r="CK102" s="19">
        <f t="shared" si="209"/>
        <v>927.43906338083468</v>
      </c>
      <c r="CL102" s="15">
        <f t="shared" si="176"/>
        <v>5.3548781267616696E-6</v>
      </c>
      <c r="CM102" s="16">
        <f t="shared" si="177"/>
        <v>26.554549228879598</v>
      </c>
      <c r="CN102" s="17">
        <f t="shared" si="178"/>
        <v>1.3401618926626802E-2</v>
      </c>
      <c r="CO102" s="18">
        <f t="shared" si="179"/>
        <v>0.20770923100443525</v>
      </c>
      <c r="CP102" s="19">
        <f t="shared" si="210"/>
        <v>902.95215377014677</v>
      </c>
      <c r="CQ102" s="15">
        <f t="shared" si="180"/>
        <v>5.3059043075402943E-6</v>
      </c>
      <c r="CR102" s="16">
        <f t="shared" si="181"/>
        <v>26.272949768356689</v>
      </c>
      <c r="CS102" s="17">
        <f t="shared" si="182"/>
        <v>1.3279052465346143E-2</v>
      </c>
      <c r="CT102" s="18">
        <f t="shared" si="183"/>
        <v>0.20993550585793205</v>
      </c>
      <c r="CU102" s="19">
        <f t="shared" si="211"/>
        <v>848.84444051225046</v>
      </c>
      <c r="CV102" s="15">
        <f t="shared" si="184"/>
        <v>5.1976888810245013E-6</v>
      </c>
      <c r="CW102" s="16">
        <f t="shared" si="185"/>
        <v>25.650711065890881</v>
      </c>
      <c r="CX102" s="17">
        <f t="shared" si="186"/>
        <v>1.3008222415844329E-2</v>
      </c>
      <c r="CY102" s="18">
        <f t="shared" si="187"/>
        <v>0.21502815207857612</v>
      </c>
      <c r="CZ102" s="20">
        <f t="shared" si="212"/>
        <v>737.16848841298611</v>
      </c>
      <c r="DA102" s="15">
        <f t="shared" si="188"/>
        <v>4.9743369768259726E-6</v>
      </c>
      <c r="DB102" s="16">
        <f t="shared" si="189"/>
        <v>24.366437616749337</v>
      </c>
      <c r="DC102" s="17">
        <f t="shared" si="190"/>
        <v>1.2449241046754739E-2</v>
      </c>
      <c r="DD102" s="18">
        <f t="shared" si="191"/>
        <v>0.22636156695341439</v>
      </c>
    </row>
    <row r="103" spans="2:108" x14ac:dyDescent="0.25">
      <c r="B103">
        <v>84</v>
      </c>
      <c r="C103">
        <f t="shared" si="192"/>
        <v>8.2119631973001123E-2</v>
      </c>
      <c r="D103" s="19">
        <f t="shared" si="109"/>
        <v>1018.6332766862868</v>
      </c>
      <c r="E103" s="15">
        <f t="shared" si="110"/>
        <v>5.5372665533725738E-6</v>
      </c>
      <c r="F103" s="16">
        <f t="shared" si="111"/>
        <v>27.603282681892296</v>
      </c>
      <c r="G103" s="17">
        <f t="shared" si="107"/>
        <v>1.3858081264742526E-2</v>
      </c>
      <c r="H103" s="18">
        <f t="shared" si="112"/>
        <v>0.19981771963731837</v>
      </c>
      <c r="I103" s="19">
        <f t="shared" si="193"/>
        <v>1018.3093262590276</v>
      </c>
      <c r="J103" s="15">
        <f t="shared" si="113"/>
        <v>5.5366186525180555E-6</v>
      </c>
      <c r="K103" s="16">
        <f t="shared" si="114"/>
        <v>27.599557251978815</v>
      </c>
      <c r="L103" s="17">
        <f t="shared" si="115"/>
        <v>1.3856459767455575E-2</v>
      </c>
      <c r="M103" s="18">
        <f t="shared" si="116"/>
        <v>0.19984469133484176</v>
      </c>
      <c r="N103" s="19">
        <f t="shared" si="194"/>
        <v>1017.4045911384345</v>
      </c>
      <c r="O103" s="15">
        <f t="shared" si="117"/>
        <v>5.5348091822768692E-6</v>
      </c>
      <c r="P103" s="16">
        <f t="shared" si="118"/>
        <v>27.589152798091995</v>
      </c>
      <c r="Q103" s="17">
        <f t="shared" si="108"/>
        <v>1.3858081264742526E-2</v>
      </c>
      <c r="R103" s="18">
        <f t="shared" si="119"/>
        <v>0.19992005700086043</v>
      </c>
      <c r="S103" s="19">
        <f t="shared" si="195"/>
        <v>1015.9036910392426</v>
      </c>
      <c r="T103" s="15">
        <f t="shared" si="120"/>
        <v>5.5318073820784861E-6</v>
      </c>
      <c r="U103" s="16">
        <f t="shared" si="121"/>
        <v>27.571892446951288</v>
      </c>
      <c r="V103" s="17">
        <f t="shared" si="122"/>
        <v>1.3844418631979157E-2</v>
      </c>
      <c r="W103" s="18">
        <f t="shared" si="123"/>
        <v>0.20004520946874216</v>
      </c>
      <c r="X103" s="19">
        <f t="shared" si="196"/>
        <v>1013.8043997572601</v>
      </c>
      <c r="Y103" s="15">
        <f t="shared" si="124"/>
        <v>5.5276087995145205E-6</v>
      </c>
      <c r="Z103" s="16">
        <f t="shared" si="125"/>
        <v>27.547750597208491</v>
      </c>
      <c r="AA103" s="17">
        <f t="shared" si="126"/>
        <v>1.3833910866494627E-2</v>
      </c>
      <c r="AB103" s="18">
        <f t="shared" si="127"/>
        <v>0.20022052183668737</v>
      </c>
      <c r="AC103" s="19">
        <f t="shared" si="197"/>
        <v>1011.1054895683928</v>
      </c>
      <c r="AD103" s="15">
        <f t="shared" si="128"/>
        <v>5.5222109791367869E-6</v>
      </c>
      <c r="AE103" s="16">
        <f t="shared" si="129"/>
        <v>27.516713130036514</v>
      </c>
      <c r="AF103" s="17">
        <f t="shared" si="130"/>
        <v>1.3820401776273649E-2</v>
      </c>
      <c r="AG103" s="18">
        <f t="shared" si="131"/>
        <v>0.20044636050587342</v>
      </c>
      <c r="AH103" s="19">
        <f t="shared" si="198"/>
        <v>1007.8068694318999</v>
      </c>
      <c r="AI103" s="15">
        <f t="shared" si="132"/>
        <v>5.5156137388638006E-6</v>
      </c>
      <c r="AJ103" s="16">
        <f t="shared" si="133"/>
        <v>27.478778998466851</v>
      </c>
      <c r="AK103" s="17">
        <f t="shared" si="134"/>
        <v>1.3803890905622066E-2</v>
      </c>
      <c r="AL103" s="18">
        <f t="shared" si="135"/>
        <v>0.20072307435158376</v>
      </c>
      <c r="AM103" s="19">
        <f t="shared" si="199"/>
        <v>1003.9085414820456</v>
      </c>
      <c r="AN103" s="15">
        <f t="shared" si="136"/>
        <v>5.507817082964092E-6</v>
      </c>
      <c r="AO103" s="16">
        <f t="shared" si="137"/>
        <v>27.433948227043523</v>
      </c>
      <c r="AP103" s="17">
        <f t="shared" si="138"/>
        <v>1.3784378265222698E-2</v>
      </c>
      <c r="AQ103" s="18">
        <f t="shared" si="139"/>
        <v>0.20105108292662266</v>
      </c>
      <c r="AR103" s="19">
        <f t="shared" si="200"/>
        <v>999.41051221245345</v>
      </c>
      <c r="AS103" s="15">
        <f t="shared" si="140"/>
        <v>5.4988210244249071E-6</v>
      </c>
      <c r="AT103" s="16">
        <f t="shared" si="141"/>
        <v>27.382220890443215</v>
      </c>
      <c r="AU103" s="17">
        <f t="shared" si="142"/>
        <v>1.3761863887578647E-2</v>
      </c>
      <c r="AV103" s="18">
        <f t="shared" si="143"/>
        <v>0.2014308854664536</v>
      </c>
      <c r="AW103" s="19">
        <f t="shared" si="201"/>
        <v>994.31278385614007</v>
      </c>
      <c r="AX103" s="15">
        <f t="shared" si="144"/>
        <v>5.4886255677122814E-6</v>
      </c>
      <c r="AY103" s="16">
        <f t="shared" si="145"/>
        <v>27.323597014345609</v>
      </c>
      <c r="AZ103" s="17">
        <f t="shared" si="146"/>
        <v>1.373634778386703E-2</v>
      </c>
      <c r="BA103" s="18">
        <f t="shared" si="147"/>
        <v>0.20186306353091621</v>
      </c>
      <c r="BB103" s="19">
        <f t="shared" si="202"/>
        <v>988.61535398438468</v>
      </c>
      <c r="BC103" s="15">
        <f t="shared" si="148"/>
        <v>5.4772307079687697E-6</v>
      </c>
      <c r="BD103" s="16">
        <f t="shared" si="149"/>
        <v>27.258076570820421</v>
      </c>
      <c r="BE103" s="17">
        <f t="shared" si="150"/>
        <v>1.3707829941931145E-2</v>
      </c>
      <c r="BF103" s="18">
        <f t="shared" si="151"/>
        <v>0.20234828329392976</v>
      </c>
      <c r="BG103" s="19">
        <f t="shared" si="203"/>
        <v>982.31819113016127</v>
      </c>
      <c r="BH103" s="15">
        <f t="shared" si="152"/>
        <v>5.4646363822603231E-6</v>
      </c>
      <c r="BI103" s="16">
        <f t="shared" si="153"/>
        <v>27.185659197996856</v>
      </c>
      <c r="BJ103" s="17">
        <f t="shared" si="154"/>
        <v>1.3676310204266361E-2</v>
      </c>
      <c r="BK103" s="18">
        <f t="shared" si="155"/>
        <v>0.20288730024271079</v>
      </c>
      <c r="BL103" s="19">
        <f t="shared" si="204"/>
        <v>975.42100884268382</v>
      </c>
      <c r="BM103" s="15">
        <f t="shared" si="156"/>
        <v>5.4508420176853689E-6</v>
      </c>
      <c r="BN103" s="16">
        <f t="shared" si="157"/>
        <v>27.106341601690865</v>
      </c>
      <c r="BO103" s="17">
        <f t="shared" si="158"/>
        <v>1.3641787137075607E-2</v>
      </c>
      <c r="BP103" s="18">
        <f t="shared" si="159"/>
        <v>0.20348098172185439</v>
      </c>
      <c r="BQ103" s="19">
        <f t="shared" si="205"/>
        <v>967.92149523955959</v>
      </c>
      <c r="BR103" s="15">
        <f t="shared" si="160"/>
        <v>5.4358429904791199E-6</v>
      </c>
      <c r="BS103" s="16">
        <f t="shared" si="161"/>
        <v>27.020097195254934</v>
      </c>
      <c r="BT103" s="17">
        <f t="shared" si="162"/>
        <v>1.3604249168492592E-2</v>
      </c>
      <c r="BU103" s="18">
        <f t="shared" si="163"/>
        <v>0.20413046482188868</v>
      </c>
      <c r="BV103" s="19">
        <f t="shared" si="206"/>
        <v>959.80321734770655</v>
      </c>
      <c r="BW103" s="15">
        <f t="shared" si="164"/>
        <v>5.4196064346954132E-6</v>
      </c>
      <c r="BX103" s="16">
        <f t="shared" si="165"/>
        <v>26.926736999498623</v>
      </c>
      <c r="BY103" s="17">
        <f t="shared" si="166"/>
        <v>1.3563614045125974E-2</v>
      </c>
      <c r="BZ103" s="18">
        <f t="shared" si="167"/>
        <v>0.20483822455363609</v>
      </c>
      <c r="CA103" s="19">
        <f t="shared" si="207"/>
        <v>950.96496359983666</v>
      </c>
      <c r="CB103" s="15">
        <f t="shared" si="168"/>
        <v>5.4019299271996733E-6</v>
      </c>
      <c r="CC103" s="16">
        <f t="shared" si="169"/>
        <v>26.82509708139812</v>
      </c>
      <c r="CD103" s="17">
        <f t="shared" si="170"/>
        <v>1.3519375163903327E-2</v>
      </c>
      <c r="CE103" s="18">
        <f t="shared" si="171"/>
        <v>0.20561435372492329</v>
      </c>
      <c r="CF103" s="19">
        <f t="shared" si="208"/>
        <v>940.8783349450066</v>
      </c>
      <c r="CG103" s="15">
        <f t="shared" si="172"/>
        <v>5.3817566698900132E-6</v>
      </c>
      <c r="CH103" s="16">
        <f t="shared" si="173"/>
        <v>26.709100851867575</v>
      </c>
      <c r="CI103" s="17">
        <f t="shared" si="174"/>
        <v>1.3468887683035793E-2</v>
      </c>
      <c r="CJ103" s="18">
        <f t="shared" si="175"/>
        <v>0.2065073261204273</v>
      </c>
      <c r="CK103" s="19">
        <f t="shared" si="209"/>
        <v>927.27597788123387</v>
      </c>
      <c r="CL103" s="15">
        <f t="shared" si="176"/>
        <v>5.3545519557624684E-6</v>
      </c>
      <c r="CM103" s="16">
        <f t="shared" si="177"/>
        <v>26.552673745634188</v>
      </c>
      <c r="CN103" s="17">
        <f t="shared" si="178"/>
        <v>1.340080262057226E-2</v>
      </c>
      <c r="CO103" s="18">
        <f t="shared" si="179"/>
        <v>0.2077239020385615</v>
      </c>
      <c r="CP103" s="19">
        <f t="shared" si="210"/>
        <v>902.52595480956052</v>
      </c>
      <c r="CQ103" s="15">
        <f t="shared" si="180"/>
        <v>5.3050519096191211E-6</v>
      </c>
      <c r="CR103" s="16">
        <f t="shared" si="181"/>
        <v>26.268048480309943</v>
      </c>
      <c r="CS103" s="17">
        <f t="shared" si="182"/>
        <v>1.3276919174570334E-2</v>
      </c>
      <c r="CT103" s="18">
        <f t="shared" si="183"/>
        <v>0.20997467718755025</v>
      </c>
      <c r="CU103" s="19">
        <f t="shared" si="211"/>
        <v>848.02218807062047</v>
      </c>
      <c r="CV103" s="15">
        <f t="shared" si="184"/>
        <v>5.1960443761412418E-6</v>
      </c>
      <c r="CW103" s="16">
        <f t="shared" si="185"/>
        <v>25.641255162812136</v>
      </c>
      <c r="CX103" s="17">
        <f t="shared" si="186"/>
        <v>1.3004106724086887E-2</v>
      </c>
      <c r="CY103" s="18">
        <f t="shared" si="187"/>
        <v>0.2151074494980022</v>
      </c>
      <c r="CZ103" s="20">
        <f t="shared" si="212"/>
        <v>736.18831748715104</v>
      </c>
      <c r="DA103" s="15">
        <f t="shared" si="188"/>
        <v>4.9723766349743028E-6</v>
      </c>
      <c r="DB103" s="16">
        <f t="shared" si="189"/>
        <v>24.355165651102237</v>
      </c>
      <c r="DC103" s="17">
        <f t="shared" si="190"/>
        <v>1.2444334911854916E-2</v>
      </c>
      <c r="DD103" s="18">
        <f t="shared" si="191"/>
        <v>0.22646633075765513</v>
      </c>
    </row>
    <row r="104" spans="2:108" x14ac:dyDescent="0.25">
      <c r="B104">
        <v>85</v>
      </c>
      <c r="C104">
        <f t="shared" si="192"/>
        <v>8.3097246639346367E-2</v>
      </c>
      <c r="D104" s="19">
        <f t="shared" si="109"/>
        <v>1018.6167374139599</v>
      </c>
      <c r="E104" s="15">
        <f t="shared" si="110"/>
        <v>5.5372334748279198E-6</v>
      </c>
      <c r="F104" s="16">
        <f t="shared" si="111"/>
        <v>27.603092480260536</v>
      </c>
      <c r="G104" s="17">
        <f t="shared" si="107"/>
        <v>1.3857998479282315E-2</v>
      </c>
      <c r="H104" s="18">
        <f t="shared" si="112"/>
        <v>0.1998190964995796</v>
      </c>
      <c r="I104" s="19">
        <f t="shared" si="193"/>
        <v>1018.2927641844037</v>
      </c>
      <c r="J104" s="15">
        <f t="shared" si="113"/>
        <v>5.536585528368808E-6</v>
      </c>
      <c r="K104" s="16">
        <f t="shared" si="114"/>
        <v>27.599366788120641</v>
      </c>
      <c r="L104" s="17">
        <f t="shared" si="115"/>
        <v>1.3856376867861042E-2</v>
      </c>
      <c r="M104" s="18">
        <f t="shared" si="116"/>
        <v>0.19984607046760375</v>
      </c>
      <c r="N104" s="19">
        <f t="shared" si="194"/>
        <v>1017.3879971047627</v>
      </c>
      <c r="O104" s="15">
        <f t="shared" si="117"/>
        <v>5.5347759942095262E-6</v>
      </c>
      <c r="P104" s="16">
        <f t="shared" si="118"/>
        <v>27.588961966704773</v>
      </c>
      <c r="Q104" s="17">
        <f t="shared" si="108"/>
        <v>1.3857998479282315E-2</v>
      </c>
      <c r="R104" s="18">
        <f t="shared" si="119"/>
        <v>0.19992143983729543</v>
      </c>
      <c r="S104" s="19">
        <f t="shared" si="195"/>
        <v>1015.8870832940272</v>
      </c>
      <c r="T104" s="15">
        <f t="shared" si="120"/>
        <v>5.531774166588055E-6</v>
      </c>
      <c r="U104" s="16">
        <f t="shared" si="121"/>
        <v>27.571701457881311</v>
      </c>
      <c r="V104" s="17">
        <f t="shared" si="122"/>
        <v>1.3844335503785632E-2</v>
      </c>
      <c r="W104" s="18">
        <f t="shared" si="123"/>
        <v>0.2000465951811389</v>
      </c>
      <c r="X104" s="19">
        <f t="shared" si="196"/>
        <v>1013.7877949430666</v>
      </c>
      <c r="Y104" s="15">
        <f t="shared" si="124"/>
        <v>5.5275755898861342E-6</v>
      </c>
      <c r="Z104" s="16">
        <f t="shared" si="125"/>
        <v>27.547559641845265</v>
      </c>
      <c r="AA104" s="17">
        <f t="shared" si="126"/>
        <v>1.3833827752972006E-2</v>
      </c>
      <c r="AB104" s="18">
        <f t="shared" si="127"/>
        <v>0.20022190973394469</v>
      </c>
      <c r="AC104" s="19">
        <f t="shared" si="197"/>
        <v>1011.0888964041292</v>
      </c>
      <c r="AD104" s="15">
        <f t="shared" si="128"/>
        <v>5.5221777928082593E-6</v>
      </c>
      <c r="AE104" s="16">
        <f t="shared" si="129"/>
        <v>27.516522308647485</v>
      </c>
      <c r="AF104" s="17">
        <f t="shared" si="130"/>
        <v>1.3820318721063433E-2</v>
      </c>
      <c r="AG104" s="18">
        <f t="shared" si="131"/>
        <v>0.2004477505599111</v>
      </c>
      <c r="AH104" s="19">
        <f t="shared" si="198"/>
        <v>1007.7902926024154</v>
      </c>
      <c r="AI104" s="15">
        <f t="shared" si="132"/>
        <v>5.5155805852048307E-6</v>
      </c>
      <c r="AJ104" s="16">
        <f t="shared" si="133"/>
        <v>27.478588364927777</v>
      </c>
      <c r="AK104" s="17">
        <f t="shared" si="134"/>
        <v>1.3803807932173741E-2</v>
      </c>
      <c r="AL104" s="18">
        <f t="shared" si="135"/>
        <v>0.20072446687399173</v>
      </c>
      <c r="AM104" s="19">
        <f t="shared" si="199"/>
        <v>1003.8919846271837</v>
      </c>
      <c r="AN104" s="15">
        <f t="shared" si="136"/>
        <v>5.507783969254368E-6</v>
      </c>
      <c r="AO104" s="16">
        <f t="shared" si="137"/>
        <v>27.433757823212609</v>
      </c>
      <c r="AP104" s="17">
        <f t="shared" si="138"/>
        <v>1.3784295391755094E-2</v>
      </c>
      <c r="AQ104" s="18">
        <f t="shared" si="139"/>
        <v>0.20105247832045259</v>
      </c>
      <c r="AR104" s="19">
        <f t="shared" si="200"/>
        <v>999.39397886074448</v>
      </c>
      <c r="AS104" s="15">
        <f t="shared" si="140"/>
        <v>5.4987879577214891E-6</v>
      </c>
      <c r="AT104" s="16">
        <f t="shared" si="141"/>
        <v>27.382030756898558</v>
      </c>
      <c r="AU104" s="17">
        <f t="shared" si="142"/>
        <v>1.3761781131753421E-2</v>
      </c>
      <c r="AV104" s="18">
        <f t="shared" si="143"/>
        <v>0.20143228414899095</v>
      </c>
      <c r="AW104" s="19">
        <f t="shared" si="201"/>
        <v>994.29627752820591</v>
      </c>
      <c r="AX104" s="15">
        <f t="shared" si="144"/>
        <v>5.488592555056412E-6</v>
      </c>
      <c r="AY104" s="16">
        <f t="shared" si="145"/>
        <v>27.323407191574368</v>
      </c>
      <c r="AZ104" s="17">
        <f t="shared" si="146"/>
        <v>1.3736265163306253E-2</v>
      </c>
      <c r="BA104" s="18">
        <f t="shared" si="147"/>
        <v>0.20186446592578819</v>
      </c>
      <c r="BB104" s="19">
        <f t="shared" si="202"/>
        <v>988.59887784779983</v>
      </c>
      <c r="BC104" s="15">
        <f t="shared" si="148"/>
        <v>5.4771977556955998E-6</v>
      </c>
      <c r="BD104" s="16">
        <f t="shared" si="149"/>
        <v>27.257887095249696</v>
      </c>
      <c r="BE104" s="17">
        <f t="shared" si="150"/>
        <v>1.3707747472489762E-2</v>
      </c>
      <c r="BF104" s="18">
        <f t="shared" si="151"/>
        <v>0.20234968986136942</v>
      </c>
      <c r="BG104" s="19">
        <f t="shared" si="203"/>
        <v>982.30174509023402</v>
      </c>
      <c r="BH104" s="15">
        <f t="shared" si="152"/>
        <v>5.4646034901804679E-6</v>
      </c>
      <c r="BI104" s="16">
        <f t="shared" si="153"/>
        <v>27.18547006853769</v>
      </c>
      <c r="BJ104" s="17">
        <f t="shared" si="154"/>
        <v>1.3676227885470398E-2</v>
      </c>
      <c r="BK104" s="18">
        <f t="shared" si="155"/>
        <v>0.2028887117307325</v>
      </c>
      <c r="BL104" s="19">
        <f t="shared" si="204"/>
        <v>975.40456736844021</v>
      </c>
      <c r="BM104" s="15">
        <f t="shared" si="156"/>
        <v>5.4508091347368813E-6</v>
      </c>
      <c r="BN104" s="16">
        <f t="shared" si="157"/>
        <v>27.106152524737062</v>
      </c>
      <c r="BO104" s="17">
        <f t="shared" si="158"/>
        <v>1.3641704841132659E-2</v>
      </c>
      <c r="BP104" s="18">
        <f t="shared" si="159"/>
        <v>0.20348240108833016</v>
      </c>
      <c r="BQ104" s="19">
        <f t="shared" si="205"/>
        <v>967.90485988200328</v>
      </c>
      <c r="BR104" s="15">
        <f t="shared" si="160"/>
        <v>5.4358097197640075E-6</v>
      </c>
      <c r="BS104" s="16">
        <f t="shared" si="161"/>
        <v>27.019905888643038</v>
      </c>
      <c r="BT104" s="17">
        <f t="shared" si="162"/>
        <v>1.3604165902088614E-2</v>
      </c>
      <c r="BU104" s="18">
        <f t="shared" si="163"/>
        <v>0.20413191010847742</v>
      </c>
      <c r="BV104" s="19">
        <f t="shared" si="206"/>
        <v>959.78518412423182</v>
      </c>
      <c r="BW104" s="15">
        <f t="shared" si="164"/>
        <v>5.4195703682484634E-6</v>
      </c>
      <c r="BX104" s="16">
        <f t="shared" si="165"/>
        <v>26.926529617428663</v>
      </c>
      <c r="BY104" s="17">
        <f t="shared" si="166"/>
        <v>1.3563523781861972E-2</v>
      </c>
      <c r="BZ104" s="18">
        <f t="shared" si="167"/>
        <v>0.20483980217153258</v>
      </c>
      <c r="CA104" s="19">
        <f t="shared" si="207"/>
        <v>950.9394749673462</v>
      </c>
      <c r="CB104" s="15">
        <f t="shared" si="168"/>
        <v>5.4018789499346929E-6</v>
      </c>
      <c r="CC104" s="16">
        <f t="shared" si="169"/>
        <v>26.824803962124481</v>
      </c>
      <c r="CD104" s="17">
        <f t="shared" si="170"/>
        <v>1.3519247583431274E-2</v>
      </c>
      <c r="CE104" s="18">
        <f t="shared" si="171"/>
        <v>0.20561660050853811</v>
      </c>
      <c r="CF104" s="19">
        <f t="shared" si="208"/>
        <v>940.82079690274338</v>
      </c>
      <c r="CG104" s="15">
        <f t="shared" si="172"/>
        <v>5.3816415938054875E-6</v>
      </c>
      <c r="CH104" s="16">
        <f t="shared" si="173"/>
        <v>26.708439164381549</v>
      </c>
      <c r="CI104" s="17">
        <f t="shared" si="174"/>
        <v>1.346859968286177E-2</v>
      </c>
      <c r="CJ104" s="18">
        <f t="shared" si="175"/>
        <v>0.20651244223045626</v>
      </c>
      <c r="CK104" s="19">
        <f t="shared" si="209"/>
        <v>927.11064169934787</v>
      </c>
      <c r="CL104" s="15">
        <f t="shared" si="176"/>
        <v>5.3542212833986964E-6</v>
      </c>
      <c r="CM104" s="16">
        <f t="shared" si="177"/>
        <v>26.550772379542501</v>
      </c>
      <c r="CN104" s="17">
        <f t="shared" si="178"/>
        <v>1.3399975048981659E-2</v>
      </c>
      <c r="CO104" s="18">
        <f t="shared" si="179"/>
        <v>0.20773877765792667</v>
      </c>
      <c r="CP104" s="19">
        <f t="shared" si="210"/>
        <v>902.09775541997203</v>
      </c>
      <c r="CQ104" s="15">
        <f t="shared" si="180"/>
        <v>5.3041955108399441E-6</v>
      </c>
      <c r="CR104" s="16">
        <f t="shared" si="181"/>
        <v>26.26312418732968</v>
      </c>
      <c r="CS104" s="17">
        <f t="shared" si="182"/>
        <v>1.3274775870873017E-2</v>
      </c>
      <c r="CT104" s="18">
        <f t="shared" si="183"/>
        <v>0.2100140470972964</v>
      </c>
      <c r="CU104" s="19">
        <f t="shared" si="211"/>
        <v>847.20303603210562</v>
      </c>
      <c r="CV104" s="15">
        <f t="shared" si="184"/>
        <v>5.1944060720642116E-6</v>
      </c>
      <c r="CW104" s="16">
        <f t="shared" si="185"/>
        <v>25.631834914369215</v>
      </c>
      <c r="CX104" s="17">
        <f t="shared" si="186"/>
        <v>1.3000006551047173E-2</v>
      </c>
      <c r="CY104" s="18">
        <f t="shared" si="187"/>
        <v>0.21518650609394877</v>
      </c>
      <c r="CZ104" s="20">
        <f t="shared" si="212"/>
        <v>735.21648105698966</v>
      </c>
      <c r="DA104" s="15">
        <f t="shared" si="188"/>
        <v>4.9704329621139799E-6</v>
      </c>
      <c r="DB104" s="16">
        <f t="shared" si="189"/>
        <v>24.34398953215538</v>
      </c>
      <c r="DC104" s="17">
        <f t="shared" si="190"/>
        <v>1.2439470494332156E-2</v>
      </c>
      <c r="DD104" s="18">
        <f t="shared" si="191"/>
        <v>0.22657029952771487</v>
      </c>
    </row>
    <row r="105" spans="2:108" x14ac:dyDescent="0.25">
      <c r="B105">
        <v>86</v>
      </c>
      <c r="C105">
        <f t="shared" si="192"/>
        <v>8.4074861305691626E-2</v>
      </c>
      <c r="D105" s="19">
        <f t="shared" si="109"/>
        <v>1018.6001969774629</v>
      </c>
      <c r="E105" s="15">
        <f t="shared" si="110"/>
        <v>5.5372003939549265E-6</v>
      </c>
      <c r="F105" s="16">
        <f t="shared" si="111"/>
        <v>27.602902265240822</v>
      </c>
      <c r="G105" s="17">
        <f t="shared" si="107"/>
        <v>1.3857915687994982E-2</v>
      </c>
      <c r="H105" s="18">
        <f t="shared" si="112"/>
        <v>0.19982047347773266</v>
      </c>
      <c r="I105" s="19">
        <f t="shared" si="193"/>
        <v>1018.2762017023935</v>
      </c>
      <c r="J105" s="15">
        <f t="shared" si="113"/>
        <v>5.5365524034047876E-6</v>
      </c>
      <c r="K105" s="16">
        <f t="shared" si="114"/>
        <v>27.599176319577523</v>
      </c>
      <c r="L105" s="17">
        <f t="shared" si="115"/>
        <v>1.3856293966227382E-2</v>
      </c>
      <c r="M105" s="18">
        <f t="shared" si="116"/>
        <v>0.19984744965332468</v>
      </c>
      <c r="N105" s="19">
        <f t="shared" si="194"/>
        <v>1017.3714032650081</v>
      </c>
      <c r="O105" s="15">
        <f t="shared" si="117"/>
        <v>5.5347428065300175E-6</v>
      </c>
      <c r="P105" s="16">
        <f t="shared" si="118"/>
        <v>27.588771137547592</v>
      </c>
      <c r="Q105" s="17">
        <f t="shared" si="108"/>
        <v>1.3857915687994982E-2</v>
      </c>
      <c r="R105" s="18">
        <f t="shared" si="119"/>
        <v>0.1999228226767005</v>
      </c>
      <c r="S105" s="19">
        <f t="shared" si="195"/>
        <v>1015.8704758537629</v>
      </c>
      <c r="T105" s="15">
        <f t="shared" si="120"/>
        <v>5.5317409517075265E-6</v>
      </c>
      <c r="U105" s="16">
        <f t="shared" si="121"/>
        <v>27.571510472318273</v>
      </c>
      <c r="V105" s="17">
        <f t="shared" si="122"/>
        <v>1.3844252377118508E-2</v>
      </c>
      <c r="W105" s="18">
        <f t="shared" si="123"/>
        <v>0.20004798088728848</v>
      </c>
      <c r="X105" s="19">
        <f t="shared" si="196"/>
        <v>1013.7711903745143</v>
      </c>
      <c r="Y105" s="15">
        <f t="shared" si="124"/>
        <v>5.5275423807490287E-6</v>
      </c>
      <c r="Z105" s="16">
        <f t="shared" si="125"/>
        <v>27.547368689306914</v>
      </c>
      <c r="AA105" s="17">
        <f t="shared" si="126"/>
        <v>1.3833744640678908E-2</v>
      </c>
      <c r="AB105" s="18">
        <f t="shared" si="127"/>
        <v>0.20022329762991137</v>
      </c>
      <c r="AC105" s="19">
        <f t="shared" si="197"/>
        <v>1011.072303443078</v>
      </c>
      <c r="AD105" s="15">
        <f t="shared" si="128"/>
        <v>5.522144606886156E-6</v>
      </c>
      <c r="AE105" s="16">
        <f t="shared" si="129"/>
        <v>27.516331489595395</v>
      </c>
      <c r="AF105" s="17">
        <f t="shared" si="130"/>
        <v>1.3820235666870373E-2</v>
      </c>
      <c r="AG105" s="18">
        <f t="shared" si="131"/>
        <v>0.20044914061620439</v>
      </c>
      <c r="AH105" s="19">
        <f t="shared" si="198"/>
        <v>1007.7737159646711</v>
      </c>
      <c r="AI105" s="15">
        <f t="shared" si="132"/>
        <v>5.5155474319293423E-6</v>
      </c>
      <c r="AJ105" s="16">
        <f t="shared" si="133"/>
        <v>27.478397733593717</v>
      </c>
      <c r="AK105" s="17">
        <f t="shared" si="134"/>
        <v>1.3803724959685152E-2</v>
      </c>
      <c r="AL105" s="18">
        <f t="shared" si="135"/>
        <v>0.20072585939961385</v>
      </c>
      <c r="AM105" s="19">
        <f t="shared" si="199"/>
        <v>1003.8754279634173</v>
      </c>
      <c r="AN105" s="15">
        <f t="shared" si="136"/>
        <v>5.5077508559268355E-6</v>
      </c>
      <c r="AO105" s="16">
        <f t="shared" si="137"/>
        <v>27.433567421579298</v>
      </c>
      <c r="AP105" s="17">
        <f t="shared" si="138"/>
        <v>1.3784212519243997E-2</v>
      </c>
      <c r="AQ105" s="18">
        <f t="shared" si="139"/>
        <v>0.20105387371754643</v>
      </c>
      <c r="AR105" s="19">
        <f t="shared" si="200"/>
        <v>999.37744570049426</v>
      </c>
      <c r="AS105" s="15">
        <f t="shared" si="140"/>
        <v>5.4987548914009893E-6</v>
      </c>
      <c r="AT105" s="16">
        <f t="shared" si="141"/>
        <v>27.381840625555682</v>
      </c>
      <c r="AU105" s="17">
        <f t="shared" si="142"/>
        <v>1.3761698376886521E-2</v>
      </c>
      <c r="AV105" s="18">
        <f t="shared" si="143"/>
        <v>0.20143368283475527</v>
      </c>
      <c r="AW105" s="19">
        <f t="shared" si="201"/>
        <v>994.27977138686504</v>
      </c>
      <c r="AX105" s="15">
        <f t="shared" si="144"/>
        <v>5.488559542773731E-6</v>
      </c>
      <c r="AY105" s="16">
        <f t="shared" si="145"/>
        <v>27.323217370948946</v>
      </c>
      <c r="AZ105" s="17">
        <f t="shared" si="146"/>
        <v>1.3736182543679453E-2</v>
      </c>
      <c r="BA105" s="18">
        <f t="shared" si="147"/>
        <v>0.20186586832429246</v>
      </c>
      <c r="BB105" s="19">
        <f t="shared" si="202"/>
        <v>988.58240185041973</v>
      </c>
      <c r="BC105" s="15">
        <f t="shared" si="148"/>
        <v>5.4771648037008403E-6</v>
      </c>
      <c r="BD105" s="16">
        <f t="shared" si="149"/>
        <v>27.257697621279824</v>
      </c>
      <c r="BE105" s="17">
        <f t="shared" si="150"/>
        <v>1.3707665003745156E-2</v>
      </c>
      <c r="BF105" s="18">
        <f t="shared" si="151"/>
        <v>0.2023510964364798</v>
      </c>
      <c r="BG105" s="19">
        <f t="shared" si="203"/>
        <v>982.28529882087696</v>
      </c>
      <c r="BH105" s="15">
        <f t="shared" si="152"/>
        <v>5.4645705976417546E-6</v>
      </c>
      <c r="BI105" s="16">
        <f t="shared" si="153"/>
        <v>27.185280936440083</v>
      </c>
      <c r="BJ105" s="17">
        <f t="shared" si="154"/>
        <v>1.3676145565526054E-2</v>
      </c>
      <c r="BK105" s="18">
        <f t="shared" si="155"/>
        <v>0.20289012325808511</v>
      </c>
      <c r="BL105" s="19">
        <f t="shared" si="204"/>
        <v>975.38812317126315</v>
      </c>
      <c r="BM105" s="15">
        <f t="shared" si="156"/>
        <v>5.4507762463425274E-6</v>
      </c>
      <c r="BN105" s="16">
        <f t="shared" si="157"/>
        <v>27.105963416469525</v>
      </c>
      <c r="BO105" s="17">
        <f t="shared" si="158"/>
        <v>1.3641622531560376E-2</v>
      </c>
      <c r="BP105" s="18">
        <f t="shared" si="159"/>
        <v>0.20348382070967891</v>
      </c>
      <c r="BQ105" s="19">
        <f t="shared" si="205"/>
        <v>967.88820736538753</v>
      </c>
      <c r="BR105" s="15">
        <f t="shared" si="160"/>
        <v>5.435776414730775E-6</v>
      </c>
      <c r="BS105" s="16">
        <f t="shared" si="161"/>
        <v>27.019714384701956</v>
      </c>
      <c r="BT105" s="17">
        <f t="shared" si="162"/>
        <v>1.3604082549796899E-2</v>
      </c>
      <c r="BU105" s="18">
        <f t="shared" si="163"/>
        <v>0.20413335690634987</v>
      </c>
      <c r="BV105" s="19">
        <f t="shared" si="206"/>
        <v>959.7670643024768</v>
      </c>
      <c r="BW105" s="15">
        <f t="shared" si="164"/>
        <v>5.419534128604954E-6</v>
      </c>
      <c r="BX105" s="16">
        <f t="shared" si="165"/>
        <v>26.926321239478483</v>
      </c>
      <c r="BY105" s="17">
        <f t="shared" si="166"/>
        <v>1.3563433085140058E-2</v>
      </c>
      <c r="BZ105" s="18">
        <f t="shared" si="167"/>
        <v>0.20484138738986643</v>
      </c>
      <c r="CA105" s="19">
        <f t="shared" si="207"/>
        <v>950.9136350655109</v>
      </c>
      <c r="CB105" s="15">
        <f t="shared" si="168"/>
        <v>5.4018272701310222E-6</v>
      </c>
      <c r="CC105" s="16">
        <f t="shared" si="169"/>
        <v>26.824506803253374</v>
      </c>
      <c r="CD105" s="17">
        <f t="shared" si="170"/>
        <v>1.3519118244720178E-2</v>
      </c>
      <c r="CE105" s="18">
        <f t="shared" si="171"/>
        <v>0.20561887830612582</v>
      </c>
      <c r="CF105" s="19">
        <f t="shared" si="208"/>
        <v>940.7621762731751</v>
      </c>
      <c r="CG105" s="15">
        <f t="shared" si="172"/>
        <v>5.3815243525463501E-6</v>
      </c>
      <c r="CH105" s="16">
        <f t="shared" si="173"/>
        <v>26.707765027141512</v>
      </c>
      <c r="CI105" s="17">
        <f t="shared" si="174"/>
        <v>1.3468306263919219E-2</v>
      </c>
      <c r="CJ105" s="18">
        <f t="shared" si="175"/>
        <v>0.20651765486160292</v>
      </c>
      <c r="CK105" s="19">
        <f t="shared" si="209"/>
        <v>926.94307382671082</v>
      </c>
      <c r="CL105" s="15">
        <f t="shared" si="176"/>
        <v>5.3538861476534219E-6</v>
      </c>
      <c r="CM105" s="16">
        <f t="shared" si="177"/>
        <v>26.548845349007173</v>
      </c>
      <c r="CN105" s="17">
        <f t="shared" si="178"/>
        <v>1.3399136306914979E-2</v>
      </c>
      <c r="CO105" s="18">
        <f t="shared" si="179"/>
        <v>0.20775385624091797</v>
      </c>
      <c r="CP105" s="19">
        <f t="shared" si="210"/>
        <v>901.66762319559825</v>
      </c>
      <c r="CQ105" s="15">
        <f t="shared" si="180"/>
        <v>5.3033352463911969E-6</v>
      </c>
      <c r="CR105" s="16">
        <f t="shared" si="181"/>
        <v>26.258177666749379</v>
      </c>
      <c r="CS105" s="17">
        <f t="shared" si="182"/>
        <v>1.3272622892589419E-2</v>
      </c>
      <c r="CT105" s="18">
        <f t="shared" si="183"/>
        <v>0.2100536095840502</v>
      </c>
      <c r="CU105" s="19">
        <f t="shared" si="211"/>
        <v>846.38698941172993</v>
      </c>
      <c r="CV105" s="15">
        <f t="shared" si="184"/>
        <v>5.1927739788234599E-6</v>
      </c>
      <c r="CW105" s="16">
        <f t="shared" si="185"/>
        <v>25.622450378234895</v>
      </c>
      <c r="CX105" s="17">
        <f t="shared" si="186"/>
        <v>1.299592192182733E-2</v>
      </c>
      <c r="CY105" s="18">
        <f t="shared" si="187"/>
        <v>0.2152653207862302</v>
      </c>
      <c r="CZ105" s="20">
        <f t="shared" si="212"/>
        <v>734.25279967835752</v>
      </c>
      <c r="DA105" s="15">
        <f t="shared" si="188"/>
        <v>4.9685055993567148E-6</v>
      </c>
      <c r="DB105" s="16">
        <f t="shared" si="189"/>
        <v>24.332907196301111</v>
      </c>
      <c r="DC105" s="17">
        <f t="shared" si="190"/>
        <v>1.2434646895999048E-2</v>
      </c>
      <c r="DD105" s="18">
        <f t="shared" si="191"/>
        <v>0.22667349016308416</v>
      </c>
    </row>
    <row r="106" spans="2:108" x14ac:dyDescent="0.25">
      <c r="B106">
        <v>87</v>
      </c>
      <c r="C106">
        <f t="shared" si="192"/>
        <v>8.5052475972036884E-2</v>
      </c>
      <c r="D106" s="19">
        <f t="shared" si="109"/>
        <v>1018.5836554154334</v>
      </c>
      <c r="E106" s="15">
        <f t="shared" si="110"/>
        <v>5.5371673108308676E-6</v>
      </c>
      <c r="F106" s="16">
        <f t="shared" si="111"/>
        <v>27.602712037277485</v>
      </c>
      <c r="G106" s="17">
        <f t="shared" si="107"/>
        <v>1.3857832891073925E-2</v>
      </c>
      <c r="H106" s="18">
        <f t="shared" si="112"/>
        <v>0.1998218505685653</v>
      </c>
      <c r="I106" s="19">
        <f t="shared" si="193"/>
        <v>1018.2596388202651</v>
      </c>
      <c r="J106" s="15">
        <f t="shared" si="113"/>
        <v>5.5365192776405312E-6</v>
      </c>
      <c r="K106" s="16">
        <f t="shared" si="114"/>
        <v>27.598985846433045</v>
      </c>
      <c r="L106" s="17">
        <f t="shared" si="115"/>
        <v>1.3856211062590976E-2</v>
      </c>
      <c r="M106" s="18">
        <f t="shared" si="116"/>
        <v>0.19984882889140115</v>
      </c>
      <c r="N106" s="19">
        <f t="shared" si="194"/>
        <v>1017.3548096148464</v>
      </c>
      <c r="O106" s="15">
        <f t="shared" si="117"/>
        <v>5.5347096192296933E-6</v>
      </c>
      <c r="P106" s="16">
        <f t="shared" si="118"/>
        <v>27.588580310570734</v>
      </c>
      <c r="Q106" s="17">
        <f t="shared" si="108"/>
        <v>1.3857832891073925E-2</v>
      </c>
      <c r="R106" s="18">
        <f t="shared" si="119"/>
        <v>0.19992420551943568</v>
      </c>
      <c r="S106" s="19">
        <f t="shared" si="195"/>
        <v>1015.8538687162127</v>
      </c>
      <c r="T106" s="15">
        <f t="shared" si="120"/>
        <v>5.5317077374324259E-6</v>
      </c>
      <c r="U106" s="16">
        <f t="shared" si="121"/>
        <v>27.571319490236444</v>
      </c>
      <c r="V106" s="17">
        <f t="shared" si="122"/>
        <v>1.3844169251966583E-2</v>
      </c>
      <c r="W106" s="18">
        <f t="shared" si="123"/>
        <v>0.2000493665873769</v>
      </c>
      <c r="X106" s="19">
        <f t="shared" si="196"/>
        <v>1013.7545860516573</v>
      </c>
      <c r="Y106" s="15">
        <f t="shared" si="124"/>
        <v>5.527509172103315E-6</v>
      </c>
      <c r="Z106" s="16">
        <f t="shared" si="125"/>
        <v>27.547177739594058</v>
      </c>
      <c r="AA106" s="17">
        <f t="shared" si="126"/>
        <v>1.3833661529615614E-2</v>
      </c>
      <c r="AB106" s="18">
        <f t="shared" si="127"/>
        <v>0.2002246855245825</v>
      </c>
      <c r="AC106" s="19">
        <f t="shared" si="197"/>
        <v>1011.0557106855903</v>
      </c>
      <c r="AD106" s="15">
        <f t="shared" si="128"/>
        <v>5.5221114213711816E-6</v>
      </c>
      <c r="AE106" s="16">
        <f t="shared" si="129"/>
        <v>27.516140672884287</v>
      </c>
      <c r="AF106" s="17">
        <f t="shared" si="130"/>
        <v>1.382015261369623E-2</v>
      </c>
      <c r="AG106" s="18">
        <f t="shared" si="131"/>
        <v>0.20045053067472354</v>
      </c>
      <c r="AH106" s="19">
        <f t="shared" si="198"/>
        <v>1007.7571395188003</v>
      </c>
      <c r="AI106" s="15">
        <f t="shared" si="132"/>
        <v>5.5155142790376013E-6</v>
      </c>
      <c r="AJ106" s="16">
        <f t="shared" si="133"/>
        <v>27.4782071044662</v>
      </c>
      <c r="AK106" s="17">
        <f t="shared" si="134"/>
        <v>1.3803641988156966E-2</v>
      </c>
      <c r="AL106" s="18">
        <f t="shared" si="135"/>
        <v>0.20072725192843865</v>
      </c>
      <c r="AM106" s="19">
        <f t="shared" si="199"/>
        <v>1003.8588714907581</v>
      </c>
      <c r="AN106" s="15">
        <f t="shared" si="136"/>
        <v>5.5077177429815164E-6</v>
      </c>
      <c r="AO106" s="16">
        <f t="shared" si="137"/>
        <v>27.433377022143716</v>
      </c>
      <c r="AP106" s="17">
        <f t="shared" si="138"/>
        <v>1.3784129647689462E-2</v>
      </c>
      <c r="AQ106" s="18">
        <f t="shared" si="139"/>
        <v>0.20105526911790295</v>
      </c>
      <c r="AR106" s="19">
        <f t="shared" si="200"/>
        <v>999.36091273162447</v>
      </c>
      <c r="AS106" s="15">
        <f t="shared" si="140"/>
        <v>5.4987218254632494E-6</v>
      </c>
      <c r="AT106" s="16">
        <f t="shared" si="141"/>
        <v>27.38165049641368</v>
      </c>
      <c r="AU106" s="17">
        <f t="shared" si="142"/>
        <v>1.3761615622977553E-2</v>
      </c>
      <c r="AV106" s="18">
        <f t="shared" si="143"/>
        <v>0.20143508152375295</v>
      </c>
      <c r="AW106" s="19">
        <f t="shared" si="201"/>
        <v>994.26326543149003</v>
      </c>
      <c r="AX106" s="15">
        <f t="shared" si="144"/>
        <v>5.4885265308629804E-6</v>
      </c>
      <c r="AY106" s="16">
        <f t="shared" si="145"/>
        <v>27.323027552462136</v>
      </c>
      <c r="AZ106" s="17">
        <f t="shared" si="146"/>
        <v>1.3736099924983482E-2</v>
      </c>
      <c r="BA106" s="18">
        <f t="shared" si="147"/>
        <v>0.20186727072648197</v>
      </c>
      <c r="BB106" s="19">
        <f t="shared" si="202"/>
        <v>988.56592598754446</v>
      </c>
      <c r="BC106" s="15">
        <f t="shared" si="148"/>
        <v>5.4771318519750891E-6</v>
      </c>
      <c r="BD106" s="16">
        <f t="shared" si="149"/>
        <v>27.257508148856761</v>
      </c>
      <c r="BE106" s="17">
        <f t="shared" si="150"/>
        <v>1.3707582535673795E-2</v>
      </c>
      <c r="BF106" s="18">
        <f t="shared" si="151"/>
        <v>0.20235250301966201</v>
      </c>
      <c r="BG106" s="19">
        <f t="shared" si="203"/>
        <v>982.26885229118295</v>
      </c>
      <c r="BH106" s="15">
        <f t="shared" si="152"/>
        <v>5.464537704582366E-6</v>
      </c>
      <c r="BI106" s="16">
        <f t="shared" si="153"/>
        <v>27.185091801348605</v>
      </c>
      <c r="BJ106" s="17">
        <f t="shared" si="154"/>
        <v>1.367606324427862E-2</v>
      </c>
      <c r="BK106" s="18">
        <f t="shared" si="155"/>
        <v>0.20289153482742256</v>
      </c>
      <c r="BL106" s="19">
        <f t="shared" si="204"/>
        <v>975.371676078213</v>
      </c>
      <c r="BM106" s="15">
        <f t="shared" si="156"/>
        <v>5.4507433521564265E-6</v>
      </c>
      <c r="BN106" s="16">
        <f t="shared" si="157"/>
        <v>27.105774274899449</v>
      </c>
      <c r="BO106" s="17">
        <f t="shared" si="158"/>
        <v>1.3641540207493124E-2</v>
      </c>
      <c r="BP106" s="18">
        <f t="shared" si="159"/>
        <v>0.20348524060084097</v>
      </c>
      <c r="BQ106" s="19">
        <f t="shared" si="205"/>
        <v>967.87153689560409</v>
      </c>
      <c r="BR106" s="15">
        <f t="shared" si="160"/>
        <v>5.4357430737912094E-6</v>
      </c>
      <c r="BS106" s="16">
        <f t="shared" si="161"/>
        <v>27.019522674299445</v>
      </c>
      <c r="BT106" s="17">
        <f t="shared" si="162"/>
        <v>1.3603999107642636E-2</v>
      </c>
      <c r="BU106" s="18">
        <f t="shared" si="163"/>
        <v>0.20413480528456476</v>
      </c>
      <c r="BV106" s="19">
        <f t="shared" si="206"/>
        <v>959.74885506536054</v>
      </c>
      <c r="BW106" s="15">
        <f t="shared" si="164"/>
        <v>5.4194977101307216E-6</v>
      </c>
      <c r="BX106" s="16">
        <f t="shared" si="165"/>
        <v>26.926111833251646</v>
      </c>
      <c r="BY106" s="17">
        <f t="shared" si="166"/>
        <v>1.3563341940859647E-2</v>
      </c>
      <c r="BZ106" s="18">
        <f t="shared" si="167"/>
        <v>0.20484298045544896</v>
      </c>
      <c r="CA106" s="19">
        <f t="shared" si="207"/>
        <v>950.88743712030578</v>
      </c>
      <c r="CB106" s="15">
        <f t="shared" si="168"/>
        <v>5.4017748742406122E-6</v>
      </c>
      <c r="CC106" s="16">
        <f t="shared" si="169"/>
        <v>26.824205526883517</v>
      </c>
      <c r="CD106" s="17">
        <f t="shared" si="170"/>
        <v>1.351898711386342E-2</v>
      </c>
      <c r="CE106" s="18">
        <f t="shared" si="171"/>
        <v>0.20562118771689916</v>
      </c>
      <c r="CF106" s="19">
        <f t="shared" si="208"/>
        <v>940.70246664248612</v>
      </c>
      <c r="CG106" s="15">
        <f t="shared" si="172"/>
        <v>5.3814049332849722E-6</v>
      </c>
      <c r="CH106" s="16">
        <f t="shared" si="173"/>
        <v>26.70707836638859</v>
      </c>
      <c r="CI106" s="17">
        <f t="shared" si="174"/>
        <v>1.346800739410452E-2</v>
      </c>
      <c r="CJ106" s="18">
        <f t="shared" si="175"/>
        <v>0.20652296459883565</v>
      </c>
      <c r="CK106" s="19">
        <f t="shared" si="209"/>
        <v>926.77329359377063</v>
      </c>
      <c r="CL106" s="15">
        <f t="shared" si="176"/>
        <v>5.3535465871875418E-6</v>
      </c>
      <c r="CM106" s="16">
        <f t="shared" si="177"/>
        <v>26.546892876328361</v>
      </c>
      <c r="CN106" s="17">
        <f t="shared" si="178"/>
        <v>1.3398286491128595E-2</v>
      </c>
      <c r="CO106" s="18">
        <f t="shared" si="179"/>
        <v>0.20776913613563552</v>
      </c>
      <c r="CP106" s="19">
        <f t="shared" si="210"/>
        <v>901.23562422501004</v>
      </c>
      <c r="CQ106" s="15">
        <f t="shared" si="180"/>
        <v>5.3024712484500205E-6</v>
      </c>
      <c r="CR106" s="16">
        <f t="shared" si="181"/>
        <v>26.253209678587616</v>
      </c>
      <c r="CS106" s="17">
        <f t="shared" si="182"/>
        <v>1.3270460570518413E-2</v>
      </c>
      <c r="CT106" s="18">
        <f t="shared" si="183"/>
        <v>0.21009335877504531</v>
      </c>
      <c r="CU106" s="19">
        <f t="shared" si="211"/>
        <v>845.57405149146075</v>
      </c>
      <c r="CV106" s="15">
        <f t="shared" si="184"/>
        <v>5.191148102982922E-6</v>
      </c>
      <c r="CW106" s="16">
        <f t="shared" si="185"/>
        <v>25.6131015921518</v>
      </c>
      <c r="CX106" s="17">
        <f t="shared" si="186"/>
        <v>1.2991852852854872E-2</v>
      </c>
      <c r="CY106" s="18">
        <f t="shared" si="187"/>
        <v>0.21534389266195164</v>
      </c>
      <c r="CZ106" s="20">
        <f t="shared" si="212"/>
        <v>733.29709981791666</v>
      </c>
      <c r="DA106" s="15">
        <f t="shared" si="188"/>
        <v>4.9665941996358336E-6</v>
      </c>
      <c r="DB106" s="16">
        <f t="shared" si="189"/>
        <v>24.321916647906043</v>
      </c>
      <c r="DC106" s="17">
        <f t="shared" si="190"/>
        <v>1.2429863248254069E-2</v>
      </c>
      <c r="DD106" s="18">
        <f t="shared" si="191"/>
        <v>0.22677591901355598</v>
      </c>
    </row>
    <row r="107" spans="2:108" x14ac:dyDescent="0.25">
      <c r="B107">
        <v>88</v>
      </c>
      <c r="C107">
        <f t="shared" si="192"/>
        <v>8.6030090638382128E-2</v>
      </c>
      <c r="D107" s="19">
        <f t="shared" si="109"/>
        <v>1018.5671127649074</v>
      </c>
      <c r="E107" s="15">
        <f t="shared" si="110"/>
        <v>5.5371342255298147E-6</v>
      </c>
      <c r="F107" s="16">
        <f t="shared" si="111"/>
        <v>27.602521796796434</v>
      </c>
      <c r="G107" s="17">
        <f t="shared" si="107"/>
        <v>1.3857750088704518E-2</v>
      </c>
      <c r="H107" s="18">
        <f t="shared" si="112"/>
        <v>0.19982322776899852</v>
      </c>
      <c r="I107" s="19">
        <f t="shared" si="193"/>
        <v>1018.2430755452629</v>
      </c>
      <c r="J107" s="15">
        <f t="shared" si="113"/>
        <v>5.5364861510905263E-6</v>
      </c>
      <c r="K107" s="16">
        <f t="shared" si="114"/>
        <v>27.598795368770524</v>
      </c>
      <c r="L107" s="17">
        <f t="shared" si="115"/>
        <v>1.3856128156988085E-2</v>
      </c>
      <c r="M107" s="18">
        <f t="shared" si="116"/>
        <v>0.19985020818123161</v>
      </c>
      <c r="N107" s="19">
        <f t="shared" si="194"/>
        <v>1017.3382161501098</v>
      </c>
      <c r="O107" s="15">
        <f t="shared" si="117"/>
        <v>5.5346764323002204E-6</v>
      </c>
      <c r="P107" s="16">
        <f t="shared" si="118"/>
        <v>27.58838948572626</v>
      </c>
      <c r="Q107" s="17">
        <f t="shared" si="108"/>
        <v>1.3857750088704518E-2</v>
      </c>
      <c r="R107" s="18">
        <f t="shared" si="119"/>
        <v>0.19992558836584809</v>
      </c>
      <c r="S107" s="19">
        <f t="shared" si="195"/>
        <v>1015.8372618791525</v>
      </c>
      <c r="T107" s="15">
        <f t="shared" si="120"/>
        <v>5.5316745237583053E-6</v>
      </c>
      <c r="U107" s="16">
        <f t="shared" si="121"/>
        <v>27.571128511610254</v>
      </c>
      <c r="V107" s="17">
        <f t="shared" si="122"/>
        <v>1.3844086128318729E-2</v>
      </c>
      <c r="W107" s="18">
        <f t="shared" si="123"/>
        <v>0.20005075228158906</v>
      </c>
      <c r="X107" s="19">
        <f t="shared" si="196"/>
        <v>1013.7379819745265</v>
      </c>
      <c r="Y107" s="15">
        <f t="shared" si="124"/>
        <v>5.527475963949054E-6</v>
      </c>
      <c r="Z107" s="16">
        <f t="shared" si="125"/>
        <v>27.546986792707052</v>
      </c>
      <c r="AA107" s="17">
        <f t="shared" si="126"/>
        <v>1.3833578419782276E-2</v>
      </c>
      <c r="AB107" s="18">
        <f t="shared" si="127"/>
        <v>0.20022607341795504</v>
      </c>
      <c r="AC107" s="19">
        <f t="shared" si="197"/>
        <v>1011.0391181320099</v>
      </c>
      <c r="AD107" s="15">
        <f t="shared" si="128"/>
        <v>5.5220782362640205E-6</v>
      </c>
      <c r="AE107" s="16">
        <f t="shared" si="129"/>
        <v>27.515949858518113</v>
      </c>
      <c r="AF107" s="17">
        <f t="shared" si="130"/>
        <v>1.3820069561542718E-2</v>
      </c>
      <c r="AG107" s="18">
        <f t="shared" si="131"/>
        <v>0.20045192073543949</v>
      </c>
      <c r="AH107" s="19">
        <f t="shared" si="198"/>
        <v>1007.7405632649372</v>
      </c>
      <c r="AI107" s="15">
        <f t="shared" si="132"/>
        <v>5.5154811265298753E-6</v>
      </c>
      <c r="AJ107" s="16">
        <f t="shared" si="133"/>
        <v>27.478016477546777</v>
      </c>
      <c r="AK107" s="17">
        <f t="shared" si="134"/>
        <v>1.380355901758985E-2</v>
      </c>
      <c r="AL107" s="18">
        <f t="shared" si="135"/>
        <v>0.2007286444604546</v>
      </c>
      <c r="AM107" s="19">
        <f t="shared" si="199"/>
        <v>1003.8423152092176</v>
      </c>
      <c r="AN107" s="15">
        <f t="shared" si="136"/>
        <v>5.5076846304184353E-6</v>
      </c>
      <c r="AO107" s="16">
        <f t="shared" si="137"/>
        <v>27.433186624906</v>
      </c>
      <c r="AP107" s="17">
        <f t="shared" si="138"/>
        <v>1.3784046777091554E-2</v>
      </c>
      <c r="AQ107" s="18">
        <f t="shared" si="139"/>
        <v>0.20105666452152091</v>
      </c>
      <c r="AR107" s="19">
        <f t="shared" si="200"/>
        <v>999.34437995405017</v>
      </c>
      <c r="AS107" s="15">
        <f t="shared" si="140"/>
        <v>5.4986887599081006E-6</v>
      </c>
      <c r="AT107" s="16">
        <f t="shared" si="141"/>
        <v>27.381460369471576</v>
      </c>
      <c r="AU107" s="17">
        <f t="shared" si="142"/>
        <v>1.3761532870026091E-2</v>
      </c>
      <c r="AV107" s="18">
        <f t="shared" si="143"/>
        <v>0.20143648021599089</v>
      </c>
      <c r="AW107" s="19">
        <f t="shared" si="201"/>
        <v>994.2467596614016</v>
      </c>
      <c r="AX107" s="15">
        <f t="shared" si="144"/>
        <v>5.4884935193228042E-6</v>
      </c>
      <c r="AY107" s="16">
        <f t="shared" si="145"/>
        <v>27.322837736106116</v>
      </c>
      <c r="AZ107" s="17">
        <f t="shared" si="146"/>
        <v>1.3736017307214946E-2</v>
      </c>
      <c r="BA107" s="18">
        <f t="shared" si="147"/>
        <v>0.2018686731324143</v>
      </c>
      <c r="BB107" s="19">
        <f t="shared" si="202"/>
        <v>988.54945025414929</v>
      </c>
      <c r="BC107" s="15">
        <f t="shared" si="148"/>
        <v>5.4770989005082997E-6</v>
      </c>
      <c r="BD107" s="16">
        <f t="shared" si="149"/>
        <v>27.257318677922719</v>
      </c>
      <c r="BE107" s="17">
        <f t="shared" si="150"/>
        <v>1.3707500068250535E-2</v>
      </c>
      <c r="BF107" s="18">
        <f t="shared" si="151"/>
        <v>0.20235390961134503</v>
      </c>
      <c r="BG107" s="19">
        <f t="shared" si="203"/>
        <v>982.25240546855321</v>
      </c>
      <c r="BH107" s="15">
        <f t="shared" si="152"/>
        <v>5.4645048109371067E-6</v>
      </c>
      <c r="BI107" s="16">
        <f t="shared" si="153"/>
        <v>27.184902662888362</v>
      </c>
      <c r="BJ107" s="17">
        <f t="shared" si="154"/>
        <v>1.3675980921564929E-2</v>
      </c>
      <c r="BK107" s="18">
        <f t="shared" si="155"/>
        <v>0.20289294644154418</v>
      </c>
      <c r="BL107" s="19">
        <f t="shared" si="204"/>
        <v>975.3552259093658</v>
      </c>
      <c r="BM107" s="15">
        <f t="shared" si="156"/>
        <v>5.450710451818732E-6</v>
      </c>
      <c r="BN107" s="16">
        <f t="shared" si="157"/>
        <v>27.105585097957707</v>
      </c>
      <c r="BO107" s="17">
        <f t="shared" si="158"/>
        <v>1.364145786803032E-2</v>
      </c>
      <c r="BP107" s="18">
        <f t="shared" si="159"/>
        <v>0.20348666077736058</v>
      </c>
      <c r="BQ107" s="19">
        <f t="shared" si="205"/>
        <v>967.85484765805052</v>
      </c>
      <c r="BR107" s="15">
        <f t="shared" si="160"/>
        <v>5.4357096953161013E-6</v>
      </c>
      <c r="BS107" s="16">
        <f t="shared" si="161"/>
        <v>27.019330748067581</v>
      </c>
      <c r="BT107" s="17">
        <f t="shared" si="162"/>
        <v>1.3603915571548412E-2</v>
      </c>
      <c r="BU107" s="18">
        <f t="shared" si="163"/>
        <v>0.20413625531396543</v>
      </c>
      <c r="BV107" s="19">
        <f t="shared" si="206"/>
        <v>959.73055356664634</v>
      </c>
      <c r="BW107" s="15">
        <f t="shared" si="164"/>
        <v>5.4194611071332933E-6</v>
      </c>
      <c r="BX107" s="16">
        <f t="shared" si="165"/>
        <v>26.925901366016433</v>
      </c>
      <c r="BY107" s="17">
        <f t="shared" si="166"/>
        <v>1.3563250334774223E-2</v>
      </c>
      <c r="BZ107" s="18">
        <f t="shared" si="167"/>
        <v>0.20484458161765939</v>
      </c>
      <c r="CA107" s="19">
        <f t="shared" si="207"/>
        <v>950.86087441483426</v>
      </c>
      <c r="CB107" s="15">
        <f t="shared" si="168"/>
        <v>5.4017217488296688E-6</v>
      </c>
      <c r="CC107" s="16">
        <f t="shared" si="169"/>
        <v>26.823900055770594</v>
      </c>
      <c r="CD107" s="17">
        <f t="shared" si="170"/>
        <v>1.3518854157240332E-2</v>
      </c>
      <c r="CE107" s="18">
        <f t="shared" si="171"/>
        <v>0.20562352933511732</v>
      </c>
      <c r="CF107" s="19">
        <f t="shared" si="208"/>
        <v>940.64166195182429</v>
      </c>
      <c r="CG107" s="15">
        <f t="shared" si="172"/>
        <v>5.3812833239036488E-6</v>
      </c>
      <c r="CH107" s="16">
        <f t="shared" si="173"/>
        <v>26.70637911244598</v>
      </c>
      <c r="CI107" s="17">
        <f t="shared" si="174"/>
        <v>1.3467703043090768E-2</v>
      </c>
      <c r="CJ107" s="18">
        <f t="shared" si="175"/>
        <v>0.20652837199594579</v>
      </c>
      <c r="CK107" s="19">
        <f t="shared" si="209"/>
        <v>926.60132064450465</v>
      </c>
      <c r="CL107" s="15">
        <f t="shared" si="176"/>
        <v>5.3532026412890098E-6</v>
      </c>
      <c r="CM107" s="16">
        <f t="shared" si="177"/>
        <v>26.544915187411803</v>
      </c>
      <c r="CN107" s="17">
        <f t="shared" si="178"/>
        <v>1.3397425699948222E-2</v>
      </c>
      <c r="CO107" s="18">
        <f t="shared" si="179"/>
        <v>0.2077846156621225</v>
      </c>
      <c r="CP107" s="19">
        <f t="shared" si="210"/>
        <v>900.80182311197234</v>
      </c>
      <c r="CQ107" s="15">
        <f t="shared" si="180"/>
        <v>5.3016036462239454E-6</v>
      </c>
      <c r="CR107" s="16">
        <f t="shared" si="181"/>
        <v>26.248220965787681</v>
      </c>
      <c r="CS107" s="17">
        <f t="shared" si="182"/>
        <v>1.3268289228026857E-2</v>
      </c>
      <c r="CT107" s="18">
        <f t="shared" si="183"/>
        <v>0.21013328892610084</v>
      </c>
      <c r="CU107" s="19">
        <f t="shared" si="211"/>
        <v>844.76422392907898</v>
      </c>
      <c r="CV107" s="15">
        <f t="shared" si="184"/>
        <v>5.1895284478581583E-6</v>
      </c>
      <c r="CW107" s="16">
        <f t="shared" si="185"/>
        <v>25.60378857518441</v>
      </c>
      <c r="CX107" s="17">
        <f t="shared" si="186"/>
        <v>1.2987799352427633E-2</v>
      </c>
      <c r="CY107" s="18">
        <f t="shared" si="187"/>
        <v>0.21542222096560465</v>
      </c>
      <c r="CZ107" s="20">
        <f t="shared" si="212"/>
        <v>732.34921361339968</v>
      </c>
      <c r="DA107" s="15">
        <f t="shared" si="188"/>
        <v>4.9646984272267994E-6</v>
      </c>
      <c r="DB107" s="16">
        <f t="shared" si="189"/>
        <v>24.311015956554094</v>
      </c>
      <c r="DC107" s="17">
        <f t="shared" si="190"/>
        <v>1.2425118710881592E-2</v>
      </c>
      <c r="DD107" s="18">
        <f t="shared" si="191"/>
        <v>0.22687760190100253</v>
      </c>
    </row>
    <row r="108" spans="2:108" x14ac:dyDescent="0.25">
      <c r="B108">
        <v>89</v>
      </c>
      <c r="C108">
        <f t="shared" si="192"/>
        <v>8.7007705304727373E-2</v>
      </c>
      <c r="D108" s="19">
        <f t="shared" si="109"/>
        <v>1018.5505690613998</v>
      </c>
      <c r="E108" s="15">
        <f t="shared" si="110"/>
        <v>5.5371011381228007E-6</v>
      </c>
      <c r="F108" s="16">
        <f t="shared" si="111"/>
        <v>27.602331544206095</v>
      </c>
      <c r="G108" s="17">
        <f t="shared" si="107"/>
        <v>1.3857667281064535E-2</v>
      </c>
      <c r="H108" s="18">
        <f t="shared" si="112"/>
        <v>0.19982460507607969</v>
      </c>
      <c r="I108" s="19">
        <f t="shared" si="193"/>
        <v>1018.2265118845999</v>
      </c>
      <c r="J108" s="15">
        <f t="shared" si="113"/>
        <v>5.5364530237691997E-6</v>
      </c>
      <c r="K108" s="16">
        <f t="shared" si="114"/>
        <v>27.598604886672895</v>
      </c>
      <c r="L108" s="17">
        <f t="shared" si="115"/>
        <v>1.3856045249454808E-2</v>
      </c>
      <c r="M108" s="18">
        <f t="shared" si="116"/>
        <v>0.19985158752221721</v>
      </c>
      <c r="N108" s="19">
        <f t="shared" si="194"/>
        <v>1017.3216228667828</v>
      </c>
      <c r="O108" s="15">
        <f t="shared" si="117"/>
        <v>5.5346432457335665E-6</v>
      </c>
      <c r="P108" s="16">
        <f t="shared" si="118"/>
        <v>27.588198662968004</v>
      </c>
      <c r="Q108" s="17">
        <f t="shared" si="108"/>
        <v>1.3857667281064535E-2</v>
      </c>
      <c r="R108" s="18">
        <f t="shared" si="119"/>
        <v>0.19992697121627206</v>
      </c>
      <c r="S108" s="19">
        <f t="shared" si="195"/>
        <v>1015.8206553403722</v>
      </c>
      <c r="T108" s="15">
        <f t="shared" si="120"/>
        <v>5.531641310680745E-6</v>
      </c>
      <c r="U108" s="16">
        <f t="shared" si="121"/>
        <v>27.570937536414281</v>
      </c>
      <c r="V108" s="17">
        <f t="shared" si="122"/>
        <v>1.3844003006163881E-2</v>
      </c>
      <c r="W108" s="18">
        <f t="shared" si="123"/>
        <v>0.20005213797010876</v>
      </c>
      <c r="X108" s="19">
        <f t="shared" si="196"/>
        <v>1013.7213781431304</v>
      </c>
      <c r="Y108" s="15">
        <f t="shared" si="124"/>
        <v>5.5274427562862619E-6</v>
      </c>
      <c r="Z108" s="16">
        <f t="shared" si="125"/>
        <v>27.546795848645999</v>
      </c>
      <c r="AA108" s="17">
        <f t="shared" si="126"/>
        <v>1.3833495311178933E-2</v>
      </c>
      <c r="AB108" s="18">
        <f t="shared" si="127"/>
        <v>0.20022746131002775</v>
      </c>
      <c r="AC108" s="19">
        <f t="shared" si="197"/>
        <v>1011.0225257826737</v>
      </c>
      <c r="AD108" s="15">
        <f t="shared" si="128"/>
        <v>5.5220450515653486E-6</v>
      </c>
      <c r="AE108" s="16">
        <f t="shared" si="129"/>
        <v>27.515759046500747</v>
      </c>
      <c r="AF108" s="17">
        <f t="shared" si="130"/>
        <v>1.3819986510411532E-2</v>
      </c>
      <c r="AG108" s="18">
        <f t="shared" si="131"/>
        <v>0.20045331079832365</v>
      </c>
      <c r="AH108" s="19">
        <f t="shared" si="198"/>
        <v>1007.7239872032171</v>
      </c>
      <c r="AI108" s="15">
        <f t="shared" si="132"/>
        <v>5.5154479744064347E-6</v>
      </c>
      <c r="AJ108" s="16">
        <f t="shared" si="133"/>
        <v>27.477825852836997</v>
      </c>
      <c r="AK108" s="17">
        <f t="shared" si="134"/>
        <v>1.3803476047984486E-2</v>
      </c>
      <c r="AL108" s="18">
        <f t="shared" si="135"/>
        <v>0.20073003699565006</v>
      </c>
      <c r="AM108" s="19">
        <f t="shared" si="199"/>
        <v>1003.8257591188076</v>
      </c>
      <c r="AN108" s="15">
        <f t="shared" si="136"/>
        <v>5.5076515182376159E-6</v>
      </c>
      <c r="AO108" s="16">
        <f t="shared" si="137"/>
        <v>27.432996229866287</v>
      </c>
      <c r="AP108" s="17">
        <f t="shared" si="138"/>
        <v>1.3783963907450328E-2</v>
      </c>
      <c r="AQ108" s="18">
        <f t="shared" si="139"/>
        <v>0.20105805992839901</v>
      </c>
      <c r="AR108" s="19">
        <f t="shared" si="200"/>
        <v>999.32784736767871</v>
      </c>
      <c r="AS108" s="15">
        <f t="shared" si="140"/>
        <v>5.4986556947353576E-6</v>
      </c>
      <c r="AT108" s="16">
        <f t="shared" si="141"/>
        <v>27.381270244728306</v>
      </c>
      <c r="AU108" s="17">
        <f t="shared" si="142"/>
        <v>1.3761450118031676E-2</v>
      </c>
      <c r="AV108" s="18">
        <f t="shared" si="143"/>
        <v>0.20143787891147669</v>
      </c>
      <c r="AW108" s="19">
        <f t="shared" si="201"/>
        <v>994.2302540758651</v>
      </c>
      <c r="AX108" s="15">
        <f t="shared" si="144"/>
        <v>5.4884605081517311E-6</v>
      </c>
      <c r="AY108" s="16">
        <f t="shared" si="145"/>
        <v>27.322647921872449</v>
      </c>
      <c r="AZ108" s="17">
        <f t="shared" si="146"/>
        <v>1.3735934690370159E-2</v>
      </c>
      <c r="BA108" s="18">
        <f t="shared" si="147"/>
        <v>0.2018700755421515</v>
      </c>
      <c r="BB108" s="19">
        <f t="shared" si="202"/>
        <v>988.53297464486855</v>
      </c>
      <c r="BC108" s="15">
        <f t="shared" si="148"/>
        <v>5.4770659492897374E-6</v>
      </c>
      <c r="BD108" s="16">
        <f t="shared" si="149"/>
        <v>27.257129208415989</v>
      </c>
      <c r="BE108" s="17">
        <f t="shared" si="150"/>
        <v>1.370741760144851E-2</v>
      </c>
      <c r="BF108" s="18">
        <f t="shared" si="151"/>
        <v>0.20235531621198682</v>
      </c>
      <c r="BG108" s="19">
        <f t="shared" si="203"/>
        <v>982.23595831863895</v>
      </c>
      <c r="BH108" s="15">
        <f t="shared" si="152"/>
        <v>5.4644719166372781E-6</v>
      </c>
      <c r="BI108" s="16">
        <f t="shared" si="153"/>
        <v>27.184713520664346</v>
      </c>
      <c r="BJ108" s="17">
        <f t="shared" si="154"/>
        <v>1.3675898597213054E-2</v>
      </c>
      <c r="BK108" s="18">
        <f t="shared" si="155"/>
        <v>0.20289435810339956</v>
      </c>
      <c r="BL108" s="19">
        <f t="shared" si="204"/>
        <v>975.33877247769067</v>
      </c>
      <c r="BM108" s="15">
        <f t="shared" si="156"/>
        <v>5.450677544955382E-6</v>
      </c>
      <c r="BN108" s="16">
        <f t="shared" si="157"/>
        <v>27.105395883493443</v>
      </c>
      <c r="BO108" s="17">
        <f t="shared" si="158"/>
        <v>1.3641375512235801E-2</v>
      </c>
      <c r="BP108" s="18">
        <f t="shared" si="159"/>
        <v>0.20348808125539636</v>
      </c>
      <c r="BQ108" s="19">
        <f t="shared" si="205"/>
        <v>967.83813881768469</v>
      </c>
      <c r="BR108" s="15">
        <f t="shared" si="160"/>
        <v>5.4356762776353701E-6</v>
      </c>
      <c r="BS108" s="16">
        <f t="shared" si="161"/>
        <v>27.019138596403373</v>
      </c>
      <c r="BT108" s="17">
        <f t="shared" si="162"/>
        <v>1.360383193733453E-2</v>
      </c>
      <c r="BU108" s="18">
        <f t="shared" si="163"/>
        <v>0.20413770706717524</v>
      </c>
      <c r="BV108" s="19">
        <f t="shared" si="206"/>
        <v>959.71215693227202</v>
      </c>
      <c r="BW108" s="15">
        <f t="shared" si="164"/>
        <v>5.4194243138645442E-6</v>
      </c>
      <c r="BX108" s="16">
        <f t="shared" si="165"/>
        <v>26.925689804721127</v>
      </c>
      <c r="BY108" s="17">
        <f t="shared" si="166"/>
        <v>1.3563158252497997E-2</v>
      </c>
      <c r="BZ108" s="18">
        <f t="shared" si="167"/>
        <v>0.20484619112832886</v>
      </c>
      <c r="CA108" s="19">
        <f t="shared" si="207"/>
        <v>950.83394029237286</v>
      </c>
      <c r="CB108" s="15">
        <f t="shared" si="168"/>
        <v>5.4016678805847465E-6</v>
      </c>
      <c r="CC108" s="16">
        <f t="shared" si="169"/>
        <v>26.823590313362288</v>
      </c>
      <c r="CD108" s="17">
        <f t="shared" si="170"/>
        <v>1.3518719341531439E-2</v>
      </c>
      <c r="CE108" s="18">
        <f t="shared" si="171"/>
        <v>0.20562590374981859</v>
      </c>
      <c r="CF108" s="19">
        <f t="shared" si="208"/>
        <v>940.57975649282366</v>
      </c>
      <c r="CG108" s="15">
        <f t="shared" si="172"/>
        <v>5.3811595129856473E-6</v>
      </c>
      <c r="CH108" s="16">
        <f t="shared" si="173"/>
        <v>26.705667199667474</v>
      </c>
      <c r="CI108" s="17">
        <f t="shared" si="174"/>
        <v>1.346739318230538E-2</v>
      </c>
      <c r="CJ108" s="18">
        <f t="shared" si="175"/>
        <v>0.20653387757594305</v>
      </c>
      <c r="CK108" s="19">
        <f t="shared" si="209"/>
        <v>926.42717491195185</v>
      </c>
      <c r="CL108" s="15">
        <f t="shared" si="176"/>
        <v>5.3528543498239042E-6</v>
      </c>
      <c r="CM108" s="16">
        <f t="shared" si="177"/>
        <v>26.542912511487444</v>
      </c>
      <c r="CN108" s="17">
        <f t="shared" si="178"/>
        <v>1.339655403314643E-2</v>
      </c>
      <c r="CO108" s="18">
        <f t="shared" si="179"/>
        <v>0.20780029311451431</v>
      </c>
      <c r="CP108" s="19">
        <f t="shared" si="210"/>
        <v>900.36628299690733</v>
      </c>
      <c r="CQ108" s="15">
        <f t="shared" si="180"/>
        <v>5.3007325659938155E-6</v>
      </c>
      <c r="CR108" s="16">
        <f t="shared" si="181"/>
        <v>26.243212254464432</v>
      </c>
      <c r="CS108" s="17">
        <f t="shared" si="182"/>
        <v>1.3266109181156997E-2</v>
      </c>
      <c r="CT108" s="18">
        <f t="shared" si="183"/>
        <v>0.21017339441979688</v>
      </c>
      <c r="CU108" s="19">
        <f t="shared" si="211"/>
        <v>843.95750686107579</v>
      </c>
      <c r="CV108" s="15">
        <f t="shared" si="184"/>
        <v>5.1879150137221524E-6</v>
      </c>
      <c r="CW108" s="16">
        <f t="shared" si="185"/>
        <v>25.594511328902371</v>
      </c>
      <c r="CX108" s="17">
        <f t="shared" si="186"/>
        <v>1.2983761421228807E-2</v>
      </c>
      <c r="CY108" s="18">
        <f t="shared" si="187"/>
        <v>0.21550030508969048</v>
      </c>
      <c r="CZ108" s="20">
        <f t="shared" si="212"/>
        <v>731.4089786447222</v>
      </c>
      <c r="DA108" s="15">
        <f t="shared" si="188"/>
        <v>4.9628179572894447E-6</v>
      </c>
      <c r="DB108" s="16">
        <f t="shared" si="189"/>
        <v>24.300203254414306</v>
      </c>
      <c r="DC108" s="17">
        <f t="shared" si="190"/>
        <v>1.2420412470906221E-2</v>
      </c>
      <c r="DD108" s="18">
        <f t="shared" si="191"/>
        <v>0.2269785541402024</v>
      </c>
    </row>
    <row r="109" spans="2:108" x14ac:dyDescent="0.25">
      <c r="B109">
        <v>90</v>
      </c>
      <c r="C109">
        <f t="shared" si="192"/>
        <v>8.7985319971072631E-2</v>
      </c>
      <c r="D109" s="19">
        <f t="shared" si="109"/>
        <v>1018.5340243389805</v>
      </c>
      <c r="E109" s="15">
        <f t="shared" si="110"/>
        <v>5.5370680486779618E-6</v>
      </c>
      <c r="F109" s="16">
        <f t="shared" si="111"/>
        <v>27.602141279898277</v>
      </c>
      <c r="G109" s="17">
        <f t="shared" si="107"/>
        <v>1.3857584468324502E-2</v>
      </c>
      <c r="H109" s="18">
        <f t="shared" si="112"/>
        <v>0.19982598248697636</v>
      </c>
      <c r="I109" s="19">
        <f t="shared" si="193"/>
        <v>1018.2099478454516</v>
      </c>
      <c r="J109" s="15">
        <f t="shared" si="113"/>
        <v>5.5364198956909035E-6</v>
      </c>
      <c r="K109" s="16">
        <f t="shared" si="114"/>
        <v>27.598414400222694</v>
      </c>
      <c r="L109" s="17">
        <f t="shared" si="115"/>
        <v>1.385596234002707E-2</v>
      </c>
      <c r="M109" s="18">
        <f t="shared" si="116"/>
        <v>0.19985296691376203</v>
      </c>
      <c r="N109" s="19">
        <f t="shared" si="194"/>
        <v>1017.305029760998</v>
      </c>
      <c r="O109" s="15">
        <f t="shared" si="117"/>
        <v>5.5346100595219964E-6</v>
      </c>
      <c r="P109" s="16">
        <f t="shared" si="118"/>
        <v>27.588007842251475</v>
      </c>
      <c r="Q109" s="17">
        <f t="shared" si="108"/>
        <v>1.3857584468324502E-2</v>
      </c>
      <c r="R109" s="18">
        <f t="shared" si="119"/>
        <v>0.19992835407102982</v>
      </c>
      <c r="S109" s="19">
        <f t="shared" si="195"/>
        <v>1015.8040490976764</v>
      </c>
      <c r="T109" s="15">
        <f t="shared" si="120"/>
        <v>5.5316080981953538E-6</v>
      </c>
      <c r="U109" s="16">
        <f t="shared" si="121"/>
        <v>27.570746564623278</v>
      </c>
      <c r="V109" s="17">
        <f t="shared" si="122"/>
        <v>1.3843919885491052E-2</v>
      </c>
      <c r="W109" s="18">
        <f t="shared" si="123"/>
        <v>0.20005352365311854</v>
      </c>
      <c r="X109" s="19">
        <f t="shared" si="196"/>
        <v>1013.7047745574559</v>
      </c>
      <c r="Y109" s="15">
        <f t="shared" si="124"/>
        <v>5.5274095491149123E-6</v>
      </c>
      <c r="Z109" s="16">
        <f t="shared" si="125"/>
        <v>27.546604907410742</v>
      </c>
      <c r="AA109" s="17">
        <f t="shared" si="126"/>
        <v>1.3833412203805521E-2</v>
      </c>
      <c r="AB109" s="18">
        <f t="shared" si="127"/>
        <v>0.20022884920080136</v>
      </c>
      <c r="AC109" s="19">
        <f t="shared" si="197"/>
        <v>1011.0059336379114</v>
      </c>
      <c r="AD109" s="15">
        <f t="shared" si="128"/>
        <v>5.5220118672758233E-6</v>
      </c>
      <c r="AE109" s="16">
        <f t="shared" si="129"/>
        <v>27.515568236835982</v>
      </c>
      <c r="AF109" s="17">
        <f t="shared" si="130"/>
        <v>1.3819903460304315E-2</v>
      </c>
      <c r="AG109" s="18">
        <f t="shared" si="131"/>
        <v>0.20045470086334813</v>
      </c>
      <c r="AH109" s="19">
        <f t="shared" si="198"/>
        <v>1007.7074113337758</v>
      </c>
      <c r="AI109" s="15">
        <f t="shared" si="132"/>
        <v>5.515414822667553E-6</v>
      </c>
      <c r="AJ109" s="16">
        <f t="shared" si="133"/>
        <v>27.477635230338421</v>
      </c>
      <c r="AK109" s="17">
        <f t="shared" si="134"/>
        <v>1.3803393079341551E-2</v>
      </c>
      <c r="AL109" s="18">
        <f t="shared" si="135"/>
        <v>0.20073142953401338</v>
      </c>
      <c r="AM109" s="19">
        <f t="shared" si="199"/>
        <v>1003.8092032195398</v>
      </c>
      <c r="AN109" s="15">
        <f t="shared" si="136"/>
        <v>5.5076184064390795E-6</v>
      </c>
      <c r="AO109" s="16">
        <f t="shared" si="137"/>
        <v>27.432805837024706</v>
      </c>
      <c r="AP109" s="17">
        <f t="shared" si="138"/>
        <v>1.3783881038765839E-2</v>
      </c>
      <c r="AQ109" s="18">
        <f t="shared" si="139"/>
        <v>0.20105945533853606</v>
      </c>
      <c r="AR109" s="19">
        <f t="shared" si="200"/>
        <v>999.3113149724096</v>
      </c>
      <c r="AS109" s="15">
        <f t="shared" si="140"/>
        <v>5.4986226299448204E-6</v>
      </c>
      <c r="AT109" s="16">
        <f t="shared" si="141"/>
        <v>27.381080122182709</v>
      </c>
      <c r="AU109" s="17">
        <f t="shared" si="142"/>
        <v>1.3761367366993803E-2</v>
      </c>
      <c r="AV109" s="18">
        <f t="shared" si="143"/>
        <v>0.20143927761021857</v>
      </c>
      <c r="AW109" s="19">
        <f t="shared" si="201"/>
        <v>994.21374867408679</v>
      </c>
      <c r="AX109" s="15">
        <f t="shared" si="144"/>
        <v>5.4884274973481737E-6</v>
      </c>
      <c r="AY109" s="16">
        <f t="shared" si="145"/>
        <v>27.322458109751999</v>
      </c>
      <c r="AZ109" s="17">
        <f t="shared" si="146"/>
        <v>1.3735852074445153E-2</v>
      </c>
      <c r="BA109" s="18">
        <f t="shared" si="147"/>
        <v>0.20187147795576085</v>
      </c>
      <c r="BB109" s="19">
        <f t="shared" si="202"/>
        <v>988.51649915397911</v>
      </c>
      <c r="BC109" s="15">
        <f t="shared" si="148"/>
        <v>5.4770329983079582E-6</v>
      </c>
      <c r="BD109" s="16">
        <f t="shared" si="149"/>
        <v>27.256939740270759</v>
      </c>
      <c r="BE109" s="17">
        <f t="shared" si="150"/>
        <v>1.3707335135239081E-2</v>
      </c>
      <c r="BF109" s="18">
        <f t="shared" si="151"/>
        <v>0.20235672282207606</v>
      </c>
      <c r="BG109" s="19">
        <f t="shared" si="203"/>
        <v>982.21951080528333</v>
      </c>
      <c r="BH109" s="15">
        <f t="shared" si="152"/>
        <v>5.4644390216105673E-6</v>
      </c>
      <c r="BI109" s="16">
        <f t="shared" si="153"/>
        <v>27.184524374260757</v>
      </c>
      <c r="BJ109" s="17">
        <f t="shared" si="154"/>
        <v>1.3675816271042016E-2</v>
      </c>
      <c r="BK109" s="18">
        <f t="shared" si="155"/>
        <v>0.20289576981609372</v>
      </c>
      <c r="BL109" s="19">
        <f t="shared" si="204"/>
        <v>975.32231558892977</v>
      </c>
      <c r="BM109" s="15">
        <f t="shared" si="156"/>
        <v>5.4506446311778606E-6</v>
      </c>
      <c r="BN109" s="16">
        <f t="shared" si="157"/>
        <v>27.105206629272693</v>
      </c>
      <c r="BO109" s="17">
        <f t="shared" si="158"/>
        <v>1.3641293139137228E-2</v>
      </c>
      <c r="BP109" s="18">
        <f t="shared" si="159"/>
        <v>0.2034895020517318</v>
      </c>
      <c r="BQ109" s="19">
        <f t="shared" si="205"/>
        <v>967.82140951909605</v>
      </c>
      <c r="BR109" s="15">
        <f t="shared" si="160"/>
        <v>5.4356428190381932E-6</v>
      </c>
      <c r="BS109" s="16">
        <f t="shared" si="161"/>
        <v>27.018946209469604</v>
      </c>
      <c r="BT109" s="17">
        <f t="shared" si="162"/>
        <v>1.3603748200719322E-2</v>
      </c>
      <c r="BU109" s="18">
        <f t="shared" si="163"/>
        <v>0.20413916061859153</v>
      </c>
      <c r="BV109" s="19">
        <f t="shared" si="206"/>
        <v>959.69366226168802</v>
      </c>
      <c r="BW109" s="15">
        <f t="shared" si="164"/>
        <v>5.4193873245233769E-6</v>
      </c>
      <c r="BX109" s="16">
        <f t="shared" si="165"/>
        <v>26.925477116009411</v>
      </c>
      <c r="BY109" s="17">
        <f t="shared" si="166"/>
        <v>1.3563065679512591E-2</v>
      </c>
      <c r="BZ109" s="18">
        <f t="shared" si="167"/>
        <v>0.20484780924162369</v>
      </c>
      <c r="CA109" s="19">
        <f t="shared" si="207"/>
        <v>950.80662815928815</v>
      </c>
      <c r="CB109" s="15">
        <f t="shared" si="168"/>
        <v>5.4016132563185766E-6</v>
      </c>
      <c r="CC109" s="16">
        <f t="shared" si="169"/>
        <v>26.823276223831812</v>
      </c>
      <c r="CD109" s="17">
        <f t="shared" si="170"/>
        <v>1.351858263373305E-2</v>
      </c>
      <c r="CE109" s="18">
        <f t="shared" si="171"/>
        <v>0.2056283115445646</v>
      </c>
      <c r="CF109" s="19">
        <f t="shared" si="208"/>
        <v>940.5167449029459</v>
      </c>
      <c r="CG109" s="15">
        <f t="shared" si="172"/>
        <v>5.3810334898058922E-6</v>
      </c>
      <c r="CH109" s="16">
        <f t="shared" si="173"/>
        <v>26.704942566383878</v>
      </c>
      <c r="CI109" s="17">
        <f t="shared" si="174"/>
        <v>1.3467077784906781E-2</v>
      </c>
      <c r="CJ109" s="18">
        <f t="shared" si="175"/>
        <v>0.20653948183146653</v>
      </c>
      <c r="CK109" s="19">
        <f t="shared" si="209"/>
        <v>926.2508765946427</v>
      </c>
      <c r="CL109" s="15">
        <f t="shared" si="176"/>
        <v>5.3525017531892855E-6</v>
      </c>
      <c r="CM109" s="16">
        <f t="shared" si="177"/>
        <v>26.54088508083839</v>
      </c>
      <c r="CN109" s="17">
        <f t="shared" si="178"/>
        <v>1.3395671591824683E-2</v>
      </c>
      <c r="CO109" s="18">
        <f t="shared" si="179"/>
        <v>0.20781616676310816</v>
      </c>
      <c r="CP109" s="19">
        <f t="shared" si="210"/>
        <v>899.92906557889296</v>
      </c>
      <c r="CQ109" s="15">
        <f t="shared" si="180"/>
        <v>5.2998581311577867E-6</v>
      </c>
      <c r="CR109" s="16">
        <f t="shared" si="181"/>
        <v>26.238184254157268</v>
      </c>
      <c r="CS109" s="17">
        <f t="shared" si="182"/>
        <v>1.3263920738736607E-2</v>
      </c>
      <c r="CT109" s="18">
        <f t="shared" si="183"/>
        <v>0.21021366976360362</v>
      </c>
      <c r="CU109" s="19">
        <f t="shared" si="211"/>
        <v>843.15389899989384</v>
      </c>
      <c r="CV109" s="15">
        <f t="shared" si="184"/>
        <v>5.1863077979997886E-6</v>
      </c>
      <c r="CW109" s="16">
        <f t="shared" si="185"/>
        <v>25.585269838498778</v>
      </c>
      <c r="CX109" s="17">
        <f t="shared" si="186"/>
        <v>1.2979739052813667E-2</v>
      </c>
      <c r="CY109" s="18">
        <f t="shared" si="187"/>
        <v>0.21557814456584332</v>
      </c>
      <c r="CZ109" s="20">
        <f t="shared" si="212"/>
        <v>730.47623771541839</v>
      </c>
      <c r="DA109" s="15">
        <f t="shared" si="188"/>
        <v>4.9609524754308375E-6</v>
      </c>
      <c r="DB109" s="16">
        <f t="shared" si="189"/>
        <v>24.289476733727312</v>
      </c>
      <c r="DC109" s="17">
        <f t="shared" si="190"/>
        <v>1.2415743741498796E-2</v>
      </c>
      <c r="DD109" s="18">
        <f t="shared" si="191"/>
        <v>0.22707879055876254</v>
      </c>
    </row>
    <row r="110" spans="2:108" x14ac:dyDescent="0.25">
      <c r="B110">
        <v>91</v>
      </c>
      <c r="C110">
        <f t="shared" si="192"/>
        <v>8.896293463741789E-2</v>
      </c>
      <c r="D110" s="19">
        <f t="shared" si="109"/>
        <v>1018.5174786303468</v>
      </c>
      <c r="E110" s="15">
        <f t="shared" si="110"/>
        <v>5.537034957260694E-6</v>
      </c>
      <c r="F110" s="16">
        <f t="shared" si="111"/>
        <v>27.601951004248988</v>
      </c>
      <c r="G110" s="17">
        <f t="shared" si="107"/>
        <v>1.3857501650648082E-2</v>
      </c>
      <c r="H110" s="18">
        <f t="shared" si="112"/>
        <v>0.19982735999897022</v>
      </c>
      <c r="I110" s="19">
        <f t="shared" si="193"/>
        <v>1018.1933834349501</v>
      </c>
      <c r="J110" s="15">
        <f t="shared" si="113"/>
        <v>5.5363867668699008E-6</v>
      </c>
      <c r="K110" s="16">
        <f t="shared" si="114"/>
        <v>27.598223909501925</v>
      </c>
      <c r="L110" s="17">
        <f t="shared" si="115"/>
        <v>1.3855879428740567E-2</v>
      </c>
      <c r="M110" s="18">
        <f t="shared" si="116"/>
        <v>0.19985434635527394</v>
      </c>
      <c r="N110" s="19">
        <f t="shared" si="194"/>
        <v>1017.2884368290314</v>
      </c>
      <c r="O110" s="15">
        <f t="shared" si="117"/>
        <v>5.5345768736580631E-6</v>
      </c>
      <c r="P110" s="16">
        <f t="shared" si="118"/>
        <v>27.587817023533859</v>
      </c>
      <c r="Q110" s="17">
        <f t="shared" si="108"/>
        <v>1.3857501650648082E-2</v>
      </c>
      <c r="R110" s="18">
        <f t="shared" si="119"/>
        <v>0.19992973693043134</v>
      </c>
      <c r="S110" s="19">
        <f t="shared" si="195"/>
        <v>1015.7874431488854</v>
      </c>
      <c r="T110" s="15">
        <f t="shared" si="120"/>
        <v>5.5315748862977713E-6</v>
      </c>
      <c r="U110" s="16">
        <f t="shared" si="121"/>
        <v>27.570555596212181</v>
      </c>
      <c r="V110" s="17">
        <f t="shared" si="122"/>
        <v>1.3843836766289325E-2</v>
      </c>
      <c r="W110" s="18">
        <f t="shared" si="123"/>
        <v>0.2000549093307997</v>
      </c>
      <c r="X110" s="19">
        <f t="shared" si="196"/>
        <v>1013.6881712174687</v>
      </c>
      <c r="Y110" s="15">
        <f t="shared" si="124"/>
        <v>5.5273763424349376E-6</v>
      </c>
      <c r="Z110" s="16">
        <f t="shared" si="125"/>
        <v>27.546413969000888</v>
      </c>
      <c r="AA110" s="17">
        <f t="shared" si="126"/>
        <v>1.383332909766187E-2</v>
      </c>
      <c r="AB110" s="18">
        <f t="shared" si="127"/>
        <v>0.20023023709027823</v>
      </c>
      <c r="AC110" s="19">
        <f t="shared" si="197"/>
        <v>1010.9893416980455</v>
      </c>
      <c r="AD110" s="15">
        <f t="shared" si="128"/>
        <v>5.5219786833960918E-6</v>
      </c>
      <c r="AE110" s="16">
        <f t="shared" si="129"/>
        <v>27.515377429527522</v>
      </c>
      <c r="AF110" s="17">
        <f t="shared" si="130"/>
        <v>1.3819820411222683E-2</v>
      </c>
      <c r="AG110" s="18">
        <f t="shared" si="131"/>
        <v>0.20045609093048561</v>
      </c>
      <c r="AH110" s="19">
        <f t="shared" si="198"/>
        <v>1007.6908356567495</v>
      </c>
      <c r="AI110" s="15">
        <f t="shared" si="132"/>
        <v>5.5153816713134995E-6</v>
      </c>
      <c r="AJ110" s="16">
        <f t="shared" si="133"/>
        <v>27.477444610052618</v>
      </c>
      <c r="AK110" s="17">
        <f t="shared" si="134"/>
        <v>1.3803310111661726E-2</v>
      </c>
      <c r="AL110" s="18">
        <f t="shared" si="135"/>
        <v>0.20073282207553281</v>
      </c>
      <c r="AM110" s="19">
        <f t="shared" si="199"/>
        <v>1003.7926475114259</v>
      </c>
      <c r="AN110" s="15">
        <f t="shared" si="136"/>
        <v>5.5075852950228522E-6</v>
      </c>
      <c r="AO110" s="16">
        <f t="shared" si="137"/>
        <v>27.432615446381398</v>
      </c>
      <c r="AP110" s="17">
        <f t="shared" si="138"/>
        <v>1.3783798171038154E-2</v>
      </c>
      <c r="AQ110" s="18">
        <f t="shared" si="139"/>
        <v>0.20106085075193073</v>
      </c>
      <c r="AR110" s="19">
        <f t="shared" si="200"/>
        <v>999.29478276813347</v>
      </c>
      <c r="AS110" s="15">
        <f t="shared" si="140"/>
        <v>5.4985895655362671E-6</v>
      </c>
      <c r="AT110" s="16">
        <f t="shared" si="141"/>
        <v>27.380890001833535</v>
      </c>
      <c r="AU110" s="17">
        <f t="shared" si="142"/>
        <v>1.3761284616911919E-2</v>
      </c>
      <c r="AV110" s="18">
        <f t="shared" si="143"/>
        <v>0.20144067631222548</v>
      </c>
      <c r="AW110" s="19">
        <f t="shared" si="201"/>
        <v>994.19724345521047</v>
      </c>
      <c r="AX110" s="15">
        <f t="shared" si="144"/>
        <v>5.488394486910421E-6</v>
      </c>
      <c r="AY110" s="16">
        <f t="shared" si="145"/>
        <v>27.322268299734919</v>
      </c>
      <c r="AZ110" s="17">
        <f t="shared" si="146"/>
        <v>1.3735769459435644E-2</v>
      </c>
      <c r="BA110" s="18">
        <f t="shared" si="147"/>
        <v>0.20187288037331486</v>
      </c>
      <c r="BB110" s="19">
        <f t="shared" si="202"/>
        <v>988.5000237753834</v>
      </c>
      <c r="BC110" s="15">
        <f t="shared" si="148"/>
        <v>5.4770000475507672E-6</v>
      </c>
      <c r="BD110" s="16">
        <f t="shared" si="149"/>
        <v>27.256750273416909</v>
      </c>
      <c r="BE110" s="17">
        <f t="shared" si="150"/>
        <v>1.3707252669591729E-2</v>
      </c>
      <c r="BF110" s="18">
        <f t="shared" si="151"/>
        <v>0.20235812944213327</v>
      </c>
      <c r="BG110" s="19">
        <f t="shared" si="203"/>
        <v>982.20306289046277</v>
      </c>
      <c r="BH110" s="15">
        <f t="shared" si="152"/>
        <v>5.4644061257809261E-6</v>
      </c>
      <c r="BI110" s="16">
        <f t="shared" si="153"/>
        <v>27.184335223240321</v>
      </c>
      <c r="BJ110" s="17">
        <f t="shared" si="154"/>
        <v>1.3675733942861486E-2</v>
      </c>
      <c r="BK110" s="18">
        <f t="shared" si="155"/>
        <v>0.20289718158289205</v>
      </c>
      <c r="BL110" s="19">
        <f t="shared" si="204"/>
        <v>975.3058550414828</v>
      </c>
      <c r="BM110" s="15">
        <f t="shared" si="156"/>
        <v>5.4506117100829655E-6</v>
      </c>
      <c r="BN110" s="16">
        <f t="shared" si="157"/>
        <v>27.105017332977049</v>
      </c>
      <c r="BO110" s="17">
        <f t="shared" si="158"/>
        <v>1.3641210747725514E-2</v>
      </c>
      <c r="BP110" s="18">
        <f t="shared" si="159"/>
        <v>0.20349092318378523</v>
      </c>
      <c r="BQ110" s="19">
        <f t="shared" si="205"/>
        <v>967.80465888659171</v>
      </c>
      <c r="BR110" s="15">
        <f t="shared" si="160"/>
        <v>5.4356093177731834E-6</v>
      </c>
      <c r="BS110" s="16">
        <f t="shared" si="161"/>
        <v>27.018753577195803</v>
      </c>
      <c r="BT110" s="17">
        <f t="shared" si="162"/>
        <v>1.3603664357319602E-2</v>
      </c>
      <c r="BU110" s="18">
        <f t="shared" si="163"/>
        <v>0.20414061604437828</v>
      </c>
      <c r="BV110" s="19">
        <f t="shared" si="206"/>
        <v>959.67506662920027</v>
      </c>
      <c r="BW110" s="15">
        <f t="shared" si="164"/>
        <v>5.4193501332584005E-6</v>
      </c>
      <c r="BX110" s="16">
        <f t="shared" si="165"/>
        <v>26.925263266235802</v>
      </c>
      <c r="BY110" s="17">
        <f t="shared" si="166"/>
        <v>1.3562972601173773E-2</v>
      </c>
      <c r="BZ110" s="18">
        <f t="shared" si="167"/>
        <v>0.20484943621392837</v>
      </c>
      <c r="CA110" s="19">
        <f t="shared" si="207"/>
        <v>950.77893148782596</v>
      </c>
      <c r="CB110" s="15">
        <f t="shared" si="168"/>
        <v>5.4015578629756523E-6</v>
      </c>
      <c r="CC110" s="16">
        <f t="shared" si="169"/>
        <v>26.822957712109996</v>
      </c>
      <c r="CD110" s="17">
        <f t="shared" si="170"/>
        <v>1.3518444001171231E-2</v>
      </c>
      <c r="CE110" s="18">
        <f t="shared" si="171"/>
        <v>0.20563075329719557</v>
      </c>
      <c r="CF110" s="19">
        <f t="shared" si="208"/>
        <v>940.45262216065794</v>
      </c>
      <c r="CG110" s="15">
        <f t="shared" si="172"/>
        <v>5.3809052443213164E-6</v>
      </c>
      <c r="CH110" s="16">
        <f t="shared" si="173"/>
        <v>26.704205154847564</v>
      </c>
      <c r="CI110" s="17">
        <f t="shared" si="174"/>
        <v>1.346675682576025E-2</v>
      </c>
      <c r="CJ110" s="18">
        <f t="shared" si="175"/>
        <v>0.20654518522521009</v>
      </c>
      <c r="CK110" s="19">
        <f t="shared" si="209"/>
        <v>926.07244613390856</v>
      </c>
      <c r="CL110" s="15">
        <f t="shared" si="176"/>
        <v>5.352144892267818E-6</v>
      </c>
      <c r="CM110" s="16">
        <f t="shared" si="177"/>
        <v>26.538833130539949</v>
      </c>
      <c r="CN110" s="17">
        <f t="shared" si="178"/>
        <v>1.3394778478299762E-2</v>
      </c>
      <c r="CO110" s="18">
        <f t="shared" si="179"/>
        <v>0.20783223485635524</v>
      </c>
      <c r="CP110" s="19">
        <f t="shared" si="210"/>
        <v>899.49023113811631</v>
      </c>
      <c r="CQ110" s="15">
        <f t="shared" si="180"/>
        <v>5.2989804622762328E-6</v>
      </c>
      <c r="CR110" s="16">
        <f t="shared" si="181"/>
        <v>26.233137658088339</v>
      </c>
      <c r="CS110" s="17">
        <f t="shared" si="182"/>
        <v>1.3261724202491354E-2</v>
      </c>
      <c r="CT110" s="18">
        <f t="shared" si="183"/>
        <v>0.2102541095879697</v>
      </c>
      <c r="CU110" s="19">
        <f t="shared" si="211"/>
        <v>842.35339772581392</v>
      </c>
      <c r="CV110" s="15">
        <f t="shared" si="184"/>
        <v>5.1847067954516285E-6</v>
      </c>
      <c r="CW110" s="16">
        <f t="shared" si="185"/>
        <v>25.576064073846858</v>
      </c>
      <c r="CX110" s="17">
        <f t="shared" si="186"/>
        <v>1.2975732234069509E-2</v>
      </c>
      <c r="CY110" s="18">
        <f t="shared" si="187"/>
        <v>0.21565573905642796</v>
      </c>
      <c r="CZ110" s="20">
        <f t="shared" si="212"/>
        <v>729.55083864390781</v>
      </c>
      <c r="DA110" s="15">
        <f t="shared" si="188"/>
        <v>4.9591016772878156E-6</v>
      </c>
      <c r="DB110" s="16">
        <f t="shared" si="189"/>
        <v>24.278834644404938</v>
      </c>
      <c r="DC110" s="17">
        <f t="shared" si="190"/>
        <v>1.2411111760931596E-2</v>
      </c>
      <c r="DD110" s="18">
        <f t="shared" si="191"/>
        <v>0.22717832551617451</v>
      </c>
    </row>
    <row r="111" spans="2:108" x14ac:dyDescent="0.25">
      <c r="B111">
        <v>92</v>
      </c>
      <c r="C111">
        <f t="shared" si="192"/>
        <v>8.9940549303763134E-2</v>
      </c>
      <c r="D111" s="19">
        <f t="shared" si="109"/>
        <v>1018.5009319668901</v>
      </c>
      <c r="E111" s="15">
        <f t="shared" si="110"/>
        <v>5.5370018639337812E-6</v>
      </c>
      <c r="F111" s="16">
        <f t="shared" si="111"/>
        <v>27.601760717619236</v>
      </c>
      <c r="G111" s="17">
        <f t="shared" si="107"/>
        <v>1.3857418828192407E-2</v>
      </c>
      <c r="H111" s="18">
        <f t="shared" si="112"/>
        <v>0.1998287376094515</v>
      </c>
      <c r="I111" s="19">
        <f t="shared" si="193"/>
        <v>1018.1768186601785</v>
      </c>
      <c r="J111" s="15">
        <f t="shared" si="113"/>
        <v>5.5363536373203567E-6</v>
      </c>
      <c r="K111" s="16">
        <f t="shared" si="114"/>
        <v>27.598033414592052</v>
      </c>
      <c r="L111" s="17">
        <f t="shared" si="115"/>
        <v>1.3855796515630745E-2</v>
      </c>
      <c r="M111" s="18">
        <f t="shared" si="116"/>
        <v>0.19985572584616462</v>
      </c>
      <c r="N111" s="19">
        <f t="shared" si="194"/>
        <v>1017.2718440672991</v>
      </c>
      <c r="O111" s="15">
        <f t="shared" si="117"/>
        <v>5.5345436881345988E-6</v>
      </c>
      <c r="P111" s="16">
        <f t="shared" si="118"/>
        <v>27.58762620677394</v>
      </c>
      <c r="Q111" s="17">
        <f t="shared" si="108"/>
        <v>1.3857418828192407E-2</v>
      </c>
      <c r="R111" s="18">
        <f t="shared" si="119"/>
        <v>0.19993111979477518</v>
      </c>
      <c r="S111" s="19">
        <f t="shared" si="195"/>
        <v>1015.7708374918363</v>
      </c>
      <c r="T111" s="15">
        <f t="shared" si="120"/>
        <v>5.5315416749836734E-6</v>
      </c>
      <c r="U111" s="16">
        <f t="shared" si="121"/>
        <v>27.570364631156117</v>
      </c>
      <c r="V111" s="17">
        <f t="shared" si="122"/>
        <v>1.3843753648547884E-2</v>
      </c>
      <c r="W111" s="18">
        <f t="shared" si="123"/>
        <v>0.20005629500333205</v>
      </c>
      <c r="X111" s="19">
        <f t="shared" si="196"/>
        <v>1013.671568123114</v>
      </c>
      <c r="Y111" s="15">
        <f t="shared" si="124"/>
        <v>5.5273431362462284E-6</v>
      </c>
      <c r="Z111" s="16">
        <f t="shared" si="125"/>
        <v>27.54622303341581</v>
      </c>
      <c r="AA111" s="17">
        <f t="shared" si="126"/>
        <v>1.3833245992747704E-2</v>
      </c>
      <c r="AB111" s="18">
        <f t="shared" si="127"/>
        <v>0.2002316249784625</v>
      </c>
      <c r="AC111" s="19">
        <f t="shared" si="197"/>
        <v>1010.972749963391</v>
      </c>
      <c r="AD111" s="15">
        <f t="shared" si="128"/>
        <v>5.5219454999267824E-6</v>
      </c>
      <c r="AE111" s="16">
        <f t="shared" si="129"/>
        <v>27.515186624578995</v>
      </c>
      <c r="AF111" s="17">
        <f t="shared" si="130"/>
        <v>1.3819737363168215E-2</v>
      </c>
      <c r="AG111" s="18">
        <f t="shared" si="131"/>
        <v>0.20045748099970934</v>
      </c>
      <c r="AH111" s="19">
        <f t="shared" si="198"/>
        <v>1007.6742601722752</v>
      </c>
      <c r="AI111" s="15">
        <f t="shared" si="132"/>
        <v>5.5153485203445512E-6</v>
      </c>
      <c r="AJ111" s="16">
        <f t="shared" si="133"/>
        <v>27.477253991981165</v>
      </c>
      <c r="AK111" s="17">
        <f t="shared" si="134"/>
        <v>1.3803227144945701E-2</v>
      </c>
      <c r="AL111" s="18">
        <f t="shared" si="135"/>
        <v>0.20073421462019655</v>
      </c>
      <c r="AM111" s="19">
        <f t="shared" si="199"/>
        <v>1003.7760919944776</v>
      </c>
      <c r="AN111" s="15">
        <f t="shared" si="136"/>
        <v>5.5075521839889553E-6</v>
      </c>
      <c r="AO111" s="16">
        <f t="shared" si="137"/>
        <v>27.432425057936491</v>
      </c>
      <c r="AP111" s="17">
        <f t="shared" si="138"/>
        <v>1.3783715304267325E-2</v>
      </c>
      <c r="AQ111" s="18">
        <f t="shared" si="139"/>
        <v>0.20106224616858184</v>
      </c>
      <c r="AR111" s="19">
        <f t="shared" si="200"/>
        <v>999.27825075473174</v>
      </c>
      <c r="AS111" s="15">
        <f t="shared" si="140"/>
        <v>5.4985565015094639E-6</v>
      </c>
      <c r="AT111" s="16">
        <f t="shared" si="141"/>
        <v>27.380699883679412</v>
      </c>
      <c r="AU111" s="17">
        <f t="shared" si="142"/>
        <v>1.376120186778544E-2</v>
      </c>
      <c r="AV111" s="18">
        <f t="shared" si="143"/>
        <v>0.20144207501750724</v>
      </c>
      <c r="AW111" s="19">
        <f t="shared" si="201"/>
        <v>994.18073841831347</v>
      </c>
      <c r="AX111" s="15">
        <f t="shared" si="144"/>
        <v>5.4883614768366274E-6</v>
      </c>
      <c r="AY111" s="16">
        <f t="shared" si="145"/>
        <v>27.322078491810604</v>
      </c>
      <c r="AZ111" s="17">
        <f t="shared" si="146"/>
        <v>1.3735686845337014E-2</v>
      </c>
      <c r="BA111" s="18">
        <f t="shared" si="147"/>
        <v>0.20187428279489161</v>
      </c>
      <c r="BB111" s="19">
        <f t="shared" si="202"/>
        <v>988.48354850259182</v>
      </c>
      <c r="BC111" s="15">
        <f t="shared" si="148"/>
        <v>5.4769670970051836E-6</v>
      </c>
      <c r="BD111" s="16">
        <f t="shared" si="149"/>
        <v>27.256560807779806</v>
      </c>
      <c r="BE111" s="17">
        <f t="shared" si="150"/>
        <v>1.3707170204473965E-2</v>
      </c>
      <c r="BF111" s="18">
        <f t="shared" si="151"/>
        <v>0.20235953607271251</v>
      </c>
      <c r="BG111" s="19">
        <f t="shared" si="203"/>
        <v>982.18661453422794</v>
      </c>
      <c r="BH111" s="15">
        <f t="shared" si="152"/>
        <v>5.4643732290684563E-6</v>
      </c>
      <c r="BI111" s="16">
        <f t="shared" si="153"/>
        <v>27.184146067143622</v>
      </c>
      <c r="BJ111" s="17">
        <f t="shared" si="154"/>
        <v>1.3675651612471508E-2</v>
      </c>
      <c r="BK111" s="18">
        <f t="shared" si="155"/>
        <v>0.20289859340722544</v>
      </c>
      <c r="BL111" s="19">
        <f t="shared" si="204"/>
        <v>975.28939062629433</v>
      </c>
      <c r="BM111" s="15">
        <f t="shared" si="156"/>
        <v>5.4505787812525894E-6</v>
      </c>
      <c r="BN111" s="16">
        <f t="shared" si="157"/>
        <v>27.104827992202384</v>
      </c>
      <c r="BO111" s="17">
        <f t="shared" si="158"/>
        <v>1.3641128336954259E-2</v>
      </c>
      <c r="BP111" s="18">
        <f t="shared" si="159"/>
        <v>0.20349234466961957</v>
      </c>
      <c r="BQ111" s="19">
        <f t="shared" si="205"/>
        <v>967.78788602429802</v>
      </c>
      <c r="BR111" s="15">
        <f t="shared" si="160"/>
        <v>5.4355757720485967E-6</v>
      </c>
      <c r="BS111" s="16">
        <f t="shared" si="161"/>
        <v>27.018560689279425</v>
      </c>
      <c r="BT111" s="17">
        <f t="shared" si="162"/>
        <v>1.3603580402651191E-2</v>
      </c>
      <c r="BU111" s="18">
        <f t="shared" si="163"/>
        <v>0.20414207342245733</v>
      </c>
      <c r="BV111" s="19">
        <f t="shared" si="206"/>
        <v>959.65636708531792</v>
      </c>
      <c r="BW111" s="15">
        <f t="shared" si="164"/>
        <v>5.4193127341706362E-6</v>
      </c>
      <c r="BX111" s="16">
        <f t="shared" si="165"/>
        <v>26.925048221481156</v>
      </c>
      <c r="BY111" s="17">
        <f t="shared" si="166"/>
        <v>1.3562879002718204E-2</v>
      </c>
      <c r="BZ111" s="18">
        <f t="shared" si="167"/>
        <v>0.20485107230372804</v>
      </c>
      <c r="CA111" s="19">
        <f t="shared" si="207"/>
        <v>950.75084381877582</v>
      </c>
      <c r="CB111" s="15">
        <f t="shared" si="168"/>
        <v>5.4015016876375521E-6</v>
      </c>
      <c r="CC111" s="16">
        <f t="shared" si="169"/>
        <v>26.822634703915924</v>
      </c>
      <c r="CD111" s="17">
        <f t="shared" si="170"/>
        <v>1.3518303411515132E-2</v>
      </c>
      <c r="CE111" s="18">
        <f t="shared" si="171"/>
        <v>0.20563322957959668</v>
      </c>
      <c r="CF111" s="19">
        <f t="shared" si="208"/>
        <v>940.38738358045919</v>
      </c>
      <c r="CG111" s="15">
        <f t="shared" si="172"/>
        <v>5.3807747671609192E-6</v>
      </c>
      <c r="CH111" s="16">
        <f t="shared" si="173"/>
        <v>26.703454911175278</v>
      </c>
      <c r="CI111" s="17">
        <f t="shared" si="174"/>
        <v>1.3466430281413042E-2</v>
      </c>
      <c r="CJ111" s="18">
        <f t="shared" si="175"/>
        <v>0.20655098819036091</v>
      </c>
      <c r="CK111" s="19">
        <f t="shared" si="209"/>
        <v>925.89190419205067</v>
      </c>
      <c r="CL111" s="15">
        <f t="shared" si="176"/>
        <v>5.3517838083841014E-6</v>
      </c>
      <c r="CM111" s="16">
        <f t="shared" si="177"/>
        <v>26.53675689820858</v>
      </c>
      <c r="CN111" s="17">
        <f t="shared" si="178"/>
        <v>1.3393874795994475E-2</v>
      </c>
      <c r="CO111" s="18">
        <f t="shared" si="179"/>
        <v>0.20784849562277688</v>
      </c>
      <c r="CP111" s="19">
        <f t="shared" si="210"/>
        <v>899.04983855870569</v>
      </c>
      <c r="CQ111" s="15">
        <f t="shared" si="180"/>
        <v>5.298099677117412E-6</v>
      </c>
      <c r="CR111" s="16">
        <f t="shared" si="181"/>
        <v>26.228073143425114</v>
      </c>
      <c r="CS111" s="17">
        <f t="shared" si="182"/>
        <v>1.3259519867159099E-2</v>
      </c>
      <c r="CT111" s="18">
        <f t="shared" si="183"/>
        <v>0.21029470864437724</v>
      </c>
      <c r="CU111" s="19">
        <f t="shared" si="211"/>
        <v>841.55599917377299</v>
      </c>
      <c r="CV111" s="15">
        <f t="shared" si="184"/>
        <v>5.1831119983475462E-6</v>
      </c>
      <c r="CW111" s="16">
        <f t="shared" si="185"/>
        <v>25.566893990498389</v>
      </c>
      <c r="CX111" s="17">
        <f t="shared" si="186"/>
        <v>1.2971740945650191E-2</v>
      </c>
      <c r="CY111" s="18">
        <f t="shared" si="187"/>
        <v>0.21573308834658647</v>
      </c>
      <c r="CZ111" s="20">
        <f t="shared" si="212"/>
        <v>728.63263406411806</v>
      </c>
      <c r="DA111" s="15">
        <f t="shared" si="188"/>
        <v>4.9572652681282363E-6</v>
      </c>
      <c r="DB111" s="16">
        <f t="shared" si="189"/>
        <v>24.268275291737357</v>
      </c>
      <c r="DC111" s="17">
        <f t="shared" si="190"/>
        <v>1.2406515791580388E-2</v>
      </c>
      <c r="DD111" s="18">
        <f t="shared" si="191"/>
        <v>0.22727717292204569</v>
      </c>
    </row>
    <row r="112" spans="2:108" x14ac:dyDescent="0.25">
      <c r="B112">
        <v>93</v>
      </c>
      <c r="C112">
        <f t="shared" si="192"/>
        <v>9.0918163970108379E-2</v>
      </c>
      <c r="D112" s="19">
        <f t="shared" si="109"/>
        <v>1018.4843843787612</v>
      </c>
      <c r="E112" s="15">
        <f t="shared" si="110"/>
        <v>5.5369687687575235E-6</v>
      </c>
      <c r="F112" s="16">
        <f t="shared" si="111"/>
        <v>27.601570420355753</v>
      </c>
      <c r="G112" s="17">
        <f t="shared" si="107"/>
        <v>1.3857336001108387E-2</v>
      </c>
      <c r="H112" s="18">
        <f t="shared" si="112"/>
        <v>0.1998301153159136</v>
      </c>
      <c r="I112" s="19">
        <f t="shared" si="193"/>
        <v>1018.1602535281662</v>
      </c>
      <c r="J112" s="15">
        <f t="shared" si="113"/>
        <v>5.5363205070563334E-6</v>
      </c>
      <c r="K112" s="16">
        <f t="shared" si="114"/>
        <v>27.59784291557391</v>
      </c>
      <c r="L112" s="17">
        <f t="shared" si="115"/>
        <v>1.3855713600732801E-2</v>
      </c>
      <c r="M112" s="18">
        <f t="shared" si="116"/>
        <v>0.19985710538585041</v>
      </c>
      <c r="N112" s="19">
        <f t="shared" si="194"/>
        <v>1017.2552514723521</v>
      </c>
      <c r="O112" s="15">
        <f t="shared" si="117"/>
        <v>5.5345105029447046E-6</v>
      </c>
      <c r="P112" s="16">
        <f t="shared" si="118"/>
        <v>27.587435391932047</v>
      </c>
      <c r="Q112" s="17">
        <f t="shared" si="108"/>
        <v>1.3857336001108387E-2</v>
      </c>
      <c r="R112" s="18">
        <f t="shared" si="119"/>
        <v>0.19993250266434864</v>
      </c>
      <c r="S112" s="19">
        <f t="shared" si="195"/>
        <v>1015.754232124384</v>
      </c>
      <c r="T112" s="15">
        <f t="shared" si="120"/>
        <v>5.531508464248769E-6</v>
      </c>
      <c r="U112" s="16">
        <f t="shared" si="121"/>
        <v>27.570173669430417</v>
      </c>
      <c r="V112" s="17">
        <f t="shared" si="122"/>
        <v>1.3843670532255985E-2</v>
      </c>
      <c r="W112" s="18">
        <f t="shared" si="123"/>
        <v>0.20005768067089399</v>
      </c>
      <c r="X112" s="19">
        <f t="shared" si="196"/>
        <v>1013.6549652743172</v>
      </c>
      <c r="Y112" s="15">
        <f t="shared" si="124"/>
        <v>5.5273099305486349E-6</v>
      </c>
      <c r="Z112" s="16">
        <f t="shared" si="125"/>
        <v>27.546032100654649</v>
      </c>
      <c r="AA112" s="17">
        <f t="shared" si="126"/>
        <v>1.3833162889062653E-2</v>
      </c>
      <c r="AB112" s="18">
        <f t="shared" si="127"/>
        <v>0.20023301286535994</v>
      </c>
      <c r="AC112" s="19">
        <f t="shared" si="197"/>
        <v>1010.9561584342561</v>
      </c>
      <c r="AD112" s="15">
        <f t="shared" si="128"/>
        <v>5.5219123168685127E-6</v>
      </c>
      <c r="AE112" s="16">
        <f t="shared" si="129"/>
        <v>27.514995821993942</v>
      </c>
      <c r="AF112" s="17">
        <f t="shared" si="130"/>
        <v>1.3819654316142451E-2</v>
      </c>
      <c r="AG112" s="18">
        <f t="shared" si="131"/>
        <v>0.20045887107099319</v>
      </c>
      <c r="AH112" s="19">
        <f t="shared" si="198"/>
        <v>1007.6576848804903</v>
      </c>
      <c r="AI112" s="15">
        <f t="shared" si="132"/>
        <v>5.5153153697609817E-6</v>
      </c>
      <c r="AJ112" s="16">
        <f t="shared" si="133"/>
        <v>27.477063376125635</v>
      </c>
      <c r="AK112" s="17">
        <f t="shared" si="134"/>
        <v>1.3803144179194161E-2</v>
      </c>
      <c r="AL112" s="18">
        <f t="shared" si="135"/>
        <v>0.20073560716799288</v>
      </c>
      <c r="AM112" s="19">
        <f t="shared" si="199"/>
        <v>1003.759536668706</v>
      </c>
      <c r="AN112" s="15">
        <f t="shared" si="136"/>
        <v>5.5075190733374124E-6</v>
      </c>
      <c r="AO112" s="16">
        <f t="shared" si="137"/>
        <v>27.432234671690118</v>
      </c>
      <c r="AP112" s="17">
        <f t="shared" si="138"/>
        <v>1.378363243845341E-2</v>
      </c>
      <c r="AQ112" s="18">
        <f t="shared" si="139"/>
        <v>0.20106364158848816</v>
      </c>
      <c r="AR112" s="19">
        <f t="shared" si="200"/>
        <v>999.26171893207561</v>
      </c>
      <c r="AS112" s="15">
        <f t="shared" si="140"/>
        <v>5.4985234378641516E-6</v>
      </c>
      <c r="AT112" s="16">
        <f t="shared" si="141"/>
        <v>27.38050976771887</v>
      </c>
      <c r="AU112" s="17">
        <f t="shared" si="142"/>
        <v>1.3761119119613715E-2</v>
      </c>
      <c r="AV112" s="18">
        <f t="shared" si="143"/>
        <v>0.20144347372607441</v>
      </c>
      <c r="AW112" s="19">
        <f t="shared" si="201"/>
        <v>994.16423356240284</v>
      </c>
      <c r="AX112" s="15">
        <f t="shared" si="144"/>
        <v>5.4883284671248066E-6</v>
      </c>
      <c r="AY112" s="16">
        <f t="shared" si="145"/>
        <v>27.321888685967632</v>
      </c>
      <c r="AZ112" s="17">
        <f t="shared" si="146"/>
        <v>1.3735604232144288E-2</v>
      </c>
      <c r="BA112" s="18">
        <f t="shared" si="147"/>
        <v>0.20187568522057531</v>
      </c>
      <c r="BB112" s="19">
        <f t="shared" si="202"/>
        <v>988.46707332870494</v>
      </c>
      <c r="BC112" s="15">
        <f t="shared" si="148"/>
        <v>5.4769341466574102E-6</v>
      </c>
      <c r="BD112" s="16">
        <f t="shared" si="149"/>
        <v>27.256371343280108</v>
      </c>
      <c r="BE112" s="17">
        <f t="shared" si="150"/>
        <v>1.370708773985126E-2</v>
      </c>
      <c r="BF112" s="18">
        <f t="shared" si="151"/>
        <v>0.20236094271440294</v>
      </c>
      <c r="BG112" s="19">
        <f t="shared" si="203"/>
        <v>982.17016569464488</v>
      </c>
      <c r="BH112" s="15">
        <f t="shared" si="152"/>
        <v>5.4643403313892906E-6</v>
      </c>
      <c r="BI112" s="16">
        <f t="shared" si="153"/>
        <v>27.183956905488415</v>
      </c>
      <c r="BJ112" s="17">
        <f t="shared" si="154"/>
        <v>1.3675569279662186E-2</v>
      </c>
      <c r="BK112" s="18">
        <f t="shared" si="155"/>
        <v>0.20290000529269528</v>
      </c>
      <c r="BL112" s="19">
        <f t="shared" si="204"/>
        <v>975.27292212674513</v>
      </c>
      <c r="BM112" s="15">
        <f t="shared" si="156"/>
        <v>5.4505458442534903E-6</v>
      </c>
      <c r="BN112" s="16">
        <f t="shared" si="157"/>
        <v>27.10463860445757</v>
      </c>
      <c r="BO112" s="17">
        <f t="shared" si="158"/>
        <v>1.3641045905739193E-2</v>
      </c>
      <c r="BP112" s="18">
        <f t="shared" si="159"/>
        <v>0.20349376652795187</v>
      </c>
      <c r="BQ112" s="19">
        <f t="shared" si="205"/>
        <v>967.77109001627639</v>
      </c>
      <c r="BR112" s="15">
        <f t="shared" si="160"/>
        <v>5.4355421800325532E-6</v>
      </c>
      <c r="BS112" s="16">
        <f t="shared" si="161"/>
        <v>27.018367535187178</v>
      </c>
      <c r="BT112" s="17">
        <f t="shared" si="162"/>
        <v>1.3603496332129447E-2</v>
      </c>
      <c r="BU112" s="18">
        <f t="shared" si="163"/>
        <v>0.20414353283249867</v>
      </c>
      <c r="BV112" s="19">
        <f t="shared" si="206"/>
        <v>959.63756065810287</v>
      </c>
      <c r="BW112" s="15">
        <f t="shared" si="164"/>
        <v>5.4192751213162065E-6</v>
      </c>
      <c r="BX112" s="16">
        <f t="shared" si="165"/>
        <v>26.92483194756818</v>
      </c>
      <c r="BY112" s="17">
        <f t="shared" si="166"/>
        <v>1.3562784869270183E-2</v>
      </c>
      <c r="BZ112" s="18">
        <f t="shared" si="167"/>
        <v>0.20485271777149067</v>
      </c>
      <c r="CA112" s="19">
        <f t="shared" si="207"/>
        <v>950.72235876401044</v>
      </c>
      <c r="CB112" s="15">
        <f t="shared" si="168"/>
        <v>5.4014447175280217E-6</v>
      </c>
      <c r="CC112" s="16">
        <f t="shared" si="169"/>
        <v>26.822307125786118</v>
      </c>
      <c r="CD112" s="17">
        <f t="shared" si="170"/>
        <v>1.3518160832789703E-2</v>
      </c>
      <c r="CE112" s="18">
        <f t="shared" si="171"/>
        <v>0.20563574095747539</v>
      </c>
      <c r="CF112" s="19">
        <f t="shared" si="208"/>
        <v>940.32102480777382</v>
      </c>
      <c r="CG112" s="15">
        <f t="shared" si="172"/>
        <v>5.3806420496155483E-6</v>
      </c>
      <c r="CH112" s="16">
        <f t="shared" si="173"/>
        <v>26.702691785289396</v>
      </c>
      <c r="CI112" s="17">
        <f t="shared" si="174"/>
        <v>1.3466098130068823E-2</v>
      </c>
      <c r="CJ112" s="18">
        <f t="shared" si="175"/>
        <v>0.2065568911310498</v>
      </c>
      <c r="CK112" s="19">
        <f t="shared" si="209"/>
        <v>925.70927163134854</v>
      </c>
      <c r="CL112" s="15">
        <f t="shared" si="176"/>
        <v>5.3514185432626973E-6</v>
      </c>
      <c r="CM112" s="16">
        <f t="shared" si="177"/>
        <v>26.534656623760508</v>
      </c>
      <c r="CN112" s="17">
        <f t="shared" si="178"/>
        <v>1.3392960649332616E-2</v>
      </c>
      <c r="CO112" s="18">
        <f t="shared" si="179"/>
        <v>0.20786494727280636</v>
      </c>
      <c r="CP112" s="19">
        <f t="shared" si="210"/>
        <v>898.60794535187301</v>
      </c>
      <c r="CQ112" s="15">
        <f t="shared" si="180"/>
        <v>5.297215890703746E-6</v>
      </c>
      <c r="CR112" s="16">
        <f t="shared" si="181"/>
        <v>26.222991371546541</v>
      </c>
      <c r="CS112" s="17">
        <f t="shared" si="182"/>
        <v>1.3257308020605712E-2</v>
      </c>
      <c r="CT112" s="18">
        <f t="shared" si="183"/>
        <v>0.2103354618033689</v>
      </c>
      <c r="CU112" s="19">
        <f t="shared" si="211"/>
        <v>840.76169831538334</v>
      </c>
      <c r="CV112" s="15">
        <f t="shared" si="184"/>
        <v>5.1815233966307677E-6</v>
      </c>
      <c r="CW112" s="16">
        <f t="shared" si="185"/>
        <v>25.557759530626907</v>
      </c>
      <c r="CX112" s="17">
        <f t="shared" si="186"/>
        <v>1.2967765162386692E-2</v>
      </c>
      <c r="CY112" s="18">
        <f t="shared" si="187"/>
        <v>0.21581019233671095</v>
      </c>
      <c r="CZ112" s="20">
        <f t="shared" si="212"/>
        <v>727.72148123501972</v>
      </c>
      <c r="DA112" s="15">
        <f t="shared" si="188"/>
        <v>4.9554429624700396E-6</v>
      </c>
      <c r="DB112" s="16">
        <f t="shared" si="189"/>
        <v>24.257797034202724</v>
      </c>
      <c r="DC112" s="17">
        <f t="shared" si="190"/>
        <v>1.2401955118971065E-2</v>
      </c>
      <c r="DD112" s="18">
        <f t="shared" si="191"/>
        <v>0.22737534625354247</v>
      </c>
    </row>
    <row r="113" spans="2:108" x14ac:dyDescent="0.25">
      <c r="B113">
        <v>94</v>
      </c>
      <c r="C113">
        <f t="shared" si="192"/>
        <v>9.1895778636453637E-2</v>
      </c>
      <c r="D113" s="19">
        <f t="shared" si="109"/>
        <v>1018.4678358949302</v>
      </c>
      <c r="E113" s="15">
        <f t="shared" si="110"/>
        <v>5.5369356717898614E-6</v>
      </c>
      <c r="F113" s="16">
        <f t="shared" si="111"/>
        <v>27.601380112791695</v>
      </c>
      <c r="G113" s="17">
        <f t="shared" si="107"/>
        <v>1.3857253169541032E-2</v>
      </c>
      <c r="H113" s="18">
        <f t="shared" si="112"/>
        <v>0.19983149311594808</v>
      </c>
      <c r="I113" s="19">
        <f t="shared" si="193"/>
        <v>1018.143688045885</v>
      </c>
      <c r="J113" s="15">
        <f t="shared" si="113"/>
        <v>5.5362873760917707E-6</v>
      </c>
      <c r="K113" s="16">
        <f t="shared" si="114"/>
        <v>27.597652412527676</v>
      </c>
      <c r="L113" s="17">
        <f t="shared" si="115"/>
        <v>1.3855630684081622E-2</v>
      </c>
      <c r="M113" s="18">
        <f t="shared" si="116"/>
        <v>0.19985848497375225</v>
      </c>
      <c r="N113" s="19">
        <f t="shared" si="194"/>
        <v>1017.2386590408735</v>
      </c>
      <c r="O113" s="15">
        <f t="shared" si="117"/>
        <v>5.5344773180817474E-6</v>
      </c>
      <c r="P113" s="16">
        <f t="shared" si="118"/>
        <v>27.587244578970044</v>
      </c>
      <c r="Q113" s="17">
        <f t="shared" si="108"/>
        <v>1.3857253169541032E-2</v>
      </c>
      <c r="R113" s="18">
        <f t="shared" si="119"/>
        <v>0.19993388553942792</v>
      </c>
      <c r="S113" s="19">
        <f t="shared" si="195"/>
        <v>1015.7376270444012</v>
      </c>
      <c r="T113" s="15">
        <f t="shared" si="120"/>
        <v>5.5314752540888026E-6</v>
      </c>
      <c r="U113" s="16">
        <f t="shared" si="121"/>
        <v>27.56998271101061</v>
      </c>
      <c r="V113" s="17">
        <f t="shared" si="122"/>
        <v>1.3843587417402983E-2</v>
      </c>
      <c r="W113" s="18">
        <f t="shared" si="123"/>
        <v>0.20005906633366249</v>
      </c>
      <c r="X113" s="19">
        <f t="shared" si="196"/>
        <v>1013.638362670985</v>
      </c>
      <c r="Y113" s="15">
        <f t="shared" si="124"/>
        <v>5.5272767253419698E-6</v>
      </c>
      <c r="Z113" s="16">
        <f t="shared" si="125"/>
        <v>27.545841170716326</v>
      </c>
      <c r="AA113" s="17">
        <f t="shared" si="126"/>
        <v>1.3833079786606244E-2</v>
      </c>
      <c r="AB113" s="18">
        <f t="shared" si="127"/>
        <v>0.20023440075097793</v>
      </c>
      <c r="AC113" s="19">
        <f t="shared" si="197"/>
        <v>1010.939567110941</v>
      </c>
      <c r="AD113" s="15">
        <f t="shared" si="128"/>
        <v>5.5218791342218823E-6</v>
      </c>
      <c r="AE113" s="16">
        <f t="shared" si="129"/>
        <v>27.514805021775821</v>
      </c>
      <c r="AF113" s="17">
        <f t="shared" si="130"/>
        <v>1.3819571270146897E-2</v>
      </c>
      <c r="AG113" s="18">
        <f t="shared" si="131"/>
        <v>0.2004602611443117</v>
      </c>
      <c r="AH113" s="19">
        <f t="shared" si="198"/>
        <v>1007.6411097815321</v>
      </c>
      <c r="AI113" s="15">
        <f t="shared" si="132"/>
        <v>5.5152822195630647E-6</v>
      </c>
      <c r="AJ113" s="16">
        <f t="shared" si="133"/>
        <v>27.476872762487616</v>
      </c>
      <c r="AK113" s="17">
        <f t="shared" si="134"/>
        <v>1.380306121440779E-2</v>
      </c>
      <c r="AL113" s="18">
        <f t="shared" si="135"/>
        <v>0.2007369997189099</v>
      </c>
      <c r="AM113" s="19">
        <f t="shared" si="199"/>
        <v>1003.7429815341219</v>
      </c>
      <c r="AN113" s="15">
        <f t="shared" si="136"/>
        <v>5.507485963068244E-6</v>
      </c>
      <c r="AO113" s="16">
        <f t="shared" si="137"/>
        <v>27.432044287642402</v>
      </c>
      <c r="AP113" s="17">
        <f t="shared" si="138"/>
        <v>1.3783549573596459E-2</v>
      </c>
      <c r="AQ113" s="18">
        <f t="shared" si="139"/>
        <v>0.20106503701164849</v>
      </c>
      <c r="AR113" s="19">
        <f t="shared" si="200"/>
        <v>999.24518730002546</v>
      </c>
      <c r="AS113" s="15">
        <f t="shared" si="140"/>
        <v>5.4984903746000517E-6</v>
      </c>
      <c r="AT113" s="16">
        <f t="shared" si="141"/>
        <v>27.380319653950291</v>
      </c>
      <c r="AU113" s="17">
        <f t="shared" si="142"/>
        <v>1.3761036372396049E-2</v>
      </c>
      <c r="AV113" s="18">
        <f t="shared" si="143"/>
        <v>0.20144487243793863</v>
      </c>
      <c r="AW113" s="19">
        <f t="shared" si="201"/>
        <v>994.14772888641096</v>
      </c>
      <c r="AX113" s="15">
        <f t="shared" si="144"/>
        <v>5.4882954577728222E-6</v>
      </c>
      <c r="AY113" s="16">
        <f t="shared" si="145"/>
        <v>27.321698882193726</v>
      </c>
      <c r="AZ113" s="17">
        <f t="shared" si="146"/>
        <v>1.3735521619852127E-2</v>
      </c>
      <c r="BA113" s="18">
        <f t="shared" si="147"/>
        <v>0.20187708765045642</v>
      </c>
      <c r="BB113" s="19">
        <f t="shared" si="202"/>
        <v>988.45059824639543</v>
      </c>
      <c r="BC113" s="15">
        <f t="shared" si="148"/>
        <v>5.4769011964927916E-6</v>
      </c>
      <c r="BD113" s="16">
        <f t="shared" si="149"/>
        <v>27.256181879833548</v>
      </c>
      <c r="BE113" s="17">
        <f t="shared" si="150"/>
        <v>1.3707005275686933E-2</v>
      </c>
      <c r="BF113" s="18">
        <f t="shared" si="151"/>
        <v>0.20236234936783024</v>
      </c>
      <c r="BG113" s="19">
        <f t="shared" si="203"/>
        <v>982.15371632773554</v>
      </c>
      <c r="BH113" s="15">
        <f t="shared" si="152"/>
        <v>5.4643074326554716E-6</v>
      </c>
      <c r="BI113" s="16">
        <f t="shared" si="153"/>
        <v>27.18376773776896</v>
      </c>
      <c r="BJ113" s="17">
        <f t="shared" si="154"/>
        <v>1.3675486944213392E-2</v>
      </c>
      <c r="BK113" s="18">
        <f t="shared" si="155"/>
        <v>0.20290141724307864</v>
      </c>
      <c r="BL113" s="19">
        <f t="shared" si="204"/>
        <v>975.25644931854754</v>
      </c>
      <c r="BM113" s="15">
        <f t="shared" si="156"/>
        <v>5.4505128986370956E-6</v>
      </c>
      <c r="BN113" s="16">
        <f t="shared" si="157"/>
        <v>27.104449167163295</v>
      </c>
      <c r="BO113" s="17">
        <f t="shared" si="158"/>
        <v>1.3640963452957679E-2</v>
      </c>
      <c r="BP113" s="18">
        <f t="shared" si="159"/>
        <v>0.20349518877816233</v>
      </c>
      <c r="BQ113" s="19">
        <f t="shared" si="205"/>
        <v>967.7542699266545</v>
      </c>
      <c r="BR113" s="15">
        <f t="shared" si="160"/>
        <v>5.4355085398533091E-6</v>
      </c>
      <c r="BS113" s="16">
        <f t="shared" si="161"/>
        <v>27.018174104156525</v>
      </c>
      <c r="BT113" s="17">
        <f t="shared" si="162"/>
        <v>1.360341214106997E-2</v>
      </c>
      <c r="BU113" s="18">
        <f t="shared" si="163"/>
        <v>0.20414499435590899</v>
      </c>
      <c r="BV113" s="19">
        <f t="shared" si="206"/>
        <v>959.61864435451935</v>
      </c>
      <c r="BW113" s="15">
        <f t="shared" si="164"/>
        <v>5.4192372887090389E-6</v>
      </c>
      <c r="BX113" s="16">
        <f t="shared" si="165"/>
        <v>26.92461441007697</v>
      </c>
      <c r="BY113" s="17">
        <f t="shared" si="166"/>
        <v>1.3562690185848401E-2</v>
      </c>
      <c r="BZ113" s="18">
        <f t="shared" si="167"/>
        <v>0.20485437287954952</v>
      </c>
      <c r="CA113" s="19">
        <f t="shared" si="207"/>
        <v>950.69347000890298</v>
      </c>
      <c r="CB113" s="15">
        <f t="shared" si="168"/>
        <v>5.4013869400178065E-6</v>
      </c>
      <c r="CC113" s="16">
        <f t="shared" si="169"/>
        <v>26.821974905102383</v>
      </c>
      <c r="CD113" s="17">
        <f t="shared" si="170"/>
        <v>1.3518016233387792E-2</v>
      </c>
      <c r="CE113" s="18">
        <f t="shared" si="171"/>
        <v>0.20563828799014924</v>
      </c>
      <c r="CF113" s="19">
        <f t="shared" si="208"/>
        <v>940.25354181372131</v>
      </c>
      <c r="CG113" s="15">
        <f t="shared" si="172"/>
        <v>5.3805070836274438E-6</v>
      </c>
      <c r="CH113" s="16">
        <f t="shared" si="173"/>
        <v>26.701915730857792</v>
      </c>
      <c r="CI113" s="17">
        <f t="shared" si="174"/>
        <v>1.3465760351561485E-2</v>
      </c>
      <c r="CJ113" s="18">
        <f t="shared" si="175"/>
        <v>0.20656289442281198</v>
      </c>
      <c r="CK113" s="19">
        <f t="shared" si="209"/>
        <v>925.52456949388841</v>
      </c>
      <c r="CL113" s="15">
        <f t="shared" si="176"/>
        <v>5.3510491389877779E-6</v>
      </c>
      <c r="CM113" s="16">
        <f t="shared" si="177"/>
        <v>26.532532549179717</v>
      </c>
      <c r="CN113" s="17">
        <f t="shared" si="178"/>
        <v>1.3392036143637967E-2</v>
      </c>
      <c r="CO113" s="18">
        <f t="shared" si="179"/>
        <v>0.20788158800055903</v>
      </c>
      <c r="CP113" s="19">
        <f t="shared" si="210"/>
        <v>898.16460767930175</v>
      </c>
      <c r="CQ113" s="15">
        <f t="shared" si="180"/>
        <v>5.2963292153586043E-6</v>
      </c>
      <c r="CR113" s="16">
        <f t="shared" si="181"/>
        <v>26.21789298831197</v>
      </c>
      <c r="CS113" s="17">
        <f t="shared" si="182"/>
        <v>1.3255088943942167E-2</v>
      </c>
      <c r="CT113" s="18">
        <f t="shared" si="183"/>
        <v>0.21037636405255317</v>
      </c>
      <c r="CU113" s="19">
        <f t="shared" si="211"/>
        <v>839.97048903640928</v>
      </c>
      <c r="CV113" s="15">
        <f t="shared" si="184"/>
        <v>5.1799409780728198E-6</v>
      </c>
      <c r="CW113" s="16">
        <f t="shared" si="185"/>
        <v>25.548660623918707</v>
      </c>
      <c r="CX113" s="17">
        <f t="shared" si="186"/>
        <v>1.2963804853674892E-2</v>
      </c>
      <c r="CY113" s="18">
        <f t="shared" si="187"/>
        <v>0.21588705103531966</v>
      </c>
      <c r="CZ113" s="20">
        <f t="shared" si="212"/>
        <v>726.81724185864539</v>
      </c>
      <c r="DA113" s="15">
        <f t="shared" si="188"/>
        <v>4.9536344837172914E-6</v>
      </c>
      <c r="DB113" s="16">
        <f t="shared" si="189"/>
        <v>24.247398281374423</v>
      </c>
      <c r="DC113" s="17">
        <f t="shared" si="190"/>
        <v>1.2397429050868766E-2</v>
      </c>
      <c r="DD113" s="18">
        <f t="shared" si="191"/>
        <v>0.22747285857208083</v>
      </c>
    </row>
    <row r="114" spans="2:108" x14ac:dyDescent="0.25">
      <c r="B114">
        <v>95</v>
      </c>
      <c r="C114">
        <f t="shared" si="192"/>
        <v>9.2873393302798896E-2</v>
      </c>
      <c r="D114" s="19">
        <f t="shared" si="109"/>
        <v>1018.4512865432442</v>
      </c>
      <c r="E114" s="15">
        <f t="shared" si="110"/>
        <v>5.5369025730864882E-6</v>
      </c>
      <c r="F114" s="16">
        <f t="shared" si="111"/>
        <v>27.601189795247308</v>
      </c>
      <c r="G114" s="17">
        <f t="shared" si="107"/>
        <v>1.3857170333629723E-2</v>
      </c>
      <c r="H114" s="18">
        <f t="shared" si="112"/>
        <v>0.19983287100723984</v>
      </c>
      <c r="I114" s="19">
        <f t="shared" si="193"/>
        <v>1018.1271222202448</v>
      </c>
      <c r="J114" s="15">
        <f t="shared" si="113"/>
        <v>5.5362542444404905E-6</v>
      </c>
      <c r="K114" s="16">
        <f t="shared" si="114"/>
        <v>27.597461905532814</v>
      </c>
      <c r="L114" s="17">
        <f t="shared" si="115"/>
        <v>1.3855547765711801E-2</v>
      </c>
      <c r="M114" s="18">
        <f t="shared" si="116"/>
        <v>0.19985986460929628</v>
      </c>
      <c r="N114" s="19">
        <f t="shared" si="194"/>
        <v>1017.2220667696735</v>
      </c>
      <c r="O114" s="15">
        <f t="shared" si="117"/>
        <v>5.5344441335393472E-6</v>
      </c>
      <c r="P114" s="16">
        <f t="shared" si="118"/>
        <v>27.587053767851245</v>
      </c>
      <c r="Q114" s="17">
        <f t="shared" si="108"/>
        <v>1.3857170333629723E-2</v>
      </c>
      <c r="R114" s="18">
        <f t="shared" si="119"/>
        <v>0.19993526842027873</v>
      </c>
      <c r="S114" s="19">
        <f t="shared" si="195"/>
        <v>1015.7210222497799</v>
      </c>
      <c r="T114" s="15">
        <f t="shared" si="120"/>
        <v>5.5314420444995603E-6</v>
      </c>
      <c r="U114" s="16">
        <f t="shared" si="121"/>
        <v>27.569791755872469</v>
      </c>
      <c r="V114" s="17">
        <f t="shared" si="122"/>
        <v>1.3843504303978325E-2</v>
      </c>
      <c r="W114" s="18">
        <f t="shared" si="123"/>
        <v>0.2000604519918128</v>
      </c>
      <c r="X114" s="19">
        <f t="shared" si="196"/>
        <v>1013.6217603130051</v>
      </c>
      <c r="Y114" s="15">
        <f t="shared" si="124"/>
        <v>5.5272435206260104E-6</v>
      </c>
      <c r="Z114" s="16">
        <f t="shared" si="125"/>
        <v>27.54565024359956</v>
      </c>
      <c r="AA114" s="17">
        <f t="shared" si="126"/>
        <v>1.383299668537792E-2</v>
      </c>
      <c r="AB114" s="18">
        <f t="shared" si="127"/>
        <v>0.20023578863532535</v>
      </c>
      <c r="AC114" s="19">
        <f t="shared" si="197"/>
        <v>1010.9229759937389</v>
      </c>
      <c r="AD114" s="15">
        <f t="shared" si="128"/>
        <v>5.5218459519874784E-6</v>
      </c>
      <c r="AE114" s="16">
        <f t="shared" si="129"/>
        <v>27.514614223927996</v>
      </c>
      <c r="AF114" s="17">
        <f t="shared" si="130"/>
        <v>1.3819488225183016E-2</v>
      </c>
      <c r="AG114" s="18">
        <f t="shared" si="131"/>
        <v>0.20046165121964002</v>
      </c>
      <c r="AH114" s="19">
        <f t="shared" si="198"/>
        <v>1007.6245348755384</v>
      </c>
      <c r="AI114" s="15">
        <f t="shared" si="132"/>
        <v>5.515249069751077E-6</v>
      </c>
      <c r="AJ114" s="16">
        <f t="shared" si="133"/>
        <v>27.47668215106869</v>
      </c>
      <c r="AK114" s="17">
        <f t="shared" si="134"/>
        <v>1.3802978250587284E-2</v>
      </c>
      <c r="AL114" s="18">
        <f t="shared" si="135"/>
        <v>0.2007383922729358</v>
      </c>
      <c r="AM114" s="19">
        <f t="shared" si="199"/>
        <v>1003.7264265907354</v>
      </c>
      <c r="AN114" s="15">
        <f t="shared" si="136"/>
        <v>5.5074528531814719E-6</v>
      </c>
      <c r="AO114" s="16">
        <f t="shared" si="137"/>
        <v>27.431853905793457</v>
      </c>
      <c r="AP114" s="17">
        <f t="shared" si="138"/>
        <v>1.378346670969653E-2</v>
      </c>
      <c r="AQ114" s="18">
        <f t="shared" si="139"/>
        <v>0.20106643243806174</v>
      </c>
      <c r="AR114" s="19">
        <f t="shared" si="200"/>
        <v>999.22865585842999</v>
      </c>
      <c r="AS114" s="15">
        <f t="shared" si="140"/>
        <v>5.4984573117168607E-6</v>
      </c>
      <c r="AT114" s="16">
        <f t="shared" si="141"/>
        <v>27.380129542371947</v>
      </c>
      <c r="AU114" s="17">
        <f t="shared" si="142"/>
        <v>1.3760953626131679E-2</v>
      </c>
      <c r="AV114" s="18">
        <f t="shared" si="143"/>
        <v>0.20144627115311231</v>
      </c>
      <c r="AW114" s="19">
        <f t="shared" si="201"/>
        <v>994.1312243891914</v>
      </c>
      <c r="AX114" s="15">
        <f t="shared" si="144"/>
        <v>5.4882624487783832E-6</v>
      </c>
      <c r="AY114" s="16">
        <f t="shared" si="145"/>
        <v>27.3215090804757</v>
      </c>
      <c r="AZ114" s="17">
        <f t="shared" si="146"/>
        <v>1.3735439008454789E-2</v>
      </c>
      <c r="BA114" s="18">
        <f t="shared" si="147"/>
        <v>0.20187849008463213</v>
      </c>
      <c r="BB114" s="19">
        <f t="shared" si="202"/>
        <v>988.43412324788903</v>
      </c>
      <c r="BC114" s="15">
        <f t="shared" si="148"/>
        <v>5.4768682464957788E-6</v>
      </c>
      <c r="BD114" s="16">
        <f t="shared" si="149"/>
        <v>27.255992417350726</v>
      </c>
      <c r="BE114" s="17">
        <f t="shared" si="150"/>
        <v>1.3706922811942076E-2</v>
      </c>
      <c r="BF114" s="18">
        <f t="shared" si="151"/>
        <v>0.20236375603365819</v>
      </c>
      <c r="BG114" s="19">
        <f t="shared" si="203"/>
        <v>982.13726638741844</v>
      </c>
      <c r="BH114" s="15">
        <f t="shared" si="152"/>
        <v>5.4642745327748377E-6</v>
      </c>
      <c r="BI114" s="16">
        <f t="shared" si="153"/>
        <v>27.183578563455313</v>
      </c>
      <c r="BJ114" s="17">
        <f t="shared" si="154"/>
        <v>1.367540460589447E-2</v>
      </c>
      <c r="BK114" s="18">
        <f t="shared" si="155"/>
        <v>0.20290282926233341</v>
      </c>
      <c r="BL114" s="19">
        <f t="shared" si="204"/>
        <v>975.23997196964478</v>
      </c>
      <c r="BM114" s="15">
        <f t="shared" si="156"/>
        <v>5.4504799439392904E-6</v>
      </c>
      <c r="BN114" s="16">
        <f t="shared" si="157"/>
        <v>27.104259677650916</v>
      </c>
      <c r="BO114" s="17">
        <f t="shared" si="158"/>
        <v>1.3640880977448177E-2</v>
      </c>
      <c r="BP114" s="18">
        <f t="shared" si="159"/>
        <v>0.20349661144030298</v>
      </c>
      <c r="BQ114" s="19">
        <f t="shared" si="205"/>
        <v>967.73742479977102</v>
      </c>
      <c r="BR114" s="15">
        <f t="shared" si="160"/>
        <v>5.4354748495995431E-6</v>
      </c>
      <c r="BS114" s="16">
        <f t="shared" si="161"/>
        <v>27.017980385197365</v>
      </c>
      <c r="BT114" s="17">
        <f t="shared" si="162"/>
        <v>1.3603327824689313E-2</v>
      </c>
      <c r="BU114" s="18">
        <f t="shared" si="163"/>
        <v>0.20414645807581921</v>
      </c>
      <c r="BV114" s="19">
        <f t="shared" si="206"/>
        <v>959.59961516178328</v>
      </c>
      <c r="BW114" s="15">
        <f t="shared" si="164"/>
        <v>5.4191992303235671E-6</v>
      </c>
      <c r="BX114" s="16">
        <f t="shared" si="165"/>
        <v>26.924395574360506</v>
      </c>
      <c r="BY114" s="17">
        <f t="shared" si="166"/>
        <v>1.3562594937372715E-2</v>
      </c>
      <c r="BZ114" s="18">
        <f t="shared" si="167"/>
        <v>0.20485603789198539</v>
      </c>
      <c r="CA114" s="19">
        <f t="shared" si="207"/>
        <v>950.66417131462208</v>
      </c>
      <c r="CB114" s="15">
        <f t="shared" si="168"/>
        <v>5.4013283426292446E-6</v>
      </c>
      <c r="CC114" s="16">
        <f t="shared" si="169"/>
        <v>26.821637970118154</v>
      </c>
      <c r="CD114" s="17">
        <f t="shared" si="170"/>
        <v>1.3517869582081636E-2</v>
      </c>
      <c r="CE114" s="18">
        <f t="shared" si="171"/>
        <v>0.20564087123034502</v>
      </c>
      <c r="CF114" s="19">
        <f t="shared" si="208"/>
        <v>940.18493088977857</v>
      </c>
      <c r="CG114" s="15">
        <f t="shared" si="172"/>
        <v>5.3803698617795575E-6</v>
      </c>
      <c r="CH114" s="16">
        <f t="shared" si="173"/>
        <v>26.701126705232454</v>
      </c>
      <c r="CI114" s="17">
        <f t="shared" si="174"/>
        <v>1.346541692732843E-2</v>
      </c>
      <c r="CJ114" s="18">
        <f t="shared" si="175"/>
        <v>0.20656899841305712</v>
      </c>
      <c r="CK114" s="19">
        <f t="shared" si="209"/>
        <v>925.33781898219138</v>
      </c>
      <c r="CL114" s="15">
        <f t="shared" si="176"/>
        <v>5.3506756379643833E-6</v>
      </c>
      <c r="CM114" s="16">
        <f t="shared" si="177"/>
        <v>26.530384918295198</v>
      </c>
      <c r="CN114" s="17">
        <f t="shared" si="178"/>
        <v>1.3391101385037352E-2</v>
      </c>
      <c r="CO114" s="18">
        <f t="shared" si="179"/>
        <v>0.20789841598553127</v>
      </c>
      <c r="CP114" s="19">
        <f t="shared" si="210"/>
        <v>897.71988037672202</v>
      </c>
      <c r="CQ114" s="15">
        <f t="shared" si="180"/>
        <v>5.2954397607534447E-6</v>
      </c>
      <c r="CR114" s="16">
        <f t="shared" si="181"/>
        <v>26.212778624332302</v>
      </c>
      <c r="CS114" s="17">
        <f t="shared" si="182"/>
        <v>1.3252862911642512E-2</v>
      </c>
      <c r="CT114" s="18">
        <f t="shared" si="183"/>
        <v>0.21041741049459214</v>
      </c>
      <c r="CU114" s="19">
        <f t="shared" si="211"/>
        <v>839.18236420994344</v>
      </c>
      <c r="CV114" s="15">
        <f t="shared" si="184"/>
        <v>5.1783647284198871E-6</v>
      </c>
      <c r="CW114" s="16">
        <f t="shared" si="185"/>
        <v>25.539597188414348</v>
      </c>
      <c r="CX114" s="17">
        <f t="shared" si="186"/>
        <v>1.2959859983841859E-2</v>
      </c>
      <c r="CY114" s="18">
        <f t="shared" si="187"/>
        <v>0.21596366455231644</v>
      </c>
      <c r="CZ114" s="20">
        <f t="shared" si="212"/>
        <v>725.91978190619113</v>
      </c>
      <c r="DA114" s="15">
        <f t="shared" si="188"/>
        <v>4.9518395638123827E-6</v>
      </c>
      <c r="DB114" s="16">
        <f t="shared" si="189"/>
        <v>24.237077491921198</v>
      </c>
      <c r="DC114" s="17">
        <f t="shared" si="190"/>
        <v>1.2392936916407443E-2</v>
      </c>
      <c r="DD114" s="18">
        <f t="shared" si="191"/>
        <v>0.22756972253929916</v>
      </c>
    </row>
    <row r="115" spans="2:108" x14ac:dyDescent="0.25">
      <c r="B115">
        <v>96</v>
      </c>
      <c r="C115">
        <f t="shared" si="192"/>
        <v>9.385100796914414E-2</v>
      </c>
      <c r="D115" s="19">
        <f t="shared" si="109"/>
        <v>1018.4347363504813</v>
      </c>
      <c r="E115" s="15">
        <f t="shared" si="110"/>
        <v>5.5368694727009626E-6</v>
      </c>
      <c r="F115" s="16">
        <f t="shared" si="111"/>
        <v>27.600999468030537</v>
      </c>
      <c r="G115" s="17">
        <f t="shared" si="107"/>
        <v>1.3857087493508505E-2</v>
      </c>
      <c r="H115" s="18">
        <f t="shared" si="112"/>
        <v>0.19983424898756269</v>
      </c>
      <c r="I115" s="19">
        <f t="shared" si="193"/>
        <v>1018.1105560580903</v>
      </c>
      <c r="J115" s="15">
        <f t="shared" si="113"/>
        <v>5.5362211121161815E-6</v>
      </c>
      <c r="K115" s="16">
        <f t="shared" si="114"/>
        <v>27.597271394668038</v>
      </c>
      <c r="L115" s="17">
        <f t="shared" si="115"/>
        <v>1.3855464845657594E-2</v>
      </c>
      <c r="M115" s="18">
        <f t="shared" si="116"/>
        <v>0.19986124429191404</v>
      </c>
      <c r="N115" s="19">
        <f t="shared" si="194"/>
        <v>1017.2054746556861</v>
      </c>
      <c r="O115" s="15">
        <f t="shared" si="117"/>
        <v>5.5344109493113724E-6</v>
      </c>
      <c r="P115" s="16">
        <f t="shared" si="118"/>
        <v>27.586862958540387</v>
      </c>
      <c r="Q115" s="17">
        <f t="shared" si="108"/>
        <v>1.3857087493508505E-2</v>
      </c>
      <c r="R115" s="18">
        <f t="shared" si="119"/>
        <v>0.19993665130715646</v>
      </c>
      <c r="S115" s="19">
        <f t="shared" si="195"/>
        <v>1015.7044177384319</v>
      </c>
      <c r="T115" s="15">
        <f t="shared" si="120"/>
        <v>5.5314088354768644E-6</v>
      </c>
      <c r="U115" s="16">
        <f t="shared" si="121"/>
        <v>27.569600803991968</v>
      </c>
      <c r="V115" s="17">
        <f t="shared" si="122"/>
        <v>1.384342119197156E-2</v>
      </c>
      <c r="W115" s="18">
        <f t="shared" si="123"/>
        <v>0.2000618376455186</v>
      </c>
      <c r="X115" s="19">
        <f t="shared" si="196"/>
        <v>1013.6051582002476</v>
      </c>
      <c r="Y115" s="15">
        <f t="shared" si="124"/>
        <v>5.5272103164004957E-6</v>
      </c>
      <c r="Z115" s="16">
        <f t="shared" si="125"/>
        <v>27.545459319302847</v>
      </c>
      <c r="AA115" s="17">
        <f t="shared" si="126"/>
        <v>1.383291358537703E-2</v>
      </c>
      <c r="AB115" s="18">
        <f t="shared" si="127"/>
        <v>0.20023717651841269</v>
      </c>
      <c r="AC115" s="19">
        <f t="shared" si="197"/>
        <v>1010.9063850829355</v>
      </c>
      <c r="AD115" s="15">
        <f t="shared" si="128"/>
        <v>5.5218127701658708E-6</v>
      </c>
      <c r="AE115" s="16">
        <f t="shared" si="129"/>
        <v>27.514423428453757</v>
      </c>
      <c r="AF115" s="17">
        <f t="shared" si="130"/>
        <v>1.3819405181252241E-2</v>
      </c>
      <c r="AG115" s="18">
        <f t="shared" si="131"/>
        <v>0.20046304129695386</v>
      </c>
      <c r="AH115" s="19">
        <f t="shared" si="198"/>
        <v>1007.607960162647</v>
      </c>
      <c r="AI115" s="15">
        <f t="shared" si="132"/>
        <v>5.5152159203252948E-6</v>
      </c>
      <c r="AJ115" s="16">
        <f t="shared" si="133"/>
        <v>27.476491541870438</v>
      </c>
      <c r="AK115" s="17">
        <f t="shared" si="134"/>
        <v>1.3802895287733331E-2</v>
      </c>
      <c r="AL115" s="18">
        <f t="shared" si="135"/>
        <v>0.20073978483005872</v>
      </c>
      <c r="AM115" s="19">
        <f t="shared" si="199"/>
        <v>1003.7098718385558</v>
      </c>
      <c r="AN115" s="15">
        <f t="shared" si="136"/>
        <v>5.5074197436771123E-6</v>
      </c>
      <c r="AO115" s="16">
        <f t="shared" si="137"/>
        <v>27.431663526143389</v>
      </c>
      <c r="AP115" s="17">
        <f t="shared" si="138"/>
        <v>1.3783383846753665E-2</v>
      </c>
      <c r="AQ115" s="18">
        <f t="shared" si="139"/>
        <v>0.20106782786772687</v>
      </c>
      <c r="AR115" s="19">
        <f t="shared" si="200"/>
        <v>999.21212460712559</v>
      </c>
      <c r="AS115" s="15">
        <f t="shared" si="140"/>
        <v>5.4984242492142518E-6</v>
      </c>
      <c r="AT115" s="16">
        <f t="shared" si="141"/>
        <v>27.379939432981942</v>
      </c>
      <c r="AU115" s="17">
        <f t="shared" si="142"/>
        <v>1.376087088081979E-2</v>
      </c>
      <c r="AV115" s="18">
        <f t="shared" si="143"/>
        <v>0.20144766987160917</v>
      </c>
      <c r="AW115" s="19">
        <f t="shared" si="201"/>
        <v>994.11472006951453</v>
      </c>
      <c r="AX115" s="15">
        <f t="shared" si="144"/>
        <v>5.4882294401390298E-6</v>
      </c>
      <c r="AY115" s="16">
        <f t="shared" si="145"/>
        <v>27.321319280799415</v>
      </c>
      <c r="AZ115" s="17">
        <f t="shared" si="146"/>
        <v>1.3735356397946121E-2</v>
      </c>
      <c r="BA115" s="18">
        <f t="shared" si="147"/>
        <v>0.20187989252320668</v>
      </c>
      <c r="BB115" s="19">
        <f t="shared" si="202"/>
        <v>988.41764832494573</v>
      </c>
      <c r="BC115" s="15">
        <f t="shared" si="148"/>
        <v>5.4768352966498919E-6</v>
      </c>
      <c r="BD115" s="16">
        <f t="shared" si="149"/>
        <v>27.255802955736876</v>
      </c>
      <c r="BE115" s="17">
        <f t="shared" si="150"/>
        <v>1.3706840348575437E-2</v>
      </c>
      <c r="BF115" s="18">
        <f t="shared" si="151"/>
        <v>0.20236516271259058</v>
      </c>
      <c r="BG115" s="19">
        <f t="shared" si="203"/>
        <v>982.12081582544909</v>
      </c>
      <c r="BH115" s="15">
        <f t="shared" si="152"/>
        <v>5.4642416316508983E-6</v>
      </c>
      <c r="BI115" s="16">
        <f t="shared" si="153"/>
        <v>27.183389381992662</v>
      </c>
      <c r="BJ115" s="17">
        <f t="shared" si="154"/>
        <v>1.3675322264463935E-2</v>
      </c>
      <c r="BK115" s="18">
        <f t="shared" si="155"/>
        <v>0.2029042413546033</v>
      </c>
      <c r="BL115" s="19">
        <f t="shared" si="204"/>
        <v>975.22348984011387</v>
      </c>
      <c r="BM115" s="15">
        <f t="shared" si="156"/>
        <v>5.4504469796802282E-6</v>
      </c>
      <c r="BN115" s="16">
        <f t="shared" si="157"/>
        <v>27.104070133161308</v>
      </c>
      <c r="BO115" s="17">
        <f t="shared" si="158"/>
        <v>1.3640798478009778E-2</v>
      </c>
      <c r="BP115" s="18">
        <f t="shared" si="159"/>
        <v>0.20349803453510618</v>
      </c>
      <c r="BQ115" s="19">
        <f t="shared" si="205"/>
        <v>967.72055366033442</v>
      </c>
      <c r="BR115" s="15">
        <f t="shared" si="160"/>
        <v>5.4354411073206695E-6</v>
      </c>
      <c r="BS115" s="16">
        <f t="shared" si="161"/>
        <v>27.017786367093844</v>
      </c>
      <c r="BT115" s="17">
        <f t="shared" si="162"/>
        <v>1.3603243378105753E-2</v>
      </c>
      <c r="BU115" s="18">
        <f t="shared" si="163"/>
        <v>0.20414792407707108</v>
      </c>
      <c r="BV115" s="19">
        <f t="shared" si="206"/>
        <v>959.58047004870866</v>
      </c>
      <c r="BW115" s="15">
        <f t="shared" si="164"/>
        <v>5.419160940097418E-6</v>
      </c>
      <c r="BX115" s="16">
        <f t="shared" si="165"/>
        <v>26.924175405560149</v>
      </c>
      <c r="BY115" s="17">
        <f t="shared" si="166"/>
        <v>1.3562499108670864E-2</v>
      </c>
      <c r="BZ115" s="18">
        <f t="shared" si="167"/>
        <v>0.20485771307450926</v>
      </c>
      <c r="CA115" s="19">
        <f t="shared" si="207"/>
        <v>950.63445652030885</v>
      </c>
      <c r="CB115" s="15">
        <f t="shared" si="168"/>
        <v>5.4012689130406183E-6</v>
      </c>
      <c r="CC115" s="16">
        <f t="shared" si="169"/>
        <v>26.821296249983551</v>
      </c>
      <c r="CD115" s="17">
        <f t="shared" si="170"/>
        <v>1.3517720848033748E-2</v>
      </c>
      <c r="CE115" s="18">
        <f t="shared" si="171"/>
        <v>0.2056434912240076</v>
      </c>
      <c r="CF115" s="19">
        <f t="shared" si="208"/>
        <v>940.11518864234574</v>
      </c>
      <c r="CG115" s="15">
        <f t="shared" si="172"/>
        <v>5.3802303772846922E-6</v>
      </c>
      <c r="CH115" s="16">
        <f t="shared" si="173"/>
        <v>26.700324669386973</v>
      </c>
      <c r="CI115" s="17">
        <f t="shared" si="174"/>
        <v>1.3465067840383387E-2</v>
      </c>
      <c r="CJ115" s="18">
        <f t="shared" si="175"/>
        <v>0.20657520342154836</v>
      </c>
      <c r="CK115" s="19">
        <f t="shared" si="209"/>
        <v>925.14904144062064</v>
      </c>
      <c r="CL115" s="15">
        <f t="shared" si="176"/>
        <v>5.3502980828812411E-6</v>
      </c>
      <c r="CM115" s="16">
        <f t="shared" si="177"/>
        <v>26.528213976567137</v>
      </c>
      <c r="CN115" s="17">
        <f t="shared" si="178"/>
        <v>1.3390156480367572E-2</v>
      </c>
      <c r="CO115" s="18">
        <f t="shared" si="179"/>
        <v>0.20791542939423113</v>
      </c>
      <c r="CP115" s="19">
        <f t="shared" si="210"/>
        <v>897.27381697761814</v>
      </c>
      <c r="CQ115" s="15">
        <f t="shared" si="180"/>
        <v>5.2945476339552365E-6</v>
      </c>
      <c r="CR115" s="16">
        <f t="shared" si="181"/>
        <v>26.207648895242606</v>
      </c>
      <c r="CS115" s="17">
        <f t="shared" si="182"/>
        <v>1.3250630191662564E-2</v>
      </c>
      <c r="CT115" s="18">
        <f t="shared" si="183"/>
        <v>0.21045859634517747</v>
      </c>
      <c r="CU115" s="19">
        <f t="shared" si="211"/>
        <v>838.39731576551333</v>
      </c>
      <c r="CV115" s="15">
        <f t="shared" si="184"/>
        <v>5.1767946315310277E-6</v>
      </c>
      <c r="CW115" s="16">
        <f t="shared" si="185"/>
        <v>25.530569131303402</v>
      </c>
      <c r="CX115" s="17">
        <f t="shared" si="186"/>
        <v>1.2955930512491762E-2</v>
      </c>
      <c r="CY115" s="18">
        <f t="shared" si="187"/>
        <v>0.2160400330926118</v>
      </c>
      <c r="CZ115" s="20">
        <f t="shared" si="212"/>
        <v>725.02897145181259</v>
      </c>
      <c r="DA115" s="15">
        <f t="shared" si="188"/>
        <v>4.9500579429036253E-6</v>
      </c>
      <c r="DB115" s="16">
        <f t="shared" si="189"/>
        <v>24.226833171695844</v>
      </c>
      <c r="DC115" s="17">
        <f t="shared" si="190"/>
        <v>1.2388478065257957E-2</v>
      </c>
      <c r="DD115" s="18">
        <f t="shared" si="191"/>
        <v>0.22766595043234508</v>
      </c>
    </row>
    <row r="116" spans="2:108" x14ac:dyDescent="0.25">
      <c r="B116">
        <v>97</v>
      </c>
      <c r="C116">
        <f t="shared" si="192"/>
        <v>9.4828622635489385E-2</v>
      </c>
      <c r="D116" s="19">
        <f t="shared" si="109"/>
        <v>1018.418185342402</v>
      </c>
      <c r="E116" s="15">
        <f t="shared" si="110"/>
        <v>5.5368363706848046E-6</v>
      </c>
      <c r="F116" s="16">
        <f t="shared" si="111"/>
        <v>27.600809131437622</v>
      </c>
      <c r="G116" s="17">
        <f t="shared" si="107"/>
        <v>1.3857004649306311E-2</v>
      </c>
      <c r="H116" s="18">
        <f t="shared" si="112"/>
        <v>0.19983562705477512</v>
      </c>
      <c r="I116" s="19">
        <f t="shared" si="193"/>
        <v>1018.093989566198</v>
      </c>
      <c r="J116" s="15">
        <f t="shared" si="113"/>
        <v>5.5361879791323965E-6</v>
      </c>
      <c r="K116" s="16">
        <f t="shared" si="114"/>
        <v>27.597080880011276</v>
      </c>
      <c r="L116" s="17">
        <f t="shared" si="115"/>
        <v>1.3855381923952919E-2</v>
      </c>
      <c r="M116" s="18">
        <f t="shared" si="116"/>
        <v>0.19986262402104271</v>
      </c>
      <c r="N116" s="19">
        <f t="shared" si="194"/>
        <v>1017.1888826959654</v>
      </c>
      <c r="O116" s="15">
        <f t="shared" si="117"/>
        <v>5.5343777653919311E-6</v>
      </c>
      <c r="P116" s="16">
        <f t="shared" si="118"/>
        <v>27.586672151003601</v>
      </c>
      <c r="Q116" s="17">
        <f t="shared" si="108"/>
        <v>1.3857004649306311E-2</v>
      </c>
      <c r="R116" s="18">
        <f t="shared" si="119"/>
        <v>0.19993803420030648</v>
      </c>
      <c r="S116" s="19">
        <f t="shared" si="195"/>
        <v>1015.6878135082887</v>
      </c>
      <c r="T116" s="15">
        <f t="shared" si="120"/>
        <v>5.531375627016578E-6</v>
      </c>
      <c r="U116" s="16">
        <f t="shared" si="121"/>
        <v>27.56940985534532</v>
      </c>
      <c r="V116" s="17">
        <f t="shared" si="122"/>
        <v>1.3843338081372333E-2</v>
      </c>
      <c r="W116" s="18">
        <f t="shared" si="123"/>
        <v>0.20006322329495196</v>
      </c>
      <c r="X116" s="19">
        <f t="shared" si="196"/>
        <v>1013.5885563325654</v>
      </c>
      <c r="Y116" s="15">
        <f t="shared" si="124"/>
        <v>5.5271771126651311E-6</v>
      </c>
      <c r="Z116" s="16">
        <f t="shared" si="125"/>
        <v>27.545268397824501</v>
      </c>
      <c r="AA116" s="17">
        <f t="shared" si="126"/>
        <v>1.3832830486602834E-2</v>
      </c>
      <c r="AB116" s="18">
        <f t="shared" si="127"/>
        <v>0.20023856440025173</v>
      </c>
      <c r="AC116" s="19">
        <f t="shared" si="197"/>
        <v>1010.889794378809</v>
      </c>
      <c r="AD116" s="15">
        <f t="shared" si="128"/>
        <v>5.5217795887576188E-6</v>
      </c>
      <c r="AE116" s="16">
        <f t="shared" si="129"/>
        <v>27.514232635356301</v>
      </c>
      <c r="AF116" s="17">
        <f t="shared" si="130"/>
        <v>1.3819322138355966E-2</v>
      </c>
      <c r="AG116" s="18">
        <f t="shared" si="131"/>
        <v>0.2004644313762296</v>
      </c>
      <c r="AH116" s="19">
        <f t="shared" si="198"/>
        <v>1007.5913856429955</v>
      </c>
      <c r="AI116" s="15">
        <f t="shared" si="132"/>
        <v>5.515182771285991E-6</v>
      </c>
      <c r="AJ116" s="16">
        <f t="shared" si="133"/>
        <v>27.476300934894446</v>
      </c>
      <c r="AK116" s="17">
        <f t="shared" si="134"/>
        <v>1.3802812325846613E-2</v>
      </c>
      <c r="AL116" s="18">
        <f t="shared" si="135"/>
        <v>0.20074117739026681</v>
      </c>
      <c r="AM116" s="19">
        <f t="shared" si="199"/>
        <v>1003.6933172775917</v>
      </c>
      <c r="AN116" s="15">
        <f t="shared" si="136"/>
        <v>5.5073866345551839E-6</v>
      </c>
      <c r="AO116" s="16">
        <f t="shared" si="137"/>
        <v>27.431473148692305</v>
      </c>
      <c r="AP116" s="17">
        <f t="shared" si="138"/>
        <v>1.3783300984767906E-2</v>
      </c>
      <c r="AQ116" s="18">
        <f t="shared" si="139"/>
        <v>0.20106922330064281</v>
      </c>
      <c r="AR116" s="19">
        <f t="shared" si="200"/>
        <v>999.19559354593514</v>
      </c>
      <c r="AS116" s="15">
        <f t="shared" si="140"/>
        <v>5.4983911870918709E-6</v>
      </c>
      <c r="AT116" s="16">
        <f t="shared" si="141"/>
        <v>27.379749325778253</v>
      </c>
      <c r="AU116" s="17">
        <f t="shared" si="142"/>
        <v>1.3760788136459496E-2</v>
      </c>
      <c r="AV116" s="18">
        <f t="shared" si="143"/>
        <v>0.2014490685934438</v>
      </c>
      <c r="AW116" s="19">
        <f t="shared" si="201"/>
        <v>994.09821592606261</v>
      </c>
      <c r="AX116" s="15">
        <f t="shared" si="144"/>
        <v>5.4881964318521258E-6</v>
      </c>
      <c r="AY116" s="16">
        <f t="shared" si="145"/>
        <v>27.321129483149718</v>
      </c>
      <c r="AZ116" s="17">
        <f t="shared" si="146"/>
        <v>1.3735273788319529E-2</v>
      </c>
      <c r="BA116" s="18">
        <f t="shared" si="147"/>
        <v>0.20188129496629181</v>
      </c>
      <c r="BB116" s="19">
        <f t="shared" si="202"/>
        <v>988.40117346884017</v>
      </c>
      <c r="BC116" s="15">
        <f t="shared" si="148"/>
        <v>5.4768023469376804E-6</v>
      </c>
      <c r="BD116" s="16">
        <f t="shared" si="149"/>
        <v>27.255613494891662</v>
      </c>
      <c r="BE116" s="17">
        <f t="shared" si="150"/>
        <v>1.3706757885543349E-2</v>
      </c>
      <c r="BF116" s="18">
        <f t="shared" si="151"/>
        <v>0.20236656940537245</v>
      </c>
      <c r="BG116" s="19">
        <f t="shared" si="203"/>
        <v>982.10436459136076</v>
      </c>
      <c r="BH116" s="15">
        <f t="shared" si="152"/>
        <v>5.4642087291827219E-6</v>
      </c>
      <c r="BI116" s="16">
        <f t="shared" si="153"/>
        <v>27.183200192800648</v>
      </c>
      <c r="BJ116" s="17">
        <f t="shared" si="154"/>
        <v>1.3675239919669189E-2</v>
      </c>
      <c r="BK116" s="18">
        <f t="shared" si="155"/>
        <v>0.20290565352422299</v>
      </c>
      <c r="BL116" s="19">
        <f t="shared" si="204"/>
        <v>975.20700268207315</v>
      </c>
      <c r="BM116" s="15">
        <f t="shared" si="156"/>
        <v>5.4504140053641473E-6</v>
      </c>
      <c r="BN116" s="16">
        <f t="shared" si="157"/>
        <v>27.103880530843838</v>
      </c>
      <c r="BO116" s="17">
        <f t="shared" si="158"/>
        <v>1.3640715953401744E-2</v>
      </c>
      <c r="BP116" s="18">
        <f t="shared" si="159"/>
        <v>0.20349945808399264</v>
      </c>
      <c r="BQ116" s="19">
        <f t="shared" si="205"/>
        <v>967.70365551359509</v>
      </c>
      <c r="BR116" s="15">
        <f t="shared" si="160"/>
        <v>5.4354073110271902E-6</v>
      </c>
      <c r="BS116" s="16">
        <f t="shared" si="161"/>
        <v>27.017592038406342</v>
      </c>
      <c r="BT116" s="17">
        <f t="shared" si="162"/>
        <v>1.3603158796340189E-2</v>
      </c>
      <c r="BU116" s="18">
        <f t="shared" si="163"/>
        <v>0.20414939244620203</v>
      </c>
      <c r="BV116" s="19">
        <f t="shared" si="206"/>
        <v>959.56120596705046</v>
      </c>
      <c r="BW116" s="15">
        <f t="shared" si="164"/>
        <v>5.4191224119341016E-6</v>
      </c>
      <c r="BX116" s="16">
        <f t="shared" si="165"/>
        <v>26.92395386862108</v>
      </c>
      <c r="BY116" s="17">
        <f t="shared" si="166"/>
        <v>1.3562402684485199E-2</v>
      </c>
      <c r="BZ116" s="18">
        <f t="shared" si="167"/>
        <v>0.20485939869434505</v>
      </c>
      <c r="CA116" s="19">
        <f t="shared" si="207"/>
        <v>950.6043195451349</v>
      </c>
      <c r="CB116" s="15">
        <f t="shared" si="168"/>
        <v>5.4012086390902697E-6</v>
      </c>
      <c r="CC116" s="16">
        <f t="shared" si="169"/>
        <v>26.82094967476905</v>
      </c>
      <c r="CD116" s="17">
        <f t="shared" si="170"/>
        <v>1.3517570000807229E-2</v>
      </c>
      <c r="CE116" s="18">
        <f t="shared" si="171"/>
        <v>0.20564614851011959</v>
      </c>
      <c r="CF116" s="19">
        <f t="shared" si="208"/>
        <v>940.04431198722853</v>
      </c>
      <c r="CG116" s="15">
        <f t="shared" si="172"/>
        <v>5.3800886239744575E-6</v>
      </c>
      <c r="CH116" s="16">
        <f t="shared" si="173"/>
        <v>26.699509587853129</v>
      </c>
      <c r="CI116" s="17">
        <f t="shared" si="174"/>
        <v>1.3464713075288761E-2</v>
      </c>
      <c r="CJ116" s="18">
        <f t="shared" si="175"/>
        <v>0.20658150974088749</v>
      </c>
      <c r="CK116" s="19">
        <f t="shared" si="209"/>
        <v>924.95825833754793</v>
      </c>
      <c r="CL116" s="15">
        <f t="shared" si="176"/>
        <v>5.3499165166750958E-6</v>
      </c>
      <c r="CM116" s="16">
        <f t="shared" si="177"/>
        <v>26.526019970881798</v>
      </c>
      <c r="CN116" s="17">
        <f t="shared" si="178"/>
        <v>1.3389201537086141E-2</v>
      </c>
      <c r="CO116" s="18">
        <f t="shared" si="179"/>
        <v>0.20793262638174231</v>
      </c>
      <c r="CP116" s="19">
        <f t="shared" si="210"/>
        <v>896.82646973701867</v>
      </c>
      <c r="CQ116" s="15">
        <f t="shared" si="180"/>
        <v>5.2936529394740372E-6</v>
      </c>
      <c r="CR116" s="16">
        <f t="shared" si="181"/>
        <v>26.202504401975716</v>
      </c>
      <c r="CS116" s="17">
        <f t="shared" si="182"/>
        <v>1.3248391045558965E-2</v>
      </c>
      <c r="CT116" s="18">
        <f t="shared" si="183"/>
        <v>0.21049991693099809</v>
      </c>
      <c r="CU116" s="19">
        <f t="shared" si="211"/>
        <v>837.61533475433362</v>
      </c>
      <c r="CV116" s="15">
        <f t="shared" si="184"/>
        <v>5.1752306695086681E-6</v>
      </c>
      <c r="CW116" s="16">
        <f t="shared" si="185"/>
        <v>25.521576349674838</v>
      </c>
      <c r="CX116" s="17">
        <f t="shared" si="186"/>
        <v>1.2952016394832459E-2</v>
      </c>
      <c r="CY116" s="18">
        <f t="shared" si="187"/>
        <v>0.21611615695008873</v>
      </c>
      <c r="CZ116" s="20">
        <f t="shared" si="212"/>
        <v>724.14468451375467</v>
      </c>
      <c r="DA116" s="15">
        <f t="shared" si="188"/>
        <v>4.9482893690275104E-6</v>
      </c>
      <c r="DB116" s="16">
        <f t="shared" si="189"/>
        <v>24.216663871908178</v>
      </c>
      <c r="DC116" s="17">
        <f t="shared" si="190"/>
        <v>1.2384051866832856E-2</v>
      </c>
      <c r="DD116" s="18">
        <f t="shared" si="191"/>
        <v>0.22776155415850807</v>
      </c>
    </row>
    <row r="117" spans="2:108" x14ac:dyDescent="0.25">
      <c r="B117">
        <v>98</v>
      </c>
      <c r="C117">
        <f t="shared" si="192"/>
        <v>9.5806237301834643E-2</v>
      </c>
      <c r="D117" s="19">
        <f t="shared" si="109"/>
        <v>1018.4016335437974</v>
      </c>
      <c r="E117" s="15">
        <f t="shared" si="110"/>
        <v>5.5368032670875952E-6</v>
      </c>
      <c r="F117" s="16">
        <f t="shared" si="111"/>
        <v>27.600618785753667</v>
      </c>
      <c r="G117" s="17">
        <f t="shared" si="107"/>
        <v>1.3856921801147231E-2</v>
      </c>
      <c r="H117" s="18">
        <f t="shared" si="112"/>
        <v>0.19983700520681602</v>
      </c>
      <c r="I117" s="19">
        <f t="shared" si="193"/>
        <v>1018.0774227512738</v>
      </c>
      <c r="J117" s="15">
        <f t="shared" si="113"/>
        <v>5.5361548455025489E-6</v>
      </c>
      <c r="K117" s="16">
        <f t="shared" si="114"/>
        <v>27.596890361639648</v>
      </c>
      <c r="L117" s="17">
        <f t="shared" si="115"/>
        <v>1.3855299000631349E-2</v>
      </c>
      <c r="M117" s="18">
        <f t="shared" si="116"/>
        <v>0.19986400379612529</v>
      </c>
      <c r="N117" s="19">
        <f t="shared" si="194"/>
        <v>1017.1722908876815</v>
      </c>
      <c r="O117" s="15">
        <f t="shared" si="117"/>
        <v>5.5343445817753633E-6</v>
      </c>
      <c r="P117" s="16">
        <f t="shared" si="118"/>
        <v>27.586481345208334</v>
      </c>
      <c r="Q117" s="17">
        <f t="shared" si="108"/>
        <v>1.3856921801147231E-2</v>
      </c>
      <c r="R117" s="18">
        <f t="shared" si="119"/>
        <v>0.19993941709996454</v>
      </c>
      <c r="S117" s="19">
        <f t="shared" si="195"/>
        <v>1015.6712095573033</v>
      </c>
      <c r="T117" s="15">
        <f t="shared" si="120"/>
        <v>5.5313424191146075E-6</v>
      </c>
      <c r="U117" s="16">
        <f t="shared" si="121"/>
        <v>27.569218909908987</v>
      </c>
      <c r="V117" s="17">
        <f t="shared" si="122"/>
        <v>1.3843254972170401E-2</v>
      </c>
      <c r="W117" s="18">
        <f t="shared" si="123"/>
        <v>0.20006460894028313</v>
      </c>
      <c r="X117" s="19">
        <f t="shared" si="196"/>
        <v>1013.5719547097947</v>
      </c>
      <c r="Y117" s="15">
        <f t="shared" si="124"/>
        <v>5.5271439094195895E-6</v>
      </c>
      <c r="Z117" s="16">
        <f t="shared" si="125"/>
        <v>27.545077479162636</v>
      </c>
      <c r="AA117" s="17">
        <f t="shared" si="126"/>
        <v>1.3832747389054517E-2</v>
      </c>
      <c r="AB117" s="18">
        <f t="shared" si="127"/>
        <v>0.20023995228085573</v>
      </c>
      <c r="AC117" s="19">
        <f t="shared" si="197"/>
        <v>1010.8732038816304</v>
      </c>
      <c r="AD117" s="15">
        <f t="shared" si="128"/>
        <v>5.5217464077632617E-6</v>
      </c>
      <c r="AE117" s="16">
        <f t="shared" si="129"/>
        <v>27.514041844638747</v>
      </c>
      <c r="AF117" s="17">
        <f t="shared" si="130"/>
        <v>1.3819239096495545E-2</v>
      </c>
      <c r="AG117" s="18">
        <f t="shared" si="131"/>
        <v>0.20046582145744421</v>
      </c>
      <c r="AH117" s="19">
        <f t="shared" si="198"/>
        <v>1007.5748113167215</v>
      </c>
      <c r="AI117" s="15">
        <f t="shared" si="132"/>
        <v>5.5151496226334432E-6</v>
      </c>
      <c r="AJ117" s="16">
        <f t="shared" si="133"/>
        <v>27.476110330142298</v>
      </c>
      <c r="AK117" s="17">
        <f t="shared" si="134"/>
        <v>1.3802729364927827E-2</v>
      </c>
      <c r="AL117" s="18">
        <f t="shared" si="135"/>
        <v>0.20074256995354825</v>
      </c>
      <c r="AM117" s="19">
        <f t="shared" si="199"/>
        <v>1003.6767629078506</v>
      </c>
      <c r="AN117" s="15">
        <f t="shared" si="136"/>
        <v>5.5073535258157019E-6</v>
      </c>
      <c r="AO117" s="16">
        <f t="shared" si="137"/>
        <v>27.43128277344028</v>
      </c>
      <c r="AP117" s="17">
        <f t="shared" si="138"/>
        <v>1.3783218123739293E-2</v>
      </c>
      <c r="AQ117" s="18">
        <f t="shared" si="139"/>
        <v>0.20107061873680873</v>
      </c>
      <c r="AR117" s="19">
        <f t="shared" si="200"/>
        <v>999.17906267466719</v>
      </c>
      <c r="AS117" s="15">
        <f t="shared" si="140"/>
        <v>5.4983581253493352E-6</v>
      </c>
      <c r="AT117" s="16">
        <f t="shared" si="141"/>
        <v>27.379559220758672</v>
      </c>
      <c r="AU117" s="17">
        <f t="shared" si="142"/>
        <v>1.3760705393049837E-2</v>
      </c>
      <c r="AV117" s="18">
        <f t="shared" si="143"/>
        <v>0.2014504673186322</v>
      </c>
      <c r="AW117" s="19">
        <f t="shared" si="201"/>
        <v>994.08171195742511</v>
      </c>
      <c r="AX117" s="15">
        <f t="shared" si="144"/>
        <v>5.4881634239148509E-6</v>
      </c>
      <c r="AY117" s="16">
        <f t="shared" si="145"/>
        <v>27.320939687510389</v>
      </c>
      <c r="AZ117" s="17">
        <f t="shared" si="146"/>
        <v>1.3735191179567948E-2</v>
      </c>
      <c r="BA117" s="18">
        <f t="shared" si="147"/>
        <v>0.20188269741400719</v>
      </c>
      <c r="BB117" s="19">
        <f t="shared" si="202"/>
        <v>988.38469867034178</v>
      </c>
      <c r="BC117" s="15">
        <f t="shared" si="148"/>
        <v>5.4767693973406839E-6</v>
      </c>
      <c r="BD117" s="16">
        <f t="shared" si="149"/>
        <v>27.25542403470893</v>
      </c>
      <c r="BE117" s="17">
        <f t="shared" si="150"/>
        <v>1.3706675422799608E-2</v>
      </c>
      <c r="BF117" s="18">
        <f t="shared" si="151"/>
        <v>0.20236797611279222</v>
      </c>
      <c r="BG117" s="19">
        <f t="shared" si="203"/>
        <v>982.08791263240471</v>
      </c>
      <c r="BH117" s="15">
        <f t="shared" si="152"/>
        <v>5.4641758252648096E-6</v>
      </c>
      <c r="BI117" s="16">
        <f t="shared" si="153"/>
        <v>27.183010995272653</v>
      </c>
      <c r="BJ117" s="17">
        <f t="shared" si="154"/>
        <v>1.3675157571246198E-2</v>
      </c>
      <c r="BK117" s="18">
        <f t="shared" si="155"/>
        <v>0.20290706577572337</v>
      </c>
      <c r="BL117" s="19">
        <f t="shared" si="204"/>
        <v>975.19051023959389</v>
      </c>
      <c r="BM117" s="15">
        <f t="shared" si="156"/>
        <v>5.4503810204791874E-6</v>
      </c>
      <c r="BN117" s="16">
        <f t="shared" si="157"/>
        <v>27.103690867755329</v>
      </c>
      <c r="BO117" s="17">
        <f t="shared" si="158"/>
        <v>1.3640633402343045E-2</v>
      </c>
      <c r="BP117" s="18">
        <f t="shared" si="159"/>
        <v>0.20350088210907907</v>
      </c>
      <c r="BQ117" s="19">
        <f t="shared" si="205"/>
        <v>967.68672934553092</v>
      </c>
      <c r="BR117" s="15">
        <f t="shared" si="160"/>
        <v>5.4353734586910626E-6</v>
      </c>
      <c r="BS117" s="16">
        <f t="shared" si="161"/>
        <v>27.017397387473604</v>
      </c>
      <c r="BT117" s="17">
        <f t="shared" si="162"/>
        <v>1.360307407431705E-2</v>
      </c>
      <c r="BU117" s="18">
        <f t="shared" si="163"/>
        <v>0.20415086327142948</v>
      </c>
      <c r="BV117" s="19">
        <f t="shared" si="206"/>
        <v>959.54181985284163</v>
      </c>
      <c r="BW117" s="15">
        <f t="shared" si="164"/>
        <v>5.4190836397056834E-6</v>
      </c>
      <c r="BX117" s="16">
        <f t="shared" si="165"/>
        <v>26.923730928307677</v>
      </c>
      <c r="BY117" s="17">
        <f t="shared" si="166"/>
        <v>1.356230564947938E-2</v>
      </c>
      <c r="BZ117" s="18">
        <f t="shared" si="167"/>
        <v>0.20486109502011321</v>
      </c>
      <c r="CA117" s="19">
        <f t="shared" si="207"/>
        <v>950.57375439024599</v>
      </c>
      <c r="CB117" s="15">
        <f t="shared" si="168"/>
        <v>5.4011475087804924E-6</v>
      </c>
      <c r="CC117" s="16">
        <f t="shared" si="169"/>
        <v>26.820598175487827</v>
      </c>
      <c r="CD117" s="17">
        <f t="shared" si="170"/>
        <v>1.3517417010375492E-2</v>
      </c>
      <c r="CE117" s="18">
        <f t="shared" si="171"/>
        <v>0.20564884362053118</v>
      </c>
      <c r="CF117" s="19">
        <f t="shared" si="208"/>
        <v>939.97229814404727</v>
      </c>
      <c r="CG117" s="15">
        <f t="shared" si="172"/>
        <v>5.3799445962880949E-6</v>
      </c>
      <c r="CH117" s="16">
        <f t="shared" si="173"/>
        <v>26.698681428656542</v>
      </c>
      <c r="CI117" s="17">
        <f t="shared" si="174"/>
        <v>1.3464352618127676E-2</v>
      </c>
      <c r="CJ117" s="18">
        <f t="shared" si="175"/>
        <v>0.20658791763700751</v>
      </c>
      <c r="CK117" s="19">
        <f t="shared" si="209"/>
        <v>924.76549124825851</v>
      </c>
      <c r="CL117" s="15">
        <f t="shared" si="176"/>
        <v>5.3495309824965173E-6</v>
      </c>
      <c r="CM117" s="16">
        <f t="shared" si="177"/>
        <v>26.523803149354972</v>
      </c>
      <c r="CN117" s="17">
        <f t="shared" si="178"/>
        <v>1.3388236663185711E-2</v>
      </c>
      <c r="CO117" s="18">
        <f t="shared" si="179"/>
        <v>0.20795000509322259</v>
      </c>
      <c r="CP117" s="19">
        <f t="shared" si="210"/>
        <v>896.3778896553232</v>
      </c>
      <c r="CQ117" s="15">
        <f t="shared" si="180"/>
        <v>5.292755779310647E-6</v>
      </c>
      <c r="CR117" s="16">
        <f t="shared" si="181"/>
        <v>26.197345731036215</v>
      </c>
      <c r="CS117" s="17">
        <f t="shared" si="182"/>
        <v>1.3246145728608457E-2</v>
      </c>
      <c r="CT117" s="18">
        <f t="shared" si="183"/>
        <v>0.21054136768770407</v>
      </c>
      <c r="CU117" s="19">
        <f t="shared" si="211"/>
        <v>836.83641141091277</v>
      </c>
      <c r="CV117" s="15">
        <f t="shared" si="184"/>
        <v>5.1736728228218261E-6</v>
      </c>
      <c r="CW117" s="16">
        <f t="shared" si="185"/>
        <v>25.512618731225494</v>
      </c>
      <c r="CX117" s="17">
        <f t="shared" si="186"/>
        <v>1.2948117581983883E-2</v>
      </c>
      <c r="CY117" s="18">
        <f t="shared" si="187"/>
        <v>0.21619203650189375</v>
      </c>
      <c r="CZ117" s="20">
        <f t="shared" si="212"/>
        <v>723.26679890246396</v>
      </c>
      <c r="DA117" s="15">
        <f t="shared" si="188"/>
        <v>4.9465335978049276E-6</v>
      </c>
      <c r="DB117" s="16">
        <f t="shared" si="189"/>
        <v>24.206568187378334</v>
      </c>
      <c r="DC117" s="17">
        <f t="shared" si="190"/>
        <v>1.2379657709526119E-2</v>
      </c>
      <c r="DD117" s="18">
        <f t="shared" si="191"/>
        <v>0.22785654526922694</v>
      </c>
    </row>
    <row r="118" spans="2:108" x14ac:dyDescent="0.25">
      <c r="B118">
        <v>99</v>
      </c>
      <c r="C118">
        <f t="shared" si="192"/>
        <v>9.6783851968179901E-2</v>
      </c>
      <c r="D118" s="19">
        <f t="shared" si="109"/>
        <v>1018.3850809785354</v>
      </c>
      <c r="E118" s="15">
        <f t="shared" si="110"/>
        <v>5.5367701619570716E-6</v>
      </c>
      <c r="F118" s="16">
        <f t="shared" si="111"/>
        <v>27.600428431253157</v>
      </c>
      <c r="G118" s="17">
        <f t="shared" si="107"/>
        <v>1.3856838949150735E-2</v>
      </c>
      <c r="H118" s="18">
        <f t="shared" si="112"/>
        <v>0.19983838344170121</v>
      </c>
      <c r="I118" s="19">
        <f t="shared" si="193"/>
        <v>1018.0608556199503</v>
      </c>
      <c r="J118" s="15">
        <f t="shared" si="113"/>
        <v>5.5361217112399008E-6</v>
      </c>
      <c r="K118" s="16">
        <f t="shared" si="114"/>
        <v>27.59669983962943</v>
      </c>
      <c r="L118" s="17">
        <f t="shared" si="115"/>
        <v>1.3855216075726073E-2</v>
      </c>
      <c r="M118" s="18">
        <f t="shared" si="116"/>
        <v>0.19986538361661088</v>
      </c>
      <c r="N118" s="19">
        <f t="shared" si="194"/>
        <v>1017.1556992281172</v>
      </c>
      <c r="O118" s="15">
        <f t="shared" si="117"/>
        <v>5.5343113984562345E-6</v>
      </c>
      <c r="P118" s="16">
        <f t="shared" si="118"/>
        <v>27.586290541123347</v>
      </c>
      <c r="Q118" s="17">
        <f t="shared" si="108"/>
        <v>1.3856838949150735E-2</v>
      </c>
      <c r="R118" s="18">
        <f t="shared" si="119"/>
        <v>0.19994080000635697</v>
      </c>
      <c r="S118" s="19">
        <f t="shared" si="195"/>
        <v>1015.6546058834494</v>
      </c>
      <c r="T118" s="15">
        <f t="shared" si="120"/>
        <v>5.5313092117668998E-6</v>
      </c>
      <c r="U118" s="16">
        <f t="shared" si="121"/>
        <v>27.569027967659668</v>
      </c>
      <c r="V118" s="17">
        <f t="shared" si="122"/>
        <v>1.3843171864355618E-2</v>
      </c>
      <c r="W118" s="18">
        <f t="shared" si="123"/>
        <v>0.20006599458168059</v>
      </c>
      <c r="X118" s="19">
        <f t="shared" si="196"/>
        <v>1013.5553533317557</v>
      </c>
      <c r="Y118" s="15">
        <f t="shared" si="124"/>
        <v>5.527110706663511E-6</v>
      </c>
      <c r="Z118" s="16">
        <f t="shared" si="125"/>
        <v>27.544886563315188</v>
      </c>
      <c r="AA118" s="17">
        <f t="shared" si="126"/>
        <v>1.3832664292731174E-2</v>
      </c>
      <c r="AB118" s="18">
        <f t="shared" si="127"/>
        <v>0.20024134016023926</v>
      </c>
      <c r="AC118" s="19">
        <f t="shared" si="197"/>
        <v>1010.8566135916629</v>
      </c>
      <c r="AD118" s="15">
        <f t="shared" si="128"/>
        <v>5.5217132271833265E-6</v>
      </c>
      <c r="AE118" s="16">
        <f t="shared" si="129"/>
        <v>27.513851056304123</v>
      </c>
      <c r="AF118" s="17">
        <f t="shared" si="130"/>
        <v>1.3819156055672294E-2</v>
      </c>
      <c r="AG118" s="18">
        <f t="shared" si="131"/>
        <v>0.20046721154057531</v>
      </c>
      <c r="AH118" s="19">
        <f t="shared" si="198"/>
        <v>1007.5582371839622</v>
      </c>
      <c r="AI118" s="15">
        <f t="shared" si="132"/>
        <v>5.5151164743679242E-6</v>
      </c>
      <c r="AJ118" s="16">
        <f t="shared" si="133"/>
        <v>27.475919727615565</v>
      </c>
      <c r="AK118" s="17">
        <f t="shared" si="134"/>
        <v>1.3802646404977659E-2</v>
      </c>
      <c r="AL118" s="18">
        <f t="shared" si="135"/>
        <v>0.20074396251989127</v>
      </c>
      <c r="AM118" s="19">
        <f t="shared" si="199"/>
        <v>1003.6602087293385</v>
      </c>
      <c r="AN118" s="15">
        <f t="shared" si="136"/>
        <v>5.5073204174586773E-6</v>
      </c>
      <c r="AO118" s="16">
        <f t="shared" si="137"/>
        <v>27.431092400387392</v>
      </c>
      <c r="AP118" s="17">
        <f t="shared" si="138"/>
        <v>1.3783135263667855E-2</v>
      </c>
      <c r="AQ118" s="18">
        <f t="shared" si="139"/>
        <v>0.20107201417622386</v>
      </c>
      <c r="AR118" s="19">
        <f t="shared" si="200"/>
        <v>999.16253199311507</v>
      </c>
      <c r="AS118" s="15">
        <f t="shared" si="140"/>
        <v>5.4983250639862304E-6</v>
      </c>
      <c r="AT118" s="16">
        <f t="shared" si="141"/>
        <v>27.379369117920824</v>
      </c>
      <c r="AU118" s="17">
        <f t="shared" si="142"/>
        <v>1.3760622650589778E-2</v>
      </c>
      <c r="AV118" s="18">
        <f t="shared" si="143"/>
        <v>0.20145186604719159</v>
      </c>
      <c r="AW118" s="19">
        <f t="shared" si="201"/>
        <v>994.065208162094</v>
      </c>
      <c r="AX118" s="15">
        <f t="shared" si="144"/>
        <v>5.4881304163241885E-6</v>
      </c>
      <c r="AY118" s="16">
        <f t="shared" si="145"/>
        <v>27.320749893864082</v>
      </c>
      <c r="AZ118" s="17">
        <f t="shared" si="146"/>
        <v>1.3735108571683833E-2</v>
      </c>
      <c r="BA118" s="18">
        <f t="shared" si="147"/>
        <v>0.20188409986648076</v>
      </c>
      <c r="BB118" s="19">
        <f t="shared" si="202"/>
        <v>988.36822391969463</v>
      </c>
      <c r="BC118" s="15">
        <f t="shared" si="148"/>
        <v>5.4767364478393895E-6</v>
      </c>
      <c r="BD118" s="16">
        <f t="shared" si="149"/>
        <v>27.255234575076486</v>
      </c>
      <c r="BE118" s="17">
        <f t="shared" si="150"/>
        <v>1.3706592960295378E-2</v>
      </c>
      <c r="BF118" s="18">
        <f t="shared" si="151"/>
        <v>0.20236938283568309</v>
      </c>
      <c r="BG118" s="19">
        <f t="shared" si="203"/>
        <v>982.07145989349124</v>
      </c>
      <c r="BH118" s="15">
        <f t="shared" si="152"/>
        <v>5.4641429197869828E-6</v>
      </c>
      <c r="BI118" s="16">
        <f t="shared" si="153"/>
        <v>27.182821788775151</v>
      </c>
      <c r="BJ118" s="17">
        <f t="shared" si="154"/>
        <v>1.3675075218919218E-2</v>
      </c>
      <c r="BK118" s="18">
        <f t="shared" si="155"/>
        <v>0.20290847811383647</v>
      </c>
      <c r="BL118" s="19">
        <f t="shared" si="204"/>
        <v>975.17401224861612</v>
      </c>
      <c r="BM118" s="15">
        <f t="shared" si="156"/>
        <v>5.4503480244972328E-6</v>
      </c>
      <c r="BN118" s="16">
        <f t="shared" si="157"/>
        <v>27.103501140859084</v>
      </c>
      <c r="BO118" s="17">
        <f t="shared" si="158"/>
        <v>1.3640550823511968E-2</v>
      </c>
      <c r="BP118" s="18">
        <f t="shared" si="159"/>
        <v>0.20350230663318555</v>
      </c>
      <c r="BQ118" s="19">
        <f t="shared" si="205"/>
        <v>967.66977412304539</v>
      </c>
      <c r="BR118" s="15">
        <f t="shared" si="160"/>
        <v>5.435339548246092E-6</v>
      </c>
      <c r="BS118" s="16">
        <f t="shared" si="161"/>
        <v>27.017202402415023</v>
      </c>
      <c r="BT118" s="17">
        <f t="shared" si="162"/>
        <v>1.3602989206865286E-2</v>
      </c>
      <c r="BU118" s="18">
        <f t="shared" si="163"/>
        <v>0.20415233664263355</v>
      </c>
      <c r="BV118" s="19">
        <f t="shared" si="206"/>
        <v>959.5223086277241</v>
      </c>
      <c r="BW118" s="15">
        <f t="shared" si="164"/>
        <v>5.4190446172554487E-6</v>
      </c>
      <c r="BX118" s="16">
        <f t="shared" si="165"/>
        <v>26.923506549218828</v>
      </c>
      <c r="BY118" s="17">
        <f t="shared" si="166"/>
        <v>1.3562207988245034E-2</v>
      </c>
      <c r="BZ118" s="18">
        <f t="shared" si="167"/>
        <v>0.20486280232171442</v>
      </c>
      <c r="CA118" s="19">
        <f t="shared" si="207"/>
        <v>950.54275514059123</v>
      </c>
      <c r="CB118" s="15">
        <f t="shared" si="168"/>
        <v>5.4010855102811828E-6</v>
      </c>
      <c r="CC118" s="16">
        <f t="shared" si="169"/>
        <v>26.820241684116798</v>
      </c>
      <c r="CD118" s="17">
        <f t="shared" si="170"/>
        <v>1.3517261847131418E-2</v>
      </c>
      <c r="CE118" s="18">
        <f t="shared" si="171"/>
        <v>0.20565157707979961</v>
      </c>
      <c r="CF118" s="19">
        <f t="shared" si="208"/>
        <v>939.89914463058426</v>
      </c>
      <c r="CG118" s="15">
        <f t="shared" si="172"/>
        <v>5.3797982892611688E-6</v>
      </c>
      <c r="CH118" s="16">
        <f t="shared" si="173"/>
        <v>26.697840163251719</v>
      </c>
      <c r="CI118" s="17">
        <f t="shared" si="174"/>
        <v>1.3463986456475679E-2</v>
      </c>
      <c r="CJ118" s="18">
        <f t="shared" si="175"/>
        <v>0.20659442734966965</v>
      </c>
      <c r="CK118" s="19">
        <f t="shared" si="209"/>
        <v>924.57076183857441</v>
      </c>
      <c r="CL118" s="15">
        <f t="shared" si="176"/>
        <v>5.3491415236771488E-6</v>
      </c>
      <c r="CM118" s="16">
        <f t="shared" si="177"/>
        <v>26.521563761143604</v>
      </c>
      <c r="CN118" s="17">
        <f t="shared" si="178"/>
        <v>1.3387261967112105E-2</v>
      </c>
      <c r="CO118" s="18">
        <f t="shared" si="179"/>
        <v>0.20796756366533975</v>
      </c>
      <c r="CP118" s="19">
        <f t="shared" si="210"/>
        <v>895.92812650212352</v>
      </c>
      <c r="CQ118" s="15">
        <f t="shared" si="180"/>
        <v>5.2918562530042467E-6</v>
      </c>
      <c r="CR118" s="16">
        <f t="shared" si="181"/>
        <v>26.192173454774419</v>
      </c>
      <c r="CS118" s="17">
        <f t="shared" si="182"/>
        <v>1.3243894489927114E-2</v>
      </c>
      <c r="CT118" s="18">
        <f t="shared" si="183"/>
        <v>0.21058294415786974</v>
      </c>
      <c r="CU118" s="19">
        <f t="shared" si="211"/>
        <v>836.0605352112068</v>
      </c>
      <c r="CV118" s="15">
        <f t="shared" si="184"/>
        <v>5.172121070422414E-6</v>
      </c>
      <c r="CW118" s="16">
        <f t="shared" si="185"/>
        <v>25.503696154928875</v>
      </c>
      <c r="CX118" s="17">
        <f t="shared" si="186"/>
        <v>1.2944234021269128E-2</v>
      </c>
      <c r="CY118" s="18">
        <f t="shared" si="187"/>
        <v>0.2162676722030365</v>
      </c>
      <c r="CZ118" s="20">
        <f t="shared" si="212"/>
        <v>722.39519607535647</v>
      </c>
      <c r="DA118" s="15">
        <f t="shared" si="188"/>
        <v>4.9447903921507138E-6</v>
      </c>
      <c r="DB118" s="16">
        <f t="shared" si="189"/>
        <v>24.196544754866601</v>
      </c>
      <c r="DC118" s="17">
        <f t="shared" si="190"/>
        <v>1.237529499998624E-2</v>
      </c>
      <c r="DD118" s="18">
        <f t="shared" si="191"/>
        <v>0.22795093497350086</v>
      </c>
    </row>
    <row r="119" spans="2:108" x14ac:dyDescent="0.25">
      <c r="B119">
        <v>100</v>
      </c>
      <c r="C119">
        <f t="shared" si="192"/>
        <v>9.7761466634525146E-2</v>
      </c>
      <c r="D119" s="19">
        <f t="shared" si="109"/>
        <v>1018.3685276696038</v>
      </c>
      <c r="E119" s="15">
        <f t="shared" si="110"/>
        <v>5.536737055339208E-6</v>
      </c>
      <c r="F119" s="16">
        <f t="shared" si="111"/>
        <v>27.600238068200444</v>
      </c>
      <c r="G119" s="17">
        <f t="shared" si="107"/>
        <v>1.3856756093431883E-2</v>
      </c>
      <c r="H119" s="18">
        <f t="shared" si="112"/>
        <v>0.19983976175751961</v>
      </c>
      <c r="I119" s="19">
        <f t="shared" si="193"/>
        <v>1018.0442881787849</v>
      </c>
      <c r="J119" s="15">
        <f t="shared" si="113"/>
        <v>5.5360885763575702E-6</v>
      </c>
      <c r="K119" s="16">
        <f t="shared" si="114"/>
        <v>27.596509314056025</v>
      </c>
      <c r="L119" s="17">
        <f t="shared" si="115"/>
        <v>1.3855133149269923E-2</v>
      </c>
      <c r="M119" s="18">
        <f t="shared" si="116"/>
        <v>0.19986676348195487</v>
      </c>
      <c r="N119" s="19">
        <f t="shared" si="194"/>
        <v>1017.1391077146648</v>
      </c>
      <c r="O119" s="15">
        <f t="shared" si="117"/>
        <v>5.5342782154293305E-6</v>
      </c>
      <c r="P119" s="16">
        <f t="shared" si="118"/>
        <v>27.586099738718644</v>
      </c>
      <c r="Q119" s="17">
        <f t="shared" si="108"/>
        <v>1.3856756093431883E-2</v>
      </c>
      <c r="R119" s="18">
        <f t="shared" si="119"/>
        <v>0.19994218291970103</v>
      </c>
      <c r="S119" s="19">
        <f t="shared" si="195"/>
        <v>1015.638002484723</v>
      </c>
      <c r="T119" s="15">
        <f t="shared" si="120"/>
        <v>5.5312760049694458E-6</v>
      </c>
      <c r="U119" s="16">
        <f t="shared" si="121"/>
        <v>27.568837028574315</v>
      </c>
      <c r="V119" s="17">
        <f t="shared" si="122"/>
        <v>1.3843088757917952E-2</v>
      </c>
      <c r="W119" s="18">
        <f t="shared" si="123"/>
        <v>0.20006738021931109</v>
      </c>
      <c r="X119" s="19">
        <f t="shared" si="196"/>
        <v>1013.5387521982531</v>
      </c>
      <c r="Y119" s="15">
        <f t="shared" si="124"/>
        <v>5.527077504396506E-6</v>
      </c>
      <c r="Z119" s="16">
        <f t="shared" si="125"/>
        <v>27.544695650279909</v>
      </c>
      <c r="AA119" s="17">
        <f t="shared" si="126"/>
        <v>1.3832581197631833E-2</v>
      </c>
      <c r="AB119" s="18">
        <f t="shared" si="127"/>
        <v>0.20024272803841817</v>
      </c>
      <c r="AC119" s="19">
        <f t="shared" si="197"/>
        <v>1010.8400235091626</v>
      </c>
      <c r="AD119" s="15">
        <f t="shared" si="128"/>
        <v>5.5216800470183257E-6</v>
      </c>
      <c r="AE119" s="16">
        <f t="shared" si="129"/>
        <v>27.51366027035537</v>
      </c>
      <c r="AF119" s="17">
        <f t="shared" si="130"/>
        <v>1.3819073015887494E-2</v>
      </c>
      <c r="AG119" s="18">
        <f t="shared" si="131"/>
        <v>0.20046860162560115</v>
      </c>
      <c r="AH119" s="19">
        <f t="shared" si="198"/>
        <v>1007.5416632448546</v>
      </c>
      <c r="AI119" s="15">
        <f t="shared" si="132"/>
        <v>5.5150833264897102E-6</v>
      </c>
      <c r="AJ119" s="16">
        <f t="shared" si="133"/>
        <v>27.475729127315827</v>
      </c>
      <c r="AK119" s="17">
        <f t="shared" si="134"/>
        <v>1.3802563445996794E-2</v>
      </c>
      <c r="AL119" s="18">
        <f t="shared" si="135"/>
        <v>0.20074535508928404</v>
      </c>
      <c r="AM119" s="19">
        <f t="shared" si="199"/>
        <v>1003.64365474206</v>
      </c>
      <c r="AN119" s="15">
        <f t="shared" si="136"/>
        <v>5.5072873094841202E-6</v>
      </c>
      <c r="AO119" s="16">
        <f t="shared" si="137"/>
        <v>27.430902029533691</v>
      </c>
      <c r="AP119" s="17">
        <f t="shared" si="138"/>
        <v>1.3783052404553613E-2</v>
      </c>
      <c r="AQ119" s="18">
        <f t="shared" si="139"/>
        <v>0.20107340961888748</v>
      </c>
      <c r="AR119" s="19">
        <f t="shared" si="200"/>
        <v>999.14600150105571</v>
      </c>
      <c r="AS119" s="15">
        <f t="shared" si="140"/>
        <v>5.4982920030021119E-6</v>
      </c>
      <c r="AT119" s="16">
        <f t="shared" si="141"/>
        <v>27.379179017262139</v>
      </c>
      <c r="AU119" s="17">
        <f t="shared" si="142"/>
        <v>1.3760539909078204E-2</v>
      </c>
      <c r="AV119" s="18">
        <f t="shared" si="143"/>
        <v>0.20145326477914061</v>
      </c>
      <c r="AW119" s="19">
        <f t="shared" si="201"/>
        <v>994.04870453845831</v>
      </c>
      <c r="AX119" s="15">
        <f t="shared" si="144"/>
        <v>5.4880974090769168E-6</v>
      </c>
      <c r="AY119" s="16">
        <f t="shared" si="145"/>
        <v>27.320560102192267</v>
      </c>
      <c r="AZ119" s="17">
        <f t="shared" si="146"/>
        <v>1.3735025964659121E-2</v>
      </c>
      <c r="BA119" s="18">
        <f t="shared" si="147"/>
        <v>0.20188550232384925</v>
      </c>
      <c r="BB119" s="19">
        <f t="shared" si="202"/>
        <v>988.35174920659688</v>
      </c>
      <c r="BC119" s="15">
        <f t="shared" si="148"/>
        <v>5.4767034984131939E-6</v>
      </c>
      <c r="BD119" s="16">
        <f t="shared" si="149"/>
        <v>27.255045115875863</v>
      </c>
      <c r="BE119" s="17">
        <f t="shared" si="150"/>
        <v>1.3706510497979099E-2</v>
      </c>
      <c r="BF119" s="18">
        <f t="shared" si="151"/>
        <v>0.20237078957492494</v>
      </c>
      <c r="BG119" s="19">
        <f t="shared" si="203"/>
        <v>982.05500631713039</v>
      </c>
      <c r="BH119" s="15">
        <f t="shared" si="152"/>
        <v>5.4641100126342619E-6</v>
      </c>
      <c r="BI119" s="16">
        <f t="shared" si="153"/>
        <v>27.182632572646998</v>
      </c>
      <c r="BJ119" s="17">
        <f t="shared" si="154"/>
        <v>1.367499286240049E-2</v>
      </c>
      <c r="BK119" s="18">
        <f t="shared" si="155"/>
        <v>0.20290989054350073</v>
      </c>
      <c r="BL119" s="19">
        <f t="shared" si="204"/>
        <v>975.15750843686874</v>
      </c>
      <c r="BM119" s="15">
        <f t="shared" si="156"/>
        <v>5.4503150168737378E-6</v>
      </c>
      <c r="BN119" s="16">
        <f t="shared" si="157"/>
        <v>27.10331134702399</v>
      </c>
      <c r="BO119" s="17">
        <f t="shared" si="158"/>
        <v>1.3640468215545683E-2</v>
      </c>
      <c r="BP119" s="18">
        <f t="shared" si="159"/>
        <v>0.20350373167984248</v>
      </c>
      <c r="BQ119" s="19">
        <f t="shared" si="205"/>
        <v>967.65278879417758</v>
      </c>
      <c r="BR119" s="15">
        <f t="shared" si="160"/>
        <v>5.4353055775883555E-6</v>
      </c>
      <c r="BS119" s="16">
        <f t="shared" si="161"/>
        <v>27.017007071133044</v>
      </c>
      <c r="BT119" s="17">
        <f t="shared" si="162"/>
        <v>1.3602904188719421E-2</v>
      </c>
      <c r="BU119" s="18">
        <f t="shared" si="163"/>
        <v>0.20415381265133914</v>
      </c>
      <c r="BV119" s="19">
        <f t="shared" si="206"/>
        <v>959.5026692002715</v>
      </c>
      <c r="BW119" s="15">
        <f t="shared" si="164"/>
        <v>5.419005338400543E-6</v>
      </c>
      <c r="BX119" s="16">
        <f t="shared" si="165"/>
        <v>26.923280695803122</v>
      </c>
      <c r="BY119" s="17">
        <f t="shared" si="166"/>
        <v>1.3562109685308372E-2</v>
      </c>
      <c r="BZ119" s="18">
        <f t="shared" si="167"/>
        <v>0.20486452087021442</v>
      </c>
      <c r="CA119" s="19">
        <f t="shared" si="207"/>
        <v>950.51131596664095</v>
      </c>
      <c r="CB119" s="15">
        <f t="shared" si="168"/>
        <v>5.4010226319332822E-6</v>
      </c>
      <c r="CC119" s="16">
        <f t="shared" si="169"/>
        <v>26.819880133616373</v>
      </c>
      <c r="CD119" s="17">
        <f t="shared" si="170"/>
        <v>1.3517104481895954E-2</v>
      </c>
      <c r="CE119" s="18">
        <f t="shared" si="171"/>
        <v>0.20565434940503879</v>
      </c>
      <c r="CF119" s="19">
        <f t="shared" si="208"/>
        <v>939.82484925707865</v>
      </c>
      <c r="CG119" s="15">
        <f t="shared" si="172"/>
        <v>5.3796496985141581E-6</v>
      </c>
      <c r="CH119" s="16">
        <f t="shared" si="173"/>
        <v>26.696985766456404</v>
      </c>
      <c r="CI119" s="17">
        <f t="shared" si="174"/>
        <v>1.3463614579372162E-2</v>
      </c>
      <c r="CJ119" s="18">
        <f t="shared" si="175"/>
        <v>0.2066010390929654</v>
      </c>
      <c r="CK119" s="19">
        <f t="shared" si="209"/>
        <v>924.3740918491759</v>
      </c>
      <c r="CL119" s="15">
        <f t="shared" si="176"/>
        <v>5.3487481836983525E-6</v>
      </c>
      <c r="CM119" s="16">
        <f t="shared" si="177"/>
        <v>26.519302056265524</v>
      </c>
      <c r="CN119" s="17">
        <f t="shared" si="178"/>
        <v>1.3386277557685849E-2</v>
      </c>
      <c r="CO119" s="18">
        <f t="shared" si="179"/>
        <v>0.20798530022764544</v>
      </c>
      <c r="CP119" s="19">
        <f t="shared" si="210"/>
        <v>895.47722883998142</v>
      </c>
      <c r="CQ119" s="15">
        <f t="shared" si="180"/>
        <v>5.2909544576799634E-6</v>
      </c>
      <c r="CR119" s="16">
        <f t="shared" si="181"/>
        <v>26.186988131659785</v>
      </c>
      <c r="CS119" s="17">
        <f t="shared" si="182"/>
        <v>1.3241637572589358E-2</v>
      </c>
      <c r="CT119" s="18">
        <f t="shared" si="183"/>
        <v>0.2106246419889605</v>
      </c>
      <c r="CU119" s="19">
        <f t="shared" si="211"/>
        <v>835.28769492750632</v>
      </c>
      <c r="CV119" s="15">
        <f t="shared" si="184"/>
        <v>5.1705753898550133E-6</v>
      </c>
      <c r="CW119" s="16">
        <f t="shared" si="185"/>
        <v>25.494808491666323</v>
      </c>
      <c r="CX119" s="17">
        <f t="shared" si="186"/>
        <v>1.2940365656489157E-2</v>
      </c>
      <c r="CY119" s="18">
        <f t="shared" si="187"/>
        <v>0.21634306458128263</v>
      </c>
      <c r="CZ119" s="20">
        <f t="shared" si="212"/>
        <v>721.52976099792579</v>
      </c>
      <c r="DA119" s="15">
        <f t="shared" si="188"/>
        <v>4.9430595219958517E-6</v>
      </c>
      <c r="DB119" s="16">
        <f t="shared" si="189"/>
        <v>24.186592251476146</v>
      </c>
      <c r="DC119" s="17">
        <f t="shared" si="190"/>
        <v>1.2370963162420973E-2</v>
      </c>
      <c r="DD119" s="18">
        <f t="shared" si="191"/>
        <v>0.22804473415073068</v>
      </c>
    </row>
    <row r="120" spans="2:108" x14ac:dyDescent="0.25">
      <c r="B120">
        <v>101</v>
      </c>
      <c r="C120">
        <f t="shared" si="192"/>
        <v>9.873908130087039E-2</v>
      </c>
      <c r="D120" s="19">
        <f t="shared" si="109"/>
        <v>1018.3519736391519</v>
      </c>
      <c r="E120" s="15">
        <f t="shared" si="110"/>
        <v>5.5367039472783044E-6</v>
      </c>
      <c r="F120" s="16">
        <f t="shared" si="111"/>
        <v>27.600047696850247</v>
      </c>
      <c r="G120" s="17">
        <f t="shared" si="107"/>
        <v>1.3856673234101545E-2</v>
      </c>
      <c r="H120" s="18">
        <f t="shared" si="112"/>
        <v>0.1998411401524299</v>
      </c>
      <c r="I120" s="19">
        <f t="shared" si="193"/>
        <v>1018.027720434258</v>
      </c>
      <c r="J120" s="15">
        <f t="shared" si="113"/>
        <v>5.5360554408685158E-6</v>
      </c>
      <c r="K120" s="16">
        <f t="shared" si="114"/>
        <v>27.596318784993965</v>
      </c>
      <c r="L120" s="17">
        <f t="shared" si="115"/>
        <v>1.3855050221295328E-2</v>
      </c>
      <c r="M120" s="18">
        <f t="shared" si="116"/>
        <v>0.1998681433916189</v>
      </c>
      <c r="N120" s="19">
        <f t="shared" si="194"/>
        <v>1017.1225163448216</v>
      </c>
      <c r="O120" s="15">
        <f t="shared" si="117"/>
        <v>5.5342450326896442E-6</v>
      </c>
      <c r="P120" s="16">
        <f t="shared" si="118"/>
        <v>27.585908937965449</v>
      </c>
      <c r="Q120" s="17">
        <f t="shared" si="108"/>
        <v>1.3856673234101545E-2</v>
      </c>
      <c r="R120" s="18">
        <f t="shared" si="119"/>
        <v>0.1999435658402052</v>
      </c>
      <c r="S120" s="19">
        <f t="shared" si="195"/>
        <v>1015.6213993591418</v>
      </c>
      <c r="T120" s="15">
        <f t="shared" si="120"/>
        <v>5.5312427987182849E-6</v>
      </c>
      <c r="U120" s="16">
        <f t="shared" si="121"/>
        <v>27.568646092630132</v>
      </c>
      <c r="V120" s="17">
        <f t="shared" si="122"/>
        <v>1.384300565284749E-2</v>
      </c>
      <c r="W120" s="18">
        <f t="shared" si="123"/>
        <v>0.20006876585333946</v>
      </c>
      <c r="X120" s="19">
        <f t="shared" si="196"/>
        <v>1013.5221513090767</v>
      </c>
      <c r="Y120" s="15">
        <f t="shared" si="124"/>
        <v>5.5270443026181542E-6</v>
      </c>
      <c r="Z120" s="16">
        <f t="shared" si="125"/>
        <v>27.544504740054379</v>
      </c>
      <c r="AA120" s="17">
        <f t="shared" si="126"/>
        <v>1.3832498103755442E-2</v>
      </c>
      <c r="AB120" s="18">
        <f t="shared" si="127"/>
        <v>0.20024411591540967</v>
      </c>
      <c r="AC120" s="19">
        <f t="shared" si="197"/>
        <v>1010.8234336343779</v>
      </c>
      <c r="AD120" s="15">
        <f t="shared" si="128"/>
        <v>5.5216468672687564E-6</v>
      </c>
      <c r="AE120" s="16">
        <f t="shared" si="129"/>
        <v>27.513469486795344</v>
      </c>
      <c r="AF120" s="17">
        <f t="shared" si="130"/>
        <v>1.3818989977142393E-2</v>
      </c>
      <c r="AG120" s="18">
        <f t="shared" si="131"/>
        <v>0.20046999171250057</v>
      </c>
      <c r="AH120" s="19">
        <f t="shared" si="198"/>
        <v>1007.5250894995351</v>
      </c>
      <c r="AI120" s="15">
        <f t="shared" si="132"/>
        <v>5.5150501789990705E-6</v>
      </c>
      <c r="AJ120" s="16">
        <f t="shared" si="133"/>
        <v>27.475538529244652</v>
      </c>
      <c r="AK120" s="17">
        <f t="shared" si="134"/>
        <v>1.3802480487985908E-2</v>
      </c>
      <c r="AL120" s="18">
        <f t="shared" si="135"/>
        <v>0.20074674766171485</v>
      </c>
      <c r="AM120" s="19">
        <f t="shared" si="199"/>
        <v>1003.6271009460181</v>
      </c>
      <c r="AN120" s="15">
        <f t="shared" si="136"/>
        <v>5.5072542018920366E-6</v>
      </c>
      <c r="AO120" s="16">
        <f t="shared" si="137"/>
        <v>27.430711660879208</v>
      </c>
      <c r="AP120" s="17">
        <f t="shared" si="138"/>
        <v>1.3782969546396589E-2</v>
      </c>
      <c r="AQ120" s="18">
        <f t="shared" si="139"/>
        <v>0.20107480506479916</v>
      </c>
      <c r="AR120" s="19">
        <f t="shared" si="200"/>
        <v>999.12947119824889</v>
      </c>
      <c r="AS120" s="15">
        <f t="shared" si="140"/>
        <v>5.4982589423964985E-6</v>
      </c>
      <c r="AT120" s="16">
        <f t="shared" si="141"/>
        <v>27.378988918779861</v>
      </c>
      <c r="AU120" s="17">
        <f t="shared" si="142"/>
        <v>1.3760457168513913E-2</v>
      </c>
      <c r="AV120" s="18">
        <f t="shared" si="143"/>
        <v>0.20145466351449923</v>
      </c>
      <c r="AW120" s="19">
        <f t="shared" si="201"/>
        <v>994.03220108479877</v>
      </c>
      <c r="AX120" s="15">
        <f t="shared" si="144"/>
        <v>5.4880644021695983E-6</v>
      </c>
      <c r="AY120" s="16">
        <f t="shared" si="145"/>
        <v>27.320370312475184</v>
      </c>
      <c r="AZ120" s="17">
        <f t="shared" si="146"/>
        <v>1.3734943358485206E-2</v>
      </c>
      <c r="BA120" s="18">
        <f t="shared" si="147"/>
        <v>0.20188690478625848</v>
      </c>
      <c r="BB120" s="19">
        <f t="shared" si="202"/>
        <v>988.33527452017961</v>
      </c>
      <c r="BC120" s="15">
        <f t="shared" si="148"/>
        <v>5.4766705490403596E-6</v>
      </c>
      <c r="BD120" s="16">
        <f t="shared" si="149"/>
        <v>27.254855656982066</v>
      </c>
      <c r="BE120" s="17">
        <f t="shared" si="150"/>
        <v>1.3706428035796367E-2</v>
      </c>
      <c r="BF120" s="18">
        <f t="shared" si="151"/>
        <v>0.20237219633144612</v>
      </c>
      <c r="BG120" s="19">
        <f t="shared" si="203"/>
        <v>982.03855184337294</v>
      </c>
      <c r="BH120" s="15">
        <f t="shared" si="152"/>
        <v>5.4640771036867468E-6</v>
      </c>
      <c r="BI120" s="16">
        <f t="shared" si="153"/>
        <v>27.182443346198788</v>
      </c>
      <c r="BJ120" s="17">
        <f t="shared" si="154"/>
        <v>1.3674910501389944E-2</v>
      </c>
      <c r="BK120" s="18">
        <f t="shared" si="155"/>
        <v>0.20291130306986582</v>
      </c>
      <c r="BL120" s="19">
        <f t="shared" si="204"/>
        <v>975.14099852379434</v>
      </c>
      <c r="BM120" s="15">
        <f t="shared" si="156"/>
        <v>5.4502819970475888E-6</v>
      </c>
      <c r="BN120" s="16">
        <f t="shared" si="157"/>
        <v>27.103121483023635</v>
      </c>
      <c r="BO120" s="17">
        <f t="shared" si="158"/>
        <v>1.3640385577039895E-2</v>
      </c>
      <c r="BP120" s="18">
        <f t="shared" si="159"/>
        <v>0.20350515727329702</v>
      </c>
      <c r="BQ120" s="19">
        <f t="shared" si="205"/>
        <v>967.63577228832492</v>
      </c>
      <c r="BR120" s="15">
        <f t="shared" si="160"/>
        <v>5.4352715445766503E-6</v>
      </c>
      <c r="BS120" s="16">
        <f t="shared" si="161"/>
        <v>27.016811381315733</v>
      </c>
      <c r="BT120" s="17">
        <f t="shared" si="162"/>
        <v>1.3602819014520682E-2</v>
      </c>
      <c r="BU120" s="18">
        <f t="shared" si="163"/>
        <v>0.20415529139069652</v>
      </c>
      <c r="BV120" s="19">
        <f t="shared" si="206"/>
        <v>959.48289846730302</v>
      </c>
      <c r="BW120" s="15">
        <f t="shared" si="164"/>
        <v>5.4189657969346061E-6</v>
      </c>
      <c r="BX120" s="16">
        <f t="shared" si="165"/>
        <v>26.923053332373982</v>
      </c>
      <c r="BY120" s="17">
        <f t="shared" si="166"/>
        <v>1.3562010725136778E-2</v>
      </c>
      <c r="BZ120" s="18">
        <f t="shared" si="167"/>
        <v>0.20486625093772939</v>
      </c>
      <c r="CA120" s="19">
        <f t="shared" si="207"/>
        <v>950.47943112599614</v>
      </c>
      <c r="CB120" s="15">
        <f t="shared" si="168"/>
        <v>5.4009588622519928E-6</v>
      </c>
      <c r="CC120" s="16">
        <f t="shared" si="169"/>
        <v>26.819513457948954</v>
      </c>
      <c r="CD120" s="17">
        <f t="shared" si="170"/>
        <v>1.351694488592617E-2</v>
      </c>
      <c r="CE120" s="18">
        <f t="shared" si="171"/>
        <v>0.20565716110577839</v>
      </c>
      <c r="CF120" s="19">
        <f t="shared" si="208"/>
        <v>939.74941012048032</v>
      </c>
      <c r="CG120" s="15">
        <f t="shared" si="172"/>
        <v>5.3794988202409608E-6</v>
      </c>
      <c r="CH120" s="16">
        <f t="shared" si="173"/>
        <v>26.696118216385521</v>
      </c>
      <c r="CI120" s="17">
        <f t="shared" si="174"/>
        <v>1.3463236977291623E-2</v>
      </c>
      <c r="CJ120" s="18">
        <f t="shared" si="175"/>
        <v>0.20660775305582157</v>
      </c>
      <c r="CK120" s="19">
        <f t="shared" si="209"/>
        <v>924.17550308060129</v>
      </c>
      <c r="CL120" s="15">
        <f t="shared" si="176"/>
        <v>5.3483510061612029E-6</v>
      </c>
      <c r="CM120" s="16">
        <f t="shared" si="177"/>
        <v>26.517018285426914</v>
      </c>
      <c r="CN120" s="17">
        <f t="shared" si="178"/>
        <v>1.3385283544027071E-2</v>
      </c>
      <c r="CO120" s="18">
        <f t="shared" si="179"/>
        <v>0.20800321290389004</v>
      </c>
      <c r="CP120" s="19">
        <f t="shared" si="210"/>
        <v>895.02524404812686</v>
      </c>
      <c r="CQ120" s="15">
        <f t="shared" si="180"/>
        <v>5.2900504880962538E-6</v>
      </c>
      <c r="CR120" s="16">
        <f t="shared" si="181"/>
        <v>26.181790306553459</v>
      </c>
      <c r="CS120" s="17">
        <f t="shared" si="182"/>
        <v>1.323937521374657E-2</v>
      </c>
      <c r="CT120" s="18">
        <f t="shared" si="183"/>
        <v>0.21066645693130487</v>
      </c>
      <c r="CU120" s="19">
        <f t="shared" si="211"/>
        <v>834.51787868023132</v>
      </c>
      <c r="CV120" s="15">
        <f t="shared" si="184"/>
        <v>5.1690357573604625E-6</v>
      </c>
      <c r="CW120" s="16">
        <f t="shared" si="185"/>
        <v>25.48595560482266</v>
      </c>
      <c r="CX120" s="17">
        <f t="shared" si="186"/>
        <v>1.2936512428182074E-2</v>
      </c>
      <c r="CY120" s="18">
        <f t="shared" si="187"/>
        <v>0.21641821423232366</v>
      </c>
      <c r="CZ120" s="20">
        <f t="shared" si="212"/>
        <v>720.67038201089247</v>
      </c>
      <c r="DA120" s="15">
        <f t="shared" si="188"/>
        <v>4.9413407640217854E-6</v>
      </c>
      <c r="DB120" s="16">
        <f t="shared" si="189"/>
        <v>24.176709393125265</v>
      </c>
      <c r="DC120" s="17">
        <f t="shared" si="190"/>
        <v>1.2366661637932409E-2</v>
      </c>
      <c r="DD120" s="18">
        <f t="shared" si="191"/>
        <v>0.2281379533630159</v>
      </c>
    </row>
    <row r="121" spans="2:108" x14ac:dyDescent="0.25">
      <c r="B121">
        <v>102</v>
      </c>
      <c r="C121">
        <f t="shared" si="192"/>
        <v>9.9716695967215649E-2</v>
      </c>
      <c r="D121" s="19">
        <f t="shared" si="109"/>
        <v>1018.3354189085285</v>
      </c>
      <c r="E121" s="15">
        <f t="shared" si="110"/>
        <v>5.536670837817058E-6</v>
      </c>
      <c r="F121" s="16">
        <f t="shared" si="111"/>
        <v>27.599857317448077</v>
      </c>
      <c r="G121" s="17">
        <f t="shared" si="107"/>
        <v>1.3856590371266577E-2</v>
      </c>
      <c r="H121" s="18">
        <f t="shared" si="112"/>
        <v>0.19984251862465724</v>
      </c>
      <c r="I121" s="19">
        <f t="shared" si="193"/>
        <v>1018.0111523927718</v>
      </c>
      <c r="J121" s="15">
        <f t="shared" si="113"/>
        <v>5.5360223047855439E-6</v>
      </c>
      <c r="K121" s="16">
        <f t="shared" si="114"/>
        <v>27.596128252516877</v>
      </c>
      <c r="L121" s="17">
        <f t="shared" si="115"/>
        <v>1.3854967291834341E-2</v>
      </c>
      <c r="M121" s="18">
        <f t="shared" si="116"/>
        <v>0.19986952334507116</v>
      </c>
      <c r="N121" s="19">
        <f t="shared" si="194"/>
        <v>1017.105925116188</v>
      </c>
      <c r="O121" s="15">
        <f t="shared" si="117"/>
        <v>5.5342118502323757E-6</v>
      </c>
      <c r="P121" s="16">
        <f t="shared" si="118"/>
        <v>27.585718138836164</v>
      </c>
      <c r="Q121" s="17">
        <f t="shared" si="108"/>
        <v>1.3856590371266577E-2</v>
      </c>
      <c r="R121" s="18">
        <f t="shared" si="119"/>
        <v>0.19994494876806942</v>
      </c>
      <c r="S121" s="19">
        <f t="shared" si="195"/>
        <v>1015.6047965047464</v>
      </c>
      <c r="T121" s="15">
        <f t="shared" si="120"/>
        <v>5.5312095930094936E-6</v>
      </c>
      <c r="U121" s="16">
        <f t="shared" si="121"/>
        <v>27.568455159804586</v>
      </c>
      <c r="V121" s="17">
        <f t="shared" si="122"/>
        <v>1.3842922549134412E-2</v>
      </c>
      <c r="W121" s="18">
        <f t="shared" si="123"/>
        <v>0.20007015148392873</v>
      </c>
      <c r="X121" s="19">
        <f t="shared" si="196"/>
        <v>1013.5055506640022</v>
      </c>
      <c r="Y121" s="15">
        <f t="shared" si="124"/>
        <v>5.5270111013280052E-6</v>
      </c>
      <c r="Z121" s="16">
        <f t="shared" si="125"/>
        <v>27.544313832636025</v>
      </c>
      <c r="AA121" s="17">
        <f t="shared" si="126"/>
        <v>1.3832415011100871E-2</v>
      </c>
      <c r="AB121" s="18">
        <f t="shared" si="127"/>
        <v>0.20024550379123196</v>
      </c>
      <c r="AC121" s="19">
        <f t="shared" si="197"/>
        <v>1010.8068439675499</v>
      </c>
      <c r="AD121" s="15">
        <f t="shared" si="128"/>
        <v>5.5216136879350998E-6</v>
      </c>
      <c r="AE121" s="16">
        <f t="shared" si="129"/>
        <v>27.513278705626824</v>
      </c>
      <c r="AF121" s="17">
        <f t="shared" si="130"/>
        <v>1.3818906939438198E-2</v>
      </c>
      <c r="AG121" s="18">
        <f t="shared" si="131"/>
        <v>0.20047138180125304</v>
      </c>
      <c r="AH121" s="19">
        <f t="shared" si="198"/>
        <v>1007.5085159481395</v>
      </c>
      <c r="AI121" s="15">
        <f t="shared" si="132"/>
        <v>5.5150170318962796E-6</v>
      </c>
      <c r="AJ121" s="16">
        <f t="shared" si="133"/>
        <v>27.475347933403604</v>
      </c>
      <c r="AK121" s="17">
        <f t="shared" si="134"/>
        <v>1.3802397530945691E-2</v>
      </c>
      <c r="AL121" s="18">
        <f t="shared" si="135"/>
        <v>0.20074814023717197</v>
      </c>
      <c r="AM121" s="19">
        <f t="shared" si="199"/>
        <v>1003.610547341214</v>
      </c>
      <c r="AN121" s="15">
        <f t="shared" si="136"/>
        <v>5.5072210946824282E-6</v>
      </c>
      <c r="AO121" s="16">
        <f t="shared" si="137"/>
        <v>27.430521294423961</v>
      </c>
      <c r="AP121" s="17">
        <f t="shared" si="138"/>
        <v>1.3782886689196781E-2</v>
      </c>
      <c r="AQ121" s="18">
        <f t="shared" si="139"/>
        <v>0.20107620051395847</v>
      </c>
      <c r="AR121" s="19">
        <f t="shared" si="200"/>
        <v>999.11294108443565</v>
      </c>
      <c r="AS121" s="15">
        <f t="shared" si="140"/>
        <v>5.4982258821688719E-6</v>
      </c>
      <c r="AT121" s="16">
        <f t="shared" si="141"/>
        <v>27.378798822471008</v>
      </c>
      <c r="AU121" s="17">
        <f t="shared" si="142"/>
        <v>1.3760374428895609E-2</v>
      </c>
      <c r="AV121" s="18">
        <f t="shared" si="143"/>
        <v>0.20145606225328919</v>
      </c>
      <c r="AW121" s="19">
        <f t="shared" si="201"/>
        <v>994.01569779928252</v>
      </c>
      <c r="AX121" s="15">
        <f t="shared" si="144"/>
        <v>5.4880313955985654E-6</v>
      </c>
      <c r="AY121" s="16">
        <f t="shared" si="145"/>
        <v>27.32018052469175</v>
      </c>
      <c r="AZ121" s="17">
        <f t="shared" si="146"/>
        <v>1.3734860753152911E-2</v>
      </c>
      <c r="BA121" s="18">
        <f t="shared" si="147"/>
        <v>0.20188830725386403</v>
      </c>
      <c r="BB121" s="19">
        <f t="shared" si="202"/>
        <v>988.3187998489858</v>
      </c>
      <c r="BC121" s="15">
        <f t="shared" si="148"/>
        <v>5.476637599697972E-6</v>
      </c>
      <c r="BD121" s="16">
        <f t="shared" si="149"/>
        <v>27.254666198263337</v>
      </c>
      <c r="BE121" s="17">
        <f t="shared" si="150"/>
        <v>1.3706345573689833E-2</v>
      </c>
      <c r="BF121" s="18">
        <f t="shared" si="151"/>
        <v>0.20237360310622535</v>
      </c>
      <c r="BG121" s="19">
        <f t="shared" si="203"/>
        <v>982.02209640975184</v>
      </c>
      <c r="BH121" s="15">
        <f t="shared" si="152"/>
        <v>5.4640441928195043E-6</v>
      </c>
      <c r="BI121" s="16">
        <f t="shared" si="153"/>
        <v>27.182254108712144</v>
      </c>
      <c r="BJ121" s="17">
        <f t="shared" si="154"/>
        <v>1.3674828135574909E-2</v>
      </c>
      <c r="BK121" s="18">
        <f t="shared" si="155"/>
        <v>0.202912715698298</v>
      </c>
      <c r="BL121" s="19">
        <f t="shared" si="204"/>
        <v>975.12448222047817</v>
      </c>
      <c r="BM121" s="15">
        <f t="shared" si="156"/>
        <v>5.450248964440957E-6</v>
      </c>
      <c r="BN121" s="16">
        <f t="shared" si="157"/>
        <v>27.102931545535498</v>
      </c>
      <c r="BO121" s="17">
        <f t="shared" si="158"/>
        <v>1.3640302906548477E-2</v>
      </c>
      <c r="BP121" s="18">
        <f t="shared" si="159"/>
        <v>0.20350658343851943</v>
      </c>
      <c r="BQ121" s="19">
        <f t="shared" si="205"/>
        <v>967.61872351647696</v>
      </c>
      <c r="BR121" s="15">
        <f t="shared" si="160"/>
        <v>5.4352374470329547E-6</v>
      </c>
      <c r="BS121" s="16">
        <f t="shared" si="161"/>
        <v>27.016615320439485</v>
      </c>
      <c r="BT121" s="17">
        <f t="shared" si="162"/>
        <v>1.3602733678818146E-2</v>
      </c>
      <c r="BU121" s="18">
        <f t="shared" si="163"/>
        <v>0.20415677295546125</v>
      </c>
      <c r="BV121" s="19">
        <f t="shared" si="206"/>
        <v>959.46299331518719</v>
      </c>
      <c r="BW121" s="15">
        <f t="shared" si="164"/>
        <v>5.4189259866303746E-6</v>
      </c>
      <c r="BX121" s="16">
        <f t="shared" si="165"/>
        <v>26.922824423124652</v>
      </c>
      <c r="BY121" s="17">
        <f t="shared" si="166"/>
        <v>1.356191109214532E-2</v>
      </c>
      <c r="BZ121" s="18">
        <f t="shared" si="167"/>
        <v>0.20486799279731213</v>
      </c>
      <c r="CA121" s="19">
        <f t="shared" si="207"/>
        <v>950.44709496488974</v>
      </c>
      <c r="CB121" s="15">
        <f t="shared" si="168"/>
        <v>5.4008941899297798E-6</v>
      </c>
      <c r="CC121" s="16">
        <f t="shared" si="169"/>
        <v>26.81914159209623</v>
      </c>
      <c r="CD121" s="17">
        <f t="shared" si="170"/>
        <v>1.3516783030922774E-2</v>
      </c>
      <c r="CE121" s="18">
        <f t="shared" si="171"/>
        <v>0.20566001268383211</v>
      </c>
      <c r="CF121" s="19">
        <f t="shared" si="208"/>
        <v>939.67282559866953</v>
      </c>
      <c r="CG121" s="15">
        <f t="shared" si="172"/>
        <v>5.37934565119734E-6</v>
      </c>
      <c r="CH121" s="16">
        <f t="shared" si="173"/>
        <v>26.695237494384699</v>
      </c>
      <c r="CI121" s="17">
        <f t="shared" si="174"/>
        <v>1.3462853642114731E-2</v>
      </c>
      <c r="CJ121" s="18">
        <f t="shared" si="175"/>
        <v>0.20661456940250872</v>
      </c>
      <c r="CK121" s="19">
        <f t="shared" si="209"/>
        <v>923.97501737890479</v>
      </c>
      <c r="CL121" s="15">
        <f t="shared" si="176"/>
        <v>5.3479500347578108E-6</v>
      </c>
      <c r="CM121" s="16">
        <f t="shared" si="177"/>
        <v>26.514712699857405</v>
      </c>
      <c r="CN121" s="17">
        <f t="shared" si="178"/>
        <v>1.3384280035483732E-2</v>
      </c>
      <c r="CO121" s="18">
        <f t="shared" si="179"/>
        <v>0.20802129981327924</v>
      </c>
      <c r="CP121" s="19">
        <f t="shared" si="210"/>
        <v>894.57221834604525</v>
      </c>
      <c r="CQ121" s="15">
        <f t="shared" si="180"/>
        <v>5.2891444366920909E-6</v>
      </c>
      <c r="CR121" s="16">
        <f t="shared" si="181"/>
        <v>26.17658051097952</v>
      </c>
      <c r="CS121" s="17">
        <f t="shared" si="182"/>
        <v>1.3237107644745167E-2</v>
      </c>
      <c r="CT121" s="18">
        <f t="shared" si="183"/>
        <v>0.21070838483607601</v>
      </c>
      <c r="CU121" s="19">
        <f t="shared" si="211"/>
        <v>833.7510739867995</v>
      </c>
      <c r="CV121" s="15">
        <f t="shared" si="184"/>
        <v>5.1675021479735995E-6</v>
      </c>
      <c r="CW121" s="16">
        <f t="shared" si="185"/>
        <v>25.477137350848196</v>
      </c>
      <c r="CX121" s="17">
        <f t="shared" si="186"/>
        <v>1.2932674273867727E-2</v>
      </c>
      <c r="CY121" s="18">
        <f t="shared" si="187"/>
        <v>0.21649312181520941</v>
      </c>
      <c r="CZ121" s="20">
        <f t="shared" si="212"/>
        <v>719.81695070311309</v>
      </c>
      <c r="DA121" s="15">
        <f t="shared" si="188"/>
        <v>4.9396339014062261E-6</v>
      </c>
      <c r="DB121" s="16">
        <f t="shared" si="189"/>
        <v>24.1668949330858</v>
      </c>
      <c r="DC121" s="17">
        <f t="shared" si="190"/>
        <v>1.2362389883880807E-2</v>
      </c>
      <c r="DD121" s="18">
        <f t="shared" si="191"/>
        <v>0.22823060286693297</v>
      </c>
    </row>
    <row r="122" spans="2:108" x14ac:dyDescent="0.25">
      <c r="B122">
        <v>103</v>
      </c>
      <c r="C122">
        <f t="shared" si="192"/>
        <v>0.10069431063356091</v>
      </c>
      <c r="D122" s="19">
        <f t="shared" si="109"/>
        <v>1018.3188634983197</v>
      </c>
      <c r="E122" s="15">
        <f t="shared" si="110"/>
        <v>5.5366377269966405E-6</v>
      </c>
      <c r="F122" s="16">
        <f t="shared" si="111"/>
        <v>27.599666930230676</v>
      </c>
      <c r="G122" s="17">
        <f t="shared" si="107"/>
        <v>1.385650750503002E-2</v>
      </c>
      <c r="H122" s="18">
        <f t="shared" si="112"/>
        <v>0.19984389717249029</v>
      </c>
      <c r="I122" s="19">
        <f t="shared" si="193"/>
        <v>1017.9945840606488</v>
      </c>
      <c r="J122" s="15">
        <f t="shared" si="113"/>
        <v>5.5359891681212982E-6</v>
      </c>
      <c r="K122" s="16">
        <f t="shared" si="114"/>
        <v>27.59593771669746</v>
      </c>
      <c r="L122" s="17">
        <f t="shared" si="115"/>
        <v>1.3854884360918602E-2</v>
      </c>
      <c r="M122" s="18">
        <f t="shared" si="116"/>
        <v>0.19987090334178656</v>
      </c>
      <c r="N122" s="19">
        <f t="shared" si="194"/>
        <v>1017.0893340264631</v>
      </c>
      <c r="O122" s="15">
        <f t="shared" si="117"/>
        <v>5.5341786680529273E-6</v>
      </c>
      <c r="P122" s="16">
        <f t="shared" si="118"/>
        <v>27.585527341304324</v>
      </c>
      <c r="Q122" s="17">
        <f t="shared" si="108"/>
        <v>1.385650750503002E-2</v>
      </c>
      <c r="R122" s="18">
        <f t="shared" si="119"/>
        <v>0.19994633170348539</v>
      </c>
      <c r="S122" s="19">
        <f t="shared" si="195"/>
        <v>1015.5881939196001</v>
      </c>
      <c r="T122" s="15">
        <f t="shared" si="120"/>
        <v>5.5311763878392009E-6</v>
      </c>
      <c r="U122" s="16">
        <f t="shared" si="121"/>
        <v>27.5682642300754</v>
      </c>
      <c r="V122" s="17">
        <f t="shared" si="122"/>
        <v>1.3842839446769032E-2</v>
      </c>
      <c r="W122" s="18">
        <f t="shared" si="123"/>
        <v>0.20007153711123998</v>
      </c>
      <c r="X122" s="19">
        <f t="shared" si="196"/>
        <v>1013.4889502627913</v>
      </c>
      <c r="Y122" s="15">
        <f t="shared" si="124"/>
        <v>5.5269779005255827E-6</v>
      </c>
      <c r="Z122" s="16">
        <f t="shared" si="125"/>
        <v>27.544122928022098</v>
      </c>
      <c r="AA122" s="17">
        <f t="shared" si="126"/>
        <v>1.3832331919666934E-2</v>
      </c>
      <c r="AB122" s="18">
        <f t="shared" si="127"/>
        <v>0.20024689166590459</v>
      </c>
      <c r="AC122" s="19">
        <f t="shared" si="197"/>
        <v>1010.7902545089122</v>
      </c>
      <c r="AD122" s="15">
        <f t="shared" si="128"/>
        <v>5.5215805090178242E-6</v>
      </c>
      <c r="AE122" s="16">
        <f t="shared" si="129"/>
        <v>27.513087926852489</v>
      </c>
      <c r="AF122" s="17">
        <f t="shared" si="130"/>
        <v>1.3818823902776074E-2</v>
      </c>
      <c r="AG122" s="18">
        <f t="shared" si="131"/>
        <v>0.20047277189183868</v>
      </c>
      <c r="AH122" s="19">
        <f t="shared" si="198"/>
        <v>1007.491942590803</v>
      </c>
      <c r="AI122" s="15">
        <f t="shared" si="132"/>
        <v>5.5149838851816068E-6</v>
      </c>
      <c r="AJ122" s="16">
        <f t="shared" si="133"/>
        <v>27.475157339794233</v>
      </c>
      <c r="AK122" s="17">
        <f t="shared" si="134"/>
        <v>1.3802314574876812E-2</v>
      </c>
      <c r="AL122" s="18">
        <f t="shared" si="135"/>
        <v>0.20074953281564384</v>
      </c>
      <c r="AM122" s="19">
        <f t="shared" si="199"/>
        <v>1003.5939939276465</v>
      </c>
      <c r="AN122" s="15">
        <f t="shared" si="136"/>
        <v>5.5071879878552933E-6</v>
      </c>
      <c r="AO122" s="16">
        <f t="shared" si="137"/>
        <v>27.430330930167933</v>
      </c>
      <c r="AP122" s="17">
        <f t="shared" si="138"/>
        <v>1.3782803832954186E-2</v>
      </c>
      <c r="AQ122" s="18">
        <f t="shared" si="139"/>
        <v>0.20107759596636526</v>
      </c>
      <c r="AR122" s="19">
        <f t="shared" si="200"/>
        <v>999.09641115933744</v>
      </c>
      <c r="AS122" s="15">
        <f t="shared" si="140"/>
        <v>5.4981928223186755E-6</v>
      </c>
      <c r="AT122" s="16">
        <f t="shared" si="141"/>
        <v>27.378608728332381</v>
      </c>
      <c r="AU122" s="17">
        <f t="shared" si="142"/>
        <v>1.3760291690221894E-2</v>
      </c>
      <c r="AV122" s="18">
        <f t="shared" si="143"/>
        <v>0.20145746099553374</v>
      </c>
      <c r="AW122" s="19">
        <f t="shared" si="201"/>
        <v>993.99919467995755</v>
      </c>
      <c r="AX122" s="15">
        <f t="shared" si="144"/>
        <v>5.4879983893599159E-6</v>
      </c>
      <c r="AY122" s="16">
        <f t="shared" si="145"/>
        <v>27.319990738819513</v>
      </c>
      <c r="AZ122" s="17">
        <f t="shared" si="146"/>
        <v>1.3734778148652472E-2</v>
      </c>
      <c r="BA122" s="18">
        <f t="shared" si="147"/>
        <v>0.20188970972683162</v>
      </c>
      <c r="BB122" s="19">
        <f t="shared" si="202"/>
        <v>988.30232518094851</v>
      </c>
      <c r="BC122" s="15">
        <f t="shared" si="148"/>
        <v>5.4766046503618981E-6</v>
      </c>
      <c r="BD122" s="16">
        <f t="shared" si="149"/>
        <v>27.254476739580909</v>
      </c>
      <c r="BE122" s="17">
        <f t="shared" si="150"/>
        <v>1.3706263111599103E-2</v>
      </c>
      <c r="BF122" s="18">
        <f t="shared" si="151"/>
        <v>0.20237500990029331</v>
      </c>
      <c r="BG122" s="19">
        <f t="shared" si="203"/>
        <v>982.00563995122366</v>
      </c>
      <c r="BH122" s="15">
        <f t="shared" si="152"/>
        <v>5.464011279902448E-6</v>
      </c>
      <c r="BI122" s="16">
        <f t="shared" si="153"/>
        <v>27.182064859439073</v>
      </c>
      <c r="BJ122" s="17">
        <f t="shared" si="154"/>
        <v>1.3674745764629815E-2</v>
      </c>
      <c r="BK122" s="18">
        <f t="shared" si="155"/>
        <v>0.20291412843438489</v>
      </c>
      <c r="BL122" s="19">
        <f t="shared" si="204"/>
        <v>975.10795922958164</v>
      </c>
      <c r="BM122" s="15">
        <f t="shared" si="156"/>
        <v>5.4502159184591641E-6</v>
      </c>
      <c r="BN122" s="16">
        <f t="shared" si="157"/>
        <v>27.10274153114019</v>
      </c>
      <c r="BO122" s="17">
        <f t="shared" si="158"/>
        <v>1.3640220202583125E-2</v>
      </c>
      <c r="BP122" s="18">
        <f t="shared" si="159"/>
        <v>0.20350801020120868</v>
      </c>
      <c r="BQ122" s="19">
        <f t="shared" si="205"/>
        <v>967.60164137146057</v>
      </c>
      <c r="BR122" s="15">
        <f t="shared" si="160"/>
        <v>5.4352032827429215E-6</v>
      </c>
      <c r="BS122" s="16">
        <f t="shared" si="161"/>
        <v>27.016418875771798</v>
      </c>
      <c r="BT122" s="17">
        <f t="shared" si="162"/>
        <v>1.360264817606998E-2</v>
      </c>
      <c r="BU122" s="18">
        <f t="shared" si="163"/>
        <v>0.20415825744197308</v>
      </c>
      <c r="BV122" s="19">
        <f t="shared" si="206"/>
        <v>959.44295062113406</v>
      </c>
      <c r="BW122" s="15">
        <f t="shared" si="164"/>
        <v>5.4188859012422687E-6</v>
      </c>
      <c r="BX122" s="16">
        <f t="shared" si="165"/>
        <v>26.922593932143041</v>
      </c>
      <c r="BY122" s="17">
        <f t="shared" si="166"/>
        <v>1.3561810770703226E-2</v>
      </c>
      <c r="BZ122" s="18">
        <f t="shared" si="167"/>
        <v>0.20486974672283947</v>
      </c>
      <c r="CA122" s="19">
        <f t="shared" si="207"/>
        <v>950.41430191958409</v>
      </c>
      <c r="CB122" s="15">
        <f t="shared" si="168"/>
        <v>5.4008286038391688E-6</v>
      </c>
      <c r="CC122" s="16">
        <f t="shared" si="169"/>
        <v>26.818764472075216</v>
      </c>
      <c r="CD122" s="17">
        <f t="shared" si="170"/>
        <v>1.3516618889037105E-2</v>
      </c>
      <c r="CE122" s="18">
        <f t="shared" si="171"/>
        <v>0.20566290463317549</v>
      </c>
      <c r="CF122" s="19">
        <f t="shared" si="208"/>
        <v>939.59509434465292</v>
      </c>
      <c r="CG122" s="15">
        <f t="shared" si="172"/>
        <v>5.3791901886893066E-6</v>
      </c>
      <c r="CH122" s="16">
        <f t="shared" si="173"/>
        <v>26.694343584963505</v>
      </c>
      <c r="CI122" s="17">
        <f t="shared" si="174"/>
        <v>1.3462464567099255E-2</v>
      </c>
      <c r="CJ122" s="18">
        <f t="shared" si="175"/>
        <v>0.20662148827315099</v>
      </c>
      <c r="CK122" s="19">
        <f t="shared" si="209"/>
        <v>923.77265662195305</v>
      </c>
      <c r="CL122" s="15">
        <f t="shared" si="176"/>
        <v>5.3475453132439069E-6</v>
      </c>
      <c r="CM122" s="16">
        <f t="shared" si="177"/>
        <v>26.512385551152459</v>
      </c>
      <c r="CN122" s="17">
        <f t="shared" si="178"/>
        <v>1.3383267141563022E-2</v>
      </c>
      <c r="CO122" s="18">
        <f t="shared" si="179"/>
        <v>0.20803955907167482</v>
      </c>
      <c r="CP122" s="19">
        <f t="shared" si="210"/>
        <v>894.11819681692464</v>
      </c>
      <c r="CQ122" s="15">
        <f t="shared" si="180"/>
        <v>5.2882363936338498E-6</v>
      </c>
      <c r="CR122" s="16">
        <f t="shared" si="181"/>
        <v>26.171359263394635</v>
      </c>
      <c r="CS122" s="17">
        <f t="shared" si="182"/>
        <v>1.3234835091243959E-2</v>
      </c>
      <c r="CT122" s="18">
        <f t="shared" si="183"/>
        <v>0.21075042165328403</v>
      </c>
      <c r="CU122" s="19">
        <f t="shared" si="211"/>
        <v>832.98726780772506</v>
      </c>
      <c r="CV122" s="15">
        <f t="shared" si="184"/>
        <v>5.1659745356154506E-6</v>
      </c>
      <c r="CW122" s="16">
        <f t="shared" si="185"/>
        <v>25.46835357978884</v>
      </c>
      <c r="CX122" s="17">
        <f t="shared" si="186"/>
        <v>1.2928851128278435E-2</v>
      </c>
      <c r="CY122" s="18">
        <f t="shared" si="187"/>
        <v>0.21656778804803017</v>
      </c>
      <c r="CZ122" s="20">
        <f t="shared" si="212"/>
        <v>718.96936178997828</v>
      </c>
      <c r="DA122" s="15">
        <f t="shared" si="188"/>
        <v>4.9379387235799573E-6</v>
      </c>
      <c r="DB122" s="16">
        <f t="shared" si="189"/>
        <v>24.157147660584748</v>
      </c>
      <c r="DC122" s="17">
        <f t="shared" si="190"/>
        <v>1.2358147373275946E-2</v>
      </c>
      <c r="DD122" s="18">
        <f t="shared" si="191"/>
        <v>0.22832269262481664</v>
      </c>
    </row>
    <row r="123" spans="2:108" x14ac:dyDescent="0.25">
      <c r="B123">
        <v>104</v>
      </c>
      <c r="C123">
        <f t="shared" si="192"/>
        <v>0.10167192529990615</v>
      </c>
      <c r="D123" s="19">
        <f t="shared" si="109"/>
        <v>1018.3023074283833</v>
      </c>
      <c r="E123" s="15">
        <f t="shared" si="110"/>
        <v>5.5366046148567675E-6</v>
      </c>
      <c r="F123" s="16">
        <f t="shared" si="111"/>
        <v>27.599476535426405</v>
      </c>
      <c r="G123" s="17">
        <f t="shared" si="107"/>
        <v>1.3856424635491273E-2</v>
      </c>
      <c r="H123" s="18">
        <f t="shared" si="112"/>
        <v>0.19984527579427822</v>
      </c>
      <c r="I123" s="19">
        <f t="shared" si="193"/>
        <v>1017.9780154441307</v>
      </c>
      <c r="J123" s="15">
        <f t="shared" si="113"/>
        <v>5.5359560308882614E-6</v>
      </c>
      <c r="K123" s="16">
        <f t="shared" si="114"/>
        <v>27.595747177607503</v>
      </c>
      <c r="L123" s="17">
        <f t="shared" si="115"/>
        <v>1.3854801428579352E-2</v>
      </c>
      <c r="M123" s="18">
        <f t="shared" si="116"/>
        <v>0.19987228338124649</v>
      </c>
      <c r="N123" s="19">
        <f t="shared" si="194"/>
        <v>1017.072743073442</v>
      </c>
      <c r="O123" s="15">
        <f t="shared" si="117"/>
        <v>5.534145486146885E-6</v>
      </c>
      <c r="P123" s="16">
        <f t="shared" si="118"/>
        <v>27.585336545344582</v>
      </c>
      <c r="Q123" s="17">
        <f t="shared" si="108"/>
        <v>1.3856424635491273E-2</v>
      </c>
      <c r="R123" s="18">
        <f t="shared" si="119"/>
        <v>0.1999477146466368</v>
      </c>
      <c r="S123" s="19">
        <f t="shared" si="195"/>
        <v>1015.5715916017894</v>
      </c>
      <c r="T123" s="15">
        <f t="shared" si="120"/>
        <v>5.5311431832035792E-6</v>
      </c>
      <c r="U123" s="16">
        <f t="shared" si="121"/>
        <v>27.568073303420576</v>
      </c>
      <c r="V123" s="17">
        <f t="shared" si="122"/>
        <v>1.384275634574177E-2</v>
      </c>
      <c r="W123" s="18">
        <f t="shared" si="123"/>
        <v>0.20007292273543234</v>
      </c>
      <c r="X123" s="19">
        <f t="shared" si="196"/>
        <v>1013.4723501051926</v>
      </c>
      <c r="Y123" s="15">
        <f t="shared" si="124"/>
        <v>5.5269447002103855E-6</v>
      </c>
      <c r="Z123" s="16">
        <f t="shared" si="125"/>
        <v>27.543932026209713</v>
      </c>
      <c r="AA123" s="17">
        <f t="shared" si="126"/>
        <v>1.3832248829452368E-2</v>
      </c>
      <c r="AB123" s="18">
        <f t="shared" si="127"/>
        <v>0.2002482795394481</v>
      </c>
      <c r="AC123" s="19">
        <f t="shared" si="197"/>
        <v>1010.7736652586913</v>
      </c>
      <c r="AD123" s="15">
        <f t="shared" si="128"/>
        <v>5.5215473305173829E-6</v>
      </c>
      <c r="AE123" s="16">
        <f t="shared" si="129"/>
        <v>27.512897150474949</v>
      </c>
      <c r="AF123" s="17">
        <f t="shared" si="130"/>
        <v>1.3818740867157158E-2</v>
      </c>
      <c r="AG123" s="18">
        <f t="shared" si="131"/>
        <v>0.20047416198423818</v>
      </c>
      <c r="AH123" s="19">
        <f t="shared" si="198"/>
        <v>1007.47536942766</v>
      </c>
      <c r="AI123" s="15">
        <f t="shared" si="132"/>
        <v>5.5149507388553207E-6</v>
      </c>
      <c r="AJ123" s="16">
        <f t="shared" si="133"/>
        <v>27.47496674841809</v>
      </c>
      <c r="AK123" s="17">
        <f t="shared" si="134"/>
        <v>1.3802231619779948E-2</v>
      </c>
      <c r="AL123" s="18">
        <f t="shared" si="135"/>
        <v>0.20075092539711881</v>
      </c>
      <c r="AM123" s="19">
        <f t="shared" si="199"/>
        <v>1003.5774407053123</v>
      </c>
      <c r="AN123" s="15">
        <f t="shared" si="136"/>
        <v>5.5071548814106252E-6</v>
      </c>
      <c r="AO123" s="16">
        <f t="shared" si="137"/>
        <v>27.430140568111092</v>
      </c>
      <c r="AP123" s="17">
        <f t="shared" si="138"/>
        <v>1.378272097766879E-2</v>
      </c>
      <c r="AQ123" s="18">
        <f t="shared" si="139"/>
        <v>0.20107899142201952</v>
      </c>
      <c r="AR123" s="19">
        <f t="shared" si="200"/>
        <v>999.07988142265469</v>
      </c>
      <c r="AS123" s="15">
        <f t="shared" si="140"/>
        <v>5.4981597628453106E-6</v>
      </c>
      <c r="AT123" s="16">
        <f t="shared" si="141"/>
        <v>27.378418636360529</v>
      </c>
      <c r="AU123" s="17">
        <f t="shared" si="142"/>
        <v>1.3760208952491276E-2</v>
      </c>
      <c r="AV123" s="18">
        <f t="shared" si="143"/>
        <v>0.20145885974125802</v>
      </c>
      <c r="AW123" s="19">
        <f t="shared" si="201"/>
        <v>993.98269172474659</v>
      </c>
      <c r="AX123" s="15">
        <f t="shared" si="144"/>
        <v>5.4879653834494934E-6</v>
      </c>
      <c r="AY123" s="16">
        <f t="shared" si="145"/>
        <v>27.319800954834584</v>
      </c>
      <c r="AZ123" s="17">
        <f t="shared" si="146"/>
        <v>1.3734695544973481E-2</v>
      </c>
      <c r="BA123" s="18">
        <f t="shared" si="147"/>
        <v>0.20189111220533767</v>
      </c>
      <c r="BB123" s="19">
        <f t="shared" si="202"/>
        <v>988.28585050336903</v>
      </c>
      <c r="BC123" s="15">
        <f t="shared" si="148"/>
        <v>5.4765717010067381E-6</v>
      </c>
      <c r="BD123" s="16">
        <f t="shared" si="149"/>
        <v>27.254287280788745</v>
      </c>
      <c r="BE123" s="17">
        <f t="shared" si="150"/>
        <v>1.3706180649460603E-2</v>
      </c>
      <c r="BF123" s="18">
        <f t="shared" si="151"/>
        <v>0.20237641671473483</v>
      </c>
      <c r="BG123" s="19">
        <f t="shared" si="203"/>
        <v>981.98918240011085</v>
      </c>
      <c r="BH123" s="15">
        <f t="shared" si="152"/>
        <v>5.4639783648002221E-6</v>
      </c>
      <c r="BI123" s="16">
        <f t="shared" si="153"/>
        <v>27.181875597601273</v>
      </c>
      <c r="BJ123" s="17">
        <f t="shared" si="154"/>
        <v>1.3674663388215914E-2</v>
      </c>
      <c r="BK123" s="18">
        <f t="shared" si="155"/>
        <v>0.20291554128394065</v>
      </c>
      <c r="BL123" s="19">
        <f t="shared" si="204"/>
        <v>975.09142924528044</v>
      </c>
      <c r="BM123" s="15">
        <f t="shared" si="156"/>
        <v>5.450182858490561E-6</v>
      </c>
      <c r="BN123" s="16">
        <f t="shared" si="157"/>
        <v>27.102551436320724</v>
      </c>
      <c r="BO123" s="17">
        <f t="shared" si="158"/>
        <v>1.3640137463613079E-2</v>
      </c>
      <c r="BP123" s="18">
        <f t="shared" si="159"/>
        <v>0.2035094375877981</v>
      </c>
      <c r="BQ123" s="19">
        <f t="shared" si="205"/>
        <v>967.58452472819533</v>
      </c>
      <c r="BR123" s="15">
        <f t="shared" si="160"/>
        <v>5.4351690494563914E-6</v>
      </c>
      <c r="BS123" s="16">
        <f t="shared" si="161"/>
        <v>27.016222034374245</v>
      </c>
      <c r="BT123" s="17">
        <f t="shared" si="162"/>
        <v>1.3602562500644729E-2</v>
      </c>
      <c r="BU123" s="18">
        <f t="shared" si="163"/>
        <v>0.20415974494813385</v>
      </c>
      <c r="BV123" s="19">
        <f t="shared" si="206"/>
        <v>959.4227672544755</v>
      </c>
      <c r="BW123" s="15">
        <f t="shared" si="164"/>
        <v>5.4188455345089515E-6</v>
      </c>
      <c r="BX123" s="16">
        <f t="shared" si="165"/>
        <v>26.922361823426467</v>
      </c>
      <c r="BY123" s="17">
        <f t="shared" si="166"/>
        <v>1.3561709745140286E-2</v>
      </c>
      <c r="BZ123" s="18">
        <f t="shared" si="167"/>
        <v>0.20487151298890072</v>
      </c>
      <c r="CA123" s="19">
        <f t="shared" si="207"/>
        <v>950.3810465176656</v>
      </c>
      <c r="CB123" s="15">
        <f t="shared" si="168"/>
        <v>5.4007620930353311E-6</v>
      </c>
      <c r="CC123" s="16">
        <f t="shared" si="169"/>
        <v>26.818382034953153</v>
      </c>
      <c r="CD123" s="17">
        <f t="shared" si="170"/>
        <v>1.3516452432877612E-2</v>
      </c>
      <c r="CE123" s="18">
        <f t="shared" si="171"/>
        <v>0.20566583743983252</v>
      </c>
      <c r="CF123" s="19">
        <f t="shared" si="208"/>
        <v>939.51621528074361</v>
      </c>
      <c r="CG123" s="15">
        <f t="shared" si="172"/>
        <v>5.3790324305614878E-6</v>
      </c>
      <c r="CH123" s="16">
        <f t="shared" si="173"/>
        <v>26.69343647572855</v>
      </c>
      <c r="CI123" s="17">
        <f t="shared" si="174"/>
        <v>1.3462069746850958E-2</v>
      </c>
      <c r="CJ123" s="18">
        <f t="shared" si="175"/>
        <v>0.20662850978423755</v>
      </c>
      <c r="CK123" s="19">
        <f t="shared" si="209"/>
        <v>923.5684427063411</v>
      </c>
      <c r="CL123" s="15">
        <f t="shared" si="176"/>
        <v>5.3471368854126828E-6</v>
      </c>
      <c r="CM123" s="16">
        <f t="shared" si="177"/>
        <v>26.510037091122921</v>
      </c>
      <c r="CN123" s="17">
        <f t="shared" si="178"/>
        <v>1.3382244971865872E-2</v>
      </c>
      <c r="CO123" s="18">
        <f t="shared" si="179"/>
        <v>0.20805798879274096</v>
      </c>
      <c r="CP123" s="19">
        <f t="shared" si="210"/>
        <v>893.66322343093566</v>
      </c>
      <c r="CQ123" s="15">
        <f t="shared" si="180"/>
        <v>5.2873264468618719E-6</v>
      </c>
      <c r="CR123" s="16">
        <f t="shared" si="181"/>
        <v>26.166127069455762</v>
      </c>
      <c r="CS123" s="17">
        <f t="shared" si="182"/>
        <v>1.3232557773330669E-2</v>
      </c>
      <c r="CT123" s="18">
        <f t="shared" si="183"/>
        <v>0.21079256342978239</v>
      </c>
      <c r="CU123" s="19">
        <f t="shared" si="211"/>
        <v>832.22644659009666</v>
      </c>
      <c r="CV123" s="15">
        <f t="shared" si="184"/>
        <v>5.1644528931801939E-6</v>
      </c>
      <c r="CW123" s="16">
        <f t="shared" si="185"/>
        <v>25.459604135786108</v>
      </c>
      <c r="CX123" s="17">
        <f t="shared" si="186"/>
        <v>1.2925042923576636E-2</v>
      </c>
      <c r="CY123" s="18">
        <f t="shared" si="187"/>
        <v>0.21664221370383438</v>
      </c>
      <c r="CZ123" s="20">
        <f t="shared" si="212"/>
        <v>718.127512997042</v>
      </c>
      <c r="DA123" s="15">
        <f t="shared" si="188"/>
        <v>4.9362550259940841E-6</v>
      </c>
      <c r="DB123" s="16">
        <f t="shared" si="189"/>
        <v>24.147466399465983</v>
      </c>
      <c r="DC123" s="17">
        <f t="shared" si="190"/>
        <v>1.235393359419463E-2</v>
      </c>
      <c r="DD123" s="18">
        <f t="shared" si="191"/>
        <v>0.22841423231556818</v>
      </c>
    </row>
    <row r="124" spans="2:108" x14ac:dyDescent="0.25">
      <c r="B124">
        <v>105</v>
      </c>
      <c r="C124">
        <f t="shared" si="192"/>
        <v>0.1026495399662514</v>
      </c>
      <c r="D124" s="19">
        <f t="shared" si="109"/>
        <v>1018.2857507178818</v>
      </c>
      <c r="E124" s="15">
        <f t="shared" si="110"/>
        <v>5.5365715014357632E-6</v>
      </c>
      <c r="F124" s="16">
        <f t="shared" si="111"/>
        <v>27.599286133255639</v>
      </c>
      <c r="G124" s="17">
        <f t="shared" si="107"/>
        <v>1.3856341762746244E-2</v>
      </c>
      <c r="H124" s="18">
        <f t="shared" si="112"/>
        <v>0.19984665448842795</v>
      </c>
      <c r="I124" s="19">
        <f t="shared" si="193"/>
        <v>1017.9614465493781</v>
      </c>
      <c r="J124" s="15">
        <f t="shared" si="113"/>
        <v>5.535922893098757E-6</v>
      </c>
      <c r="K124" s="16">
        <f t="shared" si="114"/>
        <v>27.595556635317848</v>
      </c>
      <c r="L124" s="17">
        <f t="shared" si="115"/>
        <v>1.3854718494847438E-2</v>
      </c>
      <c r="M124" s="18">
        <f t="shared" si="116"/>
        <v>0.19987366346293925</v>
      </c>
      <c r="N124" s="19">
        <f t="shared" si="194"/>
        <v>1017.0561522550124</v>
      </c>
      <c r="O124" s="15">
        <f t="shared" si="117"/>
        <v>5.5341123045100246E-6</v>
      </c>
      <c r="P124" s="16">
        <f t="shared" si="118"/>
        <v>27.585145750932639</v>
      </c>
      <c r="Q124" s="17">
        <f t="shared" si="108"/>
        <v>1.3856341762746244E-2</v>
      </c>
      <c r="R124" s="18">
        <f t="shared" si="119"/>
        <v>0.19994909759769963</v>
      </c>
      <c r="S124" s="19">
        <f t="shared" si="195"/>
        <v>1015.5549895494241</v>
      </c>
      <c r="T124" s="15">
        <f t="shared" si="120"/>
        <v>5.5311099790988489E-6</v>
      </c>
      <c r="U124" s="16">
        <f t="shared" si="121"/>
        <v>27.567882379818379</v>
      </c>
      <c r="V124" s="17">
        <f t="shared" si="122"/>
        <v>1.3842673246043165E-2</v>
      </c>
      <c r="W124" s="18">
        <f t="shared" si="123"/>
        <v>0.20007430835666304</v>
      </c>
      <c r="X124" s="19">
        <f t="shared" si="196"/>
        <v>1013.4557501909421</v>
      </c>
      <c r="Y124" s="15">
        <f t="shared" si="124"/>
        <v>5.526911500381885E-6</v>
      </c>
      <c r="Z124" s="16">
        <f t="shared" si="125"/>
        <v>27.543741127195833</v>
      </c>
      <c r="AA124" s="17">
        <f t="shared" si="126"/>
        <v>1.3832165740455857E-2</v>
      </c>
      <c r="AB124" s="18">
        <f t="shared" si="127"/>
        <v>0.20024966741188413</v>
      </c>
      <c r="AC124" s="19">
        <f t="shared" si="197"/>
        <v>1010.757076217106</v>
      </c>
      <c r="AD124" s="15">
        <f t="shared" si="128"/>
        <v>5.521514152434212E-6</v>
      </c>
      <c r="AE124" s="16">
        <f t="shared" si="129"/>
        <v>27.512706376496716</v>
      </c>
      <c r="AF124" s="17">
        <f t="shared" si="130"/>
        <v>1.3818657832582543E-2</v>
      </c>
      <c r="AG124" s="18">
        <f t="shared" si="131"/>
        <v>0.2004755520784329</v>
      </c>
      <c r="AH124" s="19">
        <f t="shared" si="198"/>
        <v>1007.4587964588439</v>
      </c>
      <c r="AI124" s="15">
        <f t="shared" si="132"/>
        <v>5.514917592917688E-6</v>
      </c>
      <c r="AJ124" s="16">
        <f t="shared" si="133"/>
        <v>27.474776159276704</v>
      </c>
      <c r="AK124" s="17">
        <f t="shared" si="134"/>
        <v>1.3802148665655763E-2</v>
      </c>
      <c r="AL124" s="18">
        <f t="shared" si="135"/>
        <v>0.20075231798158547</v>
      </c>
      <c r="AM124" s="19">
        <f t="shared" si="199"/>
        <v>1003.5608876742054</v>
      </c>
      <c r="AN124" s="15">
        <f t="shared" si="136"/>
        <v>5.507121775348411E-6</v>
      </c>
      <c r="AO124" s="16">
        <f t="shared" si="137"/>
        <v>27.429950208253359</v>
      </c>
      <c r="AP124" s="17">
        <f t="shared" si="138"/>
        <v>1.3782638123340558E-2</v>
      </c>
      <c r="AQ124" s="18">
        <f t="shared" si="139"/>
        <v>0.20108038688092156</v>
      </c>
      <c r="AR124" s="19">
        <f t="shared" si="200"/>
        <v>999.0633518740658</v>
      </c>
      <c r="AS124" s="15">
        <f t="shared" si="140"/>
        <v>5.4981267037481324E-6</v>
      </c>
      <c r="AT124" s="16">
        <f t="shared" si="141"/>
        <v>27.378228546551757</v>
      </c>
      <c r="AU124" s="17">
        <f t="shared" si="142"/>
        <v>1.3760126215702138E-2</v>
      </c>
      <c r="AV124" s="18">
        <f t="shared" si="143"/>
        <v>0.20146025849048893</v>
      </c>
      <c r="AW124" s="19">
        <f t="shared" si="201"/>
        <v>993.96618893144125</v>
      </c>
      <c r="AX124" s="15">
        <f t="shared" si="144"/>
        <v>5.4879323778628831E-6</v>
      </c>
      <c r="AY124" s="16">
        <f t="shared" si="145"/>
        <v>27.319611172711575</v>
      </c>
      <c r="AZ124" s="17">
        <f t="shared" si="146"/>
        <v>1.3734612942104896E-2</v>
      </c>
      <c r="BA124" s="18">
        <f t="shared" si="147"/>
        <v>0.20189251468956954</v>
      </c>
      <c r="BB124" s="19">
        <f t="shared" si="202"/>
        <v>988.26937580289461</v>
      </c>
      <c r="BC124" s="15">
        <f t="shared" si="148"/>
        <v>5.47653875160579E-6</v>
      </c>
      <c r="BD124" s="16">
        <f t="shared" si="149"/>
        <v>27.254097821733289</v>
      </c>
      <c r="BE124" s="17">
        <f t="shared" si="150"/>
        <v>1.3706098187207512E-2</v>
      </c>
      <c r="BF124" s="18">
        <f t="shared" si="151"/>
        <v>0.20237782355069059</v>
      </c>
      <c r="BG124" s="19">
        <f t="shared" si="203"/>
        <v>981.97272368604388</v>
      </c>
      <c r="BH124" s="15">
        <f t="shared" si="152"/>
        <v>5.4639454473720886E-6</v>
      </c>
      <c r="BI124" s="16">
        <f t="shared" si="153"/>
        <v>27.181686322389503</v>
      </c>
      <c r="BJ124" s="17">
        <f t="shared" si="154"/>
        <v>1.3674581005980978E-2</v>
      </c>
      <c r="BK124" s="18">
        <f t="shared" si="155"/>
        <v>0.20291695425301079</v>
      </c>
      <c r="BL124" s="19">
        <f t="shared" si="204"/>
        <v>975.0748919532075</v>
      </c>
      <c r="BM124" s="15">
        <f t="shared" si="156"/>
        <v>5.4501497839064154E-6</v>
      </c>
      <c r="BN124" s="16">
        <f t="shared" si="157"/>
        <v>27.102361257461887</v>
      </c>
      <c r="BO124" s="17">
        <f t="shared" si="158"/>
        <v>1.3640054688064805E-2</v>
      </c>
      <c r="BP124" s="18">
        <f t="shared" si="159"/>
        <v>0.20351086562546003</v>
      </c>
      <c r="BQ124" s="19">
        <f t="shared" si="205"/>
        <v>967.56737244396027</v>
      </c>
      <c r="BR124" s="15">
        <f t="shared" si="160"/>
        <v>5.4351347448879206E-6</v>
      </c>
      <c r="BS124" s="16">
        <f t="shared" si="161"/>
        <v>27.016024783105543</v>
      </c>
      <c r="BT124" s="17">
        <f t="shared" si="162"/>
        <v>1.3602476646822625E-2</v>
      </c>
      <c r="BU124" s="18">
        <f t="shared" si="163"/>
        <v>0.20416123557338434</v>
      </c>
      <c r="BV124" s="19">
        <f t="shared" si="206"/>
        <v>959.40244007793206</v>
      </c>
      <c r="BW124" s="15">
        <f t="shared" si="164"/>
        <v>5.4188048801558638E-6</v>
      </c>
      <c r="BX124" s="16">
        <f t="shared" si="165"/>
        <v>26.92212806089622</v>
      </c>
      <c r="BY124" s="17">
        <f t="shared" si="166"/>
        <v>1.3561607999753204E-2</v>
      </c>
      <c r="BZ124" s="18">
        <f t="shared" si="167"/>
        <v>0.20487329187068684</v>
      </c>
      <c r="CA124" s="19">
        <f t="shared" si="207"/>
        <v>950.3473233792397</v>
      </c>
      <c r="CB124" s="15">
        <f t="shared" si="168"/>
        <v>5.40069464675848E-6</v>
      </c>
      <c r="CC124" s="16">
        <f t="shared" si="169"/>
        <v>26.817994218861255</v>
      </c>
      <c r="CD124" s="17">
        <f t="shared" si="170"/>
        <v>1.3516283635515844E-2</v>
      </c>
      <c r="CE124" s="18">
        <f t="shared" si="171"/>
        <v>0.20566881158177103</v>
      </c>
      <c r="CF124" s="19">
        <f t="shared" si="208"/>
        <v>939.43618759273227</v>
      </c>
      <c r="CG124" s="15">
        <f t="shared" si="172"/>
        <v>5.3788723751854652E-6</v>
      </c>
      <c r="CH124" s="16">
        <f t="shared" si="173"/>
        <v>26.692516157316419</v>
      </c>
      <c r="CI124" s="17">
        <f t="shared" si="174"/>
        <v>1.3461669177294409E-2</v>
      </c>
      <c r="CJ124" s="18">
        <f t="shared" si="175"/>
        <v>0.20663563402913468</v>
      </c>
      <c r="CK124" s="19">
        <f t="shared" si="209"/>
        <v>923.36239753490804</v>
      </c>
      <c r="CL124" s="15">
        <f t="shared" si="176"/>
        <v>5.3467247950698169E-6</v>
      </c>
      <c r="CM124" s="16">
        <f t="shared" si="177"/>
        <v>26.507667571651442</v>
      </c>
      <c r="CN124" s="17">
        <f t="shared" si="178"/>
        <v>1.3381213636024479E-2</v>
      </c>
      <c r="CO124" s="18">
        <f t="shared" si="179"/>
        <v>0.20807658708903801</v>
      </c>
      <c r="CP124" s="19">
        <f t="shared" si="210"/>
        <v>893.20734106832117</v>
      </c>
      <c r="CQ124" s="15">
        <f t="shared" si="180"/>
        <v>5.2864146821366429E-6</v>
      </c>
      <c r="CR124" s="16">
        <f t="shared" si="181"/>
        <v>26.16088442228569</v>
      </c>
      <c r="CS124" s="17">
        <f t="shared" si="182"/>
        <v>1.3230275905637509E-2</v>
      </c>
      <c r="CT124" s="18">
        <f t="shared" si="183"/>
        <v>0.21083480630728985</v>
      </c>
      <c r="CU124" s="19">
        <f t="shared" si="211"/>
        <v>831.46859630857546</v>
      </c>
      <c r="CV124" s="15">
        <f t="shared" si="184"/>
        <v>5.1629371926171511E-6</v>
      </c>
      <c r="CW124" s="16">
        <f t="shared" si="185"/>
        <v>25.450888857548616</v>
      </c>
      <c r="CX124" s="17">
        <f t="shared" si="186"/>
        <v>1.2921249589560077E-2</v>
      </c>
      <c r="CY124" s="18">
        <f t="shared" si="187"/>
        <v>0.21671639960677017</v>
      </c>
      <c r="CZ124" s="20">
        <f t="shared" si="212"/>
        <v>717.29130494864057</v>
      </c>
      <c r="DA124" s="15">
        <f t="shared" si="188"/>
        <v>4.9345826098972815E-6</v>
      </c>
      <c r="DB124" s="16">
        <f t="shared" si="189"/>
        <v>24.137850006909368</v>
      </c>
      <c r="DC124" s="17">
        <f t="shared" si="190"/>
        <v>1.2349748049223196E-2</v>
      </c>
      <c r="DD124" s="18">
        <f t="shared" si="191"/>
        <v>0.228505231345011</v>
      </c>
    </row>
    <row r="125" spans="2:108" x14ac:dyDescent="0.25">
      <c r="B125">
        <v>106</v>
      </c>
      <c r="C125">
        <f t="shared" si="192"/>
        <v>0.10362715463259665</v>
      </c>
      <c r="D125" s="19">
        <f t="shared" si="109"/>
        <v>1018.269193385314</v>
      </c>
      <c r="E125" s="15">
        <f t="shared" si="110"/>
        <v>5.5365383867706284E-6</v>
      </c>
      <c r="F125" s="16">
        <f t="shared" si="111"/>
        <v>27.599095723931111</v>
      </c>
      <c r="G125" s="17">
        <f t="shared" si="107"/>
        <v>1.3856258886887537E-2</v>
      </c>
      <c r="H125" s="18">
        <f t="shared" si="112"/>
        <v>0.19984803325340164</v>
      </c>
      <c r="I125" s="19">
        <f t="shared" si="193"/>
        <v>1017.9448773824693</v>
      </c>
      <c r="J125" s="15">
        <f t="shared" si="113"/>
        <v>5.5358897547649391E-6</v>
      </c>
      <c r="K125" s="16">
        <f t="shared" si="114"/>
        <v>27.595366089898395</v>
      </c>
      <c r="L125" s="17">
        <f t="shared" si="115"/>
        <v>1.3854635559753272E-2</v>
      </c>
      <c r="M125" s="18">
        <f t="shared" si="116"/>
        <v>0.19987504358635991</v>
      </c>
      <c r="N125" s="19">
        <f t="shared" si="194"/>
        <v>1017.0395615691522</v>
      </c>
      <c r="O125" s="15">
        <f t="shared" si="117"/>
        <v>5.5340791231383051E-6</v>
      </c>
      <c r="P125" s="16">
        <f t="shared" si="118"/>
        <v>27.584954958045248</v>
      </c>
      <c r="Q125" s="17">
        <f t="shared" si="108"/>
        <v>1.3856258886887537E-2</v>
      </c>
      <c r="R125" s="18">
        <f t="shared" si="119"/>
        <v>0.19995048055684242</v>
      </c>
      <c r="S125" s="19">
        <f t="shared" si="195"/>
        <v>1015.538387760638</v>
      </c>
      <c r="T125" s="15">
        <f t="shared" si="120"/>
        <v>5.5310767755212764E-6</v>
      </c>
      <c r="U125" s="16">
        <f t="shared" si="121"/>
        <v>27.567691459247335</v>
      </c>
      <c r="V125" s="17">
        <f t="shared" si="122"/>
        <v>1.3842590147663874E-2</v>
      </c>
      <c r="W125" s="18">
        <f t="shared" si="123"/>
        <v>0.20007569397508737</v>
      </c>
      <c r="X125" s="19">
        <f t="shared" si="196"/>
        <v>1013.4391505197635</v>
      </c>
      <c r="Y125" s="15">
        <f t="shared" si="124"/>
        <v>5.526878301039528E-6</v>
      </c>
      <c r="Z125" s="16">
        <f t="shared" si="125"/>
        <v>27.543550230977282</v>
      </c>
      <c r="AA125" s="17">
        <f t="shared" si="126"/>
        <v>1.3832082652676015E-2</v>
      </c>
      <c r="AB125" s="18">
        <f t="shared" si="127"/>
        <v>0.20025105528323531</v>
      </c>
      <c r="AC125" s="19">
        <f t="shared" si="197"/>
        <v>1010.7404873843682</v>
      </c>
      <c r="AD125" s="15">
        <f t="shared" si="128"/>
        <v>5.5214809747687368E-6</v>
      </c>
      <c r="AE125" s="16">
        <f t="shared" si="129"/>
        <v>27.512515604920232</v>
      </c>
      <c r="AF125" s="17">
        <f t="shared" si="130"/>
        <v>1.3818574799053292E-2</v>
      </c>
      <c r="AG125" s="18">
        <f t="shared" si="131"/>
        <v>0.2004769421744047</v>
      </c>
      <c r="AH125" s="19">
        <f t="shared" si="198"/>
        <v>1007.4422236844873</v>
      </c>
      <c r="AI125" s="15">
        <f t="shared" si="132"/>
        <v>5.5148844473689755E-6</v>
      </c>
      <c r="AJ125" s="16">
        <f t="shared" si="133"/>
        <v>27.474585572371602</v>
      </c>
      <c r="AK125" s="17">
        <f t="shared" si="134"/>
        <v>1.3802065712504927E-2</v>
      </c>
      <c r="AL125" s="18">
        <f t="shared" si="135"/>
        <v>0.20075371056903232</v>
      </c>
      <c r="AM125" s="19">
        <f t="shared" si="199"/>
        <v>1003.5443348343171</v>
      </c>
      <c r="AN125" s="15">
        <f t="shared" si="136"/>
        <v>5.5070886696686347E-6</v>
      </c>
      <c r="AO125" s="16">
        <f t="shared" si="137"/>
        <v>27.429759850594646</v>
      </c>
      <c r="AP125" s="17">
        <f t="shared" si="138"/>
        <v>1.378255526996945E-2</v>
      </c>
      <c r="AQ125" s="18">
        <f t="shared" si="139"/>
        <v>0.20108178234307172</v>
      </c>
      <c r="AR125" s="19">
        <f t="shared" si="200"/>
        <v>999.04682251322561</v>
      </c>
      <c r="AS125" s="15">
        <f t="shared" si="140"/>
        <v>5.4980936450264516E-6</v>
      </c>
      <c r="AT125" s="16">
        <f t="shared" si="141"/>
        <v>27.378038458902093</v>
      </c>
      <c r="AU125" s="17">
        <f t="shared" si="142"/>
        <v>1.3760043479852753E-2</v>
      </c>
      <c r="AV125" s="18">
        <f t="shared" si="143"/>
        <v>0.20146165724325549</v>
      </c>
      <c r="AW125" s="19">
        <f t="shared" si="201"/>
        <v>993.94968629769585</v>
      </c>
      <c r="AX125" s="15">
        <f t="shared" si="144"/>
        <v>5.4878993725953924E-6</v>
      </c>
      <c r="AY125" s="16">
        <f t="shared" si="145"/>
        <v>27.3194213924235</v>
      </c>
      <c r="AZ125" s="17">
        <f t="shared" si="146"/>
        <v>1.3734530340034967E-2</v>
      </c>
      <c r="BA125" s="18">
        <f t="shared" si="147"/>
        <v>0.20189391717972655</v>
      </c>
      <c r="BB125" s="19">
        <f t="shared" si="202"/>
        <v>988.25290106549585</v>
      </c>
      <c r="BC125" s="15">
        <f t="shared" si="148"/>
        <v>5.4765058021309916E-6</v>
      </c>
      <c r="BD125" s="16">
        <f t="shared" si="149"/>
        <v>27.253908362253199</v>
      </c>
      <c r="BE125" s="17">
        <f t="shared" si="150"/>
        <v>1.3706015724769594E-2</v>
      </c>
      <c r="BF125" s="18">
        <f t="shared" si="151"/>
        <v>0.20237923040935915</v>
      </c>
      <c r="BG125" s="19">
        <f t="shared" si="203"/>
        <v>981.95626373590449</v>
      </c>
      <c r="BH125" s="15">
        <f t="shared" si="152"/>
        <v>5.4639125274718089E-6</v>
      </c>
      <c r="BI125" s="16">
        <f t="shared" si="153"/>
        <v>27.181497032962902</v>
      </c>
      <c r="BJ125" s="17">
        <f t="shared" si="154"/>
        <v>1.3674498617559018E-2</v>
      </c>
      <c r="BK125" s="18">
        <f t="shared" si="155"/>
        <v>0.20291836734787719</v>
      </c>
      <c r="BL125" s="19">
        <f t="shared" si="204"/>
        <v>975.05834703039989</v>
      </c>
      <c r="BM125" s="15">
        <f t="shared" si="156"/>
        <v>5.4501166940607995E-6</v>
      </c>
      <c r="BN125" s="16">
        <f t="shared" si="157"/>
        <v>27.102170990849597</v>
      </c>
      <c r="BO125" s="17">
        <f t="shared" si="158"/>
        <v>1.3639971874321748E-2</v>
      </c>
      <c r="BP125" s="18">
        <f t="shared" si="159"/>
        <v>0.20351229434211079</v>
      </c>
      <c r="BQ125" s="19">
        <f t="shared" si="205"/>
        <v>967.5501833586693</v>
      </c>
      <c r="BR125" s="15">
        <f t="shared" si="160"/>
        <v>5.4351003667173392E-6</v>
      </c>
      <c r="BS125" s="16">
        <f t="shared" si="161"/>
        <v>27.015827108624698</v>
      </c>
      <c r="BT125" s="17">
        <f t="shared" si="162"/>
        <v>1.3602390608796993E-2</v>
      </c>
      <c r="BU125" s="18">
        <f t="shared" si="163"/>
        <v>0.20416272941868058</v>
      </c>
      <c r="BV125" s="19">
        <f t="shared" si="206"/>
        <v>959.38196594886529</v>
      </c>
      <c r="BW125" s="15">
        <f t="shared" si="164"/>
        <v>5.4187639318977315E-6</v>
      </c>
      <c r="BX125" s="16">
        <f t="shared" si="165"/>
        <v>26.921892608411952</v>
      </c>
      <c r="BY125" s="17">
        <f t="shared" si="166"/>
        <v>1.3561505518811863E-2</v>
      </c>
      <c r="BZ125" s="18">
        <f t="shared" si="167"/>
        <v>0.20487508364388174</v>
      </c>
      <c r="CA125" s="19">
        <f t="shared" si="207"/>
        <v>950.31312721802828</v>
      </c>
      <c r="CB125" s="15">
        <f t="shared" si="168"/>
        <v>5.400626254436057E-6</v>
      </c>
      <c r="CC125" s="16">
        <f t="shared" si="169"/>
        <v>26.817600963007322</v>
      </c>
      <c r="CD125" s="17">
        <f t="shared" si="170"/>
        <v>1.3516112470491932E-2</v>
      </c>
      <c r="CE125" s="18">
        <f t="shared" si="171"/>
        <v>0.20567182752880661</v>
      </c>
      <c r="CF125" s="19">
        <f t="shared" si="208"/>
        <v>939.35501072405737</v>
      </c>
      <c r="CG125" s="15">
        <f t="shared" si="172"/>
        <v>5.3787100214481148E-6</v>
      </c>
      <c r="CH125" s="16">
        <f t="shared" si="173"/>
        <v>26.69158262332666</v>
      </c>
      <c r="CI125" s="17">
        <f t="shared" si="174"/>
        <v>1.34612628556438E-2</v>
      </c>
      <c r="CJ125" s="18">
        <f t="shared" si="175"/>
        <v>0.20664286107859758</v>
      </c>
      <c r="CK125" s="19">
        <f t="shared" si="209"/>
        <v>923.15454300483407</v>
      </c>
      <c r="CL125" s="15">
        <f t="shared" si="176"/>
        <v>5.346309086009669E-6</v>
      </c>
      <c r="CM125" s="16">
        <f t="shared" si="177"/>
        <v>26.505277244555593</v>
      </c>
      <c r="CN125" s="17">
        <f t="shared" si="178"/>
        <v>1.3380173243642697E-2</v>
      </c>
      <c r="CO125" s="18">
        <f t="shared" si="179"/>
        <v>0.2080953520730652</v>
      </c>
      <c r="CP125" s="19">
        <f t="shared" si="210"/>
        <v>892.7505915422737</v>
      </c>
      <c r="CQ125" s="15">
        <f t="shared" si="180"/>
        <v>5.2855011830845485E-6</v>
      </c>
      <c r="CR125" s="16">
        <f t="shared" si="181"/>
        <v>26.155631802736146</v>
      </c>
      <c r="CS125" s="17">
        <f t="shared" si="182"/>
        <v>1.32279896974557E-2</v>
      </c>
      <c r="CT125" s="18">
        <f t="shared" si="183"/>
        <v>0.21087714652042966</v>
      </c>
      <c r="CU125" s="19">
        <f t="shared" si="211"/>
        <v>830.71370250404573</v>
      </c>
      <c r="CV125" s="15">
        <f t="shared" si="184"/>
        <v>5.1614274050080922E-6</v>
      </c>
      <c r="CW125" s="16">
        <f t="shared" si="185"/>
        <v>25.442207578796527</v>
      </c>
      <c r="CX125" s="17">
        <f t="shared" si="186"/>
        <v>1.291747105385529E-2</v>
      </c>
      <c r="CY125" s="18">
        <f t="shared" si="187"/>
        <v>0.21679034662843913</v>
      </c>
      <c r="CZ125" s="20">
        <f t="shared" si="212"/>
        <v>716.4606410612671</v>
      </c>
      <c r="DA125" s="15">
        <f t="shared" si="188"/>
        <v>4.9329212821225349E-6</v>
      </c>
      <c r="DB125" s="16">
        <f t="shared" si="189"/>
        <v>24.128297372204571</v>
      </c>
      <c r="DC125" s="17">
        <f t="shared" si="190"/>
        <v>1.2345590254923806E-2</v>
      </c>
      <c r="DD125" s="18">
        <f t="shared" si="191"/>
        <v>0.22859569885581382</v>
      </c>
    </row>
    <row r="126" spans="2:108" x14ac:dyDescent="0.25">
      <c r="B126">
        <v>107</v>
      </c>
      <c r="C126">
        <f t="shared" si="192"/>
        <v>0.10460476929894191</v>
      </c>
      <c r="D126" s="19">
        <f t="shared" si="109"/>
        <v>1018.2526354485444</v>
      </c>
      <c r="E126" s="15">
        <f t="shared" si="110"/>
        <v>5.5365052708970893E-6</v>
      </c>
      <c r="F126" s="16">
        <f t="shared" si="111"/>
        <v>27.59890530765826</v>
      </c>
      <c r="G126" s="17">
        <f t="shared" si="107"/>
        <v>1.3856176008004567E-2</v>
      </c>
      <c r="H126" s="18">
        <f t="shared" si="112"/>
        <v>0.19984941208771426</v>
      </c>
      <c r="I126" s="19">
        <f t="shared" si="193"/>
        <v>1017.9283079493998</v>
      </c>
      <c r="J126" s="15">
        <f t="shared" si="113"/>
        <v>5.5358566158987999E-6</v>
      </c>
      <c r="K126" s="16">
        <f t="shared" si="114"/>
        <v>27.595175541418097</v>
      </c>
      <c r="L126" s="17">
        <f t="shared" si="115"/>
        <v>1.3854552623326868E-2</v>
      </c>
      <c r="M126" s="18">
        <f t="shared" si="116"/>
        <v>0.19987642375101033</v>
      </c>
      <c r="N126" s="19">
        <f t="shared" si="194"/>
        <v>1017.0229710139259</v>
      </c>
      <c r="O126" s="15">
        <f t="shared" si="117"/>
        <v>5.5340459420278529E-6</v>
      </c>
      <c r="P126" s="16">
        <f t="shared" si="118"/>
        <v>27.584764166660147</v>
      </c>
      <c r="Q126" s="17">
        <f t="shared" si="108"/>
        <v>1.3856176008004567E-2</v>
      </c>
      <c r="R126" s="18">
        <f t="shared" si="119"/>
        <v>0.19995186352422639</v>
      </c>
      <c r="S126" s="19">
        <f t="shared" si="195"/>
        <v>1015.5217862335884</v>
      </c>
      <c r="T126" s="15">
        <f t="shared" si="120"/>
        <v>5.5310435724671769E-6</v>
      </c>
      <c r="U126" s="16">
        <f t="shared" si="121"/>
        <v>27.567500541686265</v>
      </c>
      <c r="V126" s="17">
        <f t="shared" si="122"/>
        <v>1.3842507050594678E-2</v>
      </c>
      <c r="W126" s="18">
        <f t="shared" si="123"/>
        <v>0.20007707959085858</v>
      </c>
      <c r="X126" s="19">
        <f t="shared" si="196"/>
        <v>1013.422551091369</v>
      </c>
      <c r="Y126" s="15">
        <f t="shared" si="124"/>
        <v>5.5268451021827386E-6</v>
      </c>
      <c r="Z126" s="16">
        <f t="shared" si="125"/>
        <v>27.54335933755074</v>
      </c>
      <c r="AA126" s="17">
        <f t="shared" si="126"/>
        <v>1.3831999566111398E-2</v>
      </c>
      <c r="AB126" s="18">
        <f t="shared" si="127"/>
        <v>0.20025244315352531</v>
      </c>
      <c r="AC126" s="19">
        <f t="shared" si="197"/>
        <v>1010.723898760682</v>
      </c>
      <c r="AD126" s="15">
        <f t="shared" si="128"/>
        <v>5.5214477975213647E-6</v>
      </c>
      <c r="AE126" s="16">
        <f t="shared" si="129"/>
        <v>27.51232483574784</v>
      </c>
      <c r="AF126" s="17">
        <f t="shared" si="130"/>
        <v>1.3818491766570424E-2</v>
      </c>
      <c r="AG126" s="18">
        <f t="shared" si="131"/>
        <v>0.20047833227213618</v>
      </c>
      <c r="AH126" s="19">
        <f t="shared" si="198"/>
        <v>1007.4256511047214</v>
      </c>
      <c r="AI126" s="15">
        <f t="shared" si="132"/>
        <v>5.5148513022094434E-6</v>
      </c>
      <c r="AJ126" s="16">
        <f t="shared" si="133"/>
        <v>27.474394987704294</v>
      </c>
      <c r="AK126" s="17">
        <f t="shared" si="134"/>
        <v>1.380198276032809E-2</v>
      </c>
      <c r="AL126" s="18">
        <f t="shared" si="135"/>
        <v>0.20075510315944814</v>
      </c>
      <c r="AM126" s="19">
        <f t="shared" si="199"/>
        <v>1003.527782185635</v>
      </c>
      <c r="AN126" s="15">
        <f t="shared" si="136"/>
        <v>5.5070555643712701E-6</v>
      </c>
      <c r="AO126" s="16">
        <f t="shared" si="137"/>
        <v>27.4295694951348</v>
      </c>
      <c r="AP126" s="17">
        <f t="shared" si="138"/>
        <v>1.3782472417555404E-2</v>
      </c>
      <c r="AQ126" s="18">
        <f t="shared" si="139"/>
        <v>0.20108317780847088</v>
      </c>
      <c r="AR126" s="19">
        <f t="shared" si="200"/>
        <v>999.03029333976383</v>
      </c>
      <c r="AS126" s="15">
        <f t="shared" si="140"/>
        <v>5.4980605866795287E-6</v>
      </c>
      <c r="AT126" s="16">
        <f t="shared" si="141"/>
        <v>27.377848373407282</v>
      </c>
      <c r="AU126" s="17">
        <f t="shared" si="142"/>
        <v>1.3759960744941272E-2</v>
      </c>
      <c r="AV126" s="18">
        <f t="shared" si="143"/>
        <v>0.20146305599958872</v>
      </c>
      <c r="AW126" s="19">
        <f t="shared" si="201"/>
        <v>993.93318382102098</v>
      </c>
      <c r="AX126" s="15">
        <f t="shared" si="144"/>
        <v>5.4878663676420426E-6</v>
      </c>
      <c r="AY126" s="16">
        <f t="shared" si="145"/>
        <v>27.319231613941739</v>
      </c>
      <c r="AZ126" s="17">
        <f t="shared" si="146"/>
        <v>1.3734447738751238E-2</v>
      </c>
      <c r="BA126" s="18">
        <f t="shared" si="147"/>
        <v>0.20189531967602004</v>
      </c>
      <c r="BB126" s="19">
        <f t="shared" si="202"/>
        <v>988.23642627644404</v>
      </c>
      <c r="BC126" s="15">
        <f t="shared" si="148"/>
        <v>5.4764728525528882E-6</v>
      </c>
      <c r="BD126" s="16">
        <f t="shared" si="149"/>
        <v>27.253718902179106</v>
      </c>
      <c r="BE126" s="17">
        <f t="shared" si="150"/>
        <v>1.3705933262073138E-2</v>
      </c>
      <c r="BF126" s="18">
        <f t="shared" si="151"/>
        <v>0.20238063729199876</v>
      </c>
      <c r="BG126" s="19">
        <f t="shared" si="203"/>
        <v>981.93980247376874</v>
      </c>
      <c r="BH126" s="15">
        <f t="shared" si="152"/>
        <v>5.4638796049475381E-6</v>
      </c>
      <c r="BI126" s="16">
        <f t="shared" si="153"/>
        <v>27.181307728448338</v>
      </c>
      <c r="BJ126" s="17">
        <f t="shared" si="154"/>
        <v>1.3674416222570015E-2</v>
      </c>
      <c r="BK126" s="18">
        <f t="shared" si="155"/>
        <v>0.20291978057506296</v>
      </c>
      <c r="BL126" s="19">
        <f t="shared" si="204"/>
        <v>975.04179414525117</v>
      </c>
      <c r="BM126" s="15">
        <f t="shared" si="156"/>
        <v>5.4500835882905025E-6</v>
      </c>
      <c r="BN126" s="16">
        <f t="shared" si="157"/>
        <v>27.10198063267039</v>
      </c>
      <c r="BO126" s="17">
        <f t="shared" si="158"/>
        <v>1.3639889020724095E-2</v>
      </c>
      <c r="BP126" s="18">
        <f t="shared" si="159"/>
        <v>0.20351372376641461</v>
      </c>
      <c r="BQ126" s="19">
        <f t="shared" si="205"/>
        <v>967.53295629515742</v>
      </c>
      <c r="BR126" s="15">
        <f t="shared" si="160"/>
        <v>5.4350659125903149E-6</v>
      </c>
      <c r="BS126" s="16">
        <f t="shared" si="161"/>
        <v>27.015628997394309</v>
      </c>
      <c r="BT126" s="17">
        <f t="shared" si="162"/>
        <v>1.360230438067566E-2</v>
      </c>
      <c r="BU126" s="18">
        <f t="shared" si="163"/>
        <v>0.20416422658646921</v>
      </c>
      <c r="BV126" s="19">
        <f t="shared" si="206"/>
        <v>959.36134172051584</v>
      </c>
      <c r="BW126" s="15">
        <f t="shared" si="164"/>
        <v>5.418722683441032E-6</v>
      </c>
      <c r="BX126" s="16">
        <f t="shared" si="165"/>
        <v>26.921655429785929</v>
      </c>
      <c r="BY126" s="17">
        <f t="shared" si="166"/>
        <v>1.3561402286565502E-2</v>
      </c>
      <c r="BZ126" s="18">
        <f t="shared" si="167"/>
        <v>0.2048768885845538</v>
      </c>
      <c r="CA126" s="19">
        <f t="shared" si="207"/>
        <v>950.27845284237208</v>
      </c>
      <c r="CB126" s="15">
        <f t="shared" si="168"/>
        <v>5.4005569056847443E-6</v>
      </c>
      <c r="CC126" s="16">
        <f t="shared" si="169"/>
        <v>26.817202207687281</v>
      </c>
      <c r="CD126" s="17">
        <f t="shared" si="170"/>
        <v>1.3515938911819609E-2</v>
      </c>
      <c r="CE126" s="18">
        <f t="shared" si="171"/>
        <v>0.20567488574251491</v>
      </c>
      <c r="CF126" s="19">
        <f t="shared" si="208"/>
        <v>939.27268436998145</v>
      </c>
      <c r="CG126" s="15">
        <f t="shared" si="172"/>
        <v>5.3785453687399634E-6</v>
      </c>
      <c r="CH126" s="16">
        <f t="shared" si="173"/>
        <v>26.690635870254788</v>
      </c>
      <c r="CI126" s="17">
        <f t="shared" si="174"/>
        <v>1.3460850780373804E-2</v>
      </c>
      <c r="CJ126" s="18">
        <f t="shared" si="175"/>
        <v>0.20665019098128171</v>
      </c>
      <c r="CK126" s="19">
        <f t="shared" si="209"/>
        <v>922.94490099630025</v>
      </c>
      <c r="CL126" s="15">
        <f t="shared" si="176"/>
        <v>5.3458898019926012E-6</v>
      </c>
      <c r="CM126" s="16">
        <f t="shared" si="177"/>
        <v>26.50286636145745</v>
      </c>
      <c r="CN126" s="17">
        <f t="shared" si="178"/>
        <v>1.3379123904239306E-2</v>
      </c>
      <c r="CO126" s="18">
        <f t="shared" si="179"/>
        <v>0.2081142818582542</v>
      </c>
      <c r="CP126" s="19">
        <f t="shared" si="210"/>
        <v>892.29301562158071</v>
      </c>
      <c r="CQ126" s="15">
        <f t="shared" si="180"/>
        <v>5.284586031243162E-6</v>
      </c>
      <c r="CR126" s="16">
        <f t="shared" si="181"/>
        <v>26.150369679648179</v>
      </c>
      <c r="CS126" s="17">
        <f t="shared" si="182"/>
        <v>1.3225699352848796E-2</v>
      </c>
      <c r="CT126" s="18">
        <f t="shared" si="183"/>
        <v>0.21091958039478875</v>
      </c>
      <c r="CU126" s="19">
        <f t="shared" si="211"/>
        <v>829.96175032004578</v>
      </c>
      <c r="CV126" s="15">
        <f t="shared" si="184"/>
        <v>5.1599235006400923E-6</v>
      </c>
      <c r="CW126" s="16">
        <f t="shared" si="185"/>
        <v>25.433560128680526</v>
      </c>
      <c r="CX126" s="17">
        <f t="shared" si="186"/>
        <v>1.291370724209993E-2</v>
      </c>
      <c r="CY126" s="18">
        <f t="shared" si="187"/>
        <v>0.21686405568445075</v>
      </c>
      <c r="CZ126" s="20">
        <f t="shared" si="212"/>
        <v>715.63542744148208</v>
      </c>
      <c r="DA126" s="15">
        <f t="shared" si="188"/>
        <v>4.9312708548829641E-6</v>
      </c>
      <c r="DB126" s="16">
        <f t="shared" si="189"/>
        <v>24.118807415577045</v>
      </c>
      <c r="DC126" s="17">
        <f t="shared" si="190"/>
        <v>1.2341459741323446E-2</v>
      </c>
      <c r="DD126" s="18">
        <f t="shared" si="191"/>
        <v>0.22868564373700143</v>
      </c>
    </row>
    <row r="127" spans="2:108" x14ac:dyDescent="0.25">
      <c r="B127">
        <v>108</v>
      </c>
      <c r="C127">
        <f t="shared" si="192"/>
        <v>0.10558238396528716</v>
      </c>
      <c r="D127" s="19">
        <f t="shared" si="109"/>
        <v>1018.2360769248319</v>
      </c>
      <c r="E127" s="15">
        <f t="shared" si="110"/>
        <v>5.5364721538496642E-6</v>
      </c>
      <c r="F127" s="16">
        <f t="shared" si="111"/>
        <v>27.598714884635566</v>
      </c>
      <c r="G127" s="17">
        <f t="shared" si="107"/>
        <v>1.385609312618372E-2</v>
      </c>
      <c r="H127" s="18">
        <f t="shared" si="112"/>
        <v>0.199850790989931</v>
      </c>
      <c r="I127" s="19">
        <f t="shared" si="193"/>
        <v>1017.9117382560828</v>
      </c>
      <c r="J127" s="15">
        <f t="shared" si="113"/>
        <v>5.5358234765121657E-6</v>
      </c>
      <c r="K127" s="16">
        <f t="shared" si="114"/>
        <v>27.594984989944951</v>
      </c>
      <c r="L127" s="17">
        <f t="shared" si="115"/>
        <v>1.3854469685597826E-2</v>
      </c>
      <c r="M127" s="18">
        <f t="shared" si="116"/>
        <v>0.19987780395639937</v>
      </c>
      <c r="N127" s="19">
        <f t="shared" si="194"/>
        <v>1017.0063805874822</v>
      </c>
      <c r="O127" s="15">
        <f t="shared" si="117"/>
        <v>5.5340127611749656E-6</v>
      </c>
      <c r="P127" s="16">
        <f t="shared" si="118"/>
        <v>27.584573376756044</v>
      </c>
      <c r="Q127" s="17">
        <f t="shared" si="108"/>
        <v>1.385609312618372E-2</v>
      </c>
      <c r="R127" s="18">
        <f t="shared" si="119"/>
        <v>0.19995324650000584</v>
      </c>
      <c r="S127" s="19">
        <f t="shared" si="195"/>
        <v>1015.5051849664566</v>
      </c>
      <c r="T127" s="15">
        <f t="shared" si="120"/>
        <v>5.5310103699329135E-6</v>
      </c>
      <c r="U127" s="16">
        <f t="shared" si="121"/>
        <v>27.567309627114248</v>
      </c>
      <c r="V127" s="17">
        <f t="shared" si="122"/>
        <v>1.3842423954826473E-2</v>
      </c>
      <c r="W127" s="18">
        <f t="shared" si="123"/>
        <v>0.20007846520412798</v>
      </c>
      <c r="X127" s="19">
        <f t="shared" si="196"/>
        <v>1013.4059519054595</v>
      </c>
      <c r="Y127" s="15">
        <f t="shared" si="124"/>
        <v>5.5268119038109195E-6</v>
      </c>
      <c r="Z127" s="16">
        <f t="shared" si="125"/>
        <v>27.543168446912784</v>
      </c>
      <c r="AA127" s="17">
        <f t="shared" si="126"/>
        <v>1.3831916480760513E-2</v>
      </c>
      <c r="AB127" s="18">
        <f t="shared" si="127"/>
        <v>0.20025383102277861</v>
      </c>
      <c r="AC127" s="19">
        <f t="shared" si="197"/>
        <v>1010.7073103462446</v>
      </c>
      <c r="AD127" s="15">
        <f t="shared" si="128"/>
        <v>5.5214146206924895E-6</v>
      </c>
      <c r="AE127" s="16">
        <f t="shared" si="129"/>
        <v>27.512134068981812</v>
      </c>
      <c r="AF127" s="17">
        <f t="shared" si="130"/>
        <v>1.3818408735134926E-2</v>
      </c>
      <c r="AG127" s="18">
        <f t="shared" si="131"/>
        <v>0.20047972237161049</v>
      </c>
      <c r="AH127" s="19">
        <f t="shared" si="198"/>
        <v>1007.4090787196762</v>
      </c>
      <c r="AI127" s="15">
        <f t="shared" si="132"/>
        <v>5.5148181574393533E-6</v>
      </c>
      <c r="AJ127" s="16">
        <f t="shared" si="133"/>
        <v>27.474204405276275</v>
      </c>
      <c r="AK127" s="17">
        <f t="shared" si="134"/>
        <v>1.3801899809125906E-2</v>
      </c>
      <c r="AL127" s="18">
        <f t="shared" si="135"/>
        <v>0.20075649575282165</v>
      </c>
      <c r="AM127" s="19">
        <f t="shared" si="199"/>
        <v>1003.5112297281439</v>
      </c>
      <c r="AN127" s="15">
        <f t="shared" si="136"/>
        <v>5.5070224594562884E-6</v>
      </c>
      <c r="AO127" s="16">
        <f t="shared" si="137"/>
        <v>27.429379141873653</v>
      </c>
      <c r="AP127" s="17">
        <f t="shared" si="138"/>
        <v>1.3782389566098343E-2</v>
      </c>
      <c r="AQ127" s="18">
        <f t="shared" si="139"/>
        <v>0.20108457327712001</v>
      </c>
      <c r="AR127" s="19">
        <f t="shared" si="200"/>
        <v>999.01376435328393</v>
      </c>
      <c r="AS127" s="15">
        <f t="shared" si="140"/>
        <v>5.4980275287065682E-6</v>
      </c>
      <c r="AT127" s="16">
        <f t="shared" si="141"/>
        <v>27.377658290062765</v>
      </c>
      <c r="AU127" s="17">
        <f t="shared" si="142"/>
        <v>1.3759878010965705E-2</v>
      </c>
      <c r="AV127" s="18">
        <f t="shared" si="143"/>
        <v>0.2014644547595219</v>
      </c>
      <c r="AW127" s="19">
        <f t="shared" si="201"/>
        <v>993.91668149877717</v>
      </c>
      <c r="AX127" s="15">
        <f t="shared" si="144"/>
        <v>5.4878333629975548E-6</v>
      </c>
      <c r="AY127" s="16">
        <f t="shared" si="145"/>
        <v>27.319041837235936</v>
      </c>
      <c r="AZ127" s="17">
        <f t="shared" si="146"/>
        <v>1.3734365138240496E-2</v>
      </c>
      <c r="BA127" s="18">
        <f t="shared" si="147"/>
        <v>0.20189672217867416</v>
      </c>
      <c r="BB127" s="19">
        <f t="shared" si="202"/>
        <v>988.21995142028788</v>
      </c>
      <c r="BC127" s="15">
        <f t="shared" si="148"/>
        <v>5.4764399028405759E-6</v>
      </c>
      <c r="BD127" s="16">
        <f t="shared" si="149"/>
        <v>27.25352944133331</v>
      </c>
      <c r="BE127" s="17">
        <f t="shared" si="150"/>
        <v>1.3705850799040796E-2</v>
      </c>
      <c r="BF127" s="18">
        <f t="shared" si="151"/>
        <v>0.20238204419992958</v>
      </c>
      <c r="BG127" s="19">
        <f t="shared" si="203"/>
        <v>981.92333982085108</v>
      </c>
      <c r="BH127" s="15">
        <f t="shared" si="152"/>
        <v>5.4638466796417025E-6</v>
      </c>
      <c r="BI127" s="16">
        <f t="shared" si="153"/>
        <v>27.181118407939785</v>
      </c>
      <c r="BJ127" s="17">
        <f t="shared" si="154"/>
        <v>1.3674333820619604E-2</v>
      </c>
      <c r="BK127" s="18">
        <f t="shared" si="155"/>
        <v>0.2029211939413372</v>
      </c>
      <c r="BL127" s="19">
        <f t="shared" si="204"/>
        <v>975.02523295746778</v>
      </c>
      <c r="BM127" s="15">
        <f t="shared" si="156"/>
        <v>5.4500504659149369E-6</v>
      </c>
      <c r="BN127" s="16">
        <f t="shared" si="157"/>
        <v>27.101790179010877</v>
      </c>
      <c r="BO127" s="17">
        <f t="shared" si="158"/>
        <v>1.3639806125568546E-2</v>
      </c>
      <c r="BP127" s="18">
        <f t="shared" si="159"/>
        <v>0.20351515392778757</v>
      </c>
      <c r="BQ127" s="19">
        <f t="shared" si="205"/>
        <v>967.51569005947488</v>
      </c>
      <c r="BR127" s="15">
        <f t="shared" si="160"/>
        <v>5.4350313801189501E-6</v>
      </c>
      <c r="BS127" s="16">
        <f t="shared" si="161"/>
        <v>27.01543043568396</v>
      </c>
      <c r="BT127" s="17">
        <f t="shared" si="162"/>
        <v>1.3602217956482454E-2</v>
      </c>
      <c r="BU127" s="18">
        <f t="shared" si="163"/>
        <v>0.20416572718066184</v>
      </c>
      <c r="BV127" s="19">
        <f t="shared" si="206"/>
        <v>959.34056424322523</v>
      </c>
      <c r="BW127" s="15">
        <f t="shared" si="164"/>
        <v>5.4186811284864506E-6</v>
      </c>
      <c r="BX127" s="16">
        <f t="shared" si="165"/>
        <v>26.921416488797089</v>
      </c>
      <c r="BY127" s="17">
        <f t="shared" si="166"/>
        <v>1.3561298287248875E-2</v>
      </c>
      <c r="BZ127" s="18">
        <f t="shared" si="167"/>
        <v>0.20487870696904964</v>
      </c>
      <c r="CA127" s="19">
        <f t="shared" si="207"/>
        <v>950.24329515613999</v>
      </c>
      <c r="CB127" s="15">
        <f t="shared" si="168"/>
        <v>5.4004865903122808E-6</v>
      </c>
      <c r="CC127" s="16">
        <f t="shared" si="169"/>
        <v>26.816797894295611</v>
      </c>
      <c r="CD127" s="17">
        <f t="shared" si="170"/>
        <v>1.3515762933990772E-2</v>
      </c>
      <c r="CE127" s="18">
        <f t="shared" si="171"/>
        <v>0.20567798667615222</v>
      </c>
      <c r="CF127" s="19">
        <f t="shared" si="208"/>
        <v>939.1892084717789</v>
      </c>
      <c r="CG127" s="15">
        <f t="shared" si="172"/>
        <v>5.378378416943558E-6</v>
      </c>
      <c r="CH127" s="16">
        <f t="shared" si="173"/>
        <v>26.689675897425456</v>
      </c>
      <c r="CI127" s="17">
        <f t="shared" si="174"/>
        <v>1.3460432951190471E-2</v>
      </c>
      <c r="CJ127" s="18">
        <f t="shared" si="175"/>
        <v>0.20665762376425295</v>
      </c>
      <c r="CK127" s="19">
        <f t="shared" si="209"/>
        <v>922.73349336169224</v>
      </c>
      <c r="CL127" s="15">
        <f t="shared" si="176"/>
        <v>5.345466986723385E-6</v>
      </c>
      <c r="CM127" s="16">
        <f t="shared" si="177"/>
        <v>26.500435173659461</v>
      </c>
      <c r="CN127" s="17">
        <f t="shared" si="178"/>
        <v>1.3378065727193954E-2</v>
      </c>
      <c r="CO127" s="18">
        <f t="shared" si="179"/>
        <v>0.2081333745599146</v>
      </c>
      <c r="CP127" s="19">
        <f t="shared" si="210"/>
        <v>891.83465305302116</v>
      </c>
      <c r="CQ127" s="15">
        <f t="shared" si="180"/>
        <v>5.2836693061060428E-6</v>
      </c>
      <c r="CR127" s="16">
        <f t="shared" si="181"/>
        <v>26.14509851010974</v>
      </c>
      <c r="CS127" s="17">
        <f t="shared" si="182"/>
        <v>1.3223405070764811E-2</v>
      </c>
      <c r="CT127" s="18">
        <f t="shared" si="183"/>
        <v>0.21096210434499713</v>
      </c>
      <c r="CU127" s="19">
        <f t="shared" si="211"/>
        <v>829.2127245370973</v>
      </c>
      <c r="CV127" s="15">
        <f t="shared" si="184"/>
        <v>5.1584254490741949E-6</v>
      </c>
      <c r="CW127" s="16">
        <f t="shared" si="185"/>
        <v>25.424946332176617</v>
      </c>
      <c r="CX127" s="17">
        <f t="shared" si="186"/>
        <v>1.2909958078114618E-2</v>
      </c>
      <c r="CY127" s="18">
        <f t="shared" si="187"/>
        <v>0.21693752773116709</v>
      </c>
      <c r="CZ127" s="20">
        <f t="shared" si="212"/>
        <v>714.81557278815069</v>
      </c>
      <c r="DA127" s="15">
        <f t="shared" si="188"/>
        <v>4.9296311455763017E-6</v>
      </c>
      <c r="DB127" s="16">
        <f t="shared" si="189"/>
        <v>24.109379087063733</v>
      </c>
      <c r="DC127" s="17">
        <f t="shared" si="190"/>
        <v>1.2337356051424603E-2</v>
      </c>
      <c r="DD127" s="18">
        <f t="shared" si="191"/>
        <v>0.22877507463307073</v>
      </c>
    </row>
    <row r="128" spans="2:108" x14ac:dyDescent="0.25">
      <c r="B128">
        <v>109</v>
      </c>
      <c r="C128">
        <f t="shared" si="192"/>
        <v>0.1065599986316324</v>
      </c>
      <c r="D128" s="19">
        <f t="shared" si="109"/>
        <v>1018.2195178308558</v>
      </c>
      <c r="E128" s="15">
        <f t="shared" si="110"/>
        <v>5.5364390356617126E-6</v>
      </c>
      <c r="F128" s="16">
        <f t="shared" si="111"/>
        <v>27.598524455054843</v>
      </c>
      <c r="G128" s="17">
        <f t="shared" si="107"/>
        <v>1.3856010241508484E-2</v>
      </c>
      <c r="H128" s="18">
        <f t="shared" si="112"/>
        <v>0.19985216995866525</v>
      </c>
      <c r="I128" s="19">
        <f t="shared" si="193"/>
        <v>1017.8951683083482</v>
      </c>
      <c r="J128" s="15">
        <f t="shared" si="113"/>
        <v>5.5357903366166968E-6</v>
      </c>
      <c r="K128" s="16">
        <f t="shared" si="114"/>
        <v>27.594794435546003</v>
      </c>
      <c r="L128" s="17">
        <f t="shared" si="115"/>
        <v>1.3854386746595325E-2</v>
      </c>
      <c r="M128" s="18">
        <f t="shared" si="116"/>
        <v>0.19987918420204262</v>
      </c>
      <c r="N128" s="19">
        <f t="shared" si="194"/>
        <v>1016.9897902880508</v>
      </c>
      <c r="O128" s="15">
        <f t="shared" si="117"/>
        <v>5.5339795805761026E-6</v>
      </c>
      <c r="P128" s="16">
        <f t="shared" si="118"/>
        <v>27.584382588312586</v>
      </c>
      <c r="Q128" s="17">
        <f t="shared" si="108"/>
        <v>1.3856010241508484E-2</v>
      </c>
      <c r="R128" s="18">
        <f t="shared" si="119"/>
        <v>0.19995462948432829</v>
      </c>
      <c r="S128" s="19">
        <f t="shared" si="195"/>
        <v>1015.4885839574482</v>
      </c>
      <c r="T128" s="15">
        <f t="shared" si="120"/>
        <v>5.5309771679148963E-6</v>
      </c>
      <c r="U128" s="16">
        <f t="shared" si="121"/>
        <v>27.567118715510652</v>
      </c>
      <c r="V128" s="17">
        <f t="shared" si="122"/>
        <v>1.3842340860350274E-2</v>
      </c>
      <c r="W128" s="18">
        <f t="shared" si="123"/>
        <v>0.20007985081504479</v>
      </c>
      <c r="X128" s="19">
        <f t="shared" si="196"/>
        <v>1013.3893529617253</v>
      </c>
      <c r="Y128" s="15">
        <f t="shared" si="124"/>
        <v>5.5267787059234509E-6</v>
      </c>
      <c r="Z128" s="16">
        <f t="shared" si="125"/>
        <v>27.542977559059842</v>
      </c>
      <c r="AA128" s="17">
        <f t="shared" si="126"/>
        <v>1.383183339662181E-2</v>
      </c>
      <c r="AB128" s="18">
        <f t="shared" si="127"/>
        <v>0.20025521889102071</v>
      </c>
      <c r="AC128" s="19">
        <f t="shared" si="197"/>
        <v>1010.6907221412461</v>
      </c>
      <c r="AD128" s="15">
        <f t="shared" si="128"/>
        <v>5.5213814442824933E-6</v>
      </c>
      <c r="AE128" s="16">
        <f t="shared" si="129"/>
        <v>27.511943304624328</v>
      </c>
      <c r="AF128" s="17">
        <f t="shared" si="130"/>
        <v>1.3818325704747754E-2</v>
      </c>
      <c r="AG128" s="18">
        <f t="shared" si="131"/>
        <v>0.20048111247281139</v>
      </c>
      <c r="AH128" s="19">
        <f t="shared" si="198"/>
        <v>1007.3925065294808</v>
      </c>
      <c r="AI128" s="15">
        <f t="shared" si="132"/>
        <v>5.5147850130589618E-6</v>
      </c>
      <c r="AJ128" s="16">
        <f t="shared" si="133"/>
        <v>27.474013825089028</v>
      </c>
      <c r="AK128" s="17">
        <f t="shared" si="134"/>
        <v>1.3801816858899021E-2</v>
      </c>
      <c r="AL128" s="18">
        <f t="shared" si="135"/>
        <v>0.20075788834914177</v>
      </c>
      <c r="AM128" s="19">
        <f t="shared" si="199"/>
        <v>1003.4946774618244</v>
      </c>
      <c r="AN128" s="15">
        <f t="shared" si="136"/>
        <v>5.5069893549236489E-6</v>
      </c>
      <c r="AO128" s="16">
        <f t="shared" si="137"/>
        <v>27.429188790810979</v>
      </c>
      <c r="AP128" s="17">
        <f t="shared" si="138"/>
        <v>1.3782306715598167E-2</v>
      </c>
      <c r="AQ128" s="18">
        <f t="shared" si="139"/>
        <v>0.20108596874902049</v>
      </c>
      <c r="AR128" s="19">
        <f t="shared" si="200"/>
        <v>998.99723555336152</v>
      </c>
      <c r="AS128" s="15">
        <f t="shared" si="140"/>
        <v>5.4979944711067233E-6</v>
      </c>
      <c r="AT128" s="16">
        <f t="shared" si="141"/>
        <v>27.377468208863657</v>
      </c>
      <c r="AU128" s="17">
        <f t="shared" si="142"/>
        <v>1.3759795277923934E-2</v>
      </c>
      <c r="AV128" s="18">
        <f t="shared" si="143"/>
        <v>0.20146585352309077</v>
      </c>
      <c r="AW128" s="19">
        <f t="shared" si="201"/>
        <v>993.90017932816806</v>
      </c>
      <c r="AX128" s="15">
        <f t="shared" si="144"/>
        <v>5.4878003586563362E-6</v>
      </c>
      <c r="AY128" s="16">
        <f t="shared" si="145"/>
        <v>27.318852062273933</v>
      </c>
      <c r="AZ128" s="17">
        <f t="shared" si="146"/>
        <v>1.3734282538488744E-2</v>
      </c>
      <c r="BA128" s="18">
        <f t="shared" si="147"/>
        <v>0.20189812468792648</v>
      </c>
      <c r="BB128" s="19">
        <f t="shared" si="202"/>
        <v>988.20347648083032</v>
      </c>
      <c r="BC128" s="15">
        <f t="shared" si="148"/>
        <v>5.4764069529616615E-6</v>
      </c>
      <c r="BD128" s="16">
        <f t="shared" si="149"/>
        <v>27.253339979529549</v>
      </c>
      <c r="BE128" s="17">
        <f t="shared" si="150"/>
        <v>1.3705768335591501E-2</v>
      </c>
      <c r="BF128" s="18">
        <f t="shared" si="151"/>
        <v>0.20238345113453546</v>
      </c>
      <c r="BG128" s="19">
        <f t="shared" si="203"/>
        <v>981.90687569544912</v>
      </c>
      <c r="BH128" s="15">
        <f t="shared" si="152"/>
        <v>5.4638137513908986E-6</v>
      </c>
      <c r="BI128" s="16">
        <f t="shared" si="153"/>
        <v>27.180929070497662</v>
      </c>
      <c r="BJ128" s="17">
        <f t="shared" si="154"/>
        <v>1.3674251411298841E-2</v>
      </c>
      <c r="BK128" s="18">
        <f t="shared" si="155"/>
        <v>0.20292260745371987</v>
      </c>
      <c r="BL128" s="19">
        <f t="shared" si="204"/>
        <v>975.00866311803009</v>
      </c>
      <c r="BM128" s="15">
        <f t="shared" si="156"/>
        <v>5.4500173262360603E-6</v>
      </c>
      <c r="BN128" s="16">
        <f t="shared" si="157"/>
        <v>27.101599625857347</v>
      </c>
      <c r="BO128" s="17">
        <f t="shared" si="158"/>
        <v>1.3639723187108108E-2</v>
      </c>
      <c r="BP128" s="18">
        <f t="shared" si="159"/>
        <v>0.20351658485640092</v>
      </c>
      <c r="BQ128" s="19">
        <f t="shared" si="205"/>
        <v>967.49838344119087</v>
      </c>
      <c r="BR128" s="15">
        <f t="shared" si="160"/>
        <v>5.4349967668823821E-6</v>
      </c>
      <c r="BS128" s="16">
        <f t="shared" si="161"/>
        <v>27.015231409573694</v>
      </c>
      <c r="BT128" s="17">
        <f t="shared" si="162"/>
        <v>1.3602131330158695E-2</v>
      </c>
      <c r="BU128" s="18">
        <f t="shared" si="163"/>
        <v>0.20416723130660897</v>
      </c>
      <c r="BV128" s="19">
        <f t="shared" si="206"/>
        <v>959.31963036564071</v>
      </c>
      <c r="BW128" s="15">
        <f t="shared" si="164"/>
        <v>5.4186392607312814E-6</v>
      </c>
      <c r="BX128" s="16">
        <f t="shared" si="165"/>
        <v>26.921175749204867</v>
      </c>
      <c r="BY128" s="17">
        <f t="shared" si="166"/>
        <v>1.3561193505088233E-2</v>
      </c>
      <c r="BZ128" s="18">
        <f t="shared" si="167"/>
        <v>0.20488053907388898</v>
      </c>
      <c r="CA128" s="19">
        <f t="shared" si="207"/>
        <v>950.20764915954896</v>
      </c>
      <c r="CB128" s="15">
        <f t="shared" si="168"/>
        <v>5.4004152983190987E-6</v>
      </c>
      <c r="CC128" s="16">
        <f t="shared" si="169"/>
        <v>26.816387965334812</v>
      </c>
      <c r="CD128" s="17">
        <f t="shared" si="170"/>
        <v>1.3515584511979565E-2</v>
      </c>
      <c r="CE128" s="18">
        <f t="shared" si="171"/>
        <v>0.20568113077458364</v>
      </c>
      <c r="CF128" s="19">
        <f t="shared" si="208"/>
        <v>939.10458321094302</v>
      </c>
      <c r="CG128" s="15">
        <f t="shared" si="172"/>
        <v>5.3782091664218868E-6</v>
      </c>
      <c r="CH128" s="16">
        <f t="shared" si="173"/>
        <v>26.688702706925845</v>
      </c>
      <c r="CI128" s="17">
        <f t="shared" si="174"/>
        <v>1.3460009369002254E-2</v>
      </c>
      <c r="CJ128" s="18">
        <f t="shared" si="175"/>
        <v>0.20666515943349578</v>
      </c>
      <c r="CK128" s="19">
        <f t="shared" si="209"/>
        <v>922.52034191533096</v>
      </c>
      <c r="CL128" s="15">
        <f t="shared" si="176"/>
        <v>5.3450406838306623E-6</v>
      </c>
      <c r="CM128" s="16">
        <f t="shared" si="177"/>
        <v>26.497983932026305</v>
      </c>
      <c r="CN128" s="17">
        <f t="shared" si="178"/>
        <v>1.3376998821695763E-2</v>
      </c>
      <c r="CO128" s="18">
        <f t="shared" si="179"/>
        <v>0.2081526282961339</v>
      </c>
      <c r="CP128" s="19">
        <f t="shared" si="210"/>
        <v>891.37554258349746</v>
      </c>
      <c r="CQ128" s="15">
        <f t="shared" si="180"/>
        <v>5.2827510851669951E-6</v>
      </c>
      <c r="CR128" s="16">
        <f t="shared" si="181"/>
        <v>26.139818739710222</v>
      </c>
      <c r="CS128" s="17">
        <f t="shared" si="182"/>
        <v>1.3221107045147E-2</v>
      </c>
      <c r="CT128" s="18">
        <f t="shared" si="183"/>
        <v>0.21100471487282946</v>
      </c>
      <c r="CU128" s="19">
        <f t="shared" si="211"/>
        <v>828.46660960504676</v>
      </c>
      <c r="CV128" s="15">
        <f t="shared" si="184"/>
        <v>5.1569332192100938E-6</v>
      </c>
      <c r="CW128" s="16">
        <f t="shared" si="185"/>
        <v>25.416366010458034</v>
      </c>
      <c r="CX128" s="17">
        <f t="shared" si="186"/>
        <v>1.2906223484064817E-2</v>
      </c>
      <c r="CY128" s="18">
        <f t="shared" si="187"/>
        <v>0.21701076376262815</v>
      </c>
      <c r="CZ128" s="20">
        <f t="shared" si="212"/>
        <v>714.00098829880517</v>
      </c>
      <c r="DA128" s="15">
        <f t="shared" si="188"/>
        <v>4.928001976597611E-6</v>
      </c>
      <c r="DB128" s="16">
        <f t="shared" si="189"/>
        <v>24.100011365436259</v>
      </c>
      <c r="DC128" s="17">
        <f t="shared" si="190"/>
        <v>1.2333278740736545E-2</v>
      </c>
      <c r="DD128" s="18">
        <f t="shared" si="191"/>
        <v>0.22886399995273016</v>
      </c>
    </row>
    <row r="129" spans="2:108" x14ac:dyDescent="0.25">
      <c r="B129">
        <v>110</v>
      </c>
      <c r="C129">
        <f t="shared" si="192"/>
        <v>0.10753761329797766</v>
      </c>
      <c r="D129" s="19">
        <f t="shared" si="109"/>
        <v>1018.2029581827417</v>
      </c>
      <c r="E129" s="15">
        <f t="shared" si="110"/>
        <v>5.5364059163654836E-6</v>
      </c>
      <c r="F129" s="16">
        <f t="shared" si="111"/>
        <v>27.598334019101529</v>
      </c>
      <c r="G129" s="17">
        <f t="shared" si="107"/>
        <v>1.3855927354059567E-2</v>
      </c>
      <c r="H129" s="18">
        <f t="shared" si="112"/>
        <v>0.19985354899257657</v>
      </c>
      <c r="I129" s="19">
        <f t="shared" si="193"/>
        <v>1017.878598111943</v>
      </c>
      <c r="J129" s="15">
        <f t="shared" si="113"/>
        <v>5.5357571962238866E-6</v>
      </c>
      <c r="K129" s="16">
        <f t="shared" si="114"/>
        <v>27.594603878287344</v>
      </c>
      <c r="L129" s="17">
        <f t="shared" si="115"/>
        <v>1.3854303806348132E-2</v>
      </c>
      <c r="M129" s="18">
        <f t="shared" si="116"/>
        <v>0.19988056448746264</v>
      </c>
      <c r="N129" s="19">
        <f t="shared" si="194"/>
        <v>1016.9732001139402</v>
      </c>
      <c r="O129" s="15">
        <f t="shared" si="117"/>
        <v>5.5339464002278809E-6</v>
      </c>
      <c r="P129" s="16">
        <f t="shared" si="118"/>
        <v>27.584191801310311</v>
      </c>
      <c r="Q129" s="17">
        <f t="shared" si="108"/>
        <v>1.3855927354059567E-2</v>
      </c>
      <c r="R129" s="18">
        <f t="shared" si="119"/>
        <v>0.19995601247733477</v>
      </c>
      <c r="S129" s="19">
        <f t="shared" si="195"/>
        <v>1015.471983204793</v>
      </c>
      <c r="T129" s="15">
        <f t="shared" si="120"/>
        <v>5.5309439664095865E-6</v>
      </c>
      <c r="U129" s="16">
        <f t="shared" si="121"/>
        <v>27.566927806855119</v>
      </c>
      <c r="V129" s="17">
        <f t="shared" si="122"/>
        <v>1.3842257767157222E-2</v>
      </c>
      <c r="W129" s="18">
        <f t="shared" si="123"/>
        <v>0.20008123642375628</v>
      </c>
      <c r="X129" s="19">
        <f t="shared" si="196"/>
        <v>1013.3727542598466</v>
      </c>
      <c r="Y129" s="15">
        <f t="shared" si="124"/>
        <v>5.526745508519694E-6</v>
      </c>
      <c r="Z129" s="16">
        <f t="shared" si="125"/>
        <v>27.542786673988235</v>
      </c>
      <c r="AA129" s="17">
        <f t="shared" si="126"/>
        <v>1.3831750313693689E-2</v>
      </c>
      <c r="AB129" s="18">
        <f t="shared" si="127"/>
        <v>0.20025660675827794</v>
      </c>
      <c r="AC129" s="19">
        <f t="shared" si="197"/>
        <v>1010.6741341458691</v>
      </c>
      <c r="AD129" s="15">
        <f t="shared" si="128"/>
        <v>5.5213482682917386E-6</v>
      </c>
      <c r="AE129" s="16">
        <f t="shared" si="129"/>
        <v>27.511752542677492</v>
      </c>
      <c r="AF129" s="17">
        <f t="shared" si="130"/>
        <v>1.3818242675409818E-2</v>
      </c>
      <c r="AG129" s="18">
        <f t="shared" si="131"/>
        <v>0.20048250257572323</v>
      </c>
      <c r="AH129" s="19">
        <f t="shared" si="198"/>
        <v>1007.3759345342622</v>
      </c>
      <c r="AI129" s="15">
        <f t="shared" si="132"/>
        <v>5.5147518690685249E-6</v>
      </c>
      <c r="AJ129" s="16">
        <f t="shared" si="133"/>
        <v>27.473823247144015</v>
      </c>
      <c r="AK129" s="17">
        <f t="shared" si="134"/>
        <v>1.380173390964807E-2</v>
      </c>
      <c r="AL129" s="18">
        <f t="shared" si="135"/>
        <v>0.20075928094839751</v>
      </c>
      <c r="AM129" s="19">
        <f t="shared" si="199"/>
        <v>1003.4781253866531</v>
      </c>
      <c r="AN129" s="15">
        <f t="shared" si="136"/>
        <v>5.5069562507733066E-6</v>
      </c>
      <c r="AO129" s="16">
        <f t="shared" si="137"/>
        <v>27.428998441946511</v>
      </c>
      <c r="AP129" s="17">
        <f t="shared" si="138"/>
        <v>1.3782223866054766E-2</v>
      </c>
      <c r="AQ129" s="18">
        <f t="shared" si="139"/>
        <v>0.20108736422417403</v>
      </c>
      <c r="AR129" s="19">
        <f t="shared" si="200"/>
        <v>998.98070693954253</v>
      </c>
      <c r="AS129" s="15">
        <f t="shared" si="140"/>
        <v>5.4979614138790858E-6</v>
      </c>
      <c r="AT129" s="16">
        <f t="shared" si="141"/>
        <v>27.377278129804736</v>
      </c>
      <c r="AU129" s="17">
        <f t="shared" si="142"/>
        <v>1.3759712545813681E-2</v>
      </c>
      <c r="AV129" s="18">
        <f t="shared" si="143"/>
        <v>0.20146725229033349</v>
      </c>
      <c r="AW129" s="19">
        <f t="shared" si="201"/>
        <v>993.88367730623349</v>
      </c>
      <c r="AX129" s="15">
        <f t="shared" si="144"/>
        <v>5.4877673546124677E-6</v>
      </c>
      <c r="AY129" s="16">
        <f t="shared" si="145"/>
        <v>27.318662289021685</v>
      </c>
      <c r="AZ129" s="17">
        <f t="shared" si="146"/>
        <v>1.3734199939481165E-2</v>
      </c>
      <c r="BA129" s="18">
        <f t="shared" si="147"/>
        <v>0.20189952720402846</v>
      </c>
      <c r="BB129" s="19">
        <f t="shared" si="202"/>
        <v>988.1870014411046</v>
      </c>
      <c r="BC129" s="15">
        <f t="shared" si="148"/>
        <v>5.4763740028822095E-6</v>
      </c>
      <c r="BD129" s="16">
        <f t="shared" si="149"/>
        <v>27.253150516572703</v>
      </c>
      <c r="BE129" s="17">
        <f t="shared" si="150"/>
        <v>1.3705685871640321E-2</v>
      </c>
      <c r="BF129" s="18">
        <f t="shared" si="151"/>
        <v>0.20238485809726608</v>
      </c>
      <c r="BG129" s="19">
        <f t="shared" si="203"/>
        <v>981.89041001288865</v>
      </c>
      <c r="BH129" s="15">
        <f t="shared" si="152"/>
        <v>5.4637808200257782E-6</v>
      </c>
      <c r="BI129" s="16">
        <f t="shared" si="153"/>
        <v>27.180739715148221</v>
      </c>
      <c r="BJ129" s="17">
        <f t="shared" si="154"/>
        <v>1.3674168994183897E-2</v>
      </c>
      <c r="BK129" s="18">
        <f t="shared" si="155"/>
        <v>0.2029240211194864</v>
      </c>
      <c r="BL129" s="19">
        <f t="shared" si="204"/>
        <v>974.99208426915868</v>
      </c>
      <c r="BM129" s="15">
        <f t="shared" si="156"/>
        <v>5.449984168538317E-6</v>
      </c>
      <c r="BN129" s="16">
        <f t="shared" si="157"/>
        <v>27.101408969095324</v>
      </c>
      <c r="BO129" s="17">
        <f t="shared" si="158"/>
        <v>1.3639640203551972E-2</v>
      </c>
      <c r="BP129" s="18">
        <f t="shared" si="159"/>
        <v>0.20351801658318422</v>
      </c>
      <c r="BQ129" s="19">
        <f t="shared" si="205"/>
        <v>967.48103521370513</v>
      </c>
      <c r="BR129" s="15">
        <f t="shared" si="160"/>
        <v>5.4349620704274115E-6</v>
      </c>
      <c r="BS129" s="16">
        <f t="shared" si="161"/>
        <v>27.01503190495761</v>
      </c>
      <c r="BT129" s="17">
        <f t="shared" si="162"/>
        <v>1.3602044495564776E-2</v>
      </c>
      <c r="BU129" s="18">
        <f t="shared" si="163"/>
        <v>0.20416873907107291</v>
      </c>
      <c r="BV129" s="19">
        <f t="shared" si="206"/>
        <v>959.29853693590383</v>
      </c>
      <c r="BW129" s="15">
        <f t="shared" si="164"/>
        <v>5.4185970738718078E-6</v>
      </c>
      <c r="BX129" s="16">
        <f t="shared" si="165"/>
        <v>26.920933174762894</v>
      </c>
      <c r="BY129" s="17">
        <f t="shared" si="166"/>
        <v>1.3561087924307309E-2</v>
      </c>
      <c r="BZ129" s="18">
        <f t="shared" si="167"/>
        <v>0.20488238517566093</v>
      </c>
      <c r="CA129" s="19">
        <f t="shared" si="207"/>
        <v>950.17150994989572</v>
      </c>
      <c r="CB129" s="15">
        <f t="shared" si="168"/>
        <v>5.4003430198997922E-6</v>
      </c>
      <c r="CC129" s="16">
        <f t="shared" si="169"/>
        <v>26.8159723644238</v>
      </c>
      <c r="CD129" s="17">
        <f t="shared" si="170"/>
        <v>1.351540362124606E-2</v>
      </c>
      <c r="CE129" s="18">
        <f t="shared" si="171"/>
        <v>0.20568431847421897</v>
      </c>
      <c r="CF129" s="19">
        <f t="shared" si="208"/>
        <v>939.01880900341598</v>
      </c>
      <c r="CG129" s="15">
        <f t="shared" si="172"/>
        <v>5.3780376180068329E-6</v>
      </c>
      <c r="CH129" s="16">
        <f t="shared" si="173"/>
        <v>26.687716303539283</v>
      </c>
      <c r="CI129" s="17">
        <f t="shared" si="174"/>
        <v>1.34595800358911E-2</v>
      </c>
      <c r="CJ129" s="18">
        <f t="shared" si="175"/>
        <v>0.20667279797441965</v>
      </c>
      <c r="CK129" s="19">
        <f t="shared" si="209"/>
        <v>922.30546842371166</v>
      </c>
      <c r="CL129" s="15">
        <f t="shared" si="176"/>
        <v>5.3446109368474246E-6</v>
      </c>
      <c r="CM129" s="16">
        <f t="shared" si="177"/>
        <v>26.495512886872682</v>
      </c>
      <c r="CN129" s="17">
        <f t="shared" si="178"/>
        <v>1.3375923296694469E-2</v>
      </c>
      <c r="CO129" s="18">
        <f t="shared" si="179"/>
        <v>0.20817204118863239</v>
      </c>
      <c r="CP129" s="19">
        <f t="shared" si="210"/>
        <v>890.91572198188908</v>
      </c>
      <c r="CQ129" s="15">
        <f t="shared" si="180"/>
        <v>5.2818314439637793E-6</v>
      </c>
      <c r="CR129" s="16">
        <f t="shared" si="181"/>
        <v>26.134530802791723</v>
      </c>
      <c r="CS129" s="17">
        <f t="shared" si="182"/>
        <v>1.3218805465043221E-2</v>
      </c>
      <c r="CT129" s="18">
        <f t="shared" si="183"/>
        <v>0.21104740856533052</v>
      </c>
      <c r="CU129" s="19">
        <f t="shared" si="211"/>
        <v>827.72338967352675</v>
      </c>
      <c r="CV129" s="15">
        <f t="shared" si="184"/>
        <v>5.1554467793470542E-6</v>
      </c>
      <c r="CW129" s="16">
        <f t="shared" si="185"/>
        <v>25.407818981245555</v>
      </c>
      <c r="CX129" s="17">
        <f t="shared" si="186"/>
        <v>1.2902503380613302E-2</v>
      </c>
      <c r="CY129" s="18">
        <f t="shared" si="187"/>
        <v>0.21708376480764782</v>
      </c>
      <c r="CZ129" s="20">
        <f t="shared" si="212"/>
        <v>713.19158757994421</v>
      </c>
      <c r="DA129" s="15">
        <f t="shared" si="188"/>
        <v>4.9263831751598889E-6</v>
      </c>
      <c r="DB129" s="16">
        <f t="shared" si="189"/>
        <v>24.090703257169359</v>
      </c>
      <c r="DC129" s="17">
        <f t="shared" si="190"/>
        <v>1.2329227376826355E-2</v>
      </c>
      <c r="DD129" s="18">
        <f t="shared" si="191"/>
        <v>0.2289524278772791</v>
      </c>
    </row>
    <row r="130" spans="2:108" x14ac:dyDescent="0.25">
      <c r="B130">
        <v>111</v>
      </c>
      <c r="C130">
        <f t="shared" si="192"/>
        <v>0.10851522796432292</v>
      </c>
      <c r="D130" s="19">
        <f t="shared" si="109"/>
        <v>1018.186397996085</v>
      </c>
      <c r="E130" s="15">
        <f t="shared" si="110"/>
        <v>5.5363727959921709E-6</v>
      </c>
      <c r="F130" s="16">
        <f t="shared" si="111"/>
        <v>27.598143576954975</v>
      </c>
      <c r="G130" s="17">
        <f t="shared" si="107"/>
        <v>1.3855844463915041E-2</v>
      </c>
      <c r="H130" s="18">
        <f t="shared" si="112"/>
        <v>0.19985492809036842</v>
      </c>
      <c r="I130" s="19">
        <f t="shared" si="193"/>
        <v>1017.8620276725312</v>
      </c>
      <c r="J130" s="15">
        <f t="shared" si="113"/>
        <v>5.5357240553450625E-6</v>
      </c>
      <c r="K130" s="16">
        <f t="shared" si="114"/>
        <v>27.59441331823411</v>
      </c>
      <c r="L130" s="17">
        <f t="shared" si="115"/>
        <v>1.3854220864884597E-2</v>
      </c>
      <c r="M130" s="18">
        <f t="shared" si="116"/>
        <v>0.19988194481218888</v>
      </c>
      <c r="N130" s="19">
        <f t="shared" si="194"/>
        <v>1016.9566100635346</v>
      </c>
      <c r="O130" s="15">
        <f t="shared" si="117"/>
        <v>5.5339132201270691E-6</v>
      </c>
      <c r="P130" s="16">
        <f t="shared" si="118"/>
        <v>27.584001015730649</v>
      </c>
      <c r="Q130" s="17">
        <f t="shared" si="108"/>
        <v>1.3855844463915041E-2</v>
      </c>
      <c r="R130" s="18">
        <f t="shared" si="119"/>
        <v>0.19995739547915983</v>
      </c>
      <c r="S130" s="19">
        <f t="shared" si="195"/>
        <v>1015.4553827067449</v>
      </c>
      <c r="T130" s="15">
        <f t="shared" si="120"/>
        <v>5.53091076541349E-6</v>
      </c>
      <c r="U130" s="16">
        <f t="shared" si="121"/>
        <v>27.566736901127566</v>
      </c>
      <c r="V130" s="17">
        <f t="shared" si="122"/>
        <v>1.3842174675238574E-2</v>
      </c>
      <c r="W130" s="18">
        <f t="shared" si="123"/>
        <v>0.20008262203040772</v>
      </c>
      <c r="X130" s="19">
        <f t="shared" si="196"/>
        <v>1013.3561557994936</v>
      </c>
      <c r="Y130" s="15">
        <f t="shared" si="124"/>
        <v>5.5267123115989881E-6</v>
      </c>
      <c r="Z130" s="16">
        <f t="shared" si="125"/>
        <v>27.542595791694175</v>
      </c>
      <c r="AA130" s="17">
        <f t="shared" si="126"/>
        <v>1.3831667231974498E-2</v>
      </c>
      <c r="AB130" s="18">
        <f t="shared" si="127"/>
        <v>0.20025799462457738</v>
      </c>
      <c r="AC130" s="19">
        <f t="shared" si="197"/>
        <v>1010.6575463602893</v>
      </c>
      <c r="AD130" s="15">
        <f t="shared" si="128"/>
        <v>5.5213150927205786E-6</v>
      </c>
      <c r="AE130" s="16">
        <f t="shared" si="129"/>
        <v>27.511561783143328</v>
      </c>
      <c r="AF130" s="17">
        <f t="shared" si="130"/>
        <v>1.3818159647121997E-2</v>
      </c>
      <c r="AG130" s="18">
        <f t="shared" si="131"/>
        <v>0.2004838926803309</v>
      </c>
      <c r="AH130" s="19">
        <f t="shared" si="198"/>
        <v>1007.3593627341464</v>
      </c>
      <c r="AI130" s="15">
        <f t="shared" si="132"/>
        <v>5.5147187254682931E-6</v>
      </c>
      <c r="AJ130" s="16">
        <f t="shared" si="133"/>
        <v>27.473632671442683</v>
      </c>
      <c r="AK130" s="17">
        <f t="shared" si="134"/>
        <v>1.3801650961373686E-2</v>
      </c>
      <c r="AL130" s="18">
        <f t="shared" si="135"/>
        <v>0.20076067355057806</v>
      </c>
      <c r="AM130" s="19">
        <f t="shared" si="199"/>
        <v>1003.4615735026023</v>
      </c>
      <c r="AN130" s="15">
        <f t="shared" si="136"/>
        <v>5.506923147005205E-6</v>
      </c>
      <c r="AO130" s="16">
        <f t="shared" si="137"/>
        <v>27.428808095279926</v>
      </c>
      <c r="AP130" s="17">
        <f t="shared" si="138"/>
        <v>1.3782141017467995E-2</v>
      </c>
      <c r="AQ130" s="18">
        <f t="shared" si="139"/>
        <v>0.20108875970258269</v>
      </c>
      <c r="AR130" s="19">
        <f t="shared" si="200"/>
        <v>998.96417851134186</v>
      </c>
      <c r="AS130" s="15">
        <f t="shared" si="140"/>
        <v>5.4979283570226841E-6</v>
      </c>
      <c r="AT130" s="16">
        <f t="shared" si="141"/>
        <v>27.377088052880431</v>
      </c>
      <c r="AU130" s="17">
        <f t="shared" si="142"/>
        <v>1.3759629814632518E-2</v>
      </c>
      <c r="AV130" s="18">
        <f t="shared" si="143"/>
        <v>0.20146865106129078</v>
      </c>
      <c r="AW130" s="19">
        <f t="shared" si="201"/>
        <v>993.8671754298424</v>
      </c>
      <c r="AX130" s="15">
        <f t="shared" si="144"/>
        <v>5.4877343508596854E-6</v>
      </c>
      <c r="AY130" s="16">
        <f t="shared" si="145"/>
        <v>27.318472517443187</v>
      </c>
      <c r="AZ130" s="17">
        <f t="shared" si="146"/>
        <v>1.373411734120209E-2</v>
      </c>
      <c r="BA130" s="18">
        <f t="shared" si="147"/>
        <v>0.20190092972724608</v>
      </c>
      <c r="BB130" s="19">
        <f t="shared" si="202"/>
        <v>988.1705262833508</v>
      </c>
      <c r="BC130" s="15">
        <f t="shared" si="148"/>
        <v>5.4763410525667021E-6</v>
      </c>
      <c r="BD130" s="16">
        <f t="shared" si="149"/>
        <v>27.252961052258534</v>
      </c>
      <c r="BE130" s="17">
        <f t="shared" si="150"/>
        <v>1.3705603407098366E-2</v>
      </c>
      <c r="BF130" s="18">
        <f t="shared" si="151"/>
        <v>0.20238626508963889</v>
      </c>
      <c r="BG130" s="19">
        <f t="shared" si="203"/>
        <v>981.87394268546973</v>
      </c>
      <c r="BH130" s="15">
        <f t="shared" si="152"/>
        <v>5.4637478853709401E-6</v>
      </c>
      <c r="BI130" s="16">
        <f t="shared" si="153"/>
        <v>27.180550340882903</v>
      </c>
      <c r="BJ130" s="17">
        <f t="shared" si="154"/>
        <v>1.3674086568835802E-2</v>
      </c>
      <c r="BK130" s="18">
        <f t="shared" si="155"/>
        <v>0.20292543494617249</v>
      </c>
      <c r="BL130" s="19">
        <f t="shared" si="204"/>
        <v>974.97549604428445</v>
      </c>
      <c r="BM130" s="15">
        <f t="shared" si="156"/>
        <v>5.4499509920885696E-6</v>
      </c>
      <c r="BN130" s="16">
        <f t="shared" si="157"/>
        <v>27.101218204509273</v>
      </c>
      <c r="BO130" s="17">
        <f t="shared" si="158"/>
        <v>1.3639557173065316E-2</v>
      </c>
      <c r="BP130" s="18">
        <f t="shared" si="159"/>
        <v>0.20351944913982778</v>
      </c>
      <c r="BQ130" s="19">
        <f t="shared" si="205"/>
        <v>967.46364413456729</v>
      </c>
      <c r="BR130" s="15">
        <f t="shared" si="160"/>
        <v>5.4349272882691355E-6</v>
      </c>
      <c r="BS130" s="16">
        <f t="shared" si="161"/>
        <v>27.014831907547524</v>
      </c>
      <c r="BT130" s="17">
        <f t="shared" si="162"/>
        <v>1.3601957446481749E-2</v>
      </c>
      <c r="BU130" s="18">
        <f t="shared" si="163"/>
        <v>0.20417025058220037</v>
      </c>
      <c r="BV130" s="19">
        <f t="shared" si="206"/>
        <v>959.27728080282009</v>
      </c>
      <c r="BW130" s="15">
        <f t="shared" si="164"/>
        <v>5.4185545616056403E-6</v>
      </c>
      <c r="BX130" s="16">
        <f t="shared" si="165"/>
        <v>26.920688729232431</v>
      </c>
      <c r="BY130" s="17">
        <f t="shared" si="166"/>
        <v>1.3560981529133154E-2</v>
      </c>
      <c r="BZ130" s="18">
        <f t="shared" si="167"/>
        <v>0.20488424555092216</v>
      </c>
      <c r="CA130" s="19">
        <f t="shared" si="207"/>
        <v>950.13487272220345</v>
      </c>
      <c r="CB130" s="15">
        <f t="shared" si="168"/>
        <v>5.4002697454444073E-6</v>
      </c>
      <c r="CC130" s="16">
        <f t="shared" si="169"/>
        <v>26.815551036305337</v>
      </c>
      <c r="CD130" s="17">
        <f t="shared" si="170"/>
        <v>1.3515220237739494E-2</v>
      </c>
      <c r="CE130" s="18">
        <f t="shared" si="171"/>
        <v>0.20568755020295665</v>
      </c>
      <c r="CF130" s="19">
        <f t="shared" si="208"/>
        <v>938.93188649384831</v>
      </c>
      <c r="CG130" s="15">
        <f t="shared" si="172"/>
        <v>5.3778637729876973E-6</v>
      </c>
      <c r="CH130" s="16">
        <f t="shared" si="173"/>
        <v>26.686716694679255</v>
      </c>
      <c r="CI130" s="17">
        <f t="shared" si="174"/>
        <v>1.345914495508373E-2</v>
      </c>
      <c r="CJ130" s="18">
        <f t="shared" si="175"/>
        <v>0.2066805393523623</v>
      </c>
      <c r="CK130" s="19">
        <f t="shared" si="209"/>
        <v>922.0888945962347</v>
      </c>
      <c r="CL130" s="15">
        <f t="shared" si="176"/>
        <v>5.3441777891924698E-6</v>
      </c>
      <c r="CM130" s="16">
        <f t="shared" si="177"/>
        <v>26.493022287856697</v>
      </c>
      <c r="CN130" s="17">
        <f t="shared" si="178"/>
        <v>1.3374839260854015E-2</v>
      </c>
      <c r="CO130" s="18">
        <f t="shared" si="179"/>
        <v>0.20819161136357531</v>
      </c>
      <c r="CP130" s="19">
        <f t="shared" si="210"/>
        <v>890.4552280606157</v>
      </c>
      <c r="CQ130" s="15">
        <f t="shared" si="180"/>
        <v>5.280910456121232E-6</v>
      </c>
      <c r="CR130" s="16">
        <f t="shared" si="181"/>
        <v>26.129235122697082</v>
      </c>
      <c r="CS130" s="17">
        <f t="shared" si="182"/>
        <v>1.3216500514713875E-2</v>
      </c>
      <c r="CT130" s="18">
        <f t="shared" si="183"/>
        <v>0.2110901820929641</v>
      </c>
      <c r="CU130" s="19">
        <f t="shared" si="211"/>
        <v>826.98304862063787</v>
      </c>
      <c r="CV130" s="15">
        <f t="shared" si="184"/>
        <v>5.1539660972412759E-6</v>
      </c>
      <c r="CW130" s="16">
        <f t="shared" si="185"/>
        <v>25.399305059137333</v>
      </c>
      <c r="CX130" s="17">
        <f t="shared" si="186"/>
        <v>1.2898797687063725E-2</v>
      </c>
      <c r="CY130" s="18">
        <f t="shared" si="187"/>
        <v>0.2171565319270721</v>
      </c>
      <c r="CZ130" s="20">
        <f t="shared" si="212"/>
        <v>712.38728656108685</v>
      </c>
      <c r="DA130" s="15">
        <f t="shared" si="188"/>
        <v>4.9247745731221742E-6</v>
      </c>
      <c r="DB130" s="16">
        <f t="shared" si="189"/>
        <v>24.081453795452497</v>
      </c>
      <c r="DC130" s="17">
        <f t="shared" si="190"/>
        <v>1.2325201538888735E-2</v>
      </c>
      <c r="DD130" s="18">
        <f t="shared" si="191"/>
        <v>0.22904036636864347</v>
      </c>
    </row>
    <row r="131" spans="2:108" x14ac:dyDescent="0.25">
      <c r="B131">
        <v>112</v>
      </c>
      <c r="C131">
        <f t="shared" si="192"/>
        <v>0.10949284263066816</v>
      </c>
      <c r="D131" s="19">
        <f t="shared" si="109"/>
        <v>1018.1698372859745</v>
      </c>
      <c r="E131" s="15">
        <f t="shared" si="110"/>
        <v>5.5363396745719492E-6</v>
      </c>
      <c r="F131" s="16">
        <f t="shared" si="111"/>
        <v>27.597953128788706</v>
      </c>
      <c r="G131" s="17">
        <f t="shared" si="107"/>
        <v>1.3855761571150422E-2</v>
      </c>
      <c r="H131" s="18">
        <f t="shared" si="112"/>
        <v>0.19985630725078649</v>
      </c>
      <c r="I131" s="19">
        <f t="shared" si="193"/>
        <v>1017.8454569956943</v>
      </c>
      <c r="J131" s="15">
        <f t="shared" si="113"/>
        <v>5.53569091399139E-6</v>
      </c>
      <c r="K131" s="16">
        <f t="shared" si="114"/>
        <v>27.594222755450485</v>
      </c>
      <c r="L131" s="17">
        <f t="shared" si="115"/>
        <v>1.3854137922232659E-2</v>
      </c>
      <c r="M131" s="18">
        <f t="shared" si="116"/>
        <v>0.19988332517575763</v>
      </c>
      <c r="N131" s="19">
        <f t="shared" si="194"/>
        <v>1016.9400201352919</v>
      </c>
      <c r="O131" s="15">
        <f t="shared" si="117"/>
        <v>5.5338800402705839E-6</v>
      </c>
      <c r="P131" s="16">
        <f t="shared" si="118"/>
        <v>27.583810231555855</v>
      </c>
      <c r="Q131" s="17">
        <f t="shared" si="108"/>
        <v>1.3855761571150422E-2</v>
      </c>
      <c r="R131" s="18">
        <f t="shared" si="119"/>
        <v>0.1999587784899321</v>
      </c>
      <c r="S131" s="19">
        <f t="shared" si="195"/>
        <v>1015.4387824615823</v>
      </c>
      <c r="T131" s="15">
        <f t="shared" si="120"/>
        <v>5.5308775649231645E-6</v>
      </c>
      <c r="U131" s="16">
        <f t="shared" si="121"/>
        <v>27.566545998308193</v>
      </c>
      <c r="V131" s="17">
        <f t="shared" si="122"/>
        <v>1.3842091584585717E-2</v>
      </c>
      <c r="W131" s="18">
        <f t="shared" si="123"/>
        <v>0.20008400763514236</v>
      </c>
      <c r="X131" s="19">
        <f t="shared" si="196"/>
        <v>1013.3395575803277</v>
      </c>
      <c r="Y131" s="15">
        <f t="shared" si="124"/>
        <v>5.5266791151606556E-6</v>
      </c>
      <c r="Z131" s="16">
        <f t="shared" si="125"/>
        <v>27.542404912173765</v>
      </c>
      <c r="AA131" s="17">
        <f t="shared" si="126"/>
        <v>1.3831584151462536E-2</v>
      </c>
      <c r="AB131" s="18">
        <f t="shared" si="127"/>
        <v>0.20025938248994696</v>
      </c>
      <c r="AC131" s="19">
        <f t="shared" si="197"/>
        <v>1010.6409587846754</v>
      </c>
      <c r="AD131" s="15">
        <f t="shared" si="128"/>
        <v>5.5212819175693513E-6</v>
      </c>
      <c r="AE131" s="16">
        <f t="shared" si="129"/>
        <v>27.511371026023767</v>
      </c>
      <c r="AF131" s="17">
        <f t="shared" si="130"/>
        <v>1.3818076619885137E-2</v>
      </c>
      <c r="AG131" s="18">
        <f t="shared" si="131"/>
        <v>0.20048528278662003</v>
      </c>
      <c r="AH131" s="19">
        <f t="shared" si="198"/>
        <v>1007.3427911292574</v>
      </c>
      <c r="AI131" s="15">
        <f t="shared" si="132"/>
        <v>5.5146855822585156E-6</v>
      </c>
      <c r="AJ131" s="16">
        <f t="shared" si="133"/>
        <v>27.47344209798646</v>
      </c>
      <c r="AK131" s="17">
        <f t="shared" si="134"/>
        <v>1.3801568014076485E-2</v>
      </c>
      <c r="AL131" s="18">
        <f t="shared" si="135"/>
        <v>0.20076206615567266</v>
      </c>
      <c r="AM131" s="19">
        <f t="shared" si="199"/>
        <v>1003.4450218096392</v>
      </c>
      <c r="AN131" s="15">
        <f t="shared" si="136"/>
        <v>5.5068900436192795E-6</v>
      </c>
      <c r="AO131" s="16">
        <f t="shared" si="137"/>
        <v>27.428617750810851</v>
      </c>
      <c r="AP131" s="17">
        <f t="shared" si="138"/>
        <v>1.3782058169837694E-2</v>
      </c>
      <c r="AQ131" s="18">
        <f t="shared" si="139"/>
        <v>0.20109015518424897</v>
      </c>
      <c r="AR131" s="19">
        <f t="shared" si="200"/>
        <v>998.94765026824166</v>
      </c>
      <c r="AS131" s="15">
        <f t="shared" si="140"/>
        <v>5.4978953005364834E-6</v>
      </c>
      <c r="AT131" s="16">
        <f t="shared" si="141"/>
        <v>27.376897978084777</v>
      </c>
      <c r="AU131" s="17">
        <f t="shared" si="142"/>
        <v>1.3759547084377856E-2</v>
      </c>
      <c r="AV131" s="18">
        <f t="shared" si="143"/>
        <v>0.2014700498360063</v>
      </c>
      <c r="AW131" s="19">
        <f t="shared" si="201"/>
        <v>993.85067369568583</v>
      </c>
      <c r="AX131" s="15">
        <f t="shared" si="144"/>
        <v>5.4877013473913723E-6</v>
      </c>
      <c r="AY131" s="16">
        <f t="shared" si="145"/>
        <v>27.318282747500387</v>
      </c>
      <c r="AZ131" s="17">
        <f t="shared" si="146"/>
        <v>1.3734034743634951E-2</v>
      </c>
      <c r="BA131" s="18">
        <f t="shared" si="147"/>
        <v>0.20190233225786045</v>
      </c>
      <c r="BB131" s="19">
        <f t="shared" si="202"/>
        <v>988.15405098899157</v>
      </c>
      <c r="BC131" s="15">
        <f t="shared" si="148"/>
        <v>5.4763081019779834E-6</v>
      </c>
      <c r="BD131" s="16">
        <f t="shared" si="149"/>
        <v>27.252771586373402</v>
      </c>
      <c r="BE131" s="17">
        <f t="shared" si="150"/>
        <v>1.3705520941872648E-2</v>
      </c>
      <c r="BF131" s="18">
        <f t="shared" si="151"/>
        <v>0.20238767211324132</v>
      </c>
      <c r="BG131" s="19">
        <f t="shared" si="203"/>
        <v>981.85747362241329</v>
      </c>
      <c r="BH131" s="15">
        <f t="shared" si="152"/>
        <v>5.4637149472448272E-6</v>
      </c>
      <c r="BI131" s="16">
        <f t="shared" si="153"/>
        <v>27.18036094665775</v>
      </c>
      <c r="BJ131" s="17">
        <f t="shared" si="154"/>
        <v>1.3674004134800166E-2</v>
      </c>
      <c r="BK131" s="18">
        <f t="shared" si="155"/>
        <v>0.20292684894157861</v>
      </c>
      <c r="BL131" s="19">
        <f t="shared" si="204"/>
        <v>974.95889806802415</v>
      </c>
      <c r="BM131" s="15">
        <f t="shared" si="156"/>
        <v>5.4499177961360486E-6</v>
      </c>
      <c r="BN131" s="16">
        <f t="shared" si="157"/>
        <v>27.101027327782276</v>
      </c>
      <c r="BO131" s="17">
        <f t="shared" si="158"/>
        <v>1.3639474093769192E-2</v>
      </c>
      <c r="BP131" s="18">
        <f t="shared" si="159"/>
        <v>0.203520882558785</v>
      </c>
      <c r="BQ131" s="19">
        <f t="shared" si="205"/>
        <v>967.44620894580419</v>
      </c>
      <c r="BR131" s="15">
        <f t="shared" si="160"/>
        <v>5.4348924178916091E-6</v>
      </c>
      <c r="BS131" s="16">
        <f t="shared" si="161"/>
        <v>27.014631402876745</v>
      </c>
      <c r="BT131" s="17">
        <f t="shared" si="162"/>
        <v>1.3601870176612971E-2</v>
      </c>
      <c r="BU131" s="18">
        <f t="shared" si="163"/>
        <v>0.20417176594949393</v>
      </c>
      <c r="BV131" s="19">
        <f t="shared" si="206"/>
        <v>959.25585881701045</v>
      </c>
      <c r="BW131" s="15">
        <f t="shared" si="164"/>
        <v>5.418511717634021E-6</v>
      </c>
      <c r="BX131" s="16">
        <f t="shared" si="165"/>
        <v>26.92044237639562</v>
      </c>
      <c r="BY131" s="17">
        <f t="shared" si="166"/>
        <v>1.3560874303801904E-2</v>
      </c>
      <c r="BZ131" s="18">
        <f t="shared" si="167"/>
        <v>0.20488612047609625</v>
      </c>
      <c r="CA131" s="19">
        <f t="shared" si="207"/>
        <v>950.09773276978592</v>
      </c>
      <c r="CB131" s="15">
        <f t="shared" si="168"/>
        <v>5.4001954655395722E-6</v>
      </c>
      <c r="CC131" s="16">
        <f t="shared" si="169"/>
        <v>26.815123926852536</v>
      </c>
      <c r="CD131" s="17">
        <f t="shared" si="170"/>
        <v>1.3515034337901077E-2</v>
      </c>
      <c r="CE131" s="18">
        <f t="shared" si="171"/>
        <v>0.20569082638013392</v>
      </c>
      <c r="CF131" s="19">
        <f t="shared" si="208"/>
        <v>938.84381654989318</v>
      </c>
      <c r="CG131" s="15">
        <f t="shared" si="172"/>
        <v>5.377687633099787E-6</v>
      </c>
      <c r="CH131" s="16">
        <f t="shared" si="173"/>
        <v>26.685703890323772</v>
      </c>
      <c r="CI131" s="17">
        <f t="shared" si="174"/>
        <v>1.3458704130923092E-2</v>
      </c>
      <c r="CJ131" s="18">
        <f t="shared" si="175"/>
        <v>0.2066883835130901</v>
      </c>
      <c r="CK131" s="19">
        <f t="shared" si="209"/>
        <v>921.87064207641129</v>
      </c>
      <c r="CL131" s="15">
        <f t="shared" si="176"/>
        <v>5.343741284152823E-6</v>
      </c>
      <c r="CM131" s="16">
        <f t="shared" si="177"/>
        <v>26.49051238387873</v>
      </c>
      <c r="CN131" s="17">
        <f t="shared" si="178"/>
        <v>1.3373746822508564E-2</v>
      </c>
      <c r="CO131" s="18">
        <f t="shared" si="179"/>
        <v>0.2082113369523434</v>
      </c>
      <c r="CP131" s="19">
        <f t="shared" si="210"/>
        <v>889.99409669689931</v>
      </c>
      <c r="CQ131" s="15">
        <f t="shared" si="180"/>
        <v>5.2799881933937993E-6</v>
      </c>
      <c r="CR131" s="16">
        <f t="shared" si="181"/>
        <v>26.123932112014341</v>
      </c>
      <c r="CS131" s="17">
        <f t="shared" si="182"/>
        <v>1.3214192373738358E-2</v>
      </c>
      <c r="CT131" s="18">
        <f t="shared" si="183"/>
        <v>0.21113303220778834</v>
      </c>
      <c r="CU131" s="19">
        <f t="shared" si="211"/>
        <v>826.24557007994781</v>
      </c>
      <c r="CV131" s="15">
        <f t="shared" si="184"/>
        <v>5.1524911401598959E-6</v>
      </c>
      <c r="CW131" s="16">
        <f t="shared" si="185"/>
        <v>25.390824055919399</v>
      </c>
      <c r="CX131" s="17">
        <f t="shared" si="186"/>
        <v>1.2895106321495759E-2</v>
      </c>
      <c r="CY131" s="18">
        <f t="shared" si="187"/>
        <v>0.21722906621119034</v>
      </c>
      <c r="CZ131" s="20">
        <f t="shared" si="212"/>
        <v>711.58800341241158</v>
      </c>
      <c r="DA131" s="15">
        <f t="shared" si="188"/>
        <v>4.9231760068248239E-6</v>
      </c>
      <c r="DB131" s="16">
        <f t="shared" si="189"/>
        <v>24.07226203924273</v>
      </c>
      <c r="DC131" s="17">
        <f t="shared" si="190"/>
        <v>1.2321200817333754E-2</v>
      </c>
      <c r="DD131" s="18">
        <f t="shared" si="191"/>
        <v>0.22912782317708236</v>
      </c>
    </row>
    <row r="132" spans="2:108" x14ac:dyDescent="0.25">
      <c r="B132">
        <v>113</v>
      </c>
      <c r="C132">
        <f t="shared" si="192"/>
        <v>0.11047045729701341</v>
      </c>
      <c r="D132" s="19">
        <f t="shared" si="109"/>
        <v>1018.1532760670133</v>
      </c>
      <c r="E132" s="15">
        <f t="shared" si="110"/>
        <v>5.5363065521340268E-6</v>
      </c>
      <c r="F132" s="16">
        <f t="shared" si="111"/>
        <v>27.597762674770649</v>
      </c>
      <c r="G132" s="17">
        <f t="shared" si="107"/>
        <v>1.3855678675838813E-2</v>
      </c>
      <c r="H132" s="18">
        <f t="shared" si="112"/>
        <v>0.19985768647261684</v>
      </c>
      <c r="I132" s="19">
        <f t="shared" si="193"/>
        <v>1017.8288860869313</v>
      </c>
      <c r="J132" s="15">
        <f t="shared" si="113"/>
        <v>5.5356577721738627E-6</v>
      </c>
      <c r="K132" s="16">
        <f t="shared" si="114"/>
        <v>27.594032189999709</v>
      </c>
      <c r="L132" s="17">
        <f t="shared" si="115"/>
        <v>1.3854054978419836E-2</v>
      </c>
      <c r="M132" s="18">
        <f t="shared" si="116"/>
        <v>0.19988470557771204</v>
      </c>
      <c r="N132" s="19">
        <f t="shared" si="194"/>
        <v>1016.9234303277404</v>
      </c>
      <c r="O132" s="15">
        <f t="shared" si="117"/>
        <v>5.5338468606554811E-6</v>
      </c>
      <c r="P132" s="16">
        <f t="shared" si="118"/>
        <v>27.583619448769014</v>
      </c>
      <c r="Q132" s="17">
        <f t="shared" si="108"/>
        <v>1.3855678675838813E-2</v>
      </c>
      <c r="R132" s="18">
        <f t="shared" si="119"/>
        <v>0.19996016150977416</v>
      </c>
      <c r="S132" s="19">
        <f t="shared" si="195"/>
        <v>1015.422182467608</v>
      </c>
      <c r="T132" s="15">
        <f t="shared" si="120"/>
        <v>5.5308443649352167E-6</v>
      </c>
      <c r="U132" s="16">
        <f t="shared" si="121"/>
        <v>27.566355098377493</v>
      </c>
      <c r="V132" s="17">
        <f t="shared" si="122"/>
        <v>1.3842008495190157E-2</v>
      </c>
      <c r="W132" s="18">
        <f t="shared" si="123"/>
        <v>0.20008539323810132</v>
      </c>
      <c r="X132" s="19">
        <f t="shared" si="196"/>
        <v>1013.322959602001</v>
      </c>
      <c r="Y132" s="15">
        <f t="shared" si="124"/>
        <v>5.5266459192040028E-6</v>
      </c>
      <c r="Z132" s="16">
        <f t="shared" si="125"/>
        <v>27.542214035423008</v>
      </c>
      <c r="AA132" s="17">
        <f t="shared" si="126"/>
        <v>1.3831501072156074E-2</v>
      </c>
      <c r="AB132" s="18">
        <f t="shared" si="127"/>
        <v>0.20026077035441528</v>
      </c>
      <c r="AC132" s="19">
        <f t="shared" si="197"/>
        <v>1010.6243714191889</v>
      </c>
      <c r="AD132" s="15">
        <f t="shared" si="128"/>
        <v>5.5212487428383786E-6</v>
      </c>
      <c r="AE132" s="16">
        <f t="shared" si="129"/>
        <v>27.511180271320672</v>
      </c>
      <c r="AF132" s="17">
        <f t="shared" si="130"/>
        <v>1.3817993593700046E-2</v>
      </c>
      <c r="AG132" s="18">
        <f t="shared" si="131"/>
        <v>0.20048667289457672</v>
      </c>
      <c r="AH132" s="19">
        <f t="shared" si="198"/>
        <v>1007.3262197197176</v>
      </c>
      <c r="AI132" s="15">
        <f t="shared" si="132"/>
        <v>5.5146524394394355E-6</v>
      </c>
      <c r="AJ132" s="16">
        <f t="shared" si="133"/>
        <v>27.47325152677675</v>
      </c>
      <c r="AK132" s="17">
        <f t="shared" si="134"/>
        <v>1.3801485067757083E-2</v>
      </c>
      <c r="AL132" s="18">
        <f t="shared" si="135"/>
        <v>0.2007634587636708</v>
      </c>
      <c r="AM132" s="19">
        <f t="shared" si="199"/>
        <v>1003.4284703077262</v>
      </c>
      <c r="AN132" s="15">
        <f t="shared" si="136"/>
        <v>5.5068569406154523E-6</v>
      </c>
      <c r="AO132" s="16">
        <f t="shared" si="137"/>
        <v>27.428427408538852</v>
      </c>
      <c r="AP132" s="17">
        <f t="shared" si="138"/>
        <v>1.3781975323163666E-2</v>
      </c>
      <c r="AQ132" s="18">
        <f t="shared" si="139"/>
        <v>0.20109155066917578</v>
      </c>
      <c r="AR132" s="19">
        <f t="shared" si="200"/>
        <v>998.93112220968931</v>
      </c>
      <c r="AS132" s="15">
        <f t="shared" si="140"/>
        <v>5.4978622444193789E-6</v>
      </c>
      <c r="AT132" s="16">
        <f t="shared" si="141"/>
        <v>27.376707905411426</v>
      </c>
      <c r="AU132" s="17">
        <f t="shared" si="142"/>
        <v>1.3759464355046927E-2</v>
      </c>
      <c r="AV132" s="18">
        <f t="shared" si="143"/>
        <v>0.20147144861452651</v>
      </c>
      <c r="AW132" s="19">
        <f t="shared" si="201"/>
        <v>993.83417210026937</v>
      </c>
      <c r="AX132" s="15">
        <f t="shared" si="144"/>
        <v>5.4876683442005396E-6</v>
      </c>
      <c r="AY132" s="16">
        <f t="shared" si="145"/>
        <v>27.318092979153096</v>
      </c>
      <c r="AZ132" s="17">
        <f t="shared" si="146"/>
        <v>1.3733952146762263E-2</v>
      </c>
      <c r="BA132" s="18">
        <f t="shared" si="147"/>
        <v>0.20190373479616852</v>
      </c>
      <c r="BB132" s="19">
        <f t="shared" si="202"/>
        <v>988.13757553860785</v>
      </c>
      <c r="BC132" s="15">
        <f t="shared" si="148"/>
        <v>5.4762751510772161E-6</v>
      </c>
      <c r="BD132" s="16">
        <f t="shared" si="149"/>
        <v>27.25258211869399</v>
      </c>
      <c r="BE132" s="17">
        <f t="shared" si="150"/>
        <v>1.3705438475865969E-2</v>
      </c>
      <c r="BF132" s="18">
        <f t="shared" si="151"/>
        <v>0.2023890791697327</v>
      </c>
      <c r="BG132" s="19">
        <f t="shared" si="203"/>
        <v>981.84100272980868</v>
      </c>
      <c r="BH132" s="15">
        <f t="shared" si="152"/>
        <v>5.4636820054596176E-6</v>
      </c>
      <c r="BI132" s="16">
        <f t="shared" si="153"/>
        <v>27.180171531392801</v>
      </c>
      <c r="BJ132" s="17">
        <f t="shared" si="154"/>
        <v>1.3673921691606932E-2</v>
      </c>
      <c r="BK132" s="18">
        <f t="shared" si="155"/>
        <v>0.20292826311377443</v>
      </c>
      <c r="BL132" s="19">
        <f t="shared" si="204"/>
        <v>974.94228995616015</v>
      </c>
      <c r="BM132" s="15">
        <f t="shared" si="156"/>
        <v>5.4498845799123207E-6</v>
      </c>
      <c r="BN132" s="16">
        <f t="shared" si="157"/>
        <v>27.100836334495838</v>
      </c>
      <c r="BO132" s="17">
        <f t="shared" si="158"/>
        <v>1.3639390963740452E-2</v>
      </c>
      <c r="BP132" s="18">
        <f t="shared" si="159"/>
        <v>0.20352231687327402</v>
      </c>
      <c r="BQ132" s="19">
        <f t="shared" si="205"/>
        <v>967.42872837425375</v>
      </c>
      <c r="BR132" s="15">
        <f t="shared" si="160"/>
        <v>5.4348574567485087E-6</v>
      </c>
      <c r="BS132" s="16">
        <f t="shared" si="161"/>
        <v>27.014430376303917</v>
      </c>
      <c r="BT132" s="17">
        <f t="shared" si="162"/>
        <v>1.360178267958578E-2</v>
      </c>
      <c r="BU132" s="18">
        <f t="shared" si="163"/>
        <v>0.20417328528378326</v>
      </c>
      <c r="BV132" s="19">
        <f t="shared" si="206"/>
        <v>959.23426783204366</v>
      </c>
      <c r="BW132" s="15">
        <f t="shared" si="164"/>
        <v>5.418468535664088E-6</v>
      </c>
      <c r="BX132" s="16">
        <f t="shared" si="165"/>
        <v>26.920194080068502</v>
      </c>
      <c r="BY132" s="17">
        <f t="shared" si="166"/>
        <v>1.3560766232564456E-2</v>
      </c>
      <c r="BZ132" s="18">
        <f t="shared" si="167"/>
        <v>0.20488801022737518</v>
      </c>
      <c r="CA132" s="19">
        <f t="shared" si="207"/>
        <v>950.06008548473142</v>
      </c>
      <c r="CB132" s="15">
        <f t="shared" si="168"/>
        <v>5.4001201709694634E-6</v>
      </c>
      <c r="CC132" s="16">
        <f t="shared" si="169"/>
        <v>26.81469098307441</v>
      </c>
      <c r="CD132" s="17">
        <f t="shared" si="170"/>
        <v>1.351484589866643E-2</v>
      </c>
      <c r="CE132" s="18">
        <f t="shared" si="171"/>
        <v>0.20569414741648503</v>
      </c>
      <c r="CF132" s="19">
        <f t="shared" si="208"/>
        <v>938.75460025653842</v>
      </c>
      <c r="CG132" s="15">
        <f t="shared" si="172"/>
        <v>5.3775092005130776E-6</v>
      </c>
      <c r="CH132" s="16">
        <f t="shared" si="173"/>
        <v>26.684677902950192</v>
      </c>
      <c r="CI132" s="17">
        <f t="shared" si="174"/>
        <v>1.3458257568839968E-2</v>
      </c>
      <c r="CJ132" s="18">
        <f t="shared" si="175"/>
        <v>0.20669633038329482</v>
      </c>
      <c r="CK132" s="19">
        <f t="shared" si="209"/>
        <v>921.65073243352731</v>
      </c>
      <c r="CL132" s="15">
        <f t="shared" si="176"/>
        <v>5.3433014648670546E-6</v>
      </c>
      <c r="CM132" s="16">
        <f t="shared" si="177"/>
        <v>26.487983422985565</v>
      </c>
      <c r="CN132" s="17">
        <f t="shared" si="178"/>
        <v>1.3372646089620733E-2</v>
      </c>
      <c r="CO132" s="18">
        <f t="shared" si="179"/>
        <v>0.20823121609226347</v>
      </c>
      <c r="CP132" s="19">
        <f t="shared" si="210"/>
        <v>889.53236285371645</v>
      </c>
      <c r="CQ132" s="15">
        <f t="shared" si="180"/>
        <v>5.2790647257074333E-6</v>
      </c>
      <c r="CR132" s="16">
        <f t="shared" si="181"/>
        <v>26.118622172817737</v>
      </c>
      <c r="CS132" s="17">
        <f t="shared" si="182"/>
        <v>1.3211881217119893E-2</v>
      </c>
      <c r="CT132" s="18">
        <f t="shared" si="183"/>
        <v>0.21117595574165623</v>
      </c>
      <c r="CU132" s="19">
        <f t="shared" si="211"/>
        <v>825.51093746589856</v>
      </c>
      <c r="CV132" s="15">
        <f t="shared" si="184"/>
        <v>5.1510218749317979E-6</v>
      </c>
      <c r="CW132" s="16">
        <f t="shared" si="185"/>
        <v>25.382375780857835</v>
      </c>
      <c r="CX132" s="17">
        <f t="shared" si="186"/>
        <v>1.2891429200892266E-2</v>
      </c>
      <c r="CY132" s="18">
        <f t="shared" si="187"/>
        <v>0.21730136877729225</v>
      </c>
      <c r="CZ132" s="20">
        <f t="shared" si="212"/>
        <v>710.79365846581322</v>
      </c>
      <c r="DA132" s="15">
        <f t="shared" si="188"/>
        <v>4.9215873169316267E-6</v>
      </c>
      <c r="DB132" s="16">
        <f t="shared" si="189"/>
        <v>24.063127072356849</v>
      </c>
      <c r="DC132" s="17">
        <f t="shared" si="190"/>
        <v>1.2317224813391701E-2</v>
      </c>
      <c r="DD132" s="18">
        <f t="shared" si="191"/>
        <v>0.22921480584858064</v>
      </c>
    </row>
    <row r="133" spans="2:108" x14ac:dyDescent="0.25">
      <c r="B133">
        <v>114</v>
      </c>
      <c r="C133">
        <f t="shared" si="192"/>
        <v>0.11144807196335867</v>
      </c>
      <c r="D133" s="19">
        <f t="shared" si="109"/>
        <v>1018.1367143533397</v>
      </c>
      <c r="E133" s="15">
        <f t="shared" si="110"/>
        <v>5.53627342870668E-6</v>
      </c>
      <c r="F133" s="16">
        <f t="shared" si="111"/>
        <v>27.597572215063405</v>
      </c>
      <c r="G133" s="17">
        <f t="shared" si="107"/>
        <v>1.3855595778050974E-2</v>
      </c>
      <c r="H133" s="18">
        <f t="shared" si="112"/>
        <v>0.1998590657546841</v>
      </c>
      <c r="I133" s="19">
        <f t="shared" si="193"/>
        <v>1017.8123149516592</v>
      </c>
      <c r="J133" s="15">
        <f t="shared" si="113"/>
        <v>5.5356246299033186E-6</v>
      </c>
      <c r="K133" s="16">
        <f t="shared" si="114"/>
        <v>27.59384162194408</v>
      </c>
      <c r="L133" s="17">
        <f t="shared" si="115"/>
        <v>1.3853972033473251E-2</v>
      </c>
      <c r="M133" s="18">
        <f t="shared" si="116"/>
        <v>0.19988608601760197</v>
      </c>
      <c r="N133" s="19">
        <f t="shared" si="194"/>
        <v>1016.9068406394775</v>
      </c>
      <c r="O133" s="15">
        <f t="shared" si="117"/>
        <v>5.5338136812789553E-6</v>
      </c>
      <c r="P133" s="16">
        <f t="shared" si="118"/>
        <v>27.583428667353992</v>
      </c>
      <c r="Q133" s="17">
        <f t="shared" si="108"/>
        <v>1.3855595778050974E-2</v>
      </c>
      <c r="R133" s="18">
        <f t="shared" si="119"/>
        <v>0.19996154453880297</v>
      </c>
      <c r="S133" s="19">
        <f t="shared" si="195"/>
        <v>1015.405582723149</v>
      </c>
      <c r="T133" s="15">
        <f t="shared" si="120"/>
        <v>5.5308111654462985E-6</v>
      </c>
      <c r="U133" s="16">
        <f t="shared" si="121"/>
        <v>27.566164201316212</v>
      </c>
      <c r="V133" s="17">
        <f t="shared" si="122"/>
        <v>1.3841925407043517E-2</v>
      </c>
      <c r="W133" s="18">
        <f t="shared" si="123"/>
        <v>0.20008677883942386</v>
      </c>
      <c r="X133" s="19">
        <f t="shared" si="196"/>
        <v>1013.3063618641575</v>
      </c>
      <c r="Y133" s="15">
        <f t="shared" si="124"/>
        <v>5.5266127237283148E-6</v>
      </c>
      <c r="Z133" s="16">
        <f t="shared" si="125"/>
        <v>27.542023161437811</v>
      </c>
      <c r="AA133" s="17">
        <f t="shared" si="126"/>
        <v>1.3831417994053319E-2</v>
      </c>
      <c r="AB133" s="18">
        <f t="shared" si="127"/>
        <v>0.20026215821801163</v>
      </c>
      <c r="AC133" s="19">
        <f t="shared" si="197"/>
        <v>1010.6077842639847</v>
      </c>
      <c r="AD133" s="15">
        <f t="shared" si="128"/>
        <v>5.5212155685279704E-6</v>
      </c>
      <c r="AE133" s="16">
        <f t="shared" si="129"/>
        <v>27.510989519035824</v>
      </c>
      <c r="AF133" s="17">
        <f t="shared" si="130"/>
        <v>1.3817910568567498E-2</v>
      </c>
      <c r="AG133" s="18">
        <f t="shared" si="131"/>
        <v>0.20048806300418764</v>
      </c>
      <c r="AH133" s="19">
        <f t="shared" si="198"/>
        <v>1007.3096485056474</v>
      </c>
      <c r="AI133" s="15">
        <f t="shared" si="132"/>
        <v>5.5146192970112949E-6</v>
      </c>
      <c r="AJ133" s="16">
        <f t="shared" si="133"/>
        <v>27.473060957814944</v>
      </c>
      <c r="AK133" s="17">
        <f t="shared" si="134"/>
        <v>1.3801402122416082E-2</v>
      </c>
      <c r="AL133" s="18">
        <f t="shared" si="135"/>
        <v>0.20076485137456204</v>
      </c>
      <c r="AM133" s="19">
        <f t="shared" si="199"/>
        <v>1003.41191899682</v>
      </c>
      <c r="AN133" s="15">
        <f t="shared" si="136"/>
        <v>5.5068238379936411E-6</v>
      </c>
      <c r="AO133" s="16">
        <f t="shared" si="137"/>
        <v>27.428237068463428</v>
      </c>
      <c r="AP133" s="17">
        <f t="shared" si="138"/>
        <v>1.378189247744571E-2</v>
      </c>
      <c r="AQ133" s="18">
        <f t="shared" si="139"/>
        <v>0.2010929461573665</v>
      </c>
      <c r="AR133" s="19">
        <f t="shared" si="200"/>
        <v>998.9145943350959</v>
      </c>
      <c r="AS133" s="15">
        <f t="shared" si="140"/>
        <v>5.4978291886701916E-6</v>
      </c>
      <c r="AT133" s="16">
        <f t="shared" si="141"/>
        <v>27.376517834853601</v>
      </c>
      <c r="AU133" s="17">
        <f t="shared" si="142"/>
        <v>1.3759381626636783E-2</v>
      </c>
      <c r="AV133" s="18">
        <f t="shared" si="143"/>
        <v>0.20147284739690108</v>
      </c>
      <c r="AW133" s="19">
        <f t="shared" si="201"/>
        <v>993.81767063990571</v>
      </c>
      <c r="AX133" s="15">
        <f t="shared" si="144"/>
        <v>5.4876353412798114E-6</v>
      </c>
      <c r="AY133" s="16">
        <f t="shared" si="145"/>
        <v>27.317903212358914</v>
      </c>
      <c r="AZ133" s="17">
        <f t="shared" si="146"/>
        <v>1.3733869550565561E-2</v>
      </c>
      <c r="BA133" s="18">
        <f t="shared" si="147"/>
        <v>0.20190513734248358</v>
      </c>
      <c r="BB133" s="19">
        <f t="shared" si="202"/>
        <v>988.1210999119146</v>
      </c>
      <c r="BC133" s="15">
        <f t="shared" si="148"/>
        <v>5.4762421998238298E-6</v>
      </c>
      <c r="BD133" s="16">
        <f t="shared" si="149"/>
        <v>27.252392648987019</v>
      </c>
      <c r="BE133" s="17">
        <f t="shared" si="150"/>
        <v>1.3705356008976792E-2</v>
      </c>
      <c r="BF133" s="18">
        <f t="shared" si="151"/>
        <v>0.20239048626084644</v>
      </c>
      <c r="BG133" s="19">
        <f t="shared" si="203"/>
        <v>981.82452991056198</v>
      </c>
      <c r="BH133" s="15">
        <f t="shared" si="152"/>
        <v>5.4636490598211238E-6</v>
      </c>
      <c r="BI133" s="16">
        <f t="shared" si="153"/>
        <v>27.179982093971461</v>
      </c>
      <c r="BJ133" s="17">
        <f t="shared" si="154"/>
        <v>1.3673839238770111E-2</v>
      </c>
      <c r="BK133" s="18">
        <f t="shared" si="155"/>
        <v>0.2029296774711036</v>
      </c>
      <c r="BL133" s="19">
        <f t="shared" si="204"/>
        <v>974.92567131562475</v>
      </c>
      <c r="BM133" s="15">
        <f t="shared" si="156"/>
        <v>5.4498513426312496E-6</v>
      </c>
      <c r="BN133" s="16">
        <f t="shared" si="157"/>
        <v>27.100645220129685</v>
      </c>
      <c r="BO133" s="17">
        <f t="shared" si="158"/>
        <v>1.3639307781011634E-2</v>
      </c>
      <c r="BP133" s="18">
        <f t="shared" si="159"/>
        <v>0.20352375211727913</v>
      </c>
      <c r="BQ133" s="19">
        <f t="shared" si="205"/>
        <v>967.41120113190561</v>
      </c>
      <c r="BR133" s="15">
        <f t="shared" si="160"/>
        <v>5.4348224022638116E-6</v>
      </c>
      <c r="BS133" s="16">
        <f t="shared" si="161"/>
        <v>27.014228813016913</v>
      </c>
      <c r="BT133" s="17">
        <f t="shared" si="162"/>
        <v>1.3601694948953176E-2</v>
      </c>
      <c r="BU133" s="18">
        <f t="shared" si="163"/>
        <v>0.20417480869719568</v>
      </c>
      <c r="BV133" s="19">
        <f t="shared" si="206"/>
        <v>959.21250470554935</v>
      </c>
      <c r="BW133" s="15">
        <f t="shared" si="164"/>
        <v>5.418425009411099E-6</v>
      </c>
      <c r="BX133" s="16">
        <f t="shared" si="165"/>
        <v>26.919943804113817</v>
      </c>
      <c r="BY133" s="17">
        <f t="shared" si="166"/>
        <v>1.3560657299692025E-2</v>
      </c>
      <c r="BZ133" s="18">
        <f t="shared" si="167"/>
        <v>0.20488991508062213</v>
      </c>
      <c r="CA133" s="19">
        <f t="shared" si="207"/>
        <v>950.02192635830852</v>
      </c>
      <c r="CB133" s="15">
        <f t="shared" si="168"/>
        <v>5.400043852716618E-6</v>
      </c>
      <c r="CC133" s="16">
        <f t="shared" si="169"/>
        <v>26.814252153120549</v>
      </c>
      <c r="CD133" s="17">
        <f t="shared" si="170"/>
        <v>1.3514654897467603E-2</v>
      </c>
      <c r="CE133" s="18">
        <f t="shared" si="171"/>
        <v>0.20569751371410561</v>
      </c>
      <c r="CF133" s="19">
        <f t="shared" si="208"/>
        <v>938.6642389104826</v>
      </c>
      <c r="CG133" s="15">
        <f t="shared" si="172"/>
        <v>5.3773284778209655E-6</v>
      </c>
      <c r="CH133" s="16">
        <f t="shared" si="173"/>
        <v>26.68363874747055</v>
      </c>
      <c r="CI133" s="17">
        <f t="shared" si="174"/>
        <v>1.345780527532483E-2</v>
      </c>
      <c r="CJ133" s="18">
        <f t="shared" si="175"/>
        <v>0.20670437987108667</v>
      </c>
      <c r="CK133" s="19">
        <f t="shared" si="209"/>
        <v>921.42918715474934</v>
      </c>
      <c r="CL133" s="15">
        <f t="shared" si="176"/>
        <v>5.3428583743094992E-6</v>
      </c>
      <c r="CM133" s="16">
        <f t="shared" si="177"/>
        <v>26.485435652279616</v>
      </c>
      <c r="CN133" s="17">
        <f t="shared" si="178"/>
        <v>1.3371537169742114E-2</v>
      </c>
      <c r="CO133" s="18">
        <f t="shared" si="179"/>
        <v>0.2082512469273001</v>
      </c>
      <c r="CP133" s="19">
        <f t="shared" si="210"/>
        <v>889.07006060043182</v>
      </c>
      <c r="CQ133" s="15">
        <f t="shared" si="180"/>
        <v>5.2781401212008642E-6</v>
      </c>
      <c r="CR133" s="16">
        <f t="shared" si="181"/>
        <v>26.113305696904966</v>
      </c>
      <c r="CS133" s="17">
        <f t="shared" si="182"/>
        <v>1.3209567215388846E-2</v>
      </c>
      <c r="CT133" s="18">
        <f t="shared" si="183"/>
        <v>0.2112189496044436</v>
      </c>
      <c r="CU133" s="19">
        <f t="shared" si="211"/>
        <v>824.77913399770785</v>
      </c>
      <c r="CV133" s="15">
        <f t="shared" si="184"/>
        <v>5.1495582679954163E-6</v>
      </c>
      <c r="CW133" s="16">
        <f t="shared" si="185"/>
        <v>25.373960040973639</v>
      </c>
      <c r="CX133" s="17">
        <f t="shared" si="186"/>
        <v>1.2887766241258931E-2</v>
      </c>
      <c r="CY133" s="18">
        <f t="shared" si="187"/>
        <v>0.21737344076736226</v>
      </c>
      <c r="CZ133" s="20">
        <f t="shared" si="212"/>
        <v>710.00417413922503</v>
      </c>
      <c r="DA133" s="15">
        <f t="shared" si="188"/>
        <v>4.9200083482784508E-6</v>
      </c>
      <c r="DB133" s="16">
        <f t="shared" si="189"/>
        <v>24.054048002601085</v>
      </c>
      <c r="DC133" s="17">
        <f t="shared" si="190"/>
        <v>1.2313273138734307E-2</v>
      </c>
      <c r="DD133" s="18">
        <f t="shared" si="191"/>
        <v>0.22930132173194165</v>
      </c>
    </row>
    <row r="134" spans="2:108" x14ac:dyDescent="0.25">
      <c r="B134">
        <v>115</v>
      </c>
      <c r="C134">
        <f t="shared" si="192"/>
        <v>0.11242568662970392</v>
      </c>
      <c r="D134" s="19">
        <f t="shared" si="109"/>
        <v>1018.1201521586469</v>
      </c>
      <c r="E134" s="15">
        <f t="shared" si="110"/>
        <v>5.5362403043172944E-6</v>
      </c>
      <c r="F134" s="16">
        <f t="shared" si="111"/>
        <v>27.597381749824436</v>
      </c>
      <c r="G134" s="17">
        <f t="shared" si="107"/>
        <v>1.385551287785545E-2</v>
      </c>
      <c r="H134" s="18">
        <f t="shared" si="112"/>
        <v>0.19986044509585002</v>
      </c>
      <c r="I134" s="19">
        <f t="shared" si="193"/>
        <v>1017.7957435952135</v>
      </c>
      <c r="J134" s="15">
        <f t="shared" si="113"/>
        <v>5.5355914871904275E-6</v>
      </c>
      <c r="K134" s="16">
        <f t="shared" si="114"/>
        <v>27.593651051344956</v>
      </c>
      <c r="L134" s="17">
        <f t="shared" si="115"/>
        <v>1.3853889087419607E-2</v>
      </c>
      <c r="M134" s="18">
        <f t="shared" si="116"/>
        <v>0.19988746649498418</v>
      </c>
      <c r="N134" s="19">
        <f t="shared" si="194"/>
        <v>1016.8902510691663</v>
      </c>
      <c r="O134" s="15">
        <f t="shared" si="117"/>
        <v>5.5337805021383333E-6</v>
      </c>
      <c r="P134" s="16">
        <f t="shared" si="118"/>
        <v>27.583237887295411</v>
      </c>
      <c r="Q134" s="17">
        <f t="shared" si="108"/>
        <v>1.385551287785545E-2</v>
      </c>
      <c r="R134" s="18">
        <f t="shared" si="119"/>
        <v>0.19996292757712997</v>
      </c>
      <c r="S134" s="19">
        <f t="shared" si="195"/>
        <v>1015.3889832265568</v>
      </c>
      <c r="T134" s="15">
        <f t="shared" si="120"/>
        <v>5.5307779664531139E-6</v>
      </c>
      <c r="U134" s="16">
        <f t="shared" si="121"/>
        <v>27.565973307105402</v>
      </c>
      <c r="V134" s="17">
        <f t="shared" si="122"/>
        <v>1.3841842320137547E-2</v>
      </c>
      <c r="W134" s="18">
        <f t="shared" si="123"/>
        <v>0.20008816443924704</v>
      </c>
      <c r="X134" s="19">
        <f t="shared" si="196"/>
        <v>1013.289764366433</v>
      </c>
      <c r="Y134" s="15">
        <f t="shared" si="124"/>
        <v>5.5265795287328665E-6</v>
      </c>
      <c r="Z134" s="16">
        <f t="shared" si="125"/>
        <v>27.541832290213978</v>
      </c>
      <c r="AA134" s="17">
        <f t="shared" si="126"/>
        <v>1.3831334917152455E-2</v>
      </c>
      <c r="AB134" s="18">
        <f t="shared" si="127"/>
        <v>0.20026354608076613</v>
      </c>
      <c r="AC134" s="19">
        <f t="shared" si="197"/>
        <v>1010.5911973192104</v>
      </c>
      <c r="AD134" s="15">
        <f t="shared" si="128"/>
        <v>5.5211823946384215E-6</v>
      </c>
      <c r="AE134" s="16">
        <f t="shared" si="129"/>
        <v>27.510798769170918</v>
      </c>
      <c r="AF134" s="17">
        <f t="shared" si="130"/>
        <v>1.3817827544488234E-2</v>
      </c>
      <c r="AG134" s="18">
        <f t="shared" si="131"/>
        <v>0.20048945311544009</v>
      </c>
      <c r="AH134" s="19">
        <f t="shared" si="198"/>
        <v>1007.2930774871651</v>
      </c>
      <c r="AI134" s="15">
        <f t="shared" si="132"/>
        <v>5.5145861549743311E-6</v>
      </c>
      <c r="AJ134" s="16">
        <f t="shared" si="133"/>
        <v>27.472870391102397</v>
      </c>
      <c r="AK134" s="17">
        <f t="shared" si="134"/>
        <v>1.3801319178054076E-2</v>
      </c>
      <c r="AL134" s="18">
        <f t="shared" si="135"/>
        <v>0.20076624398833615</v>
      </c>
      <c r="AM134" s="19">
        <f t="shared" si="199"/>
        <v>1003.3953678768712</v>
      </c>
      <c r="AN134" s="15">
        <f t="shared" si="136"/>
        <v>5.5067907357537428E-6</v>
      </c>
      <c r="AO134" s="16">
        <f t="shared" si="137"/>
        <v>27.428046730584018</v>
      </c>
      <c r="AP134" s="17">
        <f t="shared" si="138"/>
        <v>1.3781809632683564E-2</v>
      </c>
      <c r="AQ134" s="18">
        <f t="shared" si="139"/>
        <v>0.201094341648825</v>
      </c>
      <c r="AR134" s="19">
        <f t="shared" si="200"/>
        <v>998.89806664383423</v>
      </c>
      <c r="AS134" s="15">
        <f t="shared" si="140"/>
        <v>5.4977961332876689E-6</v>
      </c>
      <c r="AT134" s="16">
        <f t="shared" si="141"/>
        <v>27.376327766404092</v>
      </c>
      <c r="AU134" s="17">
        <f t="shared" si="142"/>
        <v>1.3759298899144288E-2</v>
      </c>
      <c r="AV134" s="18">
        <f t="shared" si="143"/>
        <v>0.20147424618318277</v>
      </c>
      <c r="AW134" s="19">
        <f t="shared" si="201"/>
        <v>993.80116931070665</v>
      </c>
      <c r="AX134" s="15">
        <f t="shared" si="144"/>
        <v>5.4876023386214143E-6</v>
      </c>
      <c r="AY134" s="16">
        <f t="shared" si="145"/>
        <v>27.317713447073125</v>
      </c>
      <c r="AZ134" s="17">
        <f t="shared" si="146"/>
        <v>1.3733786955025397E-2</v>
      </c>
      <c r="BA134" s="18">
        <f t="shared" si="147"/>
        <v>0.20190653989713606</v>
      </c>
      <c r="BB134" s="19">
        <f t="shared" si="202"/>
        <v>988.10462408773617</v>
      </c>
      <c r="BC134" s="15">
        <f t="shared" si="148"/>
        <v>5.4762092481754729E-6</v>
      </c>
      <c r="BD134" s="16">
        <f t="shared" si="149"/>
        <v>27.252203177008965</v>
      </c>
      <c r="BE134" s="17">
        <f t="shared" si="150"/>
        <v>1.3705273541099124E-2</v>
      </c>
      <c r="BF134" s="18">
        <f t="shared" si="151"/>
        <v>0.20239189338839214</v>
      </c>
      <c r="BG134" s="19">
        <f t="shared" si="203"/>
        <v>981.80805506434513</v>
      </c>
      <c r="BH134" s="15">
        <f t="shared" si="152"/>
        <v>5.4636161101286913E-6</v>
      </c>
      <c r="BI134" s="16">
        <f t="shared" si="153"/>
        <v>27.17979263323997</v>
      </c>
      <c r="BJ134" s="17">
        <f t="shared" si="154"/>
        <v>1.3673756775787521E-2</v>
      </c>
      <c r="BK134" s="18">
        <f t="shared" si="155"/>
        <v>0.2029310920221877</v>
      </c>
      <c r="BL134" s="19">
        <f t="shared" si="204"/>
        <v>974.9090417444894</v>
      </c>
      <c r="BM134" s="15">
        <f t="shared" si="156"/>
        <v>5.4498180834889789E-6</v>
      </c>
      <c r="BN134" s="16">
        <f t="shared" si="157"/>
        <v>27.100453980061626</v>
      </c>
      <c r="BO134" s="17">
        <f t="shared" si="158"/>
        <v>1.3639224543570933E-2</v>
      </c>
      <c r="BP134" s="18">
        <f t="shared" si="159"/>
        <v>0.20352518832555208</v>
      </c>
      <c r="BQ134" s="19">
        <f t="shared" si="205"/>
        <v>967.39362591624808</v>
      </c>
      <c r="BR134" s="15">
        <f t="shared" si="160"/>
        <v>5.4347872518324975E-6</v>
      </c>
      <c r="BS134" s="16">
        <f t="shared" si="161"/>
        <v>27.014026698036851</v>
      </c>
      <c r="BT134" s="17">
        <f t="shared" si="162"/>
        <v>1.3601606978195591E-2</v>
      </c>
      <c r="BU134" s="18">
        <f t="shared" si="163"/>
        <v>0.20417633630312612</v>
      </c>
      <c r="BV134" s="19">
        <f t="shared" si="206"/>
        <v>959.19056630031037</v>
      </c>
      <c r="BW134" s="15">
        <f t="shared" si="164"/>
        <v>5.4183811326006211E-6</v>
      </c>
      <c r="BX134" s="16">
        <f t="shared" si="165"/>
        <v>26.919691512453568</v>
      </c>
      <c r="BY134" s="17">
        <f t="shared" si="166"/>
        <v>1.3560547489481631E-2</v>
      </c>
      <c r="BZ134" s="18">
        <f t="shared" si="167"/>
        <v>0.20489183531127633</v>
      </c>
      <c r="CA134" s="19">
        <f t="shared" si="207"/>
        <v>949.98325098129715</v>
      </c>
      <c r="CB134" s="15">
        <f t="shared" si="168"/>
        <v>5.3999665019625948E-6</v>
      </c>
      <c r="CC134" s="16">
        <f t="shared" si="169"/>
        <v>26.813807386284914</v>
      </c>
      <c r="CD134" s="17">
        <f t="shared" si="170"/>
        <v>1.3514461312234743E-2</v>
      </c>
      <c r="CE134" s="18">
        <f t="shared" si="171"/>
        <v>0.20570092566642387</v>
      </c>
      <c r="CF134" s="19">
        <f t="shared" si="208"/>
        <v>938.57273401455745</v>
      </c>
      <c r="CG134" s="15">
        <f t="shared" si="172"/>
        <v>5.377145468029115E-6</v>
      </c>
      <c r="CH134" s="16">
        <f t="shared" si="173"/>
        <v>26.682586441167409</v>
      </c>
      <c r="CI134" s="17">
        <f t="shared" si="174"/>
        <v>1.3457347257899941E-2</v>
      </c>
      <c r="CJ134" s="18">
        <f t="shared" si="175"/>
        <v>0.20671253186648281</v>
      </c>
      <c r="CK134" s="19">
        <f t="shared" si="209"/>
        <v>921.20602763765714</v>
      </c>
      <c r="CL134" s="15">
        <f t="shared" si="176"/>
        <v>5.3424120552753146E-6</v>
      </c>
      <c r="CM134" s="16">
        <f t="shared" si="177"/>
        <v>26.482869317833057</v>
      </c>
      <c r="CN134" s="17">
        <f t="shared" si="178"/>
        <v>1.3370420169975873E-2</v>
      </c>
      <c r="CO134" s="18">
        <f t="shared" si="179"/>
        <v>0.2082714276087102</v>
      </c>
      <c r="CP134" s="19">
        <f t="shared" si="210"/>
        <v>888.6072231331076</v>
      </c>
      <c r="CQ134" s="15">
        <f t="shared" si="180"/>
        <v>5.277214446266215E-6</v>
      </c>
      <c r="CR134" s="16">
        <f t="shared" si="181"/>
        <v>26.107983066030737</v>
      </c>
      <c r="CS134" s="17">
        <f t="shared" si="182"/>
        <v>1.3207250534704349E-2</v>
      </c>
      <c r="CT134" s="18">
        <f t="shared" si="183"/>
        <v>0.21126201078230417</v>
      </c>
      <c r="CU134" s="19">
        <f t="shared" si="211"/>
        <v>824.05014272184633</v>
      </c>
      <c r="CV134" s="15">
        <f t="shared" si="184"/>
        <v>5.1481002854436936E-6</v>
      </c>
      <c r="CW134" s="16">
        <f t="shared" si="185"/>
        <v>25.365576641301232</v>
      </c>
      <c r="CX134" s="17">
        <f t="shared" si="186"/>
        <v>1.288411735773678E-2</v>
      </c>
      <c r="CY134" s="18">
        <f t="shared" si="187"/>
        <v>0.21744528334590438</v>
      </c>
      <c r="CZ134" s="20">
        <f t="shared" si="212"/>
        <v>709.21947486405634</v>
      </c>
      <c r="DA134" s="15">
        <f t="shared" si="188"/>
        <v>4.9184389497281128E-6</v>
      </c>
      <c r="DB134" s="16">
        <f t="shared" si="189"/>
        <v>24.045023960936646</v>
      </c>
      <c r="DC134" s="17">
        <f t="shared" si="190"/>
        <v>1.2309345415111521E-2</v>
      </c>
      <c r="DD134" s="18">
        <f t="shared" si="191"/>
        <v>0.22938737798559236</v>
      </c>
    </row>
    <row r="135" spans="2:108" x14ac:dyDescent="0.25">
      <c r="B135">
        <v>116</v>
      </c>
      <c r="C135">
        <f t="shared" si="192"/>
        <v>0.11340330129604917</v>
      </c>
      <c r="D135" s="19">
        <f t="shared" si="109"/>
        <v>1018.1035894962013</v>
      </c>
      <c r="E135" s="15">
        <f t="shared" si="110"/>
        <v>5.5362071789924025E-6</v>
      </c>
      <c r="F135" s="16">
        <f t="shared" si="111"/>
        <v>27.597191279206314</v>
      </c>
      <c r="G135" s="17">
        <f t="shared" si="107"/>
        <v>1.3855429975318639E-2</v>
      </c>
      <c r="H135" s="18">
        <f t="shared" si="112"/>
        <v>0.19986182449501172</v>
      </c>
      <c r="I135" s="19">
        <f t="shared" si="193"/>
        <v>1017.7791720228488</v>
      </c>
      <c r="J135" s="15">
        <f t="shared" si="113"/>
        <v>5.5355583440456979E-6</v>
      </c>
      <c r="K135" s="16">
        <f t="shared" si="114"/>
        <v>27.593460478262759</v>
      </c>
      <c r="L135" s="17">
        <f t="shared" si="115"/>
        <v>1.3853806140285203E-2</v>
      </c>
      <c r="M135" s="18">
        <f t="shared" si="116"/>
        <v>0.19988884700942211</v>
      </c>
      <c r="N135" s="19">
        <f t="shared" si="194"/>
        <v>1016.8736616155342</v>
      </c>
      <c r="O135" s="15">
        <f t="shared" si="117"/>
        <v>5.5337473232310688E-6</v>
      </c>
      <c r="P135" s="16">
        <f t="shared" si="118"/>
        <v>27.58304710857864</v>
      </c>
      <c r="Q135" s="17">
        <f t="shared" si="108"/>
        <v>1.3855429975318639E-2</v>
      </c>
      <c r="R135" s="18">
        <f t="shared" si="119"/>
        <v>0.19996431062486125</v>
      </c>
      <c r="S135" s="19">
        <f t="shared" si="195"/>
        <v>1015.3723839762072</v>
      </c>
      <c r="T135" s="15">
        <f t="shared" si="120"/>
        <v>5.5307447679524146E-6</v>
      </c>
      <c r="U135" s="16">
        <f t="shared" si="121"/>
        <v>27.565782415726382</v>
      </c>
      <c r="V135" s="17">
        <f t="shared" si="122"/>
        <v>1.3841759234464115E-2</v>
      </c>
      <c r="W135" s="18">
        <f t="shared" si="123"/>
        <v>0.20008955003770601</v>
      </c>
      <c r="X135" s="19">
        <f t="shared" si="196"/>
        <v>1013.2731671084561</v>
      </c>
      <c r="Y135" s="15">
        <f t="shared" si="124"/>
        <v>5.5265463342169125E-6</v>
      </c>
      <c r="Z135" s="16">
        <f t="shared" si="125"/>
        <v>27.541641421747244</v>
      </c>
      <c r="AA135" s="17">
        <f t="shared" si="126"/>
        <v>1.3831251841451621E-2</v>
      </c>
      <c r="AB135" s="18">
        <f t="shared" si="127"/>
        <v>0.20026493394270936</v>
      </c>
      <c r="AC135" s="19">
        <f t="shared" si="197"/>
        <v>1010.5746105850071</v>
      </c>
      <c r="AD135" s="15">
        <f t="shared" si="128"/>
        <v>5.5211492211700149E-6</v>
      </c>
      <c r="AE135" s="16">
        <f t="shared" si="129"/>
        <v>27.510608021727581</v>
      </c>
      <c r="AF135" s="17">
        <f t="shared" si="130"/>
        <v>1.3817744521462959E-2</v>
      </c>
      <c r="AG135" s="18">
        <f t="shared" si="131"/>
        <v>0.20049084322832192</v>
      </c>
      <c r="AH135" s="19">
        <f t="shared" si="198"/>
        <v>1007.2765066643871</v>
      </c>
      <c r="AI135" s="15">
        <f t="shared" si="132"/>
        <v>5.5145530133287744E-6</v>
      </c>
      <c r="AJ135" s="16">
        <f t="shared" si="133"/>
        <v>27.472679826640451</v>
      </c>
      <c r="AK135" s="17">
        <f t="shared" si="134"/>
        <v>1.3801236234671645E-2</v>
      </c>
      <c r="AL135" s="18">
        <f t="shared" si="135"/>
        <v>0.20076763660498309</v>
      </c>
      <c r="AM135" s="19">
        <f t="shared" si="199"/>
        <v>1003.3788169478241</v>
      </c>
      <c r="AN135" s="15">
        <f t="shared" si="136"/>
        <v>5.5067576338956487E-6</v>
      </c>
      <c r="AO135" s="16">
        <f t="shared" si="137"/>
        <v>27.427856394899976</v>
      </c>
      <c r="AP135" s="17">
        <f t="shared" si="138"/>
        <v>1.3781726788876956E-2</v>
      </c>
      <c r="AQ135" s="18">
        <f t="shared" si="139"/>
        <v>0.20109573714355575</v>
      </c>
      <c r="AR135" s="19">
        <f t="shared" si="200"/>
        <v>998.88153913523684</v>
      </c>
      <c r="AS135" s="15">
        <f t="shared" si="140"/>
        <v>5.4977630782704739E-6</v>
      </c>
      <c r="AT135" s="16">
        <f t="shared" si="141"/>
        <v>27.376137700055224</v>
      </c>
      <c r="AU135" s="17">
        <f t="shared" si="142"/>
        <v>1.3759216172566096E-2</v>
      </c>
      <c r="AV135" s="18">
        <f t="shared" si="143"/>
        <v>0.20147564497342785</v>
      </c>
      <c r="AW135" s="19">
        <f t="shared" si="201"/>
        <v>993.78466810857537</v>
      </c>
      <c r="AX135" s="15">
        <f t="shared" si="144"/>
        <v>5.4875693362171508E-6</v>
      </c>
      <c r="AY135" s="16">
        <f t="shared" si="145"/>
        <v>27.317523683248616</v>
      </c>
      <c r="AZ135" s="17">
        <f t="shared" si="146"/>
        <v>1.3733704360121248E-2</v>
      </c>
      <c r="BA135" s="18">
        <f t="shared" si="147"/>
        <v>0.20190794246047408</v>
      </c>
      <c r="BB135" s="19">
        <f t="shared" si="202"/>
        <v>988.08814804398128</v>
      </c>
      <c r="BC135" s="15">
        <f t="shared" si="148"/>
        <v>5.4761762960879633E-6</v>
      </c>
      <c r="BD135" s="16">
        <f t="shared" si="149"/>
        <v>27.252013702505785</v>
      </c>
      <c r="BE135" s="17">
        <f t="shared" si="150"/>
        <v>1.3705191072122392E-2</v>
      </c>
      <c r="BF135" s="18">
        <f t="shared" si="151"/>
        <v>0.20239330055425761</v>
      </c>
      <c r="BG135" s="19">
        <f t="shared" si="203"/>
        <v>981.79157808754621</v>
      </c>
      <c r="BH135" s="15">
        <f t="shared" si="152"/>
        <v>5.4635831561750935E-6</v>
      </c>
      <c r="BI135" s="16">
        <f t="shared" si="153"/>
        <v>27.17960314800678</v>
      </c>
      <c r="BJ135" s="17">
        <f t="shared" si="154"/>
        <v>1.3673674302140544E-2</v>
      </c>
      <c r="BK135" s="18">
        <f t="shared" si="155"/>
        <v>0.20293250677593094</v>
      </c>
      <c r="BL135" s="19">
        <f t="shared" si="204"/>
        <v>974.89240083195807</v>
      </c>
      <c r="BM135" s="15">
        <f t="shared" si="156"/>
        <v>5.4497848016639164E-6</v>
      </c>
      <c r="BN135" s="16">
        <f t="shared" si="157"/>
        <v>27.100262609567515</v>
      </c>
      <c r="BO135" s="17">
        <f t="shared" si="158"/>
        <v>1.3639141249362155E-2</v>
      </c>
      <c r="BP135" s="18">
        <f t="shared" si="159"/>
        <v>0.2035266255336122</v>
      </c>
      <c r="BQ135" s="19">
        <f t="shared" si="205"/>
        <v>967.37600141062126</v>
      </c>
      <c r="BR135" s="15">
        <f t="shared" si="160"/>
        <v>5.4347520028212427E-6</v>
      </c>
      <c r="BS135" s="16">
        <f t="shared" si="161"/>
        <v>27.013824016222145</v>
      </c>
      <c r="BT135" s="17">
        <f t="shared" si="162"/>
        <v>1.3601518760722627E-2</v>
      </c>
      <c r="BU135" s="18">
        <f t="shared" si="163"/>
        <v>0.20417786821620654</v>
      </c>
      <c r="BV135" s="19">
        <f t="shared" si="206"/>
        <v>959.1684494853348</v>
      </c>
      <c r="BW135" s="15">
        <f t="shared" si="164"/>
        <v>5.4183368989706702E-6</v>
      </c>
      <c r="BX135" s="16">
        <f t="shared" si="165"/>
        <v>26.919437169081348</v>
      </c>
      <c r="BY135" s="17">
        <f t="shared" si="166"/>
        <v>1.3560436786261443E-2</v>
      </c>
      <c r="BZ135" s="18">
        <f t="shared" si="167"/>
        <v>0.20489377119425956</v>
      </c>
      <c r="CA135" s="19">
        <f t="shared" si="207"/>
        <v>949.9440550442464</v>
      </c>
      <c r="CB135" s="15">
        <f t="shared" si="168"/>
        <v>5.3998881100884938E-6</v>
      </c>
      <c r="CC135" s="16">
        <f t="shared" si="169"/>
        <v>26.813356633008834</v>
      </c>
      <c r="CD135" s="17">
        <f t="shared" si="170"/>
        <v>1.3514265121397384E-2</v>
      </c>
      <c r="CE135" s="18">
        <f t="shared" si="171"/>
        <v>0.20570438365817797</v>
      </c>
      <c r="CF135" s="19">
        <f t="shared" si="208"/>
        <v>938.48008727220144</v>
      </c>
      <c r="CG135" s="15">
        <f t="shared" si="172"/>
        <v>5.3769601745444034E-6</v>
      </c>
      <c r="CH135" s="16">
        <f t="shared" si="173"/>
        <v>26.681521003630316</v>
      </c>
      <c r="CI135" s="17">
        <f t="shared" si="174"/>
        <v>1.3456883525091664E-2</v>
      </c>
      <c r="CJ135" s="18">
        <f t="shared" si="175"/>
        <v>0.20672078624189147</v>
      </c>
      <c r="CK135" s="19">
        <f t="shared" si="209"/>
        <v>920.98127518318699</v>
      </c>
      <c r="CL135" s="15">
        <f t="shared" si="176"/>
        <v>5.3419625503663745E-6</v>
      </c>
      <c r="CM135" s="16">
        <f t="shared" si="177"/>
        <v>26.48028466460665</v>
      </c>
      <c r="CN135" s="17">
        <f t="shared" si="178"/>
        <v>1.3369295196941444E-2</v>
      </c>
      <c r="CO135" s="18">
        <f t="shared" si="179"/>
        <v>0.20829175629566185</v>
      </c>
      <c r="CP135" s="19">
        <f t="shared" si="210"/>
        <v>888.14388279448212</v>
      </c>
      <c r="CQ135" s="15">
        <f t="shared" si="180"/>
        <v>5.2762877655889651E-6</v>
      </c>
      <c r="CR135" s="16">
        <f t="shared" si="181"/>
        <v>26.102654652136543</v>
      </c>
      <c r="CS135" s="17">
        <f t="shared" si="182"/>
        <v>1.3204931336954337E-2</v>
      </c>
      <c r="CT135" s="18">
        <f t="shared" si="183"/>
        <v>0.2113051363359526</v>
      </c>
      <c r="CU135" s="19">
        <f t="shared" si="211"/>
        <v>823.32394653316874</v>
      </c>
      <c r="CV135" s="15">
        <f t="shared" si="184"/>
        <v>5.1466478930663379E-6</v>
      </c>
      <c r="CW135" s="16">
        <f t="shared" si="185"/>
        <v>25.357225385131439</v>
      </c>
      <c r="CX135" s="17">
        <f t="shared" si="186"/>
        <v>1.2880482464707941E-2</v>
      </c>
      <c r="CY135" s="18">
        <f t="shared" si="187"/>
        <v>0.21751689769789101</v>
      </c>
      <c r="CZ135" s="20">
        <f t="shared" si="212"/>
        <v>708.43948701560464</v>
      </c>
      <c r="DA135" s="15">
        <f t="shared" si="188"/>
        <v>4.9168789740312094E-6</v>
      </c>
      <c r="DB135" s="16">
        <f t="shared" si="189"/>
        <v>24.036054100679451</v>
      </c>
      <c r="DC135" s="17">
        <f t="shared" si="190"/>
        <v>1.2305441274003208E-2</v>
      </c>
      <c r="DD135" s="18">
        <f t="shared" si="191"/>
        <v>0.22947298158411469</v>
      </c>
    </row>
    <row r="136" spans="2:108" x14ac:dyDescent="0.25">
      <c r="B136">
        <v>117</v>
      </c>
      <c r="C136">
        <f t="shared" si="192"/>
        <v>0.11438091596239441</v>
      </c>
      <c r="D136" s="19">
        <f t="shared" si="109"/>
        <v>1018.0870263788602</v>
      </c>
      <c r="E136" s="15">
        <f t="shared" si="110"/>
        <v>5.5361740527577209E-6</v>
      </c>
      <c r="F136" s="16">
        <f t="shared" si="111"/>
        <v>27.597000803356892</v>
      </c>
      <c r="G136" s="17">
        <f t="shared" si="107"/>
        <v>1.3855347070504903E-2</v>
      </c>
      <c r="H136" s="18">
        <f t="shared" si="112"/>
        <v>0.19986320395110041</v>
      </c>
      <c r="I136" s="19">
        <f t="shared" si="193"/>
        <v>1017.7626002397394</v>
      </c>
      <c r="J136" s="15">
        <f t="shared" si="113"/>
        <v>5.5355252004794796E-6</v>
      </c>
      <c r="K136" s="16">
        <f t="shared" si="114"/>
        <v>27.593269902757001</v>
      </c>
      <c r="L136" s="17">
        <f t="shared" si="115"/>
        <v>1.3853723192095942E-2</v>
      </c>
      <c r="M136" s="18">
        <f t="shared" si="116"/>
        <v>0.19989022756048577</v>
      </c>
      <c r="N136" s="19">
        <f t="shared" si="194"/>
        <v>1016.8570722773699</v>
      </c>
      <c r="O136" s="15">
        <f t="shared" si="117"/>
        <v>5.5337141445547402E-6</v>
      </c>
      <c r="P136" s="16">
        <f t="shared" si="118"/>
        <v>27.582856331189753</v>
      </c>
      <c r="Q136" s="17">
        <f t="shared" si="108"/>
        <v>1.3855347070504903E-2</v>
      </c>
      <c r="R136" s="18">
        <f t="shared" si="119"/>
        <v>0.19996569368209774</v>
      </c>
      <c r="S136" s="19">
        <f t="shared" si="195"/>
        <v>1015.3557849705002</v>
      </c>
      <c r="T136" s="15">
        <f t="shared" si="120"/>
        <v>5.5307115699410004E-6</v>
      </c>
      <c r="U136" s="16">
        <f t="shared" si="121"/>
        <v>27.565591527160752</v>
      </c>
      <c r="V136" s="17">
        <f t="shared" si="122"/>
        <v>1.3841676150015214E-2</v>
      </c>
      <c r="W136" s="18">
        <f t="shared" si="123"/>
        <v>0.20009093563493385</v>
      </c>
      <c r="X136" s="19">
        <f t="shared" si="196"/>
        <v>1013.2565700898477</v>
      </c>
      <c r="Y136" s="15">
        <f t="shared" si="124"/>
        <v>5.5265131401796957E-6</v>
      </c>
      <c r="Z136" s="16">
        <f t="shared" si="125"/>
        <v>27.541450556033247</v>
      </c>
      <c r="AA136" s="17">
        <f t="shared" si="126"/>
        <v>1.3831168766948917E-2</v>
      </c>
      <c r="AB136" s="18">
        <f t="shared" si="127"/>
        <v>0.2002663218038726</v>
      </c>
      <c r="AC136" s="19">
        <f t="shared" si="197"/>
        <v>1010.5580240615091</v>
      </c>
      <c r="AD136" s="15">
        <f t="shared" si="128"/>
        <v>5.521116048123019E-6</v>
      </c>
      <c r="AE136" s="16">
        <f t="shared" si="129"/>
        <v>27.510417276707351</v>
      </c>
      <c r="AF136" s="17">
        <f t="shared" si="130"/>
        <v>1.3817661499492349E-2</v>
      </c>
      <c r="AG136" s="18">
        <f t="shared" si="131"/>
        <v>0.20049223334282157</v>
      </c>
      <c r="AH136" s="19">
        <f t="shared" si="198"/>
        <v>1007.2599360374272</v>
      </c>
      <c r="AI136" s="15">
        <f t="shared" si="132"/>
        <v>5.5145198720748552E-6</v>
      </c>
      <c r="AJ136" s="16">
        <f t="shared" si="133"/>
        <v>27.472489264430415</v>
      </c>
      <c r="AK136" s="17">
        <f t="shared" si="134"/>
        <v>1.3801153292269358E-2</v>
      </c>
      <c r="AL136" s="18">
        <f t="shared" si="135"/>
        <v>0.200769029224493</v>
      </c>
      <c r="AM136" s="19">
        <f t="shared" si="199"/>
        <v>1003.3622662096163</v>
      </c>
      <c r="AN136" s="15">
        <f t="shared" si="136"/>
        <v>5.5067245324192328E-6</v>
      </c>
      <c r="AO136" s="16">
        <f t="shared" si="137"/>
        <v>27.427666061410587</v>
      </c>
      <c r="AP136" s="17">
        <f t="shared" si="138"/>
        <v>1.3781643946025572E-2</v>
      </c>
      <c r="AQ136" s="18">
        <f t="shared" si="139"/>
        <v>0.2010971326415637</v>
      </c>
      <c r="AR136" s="19">
        <f t="shared" si="200"/>
        <v>998.86501180859375</v>
      </c>
      <c r="AS136" s="15">
        <f t="shared" si="140"/>
        <v>5.4977300236171881E-6</v>
      </c>
      <c r="AT136" s="16">
        <f t="shared" si="141"/>
        <v>27.375947635798827</v>
      </c>
      <c r="AU136" s="17">
        <f t="shared" si="142"/>
        <v>1.3759133446898658E-2</v>
      </c>
      <c r="AV136" s="18">
        <f t="shared" si="143"/>
        <v>0.20147704376769621</v>
      </c>
      <c r="AW136" s="19">
        <f t="shared" si="201"/>
        <v>993.76816702919837</v>
      </c>
      <c r="AX136" s="15">
        <f t="shared" si="144"/>
        <v>5.4875363340583973E-6</v>
      </c>
      <c r="AY136" s="16">
        <f t="shared" si="145"/>
        <v>27.317333920835779</v>
      </c>
      <c r="AZ136" s="17">
        <f t="shared" si="146"/>
        <v>1.3733621765831537E-2</v>
      </c>
      <c r="BA136" s="18">
        <f t="shared" si="147"/>
        <v>0.20190934503286434</v>
      </c>
      <c r="BB136" s="19">
        <f t="shared" si="202"/>
        <v>988.07167175761845</v>
      </c>
      <c r="BC136" s="15">
        <f t="shared" si="148"/>
        <v>5.4761433435152368E-6</v>
      </c>
      <c r="BD136" s="16">
        <f t="shared" si="149"/>
        <v>27.251824225212612</v>
      </c>
      <c r="BE136" s="17">
        <f t="shared" si="150"/>
        <v>1.3705108601931309E-2</v>
      </c>
      <c r="BF136" s="18">
        <f t="shared" si="151"/>
        <v>0.20239470776041116</v>
      </c>
      <c r="BG136" s="19">
        <f t="shared" si="203"/>
        <v>981.77509887322049</v>
      </c>
      <c r="BH136" s="15">
        <f t="shared" si="152"/>
        <v>5.463550197746442E-6</v>
      </c>
      <c r="BI136" s="16">
        <f t="shared" si="153"/>
        <v>27.179413637042035</v>
      </c>
      <c r="BJ136" s="17">
        <f t="shared" si="154"/>
        <v>1.3673591817293876E-2</v>
      </c>
      <c r="BK136" s="18">
        <f t="shared" si="155"/>
        <v>0.20293392174152405</v>
      </c>
      <c r="BL136" s="19">
        <f t="shared" si="204"/>
        <v>974.87574815836592</v>
      </c>
      <c r="BM136" s="15">
        <f t="shared" si="156"/>
        <v>5.449751496316732E-6</v>
      </c>
      <c r="BN136" s="16">
        <f t="shared" si="157"/>
        <v>27.100071103821207</v>
      </c>
      <c r="BO136" s="17">
        <f t="shared" si="158"/>
        <v>1.3639057896284714E-2</v>
      </c>
      <c r="BP136" s="18">
        <f t="shared" si="159"/>
        <v>0.20352806377774696</v>
      </c>
      <c r="BQ136" s="19">
        <f t="shared" si="205"/>
        <v>967.3583262845749</v>
      </c>
      <c r="BR136" s="15">
        <f t="shared" si="160"/>
        <v>5.4347166525691507E-6</v>
      </c>
      <c r="BS136" s="16">
        <f t="shared" si="161"/>
        <v>27.013620752272608</v>
      </c>
      <c r="BT136" s="17">
        <f t="shared" si="162"/>
        <v>1.3601430289874872E-2</v>
      </c>
      <c r="BU136" s="18">
        <f t="shared" si="163"/>
        <v>0.20417940455227498</v>
      </c>
      <c r="BV136" s="19">
        <f t="shared" si="206"/>
        <v>959.14615113690752</v>
      </c>
      <c r="BW136" s="15">
        <f t="shared" si="164"/>
        <v>5.4182923022738149E-6</v>
      </c>
      <c r="BX136" s="16">
        <f t="shared" si="165"/>
        <v>26.919180738074438</v>
      </c>
      <c r="BY136" s="17">
        <f t="shared" si="166"/>
        <v>1.3560325174396056E-2</v>
      </c>
      <c r="BZ136" s="18">
        <f t="shared" si="167"/>
        <v>0.20489572300388439</v>
      </c>
      <c r="CA136" s="19">
        <f t="shared" si="207"/>
        <v>949.90433433766225</v>
      </c>
      <c r="CB136" s="15">
        <f t="shared" si="168"/>
        <v>5.399808668675325E-6</v>
      </c>
      <c r="CC136" s="16">
        <f t="shared" si="169"/>
        <v>26.812899844883113</v>
      </c>
      <c r="CD136" s="17">
        <f t="shared" si="170"/>
        <v>1.3514066303885373E-2</v>
      </c>
      <c r="CE136" s="18">
        <f t="shared" si="171"/>
        <v>0.20570788806540014</v>
      </c>
      <c r="CF136" s="19">
        <f t="shared" si="208"/>
        <v>938.38630058198748</v>
      </c>
      <c r="CG136" s="15">
        <f t="shared" si="172"/>
        <v>5.3767726011639754E-6</v>
      </c>
      <c r="CH136" s="16">
        <f t="shared" si="173"/>
        <v>26.680442456692855</v>
      </c>
      <c r="CI136" s="17">
        <f t="shared" si="174"/>
        <v>1.3456414086403096E-2</v>
      </c>
      <c r="CJ136" s="18">
        <f t="shared" si="175"/>
        <v>0.20672914285259134</v>
      </c>
      <c r="CK136" s="19">
        <f t="shared" si="209"/>
        <v>920.75495098897125</v>
      </c>
      <c r="CL136" s="15">
        <f t="shared" si="176"/>
        <v>5.3415099019779426E-6</v>
      </c>
      <c r="CM136" s="16">
        <f t="shared" si="177"/>
        <v>26.477681936373166</v>
      </c>
      <c r="CN136" s="17">
        <f t="shared" si="178"/>
        <v>1.3368162356741179E-2</v>
      </c>
      <c r="CO136" s="18">
        <f t="shared" si="179"/>
        <v>0.20831223115581823</v>
      </c>
      <c r="CP136" s="19">
        <f t="shared" si="210"/>
        <v>887.68007109361372</v>
      </c>
      <c r="CQ136" s="15">
        <f t="shared" si="180"/>
        <v>5.2753601421872281E-6</v>
      </c>
      <c r="CR136" s="16">
        <f t="shared" si="181"/>
        <v>26.097320817576559</v>
      </c>
      <c r="CS136" s="17">
        <f t="shared" si="182"/>
        <v>1.3202609779853837E-2</v>
      </c>
      <c r="CT136" s="18">
        <f t="shared" si="183"/>
        <v>0.21134832339897602</v>
      </c>
      <c r="CU136" s="19">
        <f t="shared" si="211"/>
        <v>822.60052819477062</v>
      </c>
      <c r="CV136" s="15">
        <f t="shared" si="184"/>
        <v>5.1452010563895419E-6</v>
      </c>
      <c r="CW136" s="16">
        <f t="shared" si="185"/>
        <v>25.348906074239864</v>
      </c>
      <c r="CX136" s="17">
        <f t="shared" si="186"/>
        <v>1.2876861475895033E-2</v>
      </c>
      <c r="CY136" s="18">
        <f t="shared" si="187"/>
        <v>0.2175882850268282</v>
      </c>
      <c r="CZ136" s="20">
        <f t="shared" si="212"/>
        <v>707.66413884630799</v>
      </c>
      <c r="DA136" s="15">
        <f t="shared" si="188"/>
        <v>4.9153282776926165E-6</v>
      </c>
      <c r="DB136" s="16">
        <f t="shared" si="189"/>
        <v>24.02713759673254</v>
      </c>
      <c r="DC136" s="17">
        <f t="shared" si="190"/>
        <v>1.2301560356285046E-2</v>
      </c>
      <c r="DD136" s="18">
        <f t="shared" si="191"/>
        <v>0.22955813932451413</v>
      </c>
    </row>
    <row r="137" spans="2:108" x14ac:dyDescent="0.25">
      <c r="B137">
        <v>118</v>
      </c>
      <c r="C137">
        <f t="shared" si="192"/>
        <v>0.11535853062873967</v>
      </c>
      <c r="D137" s="19">
        <f t="shared" si="109"/>
        <v>1018.0704628190888</v>
      </c>
      <c r="E137" s="15">
        <f t="shared" si="110"/>
        <v>5.5361409256381779E-6</v>
      </c>
      <c r="F137" s="16">
        <f t="shared" si="111"/>
        <v>27.596810322419522</v>
      </c>
      <c r="G137" s="17">
        <f t="shared" si="107"/>
        <v>1.3855264163476629E-2</v>
      </c>
      <c r="H137" s="18">
        <f t="shared" si="112"/>
        <v>0.19986458346307984</v>
      </c>
      <c r="I137" s="19">
        <f t="shared" si="193"/>
        <v>1017.7460282509799</v>
      </c>
      <c r="J137" s="15">
        <f t="shared" si="113"/>
        <v>5.5354920565019599E-6</v>
      </c>
      <c r="K137" s="16">
        <f t="shared" si="114"/>
        <v>27.593079324886268</v>
      </c>
      <c r="L137" s="17">
        <f t="shared" si="115"/>
        <v>1.3853640242877319E-2</v>
      </c>
      <c r="M137" s="18">
        <f t="shared" si="116"/>
        <v>0.19989160814775189</v>
      </c>
      <c r="N137" s="19">
        <f t="shared" si="194"/>
        <v>1016.840483053522</v>
      </c>
      <c r="O137" s="15">
        <f t="shared" si="117"/>
        <v>5.5336809661070453E-6</v>
      </c>
      <c r="P137" s="16">
        <f t="shared" si="118"/>
        <v>27.582665555115504</v>
      </c>
      <c r="Q137" s="17">
        <f t="shared" si="108"/>
        <v>1.3855264163476629E-2</v>
      </c>
      <c r="R137" s="18">
        <f t="shared" si="119"/>
        <v>0.19996707674893544</v>
      </c>
      <c r="S137" s="19">
        <f t="shared" si="195"/>
        <v>1015.3391862078599</v>
      </c>
      <c r="T137" s="15">
        <f t="shared" si="120"/>
        <v>5.5306783724157205E-6</v>
      </c>
      <c r="U137" s="16">
        <f t="shared" si="121"/>
        <v>27.56540064139039</v>
      </c>
      <c r="V137" s="17">
        <f t="shared" si="122"/>
        <v>1.3841593066782957E-2</v>
      </c>
      <c r="W137" s="18">
        <f t="shared" si="123"/>
        <v>0.20009232123106169</v>
      </c>
      <c r="X137" s="19">
        <f t="shared" si="196"/>
        <v>1013.2399733102225</v>
      </c>
      <c r="Y137" s="15">
        <f t="shared" si="124"/>
        <v>5.5264799466204451E-6</v>
      </c>
      <c r="Z137" s="16">
        <f t="shared" si="125"/>
        <v>27.541259693067559</v>
      </c>
      <c r="AA137" s="17">
        <f t="shared" si="126"/>
        <v>1.3831085693642416E-2</v>
      </c>
      <c r="AB137" s="18">
        <f t="shared" si="127"/>
        <v>0.20026770966428759</v>
      </c>
      <c r="AC137" s="19">
        <f t="shared" si="197"/>
        <v>1010.5414377488438</v>
      </c>
      <c r="AD137" s="15">
        <f t="shared" si="128"/>
        <v>5.521082875497688E-6</v>
      </c>
      <c r="AE137" s="16">
        <f t="shared" si="129"/>
        <v>27.510226534111702</v>
      </c>
      <c r="AF137" s="17">
        <f t="shared" si="130"/>
        <v>1.3817578478577033E-2</v>
      </c>
      <c r="AG137" s="18">
        <f t="shared" si="131"/>
        <v>0.20049362345892796</v>
      </c>
      <c r="AH137" s="19">
        <f t="shared" si="198"/>
        <v>1007.2433656063972</v>
      </c>
      <c r="AI137" s="15">
        <f t="shared" si="132"/>
        <v>5.5144867312127947E-6</v>
      </c>
      <c r="AJ137" s="16">
        <f t="shared" si="133"/>
        <v>27.472298704473566</v>
      </c>
      <c r="AK137" s="17">
        <f t="shared" si="134"/>
        <v>1.3801070350847775E-2</v>
      </c>
      <c r="AL137" s="18">
        <f t="shared" si="135"/>
        <v>0.20077042184685623</v>
      </c>
      <c r="AM137" s="19">
        <f t="shared" si="199"/>
        <v>1003.3457156621779</v>
      </c>
      <c r="AN137" s="15">
        <f t="shared" si="136"/>
        <v>5.5066914313243561E-6</v>
      </c>
      <c r="AO137" s="16">
        <f t="shared" si="137"/>
        <v>27.427475730115045</v>
      </c>
      <c r="AP137" s="17">
        <f t="shared" si="138"/>
        <v>1.3781561104129062E-2</v>
      </c>
      <c r="AQ137" s="18">
        <f t="shared" si="139"/>
        <v>0.20109852814285453</v>
      </c>
      <c r="AR137" s="19">
        <f t="shared" si="200"/>
        <v>998.84848466315088</v>
      </c>
      <c r="AS137" s="15">
        <f t="shared" si="140"/>
        <v>5.4976969693263027E-6</v>
      </c>
      <c r="AT137" s="16">
        <f t="shared" si="141"/>
        <v>27.375757573626235</v>
      </c>
      <c r="AU137" s="17">
        <f t="shared" si="142"/>
        <v>1.3759050722138197E-2</v>
      </c>
      <c r="AV137" s="18">
        <f t="shared" si="143"/>
        <v>0.20147844256605141</v>
      </c>
      <c r="AW137" s="19">
        <f t="shared" si="201"/>
        <v>993.75166606803737</v>
      </c>
      <c r="AX137" s="15">
        <f t="shared" si="144"/>
        <v>5.4875033321360744E-6</v>
      </c>
      <c r="AY137" s="16">
        <f t="shared" si="145"/>
        <v>27.31714415978243</v>
      </c>
      <c r="AZ137" s="17">
        <f t="shared" si="146"/>
        <v>1.3733539172133538E-2</v>
      </c>
      <c r="BA137" s="18">
        <f t="shared" si="147"/>
        <v>0.20191074761469244</v>
      </c>
      <c r="BB137" s="19">
        <f t="shared" si="202"/>
        <v>988.05519520465077</v>
      </c>
      <c r="BC137" s="15">
        <f t="shared" si="148"/>
        <v>5.4761103904093022E-6</v>
      </c>
      <c r="BD137" s="16">
        <f t="shared" si="149"/>
        <v>27.251634744853483</v>
      </c>
      <c r="BE137" s="17">
        <f t="shared" si="150"/>
        <v>1.3705026130405772E-2</v>
      </c>
      <c r="BF137" s="18">
        <f t="shared" si="151"/>
        <v>0.20239611500890364</v>
      </c>
      <c r="BG137" s="19">
        <f t="shared" si="203"/>
        <v>981.75861731104226</v>
      </c>
      <c r="BH137" s="15">
        <f t="shared" si="152"/>
        <v>5.4635172346220855E-6</v>
      </c>
      <c r="BI137" s="16">
        <f t="shared" si="153"/>
        <v>27.179224099076983</v>
      </c>
      <c r="BJ137" s="17">
        <f t="shared" si="154"/>
        <v>1.3673509320695299E-2</v>
      </c>
      <c r="BK137" s="18">
        <f t="shared" si="155"/>
        <v>0.2029353369284487</v>
      </c>
      <c r="BL137" s="19">
        <f t="shared" si="204"/>
        <v>974.85908329518145</v>
      </c>
      <c r="BM137" s="15">
        <f t="shared" si="156"/>
        <v>5.449718166590363E-6</v>
      </c>
      <c r="BN137" s="16">
        <f t="shared" si="157"/>
        <v>27.099879457894588</v>
      </c>
      <c r="BO137" s="17">
        <f t="shared" si="158"/>
        <v>1.3638974482193646E-2</v>
      </c>
      <c r="BP137" s="18">
        <f t="shared" si="159"/>
        <v>0.20352950309501169</v>
      </c>
      <c r="BQ137" s="19">
        <f t="shared" si="205"/>
        <v>967.34059919423225</v>
      </c>
      <c r="BR137" s="15">
        <f t="shared" si="160"/>
        <v>5.434681198388465E-6</v>
      </c>
      <c r="BS137" s="16">
        <f t="shared" si="161"/>
        <v>27.013416890733669</v>
      </c>
      <c r="BT137" s="17">
        <f t="shared" si="162"/>
        <v>1.3601341558925697E-2</v>
      </c>
      <c r="BU137" s="18">
        <f t="shared" si="163"/>
        <v>0.20418094542834409</v>
      </c>
      <c r="BV137" s="19">
        <f t="shared" si="206"/>
        <v>959.12366813961978</v>
      </c>
      <c r="BW137" s="15">
        <f t="shared" si="164"/>
        <v>5.4182473362792403E-6</v>
      </c>
      <c r="BX137" s="16">
        <f t="shared" si="165"/>
        <v>26.918922183605627</v>
      </c>
      <c r="BY137" s="17">
        <f t="shared" si="166"/>
        <v>1.3560212638291652E-2</v>
      </c>
      <c r="BZ137" s="18">
        <f t="shared" si="167"/>
        <v>0.20489769101376462</v>
      </c>
      <c r="CA137" s="19">
        <f t="shared" si="207"/>
        <v>949.8640847521267</v>
      </c>
      <c r="CB137" s="15">
        <f t="shared" si="168"/>
        <v>5.3997281695042541E-6</v>
      </c>
      <c r="CC137" s="16">
        <f t="shared" si="169"/>
        <v>26.812436974649458</v>
      </c>
      <c r="CD137" s="17">
        <f t="shared" si="170"/>
        <v>1.3513864839129489E-2</v>
      </c>
      <c r="CE137" s="18">
        <f t="shared" si="171"/>
        <v>0.20571143925540586</v>
      </c>
      <c r="CF137" s="19">
        <f t="shared" si="208"/>
        <v>938.29137603220784</v>
      </c>
      <c r="CG137" s="15">
        <f t="shared" si="172"/>
        <v>5.3765827520644164E-6</v>
      </c>
      <c r="CH137" s="16">
        <f t="shared" si="173"/>
        <v>26.679350824370388</v>
      </c>
      <c r="CI137" s="17">
        <f t="shared" si="174"/>
        <v>1.3455938952286944E-2</v>
      </c>
      <c r="CJ137" s="18">
        <f t="shared" si="175"/>
        <v>0.2067376015372055</v>
      </c>
      <c r="CK137" s="19">
        <f t="shared" si="209"/>
        <v>920.52707614305939</v>
      </c>
      <c r="CL137" s="15">
        <f t="shared" si="176"/>
        <v>5.3410541522861194E-6</v>
      </c>
      <c r="CM137" s="16">
        <f t="shared" si="177"/>
        <v>26.475061375645183</v>
      </c>
      <c r="CN137" s="17">
        <f t="shared" si="178"/>
        <v>1.3367021754928933E-2</v>
      </c>
      <c r="CO137" s="18">
        <f t="shared" si="179"/>
        <v>0.20833285036588842</v>
      </c>
      <c r="CP137" s="19">
        <f t="shared" si="210"/>
        <v>887.21581872518607</v>
      </c>
      <c r="CQ137" s="15">
        <f t="shared" si="180"/>
        <v>5.2744316374503727E-6</v>
      </c>
      <c r="CR137" s="16">
        <f t="shared" si="181"/>
        <v>26.091981915339638</v>
      </c>
      <c r="CS137" s="17">
        <f t="shared" si="182"/>
        <v>1.3200286017041624E-2</v>
      </c>
      <c r="CT137" s="18">
        <f t="shared" si="183"/>
        <v>0.21139156917617399</v>
      </c>
      <c r="CU137" s="19">
        <f t="shared" si="211"/>
        <v>821.87987035664139</v>
      </c>
      <c r="CV137" s="15">
        <f t="shared" si="184"/>
        <v>5.1437597407132829E-6</v>
      </c>
      <c r="CW137" s="16">
        <f t="shared" si="185"/>
        <v>25.340618509101375</v>
      </c>
      <c r="CX137" s="17">
        <f t="shared" si="186"/>
        <v>1.2873254304454535E-2</v>
      </c>
      <c r="CY137" s="18">
        <f t="shared" si="187"/>
        <v>0.2176594465529324</v>
      </c>
      <c r="CZ137" s="20">
        <f t="shared" si="212"/>
        <v>706.89336042170942</v>
      </c>
      <c r="DA137" s="15">
        <f t="shared" si="188"/>
        <v>4.9137867208434199E-6</v>
      </c>
      <c r="DB137" s="16">
        <f t="shared" si="189"/>
        <v>24.018273644849657</v>
      </c>
      <c r="DC137" s="17">
        <f t="shared" si="190"/>
        <v>1.229770231190801E-2</v>
      </c>
      <c r="DD137" s="18">
        <f t="shared" si="191"/>
        <v>0.22964285783223806</v>
      </c>
    </row>
    <row r="138" spans="2:108" x14ac:dyDescent="0.25">
      <c r="B138">
        <v>119</v>
      </c>
      <c r="C138">
        <f t="shared" si="192"/>
        <v>0.11633614529508493</v>
      </c>
      <c r="D138" s="19">
        <f t="shared" si="109"/>
        <v>1018.0538988289758</v>
      </c>
      <c r="E138" s="15">
        <f t="shared" si="110"/>
        <v>5.5361077976579519E-6</v>
      </c>
      <c r="F138" s="16">
        <f t="shared" si="111"/>
        <v>27.596619836533222</v>
      </c>
      <c r="G138" s="17">
        <f t="shared" si="107"/>
        <v>1.3855181254294333E-2</v>
      </c>
      <c r="H138" s="18">
        <f t="shared" si="112"/>
        <v>0.19986596302994517</v>
      </c>
      <c r="I138" s="19">
        <f t="shared" si="193"/>
        <v>1017.7294560615859</v>
      </c>
      <c r="J138" s="15">
        <f t="shared" si="113"/>
        <v>5.5354589121231719E-6</v>
      </c>
      <c r="K138" s="16">
        <f t="shared" si="114"/>
        <v>27.592888744708237</v>
      </c>
      <c r="L138" s="17">
        <f t="shared" si="115"/>
        <v>1.3853557292654447E-2</v>
      </c>
      <c r="M138" s="18">
        <f t="shared" si="116"/>
        <v>0.19989298877080372</v>
      </c>
      <c r="N138" s="19">
        <f t="shared" si="194"/>
        <v>1016.8238939428967</v>
      </c>
      <c r="O138" s="15">
        <f t="shared" si="117"/>
        <v>5.5336477878857937E-6</v>
      </c>
      <c r="P138" s="16">
        <f t="shared" si="118"/>
        <v>27.582474780343311</v>
      </c>
      <c r="Q138" s="17">
        <f t="shared" si="108"/>
        <v>1.3855181254294333E-2</v>
      </c>
      <c r="R138" s="18">
        <f t="shared" si="119"/>
        <v>0.19996845982546563</v>
      </c>
      <c r="S138" s="19">
        <f t="shared" si="195"/>
        <v>1015.3225876867348</v>
      </c>
      <c r="T138" s="15">
        <f t="shared" si="120"/>
        <v>5.5306451753734696E-6</v>
      </c>
      <c r="U138" s="16">
        <f t="shared" si="121"/>
        <v>27.565209758397451</v>
      </c>
      <c r="V138" s="17">
        <f t="shared" si="122"/>
        <v>1.3841509984759574E-2</v>
      </c>
      <c r="W138" s="18">
        <f t="shared" si="123"/>
        <v>0.2000937068262186</v>
      </c>
      <c r="X138" s="19">
        <f t="shared" si="196"/>
        <v>1013.2233767691882</v>
      </c>
      <c r="Y138" s="15">
        <f t="shared" si="124"/>
        <v>5.5264467535383773E-6</v>
      </c>
      <c r="Z138" s="16">
        <f t="shared" si="125"/>
        <v>27.541068832845664</v>
      </c>
      <c r="AA138" s="17">
        <f t="shared" si="126"/>
        <v>1.3831002621530161E-2</v>
      </c>
      <c r="AB138" s="18">
        <f t="shared" si="127"/>
        <v>0.20026909752398675</v>
      </c>
      <c r="AC138" s="19">
        <f t="shared" si="197"/>
        <v>1010.5248516471322</v>
      </c>
      <c r="AD138" s="15">
        <f t="shared" si="128"/>
        <v>5.5210497032942649E-6</v>
      </c>
      <c r="AE138" s="16">
        <f t="shared" si="129"/>
        <v>27.51003579394202</v>
      </c>
      <c r="AF138" s="17">
        <f t="shared" si="130"/>
        <v>1.3817495458717625E-2</v>
      </c>
      <c r="AG138" s="18">
        <f t="shared" si="131"/>
        <v>0.20049501357663063</v>
      </c>
      <c r="AH138" s="19">
        <f t="shared" si="198"/>
        <v>1007.2267953714062</v>
      </c>
      <c r="AI138" s="15">
        <f t="shared" si="132"/>
        <v>5.514453590742813E-6</v>
      </c>
      <c r="AJ138" s="16">
        <f t="shared" si="133"/>
        <v>27.47210814677117</v>
      </c>
      <c r="AK138" s="17">
        <f t="shared" si="134"/>
        <v>1.3800987410407447E-2</v>
      </c>
      <c r="AL138" s="18">
        <f t="shared" si="135"/>
        <v>0.2007718144720633</v>
      </c>
      <c r="AM138" s="19">
        <f t="shared" si="199"/>
        <v>1003.3291653054312</v>
      </c>
      <c r="AN138" s="15">
        <f t="shared" si="136"/>
        <v>5.5066583306108628E-6</v>
      </c>
      <c r="AO138" s="16">
        <f t="shared" si="137"/>
        <v>27.427285401012458</v>
      </c>
      <c r="AP138" s="17">
        <f t="shared" si="138"/>
        <v>1.378147826318704E-2</v>
      </c>
      <c r="AQ138" s="18">
        <f t="shared" si="139"/>
        <v>0.20109992364743448</v>
      </c>
      <c r="AR138" s="19">
        <f t="shared" si="200"/>
        <v>998.83195769810743</v>
      </c>
      <c r="AS138" s="15">
        <f t="shared" si="140"/>
        <v>5.4976639153962153E-6</v>
      </c>
      <c r="AT138" s="16">
        <f t="shared" si="141"/>
        <v>27.375567513528235</v>
      </c>
      <c r="AU138" s="17">
        <f t="shared" si="142"/>
        <v>1.3758967998280703E-2</v>
      </c>
      <c r="AV138" s="18">
        <f t="shared" si="143"/>
        <v>0.20147984136856098</v>
      </c>
      <c r="AW138" s="19">
        <f t="shared" si="201"/>
        <v>993.7351652203206</v>
      </c>
      <c r="AX138" s="15">
        <f t="shared" si="144"/>
        <v>5.4874703304406411E-6</v>
      </c>
      <c r="AY138" s="16">
        <f t="shared" si="145"/>
        <v>27.316954400033687</v>
      </c>
      <c r="AZ138" s="17">
        <f t="shared" si="146"/>
        <v>1.3733456579003376E-2</v>
      </c>
      <c r="BA138" s="18">
        <f t="shared" si="147"/>
        <v>0.20191215020636408</v>
      </c>
      <c r="BB138" s="19">
        <f t="shared" si="202"/>
        <v>988.0387183600908</v>
      </c>
      <c r="BC138" s="15">
        <f t="shared" si="148"/>
        <v>5.476077436720182E-6</v>
      </c>
      <c r="BD138" s="16">
        <f t="shared" si="149"/>
        <v>27.251445261141043</v>
      </c>
      <c r="BE138" s="17">
        <f t="shared" si="150"/>
        <v>1.3704943657420698E-2</v>
      </c>
      <c r="BF138" s="18">
        <f t="shared" si="151"/>
        <v>0.20239752230187058</v>
      </c>
      <c r="BG138" s="19">
        <f t="shared" si="203"/>
        <v>981.74213328725818</v>
      </c>
      <c r="BH138" s="15">
        <f t="shared" si="152"/>
        <v>5.4634842665745168E-6</v>
      </c>
      <c r="BI138" s="16">
        <f t="shared" si="153"/>
        <v>27.17903453280347</v>
      </c>
      <c r="BJ138" s="17">
        <f t="shared" si="154"/>
        <v>1.3673426811775429E-2</v>
      </c>
      <c r="BK138" s="18">
        <f t="shared" si="155"/>
        <v>0.20293675234648126</v>
      </c>
      <c r="BL138" s="19">
        <f t="shared" si="204"/>
        <v>974.8424058050141</v>
      </c>
      <c r="BM138" s="15">
        <f t="shared" si="156"/>
        <v>5.4496848116100286E-6</v>
      </c>
      <c r="BN138" s="16">
        <f t="shared" si="157"/>
        <v>27.09968766675766</v>
      </c>
      <c r="BO138" s="17">
        <f t="shared" si="158"/>
        <v>1.363889100489964E-2</v>
      </c>
      <c r="BP138" s="18">
        <f t="shared" si="159"/>
        <v>0.20353094352322904</v>
      </c>
      <c r="BQ138" s="19">
        <f t="shared" si="205"/>
        <v>967.32281878265758</v>
      </c>
      <c r="BR138" s="15">
        <f t="shared" si="160"/>
        <v>5.4346456375653156E-6</v>
      </c>
      <c r="BS138" s="16">
        <f t="shared" si="161"/>
        <v>27.013212416000563</v>
      </c>
      <c r="BT138" s="17">
        <f t="shared" si="162"/>
        <v>1.3601252561083115E-2</v>
      </c>
      <c r="BU138" s="18">
        <f t="shared" si="163"/>
        <v>0.2041824909625693</v>
      </c>
      <c r="BV138" s="19">
        <f t="shared" si="206"/>
        <v>959.10099738737779</v>
      </c>
      <c r="BW138" s="15">
        <f t="shared" si="164"/>
        <v>5.4182019947747559E-6</v>
      </c>
      <c r="BX138" s="16">
        <f t="shared" si="165"/>
        <v>26.918661469954841</v>
      </c>
      <c r="BY138" s="17">
        <f t="shared" si="166"/>
        <v>1.3560099162401021E-2</v>
      </c>
      <c r="BZ138" s="18">
        <f t="shared" si="167"/>
        <v>0.20489967549672719</v>
      </c>
      <c r="CA138" s="19">
        <f t="shared" si="207"/>
        <v>949.823302278352</v>
      </c>
      <c r="CB138" s="15">
        <f t="shared" si="168"/>
        <v>5.3996466045567039E-6</v>
      </c>
      <c r="CC138" s="16">
        <f t="shared" si="169"/>
        <v>26.811967976201046</v>
      </c>
      <c r="CD138" s="17">
        <f t="shared" si="170"/>
        <v>1.3513660707061687E-2</v>
      </c>
      <c r="CE138" s="18">
        <f t="shared" si="171"/>
        <v>0.20571503758678969</v>
      </c>
      <c r="CF138" s="19">
        <f t="shared" si="208"/>
        <v>938.19531589551934</v>
      </c>
      <c r="CG138" s="15">
        <f t="shared" si="172"/>
        <v>5.3763906317910393E-6</v>
      </c>
      <c r="CH138" s="16">
        <f t="shared" si="173"/>
        <v>26.678246132798471</v>
      </c>
      <c r="CI138" s="17">
        <f t="shared" si="174"/>
        <v>1.3455458134118739E-2</v>
      </c>
      <c r="CJ138" s="18">
        <f t="shared" si="175"/>
        <v>0.20674616211817021</v>
      </c>
      <c r="CK138" s="19">
        <f t="shared" si="209"/>
        <v>920.29767161800635</v>
      </c>
      <c r="CL138" s="15">
        <f t="shared" si="176"/>
        <v>5.3405953432360129E-6</v>
      </c>
      <c r="CM138" s="16">
        <f t="shared" si="177"/>
        <v>26.472423223607073</v>
      </c>
      <c r="CN138" s="17">
        <f t="shared" si="178"/>
        <v>1.3365873496480456E-2</v>
      </c>
      <c r="CO138" s="18">
        <f t="shared" si="179"/>
        <v>0.20835361211214623</v>
      </c>
      <c r="CP138" s="19">
        <f t="shared" si="210"/>
        <v>886.7511555884721</v>
      </c>
      <c r="CQ138" s="15">
        <f t="shared" si="180"/>
        <v>5.2735023111769443E-6</v>
      </c>
      <c r="CR138" s="16">
        <f t="shared" si="181"/>
        <v>26.086638289267427</v>
      </c>
      <c r="CS138" s="17">
        <f t="shared" si="182"/>
        <v>1.3197960198175131E-2</v>
      </c>
      <c r="CT138" s="18">
        <f t="shared" si="183"/>
        <v>0.21143487094192739</v>
      </c>
      <c r="CU138" s="19">
        <f t="shared" si="211"/>
        <v>821.16195557317837</v>
      </c>
      <c r="CV138" s="15">
        <f t="shared" si="184"/>
        <v>5.142323911146357E-6</v>
      </c>
      <c r="CW138" s="16">
        <f t="shared" si="185"/>
        <v>25.332362489091551</v>
      </c>
      <c r="CX138" s="17">
        <f t="shared" si="186"/>
        <v>1.2869660863064458E-2</v>
      </c>
      <c r="CY138" s="18">
        <f t="shared" si="187"/>
        <v>0.21773038351141158</v>
      </c>
      <c r="CZ138" s="20">
        <f t="shared" si="212"/>
        <v>706.12708355901202</v>
      </c>
      <c r="DA138" s="15">
        <f t="shared" si="188"/>
        <v>4.9122541671180246E-6</v>
      </c>
      <c r="DB138" s="16">
        <f t="shared" si="189"/>
        <v>24.009461460928637</v>
      </c>
      <c r="DC138" s="17">
        <f t="shared" si="190"/>
        <v>1.2293866799590806E-2</v>
      </c>
      <c r="DD138" s="18">
        <f t="shared" si="191"/>
        <v>0.2297271435669539</v>
      </c>
    </row>
    <row r="139" spans="2:108" x14ac:dyDescent="0.25">
      <c r="B139">
        <v>120</v>
      </c>
      <c r="C139">
        <f t="shared" si="192"/>
        <v>0.11731375996143018</v>
      </c>
      <c r="D139" s="19">
        <f t="shared" si="109"/>
        <v>1018.037334420249</v>
      </c>
      <c r="E139" s="15">
        <f t="shared" si="110"/>
        <v>5.5360746688404992E-6</v>
      </c>
      <c r="F139" s="16">
        <f t="shared" si="111"/>
        <v>27.59642934583286</v>
      </c>
      <c r="G139" s="17">
        <f t="shared" si="107"/>
        <v>1.3855098343016712E-2</v>
      </c>
      <c r="H139" s="18">
        <f t="shared" si="112"/>
        <v>0.19986734265072142</v>
      </c>
      <c r="I139" s="19">
        <f t="shared" si="193"/>
        <v>1017.7128836764952</v>
      </c>
      <c r="J139" s="15">
        <f t="shared" si="113"/>
        <v>5.5354257673529912E-6</v>
      </c>
      <c r="K139" s="16">
        <f t="shared" si="114"/>
        <v>27.592698162279696</v>
      </c>
      <c r="L139" s="17">
        <f t="shared" si="115"/>
        <v>1.3853474341452036E-2</v>
      </c>
      <c r="M139" s="18">
        <f t="shared" si="116"/>
        <v>0.19989436942923097</v>
      </c>
      <c r="N139" s="19">
        <f t="shared" si="194"/>
        <v>1016.8073049444556</v>
      </c>
      <c r="O139" s="15">
        <f t="shared" si="117"/>
        <v>5.5336146098889126E-6</v>
      </c>
      <c r="P139" s="16">
        <f t="shared" si="118"/>
        <v>27.582284006861236</v>
      </c>
      <c r="Q139" s="17">
        <f t="shared" si="108"/>
        <v>1.3855098343016712E-2</v>
      </c>
      <c r="R139" s="18">
        <f t="shared" si="119"/>
        <v>0.1999698429117748</v>
      </c>
      <c r="S139" s="19">
        <f t="shared" si="195"/>
        <v>1015.305989405597</v>
      </c>
      <c r="T139" s="15">
        <f t="shared" si="120"/>
        <v>5.5306119788111942E-6</v>
      </c>
      <c r="U139" s="16">
        <f t="shared" si="121"/>
        <v>27.565018878164366</v>
      </c>
      <c r="V139" s="17">
        <f t="shared" si="122"/>
        <v>1.3841426903937424E-2</v>
      </c>
      <c r="W139" s="18">
        <f t="shared" si="123"/>
        <v>0.20009509242053169</v>
      </c>
      <c r="X139" s="19">
        <f t="shared" si="196"/>
        <v>1013.2067804663469</v>
      </c>
      <c r="Y139" s="15">
        <f t="shared" si="124"/>
        <v>5.5264135609326944E-6</v>
      </c>
      <c r="Z139" s="16">
        <f t="shared" si="125"/>
        <v>27.540877975362989</v>
      </c>
      <c r="AA139" s="17">
        <f t="shared" si="126"/>
        <v>1.3830919550610148E-2</v>
      </c>
      <c r="AB139" s="18">
        <f t="shared" si="127"/>
        <v>0.20027048538300291</v>
      </c>
      <c r="AC139" s="19">
        <f t="shared" si="197"/>
        <v>1010.5082657564885</v>
      </c>
      <c r="AD139" s="15">
        <f t="shared" si="128"/>
        <v>5.5210165315129776E-6</v>
      </c>
      <c r="AE139" s="16">
        <f t="shared" si="129"/>
        <v>27.509845056199616</v>
      </c>
      <c r="AF139" s="17">
        <f t="shared" si="130"/>
        <v>1.3817412439914693E-2</v>
      </c>
      <c r="AG139" s="18">
        <f t="shared" si="131"/>
        <v>0.20049640369591973</v>
      </c>
      <c r="AH139" s="19">
        <f t="shared" si="198"/>
        <v>1007.2102253325605</v>
      </c>
      <c r="AI139" s="15">
        <f t="shared" si="132"/>
        <v>5.514420450665122E-6</v>
      </c>
      <c r="AJ139" s="16">
        <f t="shared" si="133"/>
        <v>27.471917591324445</v>
      </c>
      <c r="AK139" s="17">
        <f t="shared" si="134"/>
        <v>1.3800904470948899E-2</v>
      </c>
      <c r="AL139" s="18">
        <f t="shared" si="135"/>
        <v>0.20077320710010499</v>
      </c>
      <c r="AM139" s="19">
        <f t="shared" si="199"/>
        <v>1003.3126151392902</v>
      </c>
      <c r="AN139" s="15">
        <f t="shared" si="136"/>
        <v>5.5066252302785808E-6</v>
      </c>
      <c r="AO139" s="16">
        <f t="shared" si="137"/>
        <v>27.427095074101835</v>
      </c>
      <c r="AP139" s="17">
        <f t="shared" si="138"/>
        <v>1.3781395423199075E-2</v>
      </c>
      <c r="AQ139" s="18">
        <f t="shared" si="139"/>
        <v>0.2011013191553106</v>
      </c>
      <c r="AR139" s="19">
        <f t="shared" si="200"/>
        <v>998.81543091261392</v>
      </c>
      <c r="AS139" s="15">
        <f t="shared" si="140"/>
        <v>5.4976308618252283E-6</v>
      </c>
      <c r="AT139" s="16">
        <f t="shared" si="141"/>
        <v>27.375377455495059</v>
      </c>
      <c r="AU139" s="17">
        <f t="shared" si="142"/>
        <v>1.3758885275321927E-2</v>
      </c>
      <c r="AV139" s="18">
        <f t="shared" si="143"/>
        <v>0.20148124017529662</v>
      </c>
      <c r="AW139" s="19">
        <f t="shared" si="201"/>
        <v>993.71866448103435</v>
      </c>
      <c r="AX139" s="15">
        <f t="shared" si="144"/>
        <v>5.4874373289620694E-6</v>
      </c>
      <c r="AY139" s="16">
        <f t="shared" si="145"/>
        <v>27.316764641531893</v>
      </c>
      <c r="AZ139" s="17">
        <f t="shared" si="146"/>
        <v>1.3733373986415953E-2</v>
      </c>
      <c r="BA139" s="18">
        <f t="shared" si="147"/>
        <v>0.20191355280830542</v>
      </c>
      <c r="BB139" s="19">
        <f t="shared" si="202"/>
        <v>988.02224119793516</v>
      </c>
      <c r="BC139" s="15">
        <f t="shared" si="148"/>
        <v>5.476044482395871E-6</v>
      </c>
      <c r="BD139" s="16">
        <f t="shared" si="149"/>
        <v>27.251255773776254</v>
      </c>
      <c r="BE139" s="17">
        <f t="shared" si="150"/>
        <v>1.3704861182845939E-2</v>
      </c>
      <c r="BF139" s="18">
        <f t="shared" si="151"/>
        <v>0.20239892964153447</v>
      </c>
      <c r="BG139" s="19">
        <f t="shared" si="203"/>
        <v>981.72564668464133</v>
      </c>
      <c r="BH139" s="15">
        <f t="shared" si="152"/>
        <v>5.4634512933692832E-6</v>
      </c>
      <c r="BI139" s="16">
        <f t="shared" si="153"/>
        <v>27.178844936873375</v>
      </c>
      <c r="BJ139" s="17">
        <f t="shared" si="154"/>
        <v>1.3673344289947506E-2</v>
      </c>
      <c r="BK139" s="18">
        <f t="shared" si="155"/>
        <v>0.20293816800569714</v>
      </c>
      <c r="BL139" s="19">
        <f t="shared" si="204"/>
        <v>974.82571524162552</v>
      </c>
      <c r="BM139" s="15">
        <f t="shared" si="156"/>
        <v>5.4496514304832517E-6</v>
      </c>
      <c r="BN139" s="16">
        <f t="shared" si="157"/>
        <v>27.099495725278693</v>
      </c>
      <c r="BO139" s="17">
        <f t="shared" si="158"/>
        <v>1.3638807462169104E-2</v>
      </c>
      <c r="BP139" s="18">
        <f t="shared" si="159"/>
        <v>0.20353238510098795</v>
      </c>
      <c r="BQ139" s="19">
        <f t="shared" si="205"/>
        <v>967.30498368022916</v>
      </c>
      <c r="BR139" s="15">
        <f t="shared" si="160"/>
        <v>5.4346099673604581E-6</v>
      </c>
      <c r="BS139" s="16">
        <f t="shared" si="161"/>
        <v>27.013007312322635</v>
      </c>
      <c r="BT139" s="17">
        <f t="shared" si="162"/>
        <v>1.360116328949164E-2</v>
      </c>
      <c r="BU139" s="18">
        <f t="shared" si="163"/>
        <v>0.2041840412742166</v>
      </c>
      <c r="BV139" s="19">
        <f t="shared" si="206"/>
        <v>959.07813578438902</v>
      </c>
      <c r="BW139" s="15">
        <f t="shared" si="164"/>
        <v>5.4181562715687788E-6</v>
      </c>
      <c r="BX139" s="16">
        <f t="shared" si="165"/>
        <v>26.918398561520473</v>
      </c>
      <c r="BY139" s="17">
        <f t="shared" si="166"/>
        <v>1.3559984731228526E-2</v>
      </c>
      <c r="BZ139" s="18">
        <f t="shared" si="167"/>
        <v>0.20490167672472609</v>
      </c>
      <c r="CA139" s="19">
        <f t="shared" si="207"/>
        <v>949.78198300717111</v>
      </c>
      <c r="CB139" s="15">
        <f t="shared" si="168"/>
        <v>5.3995639660143427E-6</v>
      </c>
      <c r="CC139" s="16">
        <f t="shared" si="169"/>
        <v>26.811492804582468</v>
      </c>
      <c r="CD139" s="17">
        <f t="shared" si="170"/>
        <v>1.3513453888115083E-2</v>
      </c>
      <c r="CE139" s="18">
        <f t="shared" si="171"/>
        <v>0.20571868340942587</v>
      </c>
      <c r="CF139" s="19">
        <f t="shared" si="208"/>
        <v>938.09812262365142</v>
      </c>
      <c r="CG139" s="15">
        <f t="shared" si="172"/>
        <v>5.3761962452473032E-6</v>
      </c>
      <c r="CH139" s="16">
        <f t="shared" si="173"/>
        <v>26.677128410171989</v>
      </c>
      <c r="CI139" s="17">
        <f t="shared" si="174"/>
        <v>1.3454971644170331E-2</v>
      </c>
      <c r="CJ139" s="18">
        <f t="shared" si="175"/>
        <v>0.20675482440219811</v>
      </c>
      <c r="CK139" s="19">
        <f t="shared" si="209"/>
        <v>920.06675826531409</v>
      </c>
      <c r="CL139" s="15">
        <f t="shared" si="176"/>
        <v>5.3401335165306288E-6</v>
      </c>
      <c r="CM139" s="16">
        <f t="shared" si="177"/>
        <v>26.469767720051109</v>
      </c>
      <c r="CN139" s="17">
        <f t="shared" si="178"/>
        <v>1.3364717685765594E-2</v>
      </c>
      <c r="CO139" s="18">
        <f t="shared" si="179"/>
        <v>0.20837451459091799</v>
      </c>
      <c r="CP139" s="19">
        <f t="shared" si="210"/>
        <v>886.28611080595499</v>
      </c>
      <c r="CQ139" s="15">
        <f t="shared" si="180"/>
        <v>5.2725722216119102E-6</v>
      </c>
      <c r="CR139" s="16">
        <f t="shared" si="181"/>
        <v>26.081290274268483</v>
      </c>
      <c r="CS139" s="17">
        <f t="shared" si="182"/>
        <v>1.3195632469023662E-2</v>
      </c>
      <c r="CT139" s="18">
        <f t="shared" si="183"/>
        <v>0.21147822603859656</v>
      </c>
      <c r="CU139" s="19">
        <f t="shared" si="211"/>
        <v>820.44676631962477</v>
      </c>
      <c r="CV139" s="15">
        <f t="shared" si="184"/>
        <v>5.1408935326392499E-6</v>
      </c>
      <c r="CW139" s="16">
        <f t="shared" si="185"/>
        <v>25.324137812675684</v>
      </c>
      <c r="CX139" s="17">
        <f t="shared" si="186"/>
        <v>1.2866081064006607E-2</v>
      </c>
      <c r="CY139" s="18">
        <f t="shared" si="187"/>
        <v>0.21780109715084642</v>
      </c>
      <c r="CZ139" s="20">
        <f t="shared" si="212"/>
        <v>705.36524176810894</v>
      </c>
      <c r="DA139" s="15">
        <f t="shared" si="188"/>
        <v>4.9107304835362184E-6</v>
      </c>
      <c r="DB139" s="16">
        <f t="shared" si="189"/>
        <v>24.000700280333252</v>
      </c>
      <c r="DC139" s="17">
        <f t="shared" si="190"/>
        <v>1.229005348652471E-2</v>
      </c>
      <c r="DD139" s="18">
        <f t="shared" si="191"/>
        <v>0.2298110028280981</v>
      </c>
    </row>
    <row r="140" spans="2:108" x14ac:dyDescent="0.25">
      <c r="B140">
        <v>121</v>
      </c>
      <c r="C140">
        <f t="shared" si="192"/>
        <v>0.11829137462777542</v>
      </c>
      <c r="D140" s="19">
        <f t="shared" si="109"/>
        <v>1018.0207696042893</v>
      </c>
      <c r="E140" s="15">
        <f t="shared" si="110"/>
        <v>5.5360415392085794E-6</v>
      </c>
      <c r="F140" s="16">
        <f t="shared" si="111"/>
        <v>27.596238850449325</v>
      </c>
      <c r="G140" s="17">
        <f t="shared" si="107"/>
        <v>1.3855015429700728E-2</v>
      </c>
      <c r="H140" s="18">
        <f t="shared" si="112"/>
        <v>0.19986872232446248</v>
      </c>
      <c r="I140" s="19">
        <f t="shared" si="193"/>
        <v>1017.6963111005678</v>
      </c>
      <c r="J140" s="15">
        <f t="shared" si="113"/>
        <v>5.5353926222011357E-6</v>
      </c>
      <c r="K140" s="16">
        <f t="shared" si="114"/>
        <v>27.592507577656527</v>
      </c>
      <c r="L140" s="17">
        <f t="shared" si="115"/>
        <v>1.3853391389294411E-2</v>
      </c>
      <c r="M140" s="18">
        <f t="shared" si="116"/>
        <v>0.19989575012262986</v>
      </c>
      <c r="N140" s="19">
        <f t="shared" si="194"/>
        <v>1016.7907160572139</v>
      </c>
      <c r="O140" s="15">
        <f t="shared" si="117"/>
        <v>5.5335814321144285E-6</v>
      </c>
      <c r="P140" s="16">
        <f t="shared" si="118"/>
        <v>27.582093234657961</v>
      </c>
      <c r="Q140" s="17">
        <f t="shared" si="108"/>
        <v>1.3855015429700728E-2</v>
      </c>
      <c r="R140" s="18">
        <f t="shared" si="119"/>
        <v>0.19997122600794506</v>
      </c>
      <c r="S140" s="19">
        <f t="shared" si="195"/>
        <v>1015.2893913629426</v>
      </c>
      <c r="T140" s="15">
        <f t="shared" si="120"/>
        <v>5.5305787827258856E-6</v>
      </c>
      <c r="U140" s="16">
        <f t="shared" si="121"/>
        <v>27.564828000673842</v>
      </c>
      <c r="V140" s="17">
        <f t="shared" si="122"/>
        <v>1.3841343824308974E-2</v>
      </c>
      <c r="W140" s="18">
        <f t="shared" si="123"/>
        <v>0.20009647801412606</v>
      </c>
      <c r="X140" s="19">
        <f t="shared" si="196"/>
        <v>1013.1901844012949</v>
      </c>
      <c r="Y140" s="15">
        <f t="shared" si="124"/>
        <v>5.5263803688025901E-6</v>
      </c>
      <c r="Z140" s="16">
        <f t="shared" si="125"/>
        <v>27.540687120614891</v>
      </c>
      <c r="AA140" s="17">
        <f t="shared" si="126"/>
        <v>1.3830836480880362E-2</v>
      </c>
      <c r="AB140" s="18">
        <f t="shared" si="127"/>
        <v>0.20027187324136939</v>
      </c>
      <c r="AC140" s="19">
        <f t="shared" si="197"/>
        <v>1010.4916800770208</v>
      </c>
      <c r="AD140" s="15">
        <f t="shared" si="128"/>
        <v>5.5209833601540422E-6</v>
      </c>
      <c r="AE140" s="16">
        <f t="shared" si="129"/>
        <v>27.509654320885737</v>
      </c>
      <c r="AF140" s="17">
        <f t="shared" si="130"/>
        <v>1.3817329422168777E-2</v>
      </c>
      <c r="AG140" s="18">
        <f t="shared" si="131"/>
        <v>0.20049779381678584</v>
      </c>
      <c r="AH140" s="19">
        <f t="shared" si="198"/>
        <v>1007.1936554899639</v>
      </c>
      <c r="AI140" s="15">
        <f t="shared" si="132"/>
        <v>5.5143873109799282E-6</v>
      </c>
      <c r="AJ140" s="16">
        <f t="shared" si="133"/>
        <v>27.471727038134585</v>
      </c>
      <c r="AK140" s="17">
        <f t="shared" si="134"/>
        <v>1.3800821532472654E-2</v>
      </c>
      <c r="AL140" s="18">
        <f t="shared" si="135"/>
        <v>0.20077459973097228</v>
      </c>
      <c r="AM140" s="19">
        <f t="shared" si="199"/>
        <v>1003.2960651636603</v>
      </c>
      <c r="AN140" s="15">
        <f t="shared" si="136"/>
        <v>5.5065921303273206E-6</v>
      </c>
      <c r="AO140" s="16">
        <f t="shared" si="137"/>
        <v>27.426904749382093</v>
      </c>
      <c r="AP140" s="17">
        <f t="shared" si="138"/>
        <v>1.3781312584164688E-2</v>
      </c>
      <c r="AQ140" s="18">
        <f t="shared" si="139"/>
        <v>0.20110271466649049</v>
      </c>
      <c r="AR140" s="19">
        <f t="shared" si="200"/>
        <v>998.79890430576961</v>
      </c>
      <c r="AS140" s="15">
        <f t="shared" si="140"/>
        <v>5.4975978086115402E-6</v>
      </c>
      <c r="AT140" s="16">
        <f t="shared" si="141"/>
        <v>27.375187399516349</v>
      </c>
      <c r="AU140" s="17">
        <f t="shared" si="142"/>
        <v>1.3758802553257361E-2</v>
      </c>
      <c r="AV140" s="18">
        <f t="shared" si="143"/>
        <v>0.20148263898633428</v>
      </c>
      <c r="AW140" s="19">
        <f t="shared" si="201"/>
        <v>993.70216384491437</v>
      </c>
      <c r="AX140" s="15">
        <f t="shared" si="144"/>
        <v>5.487404327689829E-6</v>
      </c>
      <c r="AY140" s="16">
        <f t="shared" si="145"/>
        <v>27.316574884216514</v>
      </c>
      <c r="AZ140" s="17">
        <f t="shared" si="146"/>
        <v>1.3733291394344913E-2</v>
      </c>
      <c r="BA140" s="18">
        <f t="shared" si="147"/>
        <v>0.20191495542096391</v>
      </c>
      <c r="BB140" s="19">
        <f t="shared" si="202"/>
        <v>988.00576369113958</v>
      </c>
      <c r="BC140" s="15">
        <f t="shared" si="148"/>
        <v>5.4760115273822793E-6</v>
      </c>
      <c r="BD140" s="16">
        <f t="shared" si="149"/>
        <v>27.251066282448104</v>
      </c>
      <c r="BE140" s="17">
        <f t="shared" si="150"/>
        <v>1.3704778706546118E-2</v>
      </c>
      <c r="BF140" s="18">
        <f t="shared" si="151"/>
        <v>0.20240033703020677</v>
      </c>
      <c r="BG140" s="19">
        <f t="shared" si="203"/>
        <v>981.70915738244639</v>
      </c>
      <c r="BH140" s="15">
        <f t="shared" si="152"/>
        <v>5.4634183147648938E-6</v>
      </c>
      <c r="BI140" s="16">
        <f t="shared" si="153"/>
        <v>27.178655309898133</v>
      </c>
      <c r="BJ140" s="17">
        <f t="shared" si="154"/>
        <v>1.3673261754607148E-2</v>
      </c>
      <c r="BK140" s="18">
        <f t="shared" si="155"/>
        <v>0.20293958391647424</v>
      </c>
      <c r="BL140" s="19">
        <f t="shared" si="204"/>
        <v>974.80901114994572</v>
      </c>
      <c r="BM140" s="15">
        <f t="shared" si="156"/>
        <v>5.4496180222998918E-6</v>
      </c>
      <c r="BN140" s="16">
        <f t="shared" si="157"/>
        <v>27.099303628224376</v>
      </c>
      <c r="BO140" s="17">
        <f t="shared" si="158"/>
        <v>1.3638723851724231E-2</v>
      </c>
      <c r="BP140" s="18">
        <f t="shared" si="159"/>
        <v>0.20353382786764249</v>
      </c>
      <c r="BQ140" s="19">
        <f t="shared" si="205"/>
        <v>967.28709250501527</v>
      </c>
      <c r="BR140" s="15">
        <f t="shared" si="160"/>
        <v>5.4345741850100309E-6</v>
      </c>
      <c r="BS140" s="16">
        <f t="shared" si="161"/>
        <v>27.012801563807674</v>
      </c>
      <c r="BT140" s="17">
        <f t="shared" si="162"/>
        <v>1.3601073737234171E-2</v>
      </c>
      <c r="BU140" s="18">
        <f t="shared" si="163"/>
        <v>0.20418559648362988</v>
      </c>
      <c r="BV140" s="19">
        <f t="shared" si="206"/>
        <v>959.05508024612652</v>
      </c>
      <c r="BW140" s="15">
        <f t="shared" si="164"/>
        <v>5.4181101604922535E-6</v>
      </c>
      <c r="BX140" s="16">
        <f t="shared" si="165"/>
        <v>26.918133422830454</v>
      </c>
      <c r="BY140" s="17">
        <f t="shared" si="166"/>
        <v>1.3559869329334916E-2</v>
      </c>
      <c r="BZ140" s="18">
        <f t="shared" si="167"/>
        <v>0.20490369496875871</v>
      </c>
      <c r="CA140" s="19">
        <f t="shared" si="207"/>
        <v>949.74012312946672</v>
      </c>
      <c r="CB140" s="15">
        <f t="shared" si="168"/>
        <v>5.399480246258934E-6</v>
      </c>
      <c r="CC140" s="16">
        <f t="shared" si="169"/>
        <v>26.811011415988865</v>
      </c>
      <c r="CD140" s="17">
        <f t="shared" si="170"/>
        <v>1.3513244363223561E-2</v>
      </c>
      <c r="CE140" s="18">
        <f t="shared" si="171"/>
        <v>0.2057223770644748</v>
      </c>
      <c r="CF140" s="19">
        <f t="shared" si="208"/>
        <v>937.9997988421793</v>
      </c>
      <c r="CG140" s="15">
        <f t="shared" si="172"/>
        <v>5.3759995976843594E-6</v>
      </c>
      <c r="CH140" s="16">
        <f t="shared" si="173"/>
        <v>26.675997686685061</v>
      </c>
      <c r="CI140" s="17">
        <f t="shared" si="174"/>
        <v>1.3454479495583746E-2</v>
      </c>
      <c r="CJ140" s="18">
        <f t="shared" si="175"/>
        <v>0.2067635881807354</v>
      </c>
      <c r="CK140" s="19">
        <f t="shared" si="209"/>
        <v>919.83435681021342</v>
      </c>
      <c r="CL140" s="15">
        <f t="shared" si="176"/>
        <v>5.3396687136204264E-6</v>
      </c>
      <c r="CM140" s="16">
        <f t="shared" si="177"/>
        <v>26.467095103317455</v>
      </c>
      <c r="CN140" s="17">
        <f t="shared" si="178"/>
        <v>1.336355442652214E-2</v>
      </c>
      <c r="CO140" s="18">
        <f t="shared" si="179"/>
        <v>0.20839555600904072</v>
      </c>
      <c r="CP140" s="19">
        <f t="shared" si="210"/>
        <v>885.82071274160455</v>
      </c>
      <c r="CQ140" s="15">
        <f t="shared" si="180"/>
        <v>5.2716414254832097E-6</v>
      </c>
      <c r="CR140" s="16">
        <f t="shared" si="181"/>
        <v>26.075938196528451</v>
      </c>
      <c r="CS140" s="17">
        <f t="shared" si="182"/>
        <v>1.319330297155987E-2</v>
      </c>
      <c r="CT140" s="18">
        <f t="shared" si="183"/>
        <v>0.21152163187494852</v>
      </c>
      <c r="CU140" s="19">
        <f t="shared" si="211"/>
        <v>819.73428500748958</v>
      </c>
      <c r="CV140" s="15">
        <f t="shared" si="184"/>
        <v>5.1394685700149796E-6</v>
      </c>
      <c r="CW140" s="16">
        <f t="shared" si="185"/>
        <v>25.31594427758613</v>
      </c>
      <c r="CX140" s="17">
        <f t="shared" si="186"/>
        <v>1.2862514819243777E-2</v>
      </c>
      <c r="CY140" s="18">
        <f t="shared" si="187"/>
        <v>0.21787158873166526</v>
      </c>
      <c r="CZ140" s="20">
        <f t="shared" si="212"/>
        <v>704.60777019497652</v>
      </c>
      <c r="DA140" s="15">
        <f t="shared" si="188"/>
        <v>4.909215540389954E-6</v>
      </c>
      <c r="DB140" s="16">
        <f t="shared" si="189"/>
        <v>23.991989357242229</v>
      </c>
      <c r="DC140" s="17">
        <f t="shared" si="190"/>
        <v>1.2286262048090236E-2</v>
      </c>
      <c r="DD140" s="18">
        <f t="shared" si="191"/>
        <v>0.22989444176020576</v>
      </c>
    </row>
    <row r="141" spans="2:108" x14ac:dyDescent="0.25">
      <c r="B141">
        <v>122</v>
      </c>
      <c r="C141">
        <f t="shared" si="192"/>
        <v>0.11926898929412068</v>
      </c>
      <c r="D141" s="19">
        <f t="shared" si="109"/>
        <v>1018.0042043921449</v>
      </c>
      <c r="E141" s="15">
        <f t="shared" si="110"/>
        <v>5.5360084087842907E-6</v>
      </c>
      <c r="F141" s="16">
        <f t="shared" si="111"/>
        <v>27.596048350509665</v>
      </c>
      <c r="G141" s="17">
        <f t="shared" si="107"/>
        <v>1.3854932514401692E-2</v>
      </c>
      <c r="H141" s="18">
        <f t="shared" si="112"/>
        <v>0.19987010205024999</v>
      </c>
      <c r="I141" s="19">
        <f t="shared" si="193"/>
        <v>1017.6797383385875</v>
      </c>
      <c r="J141" s="15">
        <f t="shared" si="113"/>
        <v>5.5353594766771752E-6</v>
      </c>
      <c r="K141" s="16">
        <f t="shared" si="114"/>
        <v>27.592316990893757</v>
      </c>
      <c r="L141" s="17">
        <f t="shared" si="115"/>
        <v>1.3853308436205523E-2</v>
      </c>
      <c r="M141" s="18">
        <f t="shared" si="116"/>
        <v>0.19989713085060279</v>
      </c>
      <c r="N141" s="19">
        <f t="shared" si="194"/>
        <v>1016.7741272802385</v>
      </c>
      <c r="O141" s="15">
        <f t="shared" si="117"/>
        <v>5.5335482545604779E-6</v>
      </c>
      <c r="P141" s="16">
        <f t="shared" si="118"/>
        <v>27.581902463722741</v>
      </c>
      <c r="Q141" s="17">
        <f t="shared" si="108"/>
        <v>1.3854932514401692E-2</v>
      </c>
      <c r="R141" s="18">
        <f t="shared" si="119"/>
        <v>0.19997260911405434</v>
      </c>
      <c r="S141" s="19">
        <f t="shared" si="195"/>
        <v>1015.2727935572918</v>
      </c>
      <c r="T141" s="15">
        <f t="shared" si="120"/>
        <v>5.5305455871145842E-6</v>
      </c>
      <c r="U141" s="16">
        <f t="shared" si="121"/>
        <v>27.564637125908856</v>
      </c>
      <c r="V141" s="17">
        <f t="shared" si="122"/>
        <v>1.3841260745866821E-2</v>
      </c>
      <c r="W141" s="18">
        <f t="shared" si="123"/>
        <v>0.20009786360712484</v>
      </c>
      <c r="X141" s="19">
        <f t="shared" si="196"/>
        <v>1013.173588573623</v>
      </c>
      <c r="Y141" s="15">
        <f t="shared" si="124"/>
        <v>5.5263471771472468E-6</v>
      </c>
      <c r="Z141" s="16">
        <f t="shared" si="125"/>
        <v>27.540496268596662</v>
      </c>
      <c r="AA141" s="17">
        <f t="shared" si="126"/>
        <v>1.3830753412338758E-2</v>
      </c>
      <c r="AB141" s="18">
        <f t="shared" si="127"/>
        <v>0.20027326109912003</v>
      </c>
      <c r="AC141" s="19">
        <f t="shared" si="197"/>
        <v>1010.4750946088302</v>
      </c>
      <c r="AD141" s="15">
        <f t="shared" si="128"/>
        <v>5.5209501892176601E-6</v>
      </c>
      <c r="AE141" s="16">
        <f t="shared" si="129"/>
        <v>27.509463588001545</v>
      </c>
      <c r="AF141" s="17">
        <f t="shared" si="130"/>
        <v>1.3817246405480385E-2</v>
      </c>
      <c r="AG141" s="18">
        <f t="shared" si="131"/>
        <v>0.20049918393922012</v>
      </c>
      <c r="AH141" s="19">
        <f t="shared" si="198"/>
        <v>1007.1770858437171</v>
      </c>
      <c r="AI141" s="15">
        <f t="shared" si="132"/>
        <v>5.514354171687435E-6</v>
      </c>
      <c r="AJ141" s="16">
        <f t="shared" si="133"/>
        <v>27.471536487202748</v>
      </c>
      <c r="AK141" s="17">
        <f t="shared" si="134"/>
        <v>1.3800738594979217E-2</v>
      </c>
      <c r="AL141" s="18">
        <f t="shared" si="135"/>
        <v>0.20077599236465646</v>
      </c>
      <c r="AM141" s="19">
        <f t="shared" si="199"/>
        <v>1003.2795153784373</v>
      </c>
      <c r="AN141" s="15">
        <f t="shared" si="136"/>
        <v>5.5065590307568745E-6</v>
      </c>
      <c r="AO141" s="16">
        <f t="shared" si="137"/>
        <v>27.42671442685203</v>
      </c>
      <c r="AP141" s="17">
        <f t="shared" si="138"/>
        <v>1.3781229746083361E-2</v>
      </c>
      <c r="AQ141" s="18">
        <f t="shared" si="139"/>
        <v>0.20110411018098276</v>
      </c>
      <c r="AR141" s="19">
        <f t="shared" si="200"/>
        <v>998.78237787662044</v>
      </c>
      <c r="AS141" s="15">
        <f t="shared" si="140"/>
        <v>5.4975647557532408E-6</v>
      </c>
      <c r="AT141" s="16">
        <f t="shared" si="141"/>
        <v>27.374997345581136</v>
      </c>
      <c r="AU141" s="17">
        <f t="shared" si="142"/>
        <v>1.3758719832082222E-2</v>
      </c>
      <c r="AV141" s="18">
        <f t="shared" si="143"/>
        <v>0.20148403780175456</v>
      </c>
      <c r="AW141" s="19">
        <f t="shared" si="201"/>
        <v>993.68566330643682</v>
      </c>
      <c r="AX141" s="15">
        <f t="shared" si="144"/>
        <v>5.4873713266128738E-6</v>
      </c>
      <c r="AY141" s="16">
        <f t="shared" si="145"/>
        <v>27.316385128024024</v>
      </c>
      <c r="AZ141" s="17">
        <f t="shared" si="146"/>
        <v>1.373320880276261E-2</v>
      </c>
      <c r="BA141" s="18">
        <f t="shared" si="147"/>
        <v>0.2019163580448092</v>
      </c>
      <c r="BB141" s="19">
        <f t="shared" si="202"/>
        <v>987.98928581159328</v>
      </c>
      <c r="BC141" s="15">
        <f t="shared" si="148"/>
        <v>5.4759785716231868E-6</v>
      </c>
      <c r="BD141" s="16">
        <f t="shared" si="149"/>
        <v>27.250876786833324</v>
      </c>
      <c r="BE141" s="17">
        <f t="shared" si="150"/>
        <v>1.3704696228380539E-2</v>
      </c>
      <c r="BF141" s="18">
        <f t="shared" si="151"/>
        <v>0.20240174447029016</v>
      </c>
      <c r="BG141" s="19">
        <f t="shared" si="203"/>
        <v>981.69266525636624</v>
      </c>
      <c r="BH141" s="15">
        <f t="shared" si="152"/>
        <v>5.4633853305127328E-6</v>
      </c>
      <c r="BI141" s="16">
        <f t="shared" si="153"/>
        <v>27.17846565044821</v>
      </c>
      <c r="BJ141" s="17">
        <f t="shared" si="154"/>
        <v>1.3673179205132151E-2</v>
      </c>
      <c r="BK141" s="18">
        <f t="shared" si="155"/>
        <v>0.20294100008949695</v>
      </c>
      <c r="BL141" s="19">
        <f t="shared" si="204"/>
        <v>974.79229306609341</v>
      </c>
      <c r="BM141" s="15">
        <f t="shared" si="156"/>
        <v>5.4495845861321872E-6</v>
      </c>
      <c r="BN141" s="16">
        <f t="shared" si="157"/>
        <v>27.099111370260076</v>
      </c>
      <c r="BO141" s="17">
        <f t="shared" si="158"/>
        <v>1.3638640171243117E-2</v>
      </c>
      <c r="BP141" s="18">
        <f t="shared" si="159"/>
        <v>0.20353527186331002</v>
      </c>
      <c r="BQ141" s="19">
        <f t="shared" si="205"/>
        <v>967.26914386315434</v>
      </c>
      <c r="BR141" s="15">
        <f t="shared" si="160"/>
        <v>5.4345382877263095E-6</v>
      </c>
      <c r="BS141" s="16">
        <f t="shared" si="161"/>
        <v>27.012595154426272</v>
      </c>
      <c r="BT141" s="17">
        <f t="shared" si="162"/>
        <v>1.3600983897333887E-2</v>
      </c>
      <c r="BU141" s="18">
        <f t="shared" si="163"/>
        <v>0.20418715671219809</v>
      </c>
      <c r="BV141" s="19">
        <f t="shared" si="206"/>
        <v>959.03182770027126</v>
      </c>
      <c r="BW141" s="15">
        <f t="shared" si="164"/>
        <v>5.4180636554005431E-6</v>
      </c>
      <c r="BX141" s="16">
        <f t="shared" si="165"/>
        <v>26.91786601855312</v>
      </c>
      <c r="BY141" s="17">
        <f t="shared" si="166"/>
        <v>1.3559752941342042E-2</v>
      </c>
      <c r="BZ141" s="18">
        <f t="shared" si="167"/>
        <v>0.20490573049878319</v>
      </c>
      <c r="CA141" s="19">
        <f t="shared" si="207"/>
        <v>949.69771893604275</v>
      </c>
      <c r="CB141" s="15">
        <f t="shared" si="168"/>
        <v>5.3993954378720854E-6</v>
      </c>
      <c r="CC141" s="16">
        <f t="shared" si="169"/>
        <v>26.81052376776449</v>
      </c>
      <c r="CD141" s="17">
        <f t="shared" si="170"/>
        <v>1.3513032113821162E-2</v>
      </c>
      <c r="CE141" s="18">
        <f t="shared" si="171"/>
        <v>0.20572611888439443</v>
      </c>
      <c r="CF141" s="19">
        <f t="shared" si="208"/>
        <v>937.90034734536471</v>
      </c>
      <c r="CG141" s="15">
        <f t="shared" si="172"/>
        <v>5.3758006946907296E-6</v>
      </c>
      <c r="CH141" s="16">
        <f t="shared" si="173"/>
        <v>26.674853994471693</v>
      </c>
      <c r="CI141" s="17">
        <f t="shared" si="174"/>
        <v>1.345398170234534E-2</v>
      </c>
      <c r="CJ141" s="18">
        <f t="shared" si="175"/>
        <v>0.20677245323041324</v>
      </c>
      <c r="CK141" s="19">
        <f t="shared" si="209"/>
        <v>919.60048784677258</v>
      </c>
      <c r="CL141" s="15">
        <f t="shared" si="176"/>
        <v>5.3392009756935458E-6</v>
      </c>
      <c r="CM141" s="16">
        <f t="shared" si="177"/>
        <v>26.464405610237883</v>
      </c>
      <c r="CN141" s="17">
        <f t="shared" si="178"/>
        <v>1.336238382183139E-2</v>
      </c>
      <c r="CO141" s="18">
        <f t="shared" si="179"/>
        <v>0.20841673458429211</v>
      </c>
      <c r="CP141" s="19">
        <f t="shared" si="210"/>
        <v>885.35498901880874</v>
      </c>
      <c r="CQ141" s="15">
        <f t="shared" si="180"/>
        <v>5.2707099780376182E-6</v>
      </c>
      <c r="CR141" s="16">
        <f t="shared" si="181"/>
        <v>26.070582373716299</v>
      </c>
      <c r="CS141" s="17">
        <f t="shared" si="182"/>
        <v>1.3190971844049494E-2</v>
      </c>
      <c r="CT141" s="18">
        <f t="shared" si="183"/>
        <v>0.2115650859246134</v>
      </c>
      <c r="CU141" s="19">
        <f t="shared" si="211"/>
        <v>819.02449399900581</v>
      </c>
      <c r="CV141" s="15">
        <f t="shared" si="184"/>
        <v>5.138048987998012E-6</v>
      </c>
      <c r="CW141" s="16">
        <f t="shared" si="185"/>
        <v>25.307781680988565</v>
      </c>
      <c r="CX141" s="17">
        <f t="shared" si="186"/>
        <v>1.2858962040492118E-2</v>
      </c>
      <c r="CY141" s="18">
        <f t="shared" si="187"/>
        <v>0.21794185952470846</v>
      </c>
      <c r="CZ141" s="20">
        <f t="shared" si="212"/>
        <v>703.85460556732698</v>
      </c>
      <c r="DA141" s="15">
        <f t="shared" si="188"/>
        <v>4.9077092111346546E-6</v>
      </c>
      <c r="DB141" s="16">
        <f t="shared" si="189"/>
        <v>23.983327964024259</v>
      </c>
      <c r="DC141" s="17">
        <f t="shared" si="190"/>
        <v>1.2282492167585082E-2</v>
      </c>
      <c r="DD141" s="18">
        <f t="shared" si="191"/>
        <v>0.22997746635803046</v>
      </c>
    </row>
    <row r="142" spans="2:108" x14ac:dyDescent="0.25">
      <c r="B142">
        <v>123</v>
      </c>
      <c r="C142">
        <f t="shared" si="192"/>
        <v>0.12024660396046594</v>
      </c>
      <c r="D142" s="19">
        <f t="shared" si="109"/>
        <v>1017.987638794544</v>
      </c>
      <c r="E142" s="15">
        <f t="shared" si="110"/>
        <v>5.5359752775890886E-6</v>
      </c>
      <c r="F142" s="16">
        <f t="shared" si="111"/>
        <v>27.595857846137257</v>
      </c>
      <c r="G142" s="17">
        <f t="shared" si="107"/>
        <v>1.3854849597173294E-2</v>
      </c>
      <c r="H142" s="18">
        <f t="shared" si="112"/>
        <v>0.19987148182719214</v>
      </c>
      <c r="I142" s="19">
        <f t="shared" si="193"/>
        <v>1017.6631653952628</v>
      </c>
      <c r="J142" s="15">
        <f t="shared" si="113"/>
        <v>5.5353263307905255E-6</v>
      </c>
      <c r="K142" s="16">
        <f t="shared" si="114"/>
        <v>27.592126402045523</v>
      </c>
      <c r="L142" s="17">
        <f t="shared" si="115"/>
        <v>1.3853225482208931E-2</v>
      </c>
      <c r="M142" s="18">
        <f t="shared" si="116"/>
        <v>0.19989851161275859</v>
      </c>
      <c r="N142" s="19">
        <f t="shared" si="194"/>
        <v>1016.7575386126464</v>
      </c>
      <c r="O142" s="15">
        <f t="shared" si="117"/>
        <v>5.533515077225293E-6</v>
      </c>
      <c r="P142" s="16">
        <f t="shared" si="118"/>
        <v>27.581711694045431</v>
      </c>
      <c r="Q142" s="17">
        <f t="shared" si="108"/>
        <v>1.3854849597173294E-2</v>
      </c>
      <c r="R142" s="18">
        <f t="shared" si="119"/>
        <v>0.19997399223017617</v>
      </c>
      <c r="S142" s="19">
        <f t="shared" si="195"/>
        <v>1015.2561959871879</v>
      </c>
      <c r="T142" s="15">
        <f t="shared" si="120"/>
        <v>5.5305123919743763E-6</v>
      </c>
      <c r="U142" s="16">
        <f t="shared" si="121"/>
        <v>27.564446253852658</v>
      </c>
      <c r="V142" s="17">
        <f t="shared" si="122"/>
        <v>1.384117766860367E-2</v>
      </c>
      <c r="W142" s="18">
        <f t="shared" si="123"/>
        <v>0.20009924919964919</v>
      </c>
      <c r="X142" s="19">
        <f t="shared" si="196"/>
        <v>1013.1569929829171</v>
      </c>
      <c r="Y142" s="15">
        <f t="shared" si="124"/>
        <v>5.5263139859658346E-6</v>
      </c>
      <c r="Z142" s="16">
        <f t="shared" si="125"/>
        <v>27.540305419303547</v>
      </c>
      <c r="AA142" s="17">
        <f t="shared" si="126"/>
        <v>1.3830670344983259E-2</v>
      </c>
      <c r="AB142" s="18">
        <f t="shared" si="127"/>
        <v>0.20027464895628896</v>
      </c>
      <c r="AC142" s="19">
        <f t="shared" si="197"/>
        <v>1010.458509352012</v>
      </c>
      <c r="AD142" s="15">
        <f t="shared" si="128"/>
        <v>5.5209170187040246E-6</v>
      </c>
      <c r="AE142" s="16">
        <f t="shared" si="129"/>
        <v>27.509272857548137</v>
      </c>
      <c r="AF142" s="17">
        <f t="shared" si="130"/>
        <v>1.3817163389849998E-2</v>
      </c>
      <c r="AG142" s="18">
        <f t="shared" si="131"/>
        <v>0.20050057406321425</v>
      </c>
      <c r="AH142" s="19">
        <f t="shared" si="198"/>
        <v>1007.1605163939178</v>
      </c>
      <c r="AI142" s="15">
        <f t="shared" si="132"/>
        <v>5.5143210327878363E-6</v>
      </c>
      <c r="AJ142" s="16">
        <f t="shared" si="133"/>
        <v>27.471345938530053</v>
      </c>
      <c r="AK142" s="17">
        <f t="shared" si="134"/>
        <v>1.3800655658469076E-2</v>
      </c>
      <c r="AL142" s="18">
        <f t="shared" si="135"/>
        <v>0.20077738500114903</v>
      </c>
      <c r="AM142" s="19">
        <f t="shared" si="199"/>
        <v>1003.2629657835071</v>
      </c>
      <c r="AN142" s="15">
        <f t="shared" si="136"/>
        <v>5.5065259315670147E-6</v>
      </c>
      <c r="AO142" s="16">
        <f t="shared" si="137"/>
        <v>27.426524106510328</v>
      </c>
      <c r="AP142" s="17">
        <f t="shared" si="138"/>
        <v>1.3781146908954526E-2</v>
      </c>
      <c r="AQ142" s="18">
        <f t="shared" si="139"/>
        <v>0.20110550569879679</v>
      </c>
      <c r="AR142" s="19">
        <f t="shared" si="200"/>
        <v>998.76585162415631</v>
      </c>
      <c r="AS142" s="15">
        <f t="shared" si="140"/>
        <v>5.4975317032483126E-6</v>
      </c>
      <c r="AT142" s="16">
        <f t="shared" si="141"/>
        <v>27.374807293677797</v>
      </c>
      <c r="AU142" s="17">
        <f t="shared" si="142"/>
        <v>1.3758637111791464E-2</v>
      </c>
      <c r="AV142" s="18">
        <f t="shared" si="143"/>
        <v>0.2014854366216427</v>
      </c>
      <c r="AW142" s="19">
        <f t="shared" si="201"/>
        <v>993.66916285980938</v>
      </c>
      <c r="AX142" s="15">
        <f t="shared" si="144"/>
        <v>5.4873383257196197E-6</v>
      </c>
      <c r="AY142" s="16">
        <f t="shared" si="145"/>
        <v>27.316195372887805</v>
      </c>
      <c r="AZ142" s="17">
        <f t="shared" si="146"/>
        <v>1.3733126211640054E-2</v>
      </c>
      <c r="BA142" s="18">
        <f t="shared" si="147"/>
        <v>0.20191776068033376</v>
      </c>
      <c r="BB142" s="19">
        <f t="shared" si="202"/>
        <v>987.97280753009352</v>
      </c>
      <c r="BC142" s="15">
        <f t="shared" si="148"/>
        <v>5.475945615060188E-6</v>
      </c>
      <c r="BD142" s="16">
        <f t="shared" si="149"/>
        <v>27.250687286596076</v>
      </c>
      <c r="BE142" s="17">
        <f t="shared" si="150"/>
        <v>1.370461374820303E-2</v>
      </c>
      <c r="BF142" s="18">
        <f t="shared" si="151"/>
        <v>0.2024031519642808</v>
      </c>
      <c r="BG142" s="19">
        <f t="shared" si="203"/>
        <v>981.6761701784892</v>
      </c>
      <c r="BH142" s="15">
        <f t="shared" si="152"/>
        <v>5.4633523403569791E-6</v>
      </c>
      <c r="BI142" s="16">
        <f t="shared" si="153"/>
        <v>27.178275957052627</v>
      </c>
      <c r="BJ142" s="17">
        <f t="shared" si="154"/>
        <v>1.367309664088227E-2</v>
      </c>
      <c r="BK142" s="18">
        <f t="shared" si="155"/>
        <v>0.20294241653575981</v>
      </c>
      <c r="BL142" s="19">
        <f t="shared" si="204"/>
        <v>974.77556051740055</v>
      </c>
      <c r="BM142" s="15">
        <f t="shared" si="156"/>
        <v>5.4495511210348015E-6</v>
      </c>
      <c r="BN142" s="16">
        <f t="shared" si="157"/>
        <v>27.098918945950103</v>
      </c>
      <c r="BO142" s="17">
        <f t="shared" si="158"/>
        <v>1.3638556418359881E-2</v>
      </c>
      <c r="BP142" s="18">
        <f t="shared" si="159"/>
        <v>0.20353671712886917</v>
      </c>
      <c r="BQ142" s="19">
        <f t="shared" si="205"/>
        <v>967.25113634923775</v>
      </c>
      <c r="BR142" s="15">
        <f t="shared" si="160"/>
        <v>5.4345022726984761E-6</v>
      </c>
      <c r="BS142" s="16">
        <f t="shared" si="161"/>
        <v>27.012388068016236</v>
      </c>
      <c r="BT142" s="17">
        <f t="shared" si="162"/>
        <v>1.3600893762756175E-2</v>
      </c>
      <c r="BU142" s="18">
        <f t="shared" si="163"/>
        <v>0.20418872208232208</v>
      </c>
      <c r="BV142" s="19">
        <f t="shared" si="206"/>
        <v>959.00837508763152</v>
      </c>
      <c r="BW142" s="15">
        <f t="shared" si="164"/>
        <v>5.4180167501752634E-6</v>
      </c>
      <c r="BX142" s="16">
        <f t="shared" si="165"/>
        <v>26.917596313507762</v>
      </c>
      <c r="BY142" s="17">
        <f t="shared" si="166"/>
        <v>1.3559635551937468E-2</v>
      </c>
      <c r="BZ142" s="18">
        <f t="shared" si="167"/>
        <v>0.20490778358363873</v>
      </c>
      <c r="CA142" s="19">
        <f t="shared" si="207"/>
        <v>949.65476681743792</v>
      </c>
      <c r="CB142" s="15">
        <f t="shared" si="168"/>
        <v>5.3993095336348756E-6</v>
      </c>
      <c r="CC142" s="16">
        <f t="shared" si="169"/>
        <v>26.810029818400537</v>
      </c>
      <c r="CD142" s="17">
        <f t="shared" si="170"/>
        <v>1.3512817121841136E-2</v>
      </c>
      <c r="CE142" s="18">
        <f t="shared" si="171"/>
        <v>0.20572990919295656</v>
      </c>
      <c r="CF142" s="19">
        <f t="shared" si="208"/>
        <v>937.79977109106608</v>
      </c>
      <c r="CG142" s="15">
        <f t="shared" si="172"/>
        <v>5.3755995421821325E-6</v>
      </c>
      <c r="CH142" s="16">
        <f t="shared" si="173"/>
        <v>26.673697367547259</v>
      </c>
      <c r="CI142" s="17">
        <f t="shared" si="174"/>
        <v>1.3453478279260344E-2</v>
      </c>
      <c r="CJ142" s="18">
        <f t="shared" si="175"/>
        <v>0.20678141931349284</v>
      </c>
      <c r="CK142" s="19">
        <f t="shared" si="209"/>
        <v>919.36517183332001</v>
      </c>
      <c r="CL142" s="15">
        <f t="shared" si="176"/>
        <v>5.3387303436666411E-6</v>
      </c>
      <c r="CM142" s="16">
        <f t="shared" si="177"/>
        <v>26.461699476083179</v>
      </c>
      <c r="CN142" s="17">
        <f t="shared" si="178"/>
        <v>1.3361205974095189E-2</v>
      </c>
      <c r="CO142" s="18">
        <f t="shared" si="179"/>
        <v>0.20843804854579259</v>
      </c>
      <c r="CP142" s="19">
        <f t="shared" si="210"/>
        <v>884.88896653796019</v>
      </c>
      <c r="CQ142" s="15">
        <f t="shared" si="180"/>
        <v>5.2697779330759215E-6</v>
      </c>
      <c r="CR142" s="16">
        <f t="shared" si="181"/>
        <v>26.065223115186541</v>
      </c>
      <c r="CS142" s="17">
        <f t="shared" si="182"/>
        <v>1.318863922113942E-2</v>
      </c>
      <c r="CT142" s="18">
        <f t="shared" si="183"/>
        <v>0.2116085857245702</v>
      </c>
      <c r="CU142" s="19">
        <f t="shared" si="211"/>
        <v>818.3173756206794</v>
      </c>
      <c r="CV142" s="15">
        <f t="shared" si="184"/>
        <v>5.1366347512413591E-6</v>
      </c>
      <c r="CW142" s="16">
        <f t="shared" si="185"/>
        <v>25.299649819637814</v>
      </c>
      <c r="CX142" s="17">
        <f t="shared" si="186"/>
        <v>1.2855422639288946E-2</v>
      </c>
      <c r="CY142" s="18">
        <f t="shared" si="187"/>
        <v>0.218011910809877</v>
      </c>
      <c r="CZ142" s="20">
        <f t="shared" si="212"/>
        <v>703.10568614241902</v>
      </c>
      <c r="DA142" s="15">
        <f t="shared" si="188"/>
        <v>4.9062113722848384E-6</v>
      </c>
      <c r="DB142" s="16">
        <f t="shared" si="189"/>
        <v>23.974715390637819</v>
      </c>
      <c r="DC142" s="17">
        <f t="shared" si="190"/>
        <v>1.2278743535962934E-2</v>
      </c>
      <c r="DD142" s="18">
        <f t="shared" si="191"/>
        <v>0.23006008247146342</v>
      </c>
    </row>
    <row r="143" spans="2:108" x14ac:dyDescent="0.25">
      <c r="B143">
        <v>124</v>
      </c>
      <c r="C143">
        <f t="shared" si="192"/>
        <v>0.12122421862681118</v>
      </c>
      <c r="D143" s="19">
        <f t="shared" si="109"/>
        <v>1017.9710728219075</v>
      </c>
      <c r="E143" s="15">
        <f t="shared" si="110"/>
        <v>5.5359421456438159E-6</v>
      </c>
      <c r="F143" s="16">
        <f t="shared" si="111"/>
        <v>27.595667337451935</v>
      </c>
      <c r="G143" s="17">
        <f t="shared" si="107"/>
        <v>1.3854766678067697E-2</v>
      </c>
      <c r="H143" s="18">
        <f t="shared" si="112"/>
        <v>0.19987286165442264</v>
      </c>
      <c r="I143" s="19">
        <f t="shared" si="193"/>
        <v>1017.6465922752271</v>
      </c>
      <c r="J143" s="15">
        <f t="shared" si="113"/>
        <v>5.5352931845504545E-6</v>
      </c>
      <c r="K143" s="16">
        <f t="shared" si="114"/>
        <v>27.591935811165111</v>
      </c>
      <c r="L143" s="17">
        <f t="shared" si="115"/>
        <v>1.3853142527327836E-2</v>
      </c>
      <c r="M143" s="18">
        <f t="shared" si="116"/>
        <v>0.19989989240871223</v>
      </c>
      <c r="N143" s="19">
        <f t="shared" si="194"/>
        <v>1016.7409500536024</v>
      </c>
      <c r="O143" s="15">
        <f t="shared" si="117"/>
        <v>5.5334819001072052E-6</v>
      </c>
      <c r="P143" s="16">
        <f t="shared" si="118"/>
        <v>27.581520925616427</v>
      </c>
      <c r="Q143" s="17">
        <f t="shared" si="108"/>
        <v>1.3854766678067697E-2</v>
      </c>
      <c r="R143" s="18">
        <f t="shared" si="119"/>
        <v>0.19997537535638019</v>
      </c>
      <c r="S143" s="19">
        <f t="shared" si="195"/>
        <v>1015.2395986511978</v>
      </c>
      <c r="T143" s="15">
        <f t="shared" si="120"/>
        <v>5.5304791973023955E-6</v>
      </c>
      <c r="U143" s="16">
        <f t="shared" si="121"/>
        <v>27.564255384488774</v>
      </c>
      <c r="V143" s="17">
        <f t="shared" si="122"/>
        <v>1.3841094592512346E-2</v>
      </c>
      <c r="W143" s="18">
        <f t="shared" si="123"/>
        <v>0.20010063479181833</v>
      </c>
      <c r="X143" s="19">
        <f t="shared" si="196"/>
        <v>1013.1403976287586</v>
      </c>
      <c r="Y143" s="15">
        <f t="shared" si="124"/>
        <v>5.5262807952575173E-6</v>
      </c>
      <c r="Z143" s="16">
        <f t="shared" si="125"/>
        <v>27.540114572730722</v>
      </c>
      <c r="AA143" s="17">
        <f t="shared" si="126"/>
        <v>1.3830587278811772E-2</v>
      </c>
      <c r="AB143" s="18">
        <f t="shared" si="127"/>
        <v>0.20027603681291081</v>
      </c>
      <c r="AC143" s="19">
        <f t="shared" si="197"/>
        <v>1010.4419243066549</v>
      </c>
      <c r="AD143" s="15">
        <f t="shared" si="128"/>
        <v>5.5208838486133101E-6</v>
      </c>
      <c r="AE143" s="16">
        <f t="shared" si="129"/>
        <v>27.509082129526529</v>
      </c>
      <c r="AF143" s="17">
        <f t="shared" si="130"/>
        <v>1.3817080375278051E-2</v>
      </c>
      <c r="AG143" s="18">
        <f t="shared" si="131"/>
        <v>0.20050196418876051</v>
      </c>
      <c r="AH143" s="19">
        <f t="shared" si="198"/>
        <v>1007.1439471406603</v>
      </c>
      <c r="AI143" s="15">
        <f t="shared" si="132"/>
        <v>5.514287894281321E-6</v>
      </c>
      <c r="AJ143" s="16">
        <f t="shared" si="133"/>
        <v>27.471155392117595</v>
      </c>
      <c r="AK143" s="17">
        <f t="shared" si="134"/>
        <v>1.3800572722942701E-2</v>
      </c>
      <c r="AL143" s="18">
        <f t="shared" si="135"/>
        <v>0.20077877764044172</v>
      </c>
      <c r="AM143" s="19">
        <f t="shared" si="199"/>
        <v>1003.246416378745</v>
      </c>
      <c r="AN143" s="15">
        <f t="shared" si="136"/>
        <v>5.5064928327574914E-6</v>
      </c>
      <c r="AO143" s="16">
        <f t="shared" si="137"/>
        <v>27.426333788355567</v>
      </c>
      <c r="AP143" s="17">
        <f t="shared" si="138"/>
        <v>1.3781064072777556E-2</v>
      </c>
      <c r="AQ143" s="18">
        <f t="shared" si="139"/>
        <v>0.20110690121994271</v>
      </c>
      <c r="AR143" s="19">
        <f t="shared" si="200"/>
        <v>998.7493255473089</v>
      </c>
      <c r="AS143" s="15">
        <f t="shared" si="140"/>
        <v>5.4974986510946184E-6</v>
      </c>
      <c r="AT143" s="16">
        <f t="shared" si="141"/>
        <v>27.374617243794052</v>
      </c>
      <c r="AU143" s="17">
        <f t="shared" si="142"/>
        <v>1.3758554392379737E-2</v>
      </c>
      <c r="AV143" s="18">
        <f t="shared" si="143"/>
        <v>0.20148683544608889</v>
      </c>
      <c r="AW143" s="19">
        <f t="shared" si="201"/>
        <v>993.65266249896206</v>
      </c>
      <c r="AX143" s="15">
        <f t="shared" si="144"/>
        <v>5.4873053249979253E-6</v>
      </c>
      <c r="AY143" s="16">
        <f t="shared" si="145"/>
        <v>27.31600561873806</v>
      </c>
      <c r="AZ143" s="17">
        <f t="shared" si="146"/>
        <v>1.3733043620946862E-2</v>
      </c>
      <c r="BA143" s="18">
        <f t="shared" si="147"/>
        <v>0.2019191633280536</v>
      </c>
      <c r="BB143" s="19">
        <f t="shared" si="202"/>
        <v>987.95632881632014</v>
      </c>
      <c r="BC143" s="15">
        <f t="shared" si="148"/>
        <v>5.4759126576326405E-6</v>
      </c>
      <c r="BD143" s="16">
        <f t="shared" si="149"/>
        <v>27.250497781387679</v>
      </c>
      <c r="BE143" s="17">
        <f t="shared" si="150"/>
        <v>1.3704531265861818E-2</v>
      </c>
      <c r="BF143" s="18">
        <f t="shared" si="151"/>
        <v>0.20240455951477035</v>
      </c>
      <c r="BG143" s="19">
        <f t="shared" si="203"/>
        <v>981.65967201725789</v>
      </c>
      <c r="BH143" s="15">
        <f t="shared" si="152"/>
        <v>5.4633193440345163E-6</v>
      </c>
      <c r="BI143" s="16">
        <f t="shared" si="153"/>
        <v>27.178086228198467</v>
      </c>
      <c r="BJ143" s="17">
        <f t="shared" si="154"/>
        <v>1.3673014061199005E-2</v>
      </c>
      <c r="BK143" s="18">
        <f t="shared" si="155"/>
        <v>0.20294383326657103</v>
      </c>
      <c r="BL143" s="19">
        <f t="shared" si="204"/>
        <v>974.75881302244125</v>
      </c>
      <c r="BM143" s="15">
        <f t="shared" si="156"/>
        <v>5.4495176260448829E-6</v>
      </c>
      <c r="BN143" s="16">
        <f t="shared" si="157"/>
        <v>27.098726349758074</v>
      </c>
      <c r="BO143" s="17">
        <f t="shared" si="158"/>
        <v>1.3638472590664794E-2</v>
      </c>
      <c r="BP143" s="18">
        <f t="shared" si="159"/>
        <v>0.2035381637059574</v>
      </c>
      <c r="BQ143" s="19">
        <f t="shared" si="205"/>
        <v>967.23306854669659</v>
      </c>
      <c r="BR143" s="15">
        <f t="shared" si="160"/>
        <v>5.4344661370933935E-6</v>
      </c>
      <c r="BS143" s="16">
        <f t="shared" si="161"/>
        <v>27.012180288287009</v>
      </c>
      <c r="BT143" s="17">
        <f t="shared" si="162"/>
        <v>1.360080332641056E-2</v>
      </c>
      <c r="BU143" s="18">
        <f t="shared" si="163"/>
        <v>0.20419029271738123</v>
      </c>
      <c r="BV143" s="19">
        <f t="shared" si="206"/>
        <v>958.98471936303986</v>
      </c>
      <c r="BW143" s="15">
        <f t="shared" si="164"/>
        <v>5.4179694387260808E-6</v>
      </c>
      <c r="BX143" s="16">
        <f t="shared" si="165"/>
        <v>26.917324272674957</v>
      </c>
      <c r="BY143" s="17">
        <f t="shared" si="166"/>
        <v>1.3559517145878955E-2</v>
      </c>
      <c r="BZ143" s="18">
        <f t="shared" si="167"/>
        <v>0.20490985449096702</v>
      </c>
      <c r="CA143" s="19">
        <f t="shared" si="207"/>
        <v>949.61126326368628</v>
      </c>
      <c r="CB143" s="15">
        <f t="shared" si="168"/>
        <v>5.3992225265273734E-6</v>
      </c>
      <c r="CC143" s="16">
        <f t="shared" si="169"/>
        <v>26.809529527532391</v>
      </c>
      <c r="CD143" s="17">
        <f t="shared" si="170"/>
        <v>1.3512599369714747E-2</v>
      </c>
      <c r="CE143" s="18">
        <f t="shared" si="171"/>
        <v>0.20573374830526803</v>
      </c>
      <c r="CF143" s="19">
        <f t="shared" si="208"/>
        <v>937.69807319571976</v>
      </c>
      <c r="CG143" s="15">
        <f t="shared" si="172"/>
        <v>5.3753961463914398E-6</v>
      </c>
      <c r="CH143" s="16">
        <f t="shared" si="173"/>
        <v>26.672527841750778</v>
      </c>
      <c r="CI143" s="17">
        <f t="shared" si="174"/>
        <v>1.3452969241927725E-2</v>
      </c>
      <c r="CJ143" s="18">
        <f t="shared" si="175"/>
        <v>0.20679048617830426</v>
      </c>
      <c r="CK143" s="19">
        <f t="shared" si="209"/>
        <v>919.12842908816901</v>
      </c>
      <c r="CL143" s="15">
        <f t="shared" si="176"/>
        <v>5.3382568581763389E-6</v>
      </c>
      <c r="CM143" s="16">
        <f t="shared" si="177"/>
        <v>26.458976934513942</v>
      </c>
      <c r="CN143" s="17">
        <f t="shared" si="178"/>
        <v>1.3360020985014556E-2</v>
      </c>
      <c r="CO143" s="18">
        <f t="shared" si="179"/>
        <v>0.20845949613438156</v>
      </c>
      <c r="CP143" s="19">
        <f t="shared" si="210"/>
        <v>884.42267149369889</v>
      </c>
      <c r="CQ143" s="15">
        <f t="shared" si="180"/>
        <v>5.268845342987398E-6</v>
      </c>
      <c r="CR143" s="16">
        <f t="shared" si="181"/>
        <v>26.059860722177536</v>
      </c>
      <c r="CS143" s="17">
        <f t="shared" si="182"/>
        <v>1.3186305233943952E-2</v>
      </c>
      <c r="CT143" s="18">
        <f t="shared" si="183"/>
        <v>0.21165212887366192</v>
      </c>
      <c r="CU143" s="19">
        <f t="shared" si="211"/>
        <v>817.61291217597875</v>
      </c>
      <c r="CV143" s="15">
        <f t="shared" si="184"/>
        <v>5.1352258243519575E-6</v>
      </c>
      <c r="CW143" s="16">
        <f t="shared" si="185"/>
        <v>25.291548490023757</v>
      </c>
      <c r="CX143" s="17">
        <f t="shared" si="186"/>
        <v>1.2851896527056275E-2</v>
      </c>
      <c r="CY143" s="18">
        <f t="shared" si="187"/>
        <v>0.21808174387486146</v>
      </c>
      <c r="CZ143" s="20">
        <f t="shared" si="212"/>
        <v>702.36095165693257</v>
      </c>
      <c r="DA143" s="15">
        <f t="shared" si="188"/>
        <v>4.9047219033138657E-6</v>
      </c>
      <c r="DB143" s="16">
        <f t="shared" si="189"/>
        <v>23.966150944054725</v>
      </c>
      <c r="DC143" s="17">
        <f t="shared" si="190"/>
        <v>1.2275015851582543E-2</v>
      </c>
      <c r="DD143" s="18">
        <f t="shared" si="191"/>
        <v>0.23014229581026066</v>
      </c>
    </row>
    <row r="144" spans="2:108" x14ac:dyDescent="0.25">
      <c r="B144">
        <v>125</v>
      </c>
      <c r="C144">
        <f t="shared" si="192"/>
        <v>0.12220183329315643</v>
      </c>
      <c r="D144" s="19">
        <f t="shared" si="109"/>
        <v>1017.9545064843609</v>
      </c>
      <c r="E144" s="15">
        <f t="shared" si="110"/>
        <v>5.5359090129687218E-6</v>
      </c>
      <c r="F144" s="16">
        <f t="shared" si="111"/>
        <v>27.595476824570149</v>
      </c>
      <c r="G144" s="17">
        <f t="shared" si="107"/>
        <v>1.3854683757135583E-2</v>
      </c>
      <c r="H144" s="18">
        <f t="shared" si="112"/>
        <v>0.19987424153109976</v>
      </c>
      <c r="I144" s="19">
        <f t="shared" si="193"/>
        <v>1017.6300189830404</v>
      </c>
      <c r="J144" s="15">
        <f t="shared" si="113"/>
        <v>5.5352600379660808E-6</v>
      </c>
      <c r="K144" s="16">
        <f t="shared" si="114"/>
        <v>27.591745218304965</v>
      </c>
      <c r="L144" s="17">
        <f t="shared" si="115"/>
        <v>1.3853059571585058E-2</v>
      </c>
      <c r="M144" s="18">
        <f t="shared" si="116"/>
        <v>0.19990127323808479</v>
      </c>
      <c r="N144" s="19">
        <f t="shared" si="194"/>
        <v>1016.7243616023183</v>
      </c>
      <c r="O144" s="15">
        <f t="shared" si="117"/>
        <v>5.5334487232046373E-6</v>
      </c>
      <c r="P144" s="16">
        <f t="shared" si="118"/>
        <v>27.58133015842666</v>
      </c>
      <c r="Q144" s="17">
        <f t="shared" si="108"/>
        <v>1.3854683757135583E-2</v>
      </c>
      <c r="R144" s="18">
        <f t="shared" si="119"/>
        <v>0.19997675849273222</v>
      </c>
      <c r="S144" s="19">
        <f t="shared" si="195"/>
        <v>1015.2230015479116</v>
      </c>
      <c r="T144" s="15">
        <f t="shared" si="120"/>
        <v>5.5304460030958237E-6</v>
      </c>
      <c r="U144" s="16">
        <f t="shared" si="121"/>
        <v>27.564064517800983</v>
      </c>
      <c r="V144" s="17">
        <f t="shared" si="122"/>
        <v>1.3841011517585801E-2</v>
      </c>
      <c r="W144" s="18">
        <f t="shared" si="123"/>
        <v>0.20010202038374955</v>
      </c>
      <c r="X144" s="19">
        <f t="shared" si="196"/>
        <v>1013.1238025107242</v>
      </c>
      <c r="Y144" s="15">
        <f t="shared" si="124"/>
        <v>5.5262476050214489E-6</v>
      </c>
      <c r="Z144" s="16">
        <f t="shared" si="125"/>
        <v>27.539923728873326</v>
      </c>
      <c r="AA144" s="17">
        <f t="shared" si="126"/>
        <v>1.3830504213822177E-2</v>
      </c>
      <c r="AB144" s="18">
        <f t="shared" si="127"/>
        <v>0.20027742466902057</v>
      </c>
      <c r="AC144" s="19">
        <f t="shared" si="197"/>
        <v>1010.4253394728414</v>
      </c>
      <c r="AD144" s="15">
        <f t="shared" si="128"/>
        <v>5.5208506789456835E-6</v>
      </c>
      <c r="AE144" s="16">
        <f t="shared" si="129"/>
        <v>27.508891403937675</v>
      </c>
      <c r="AF144" s="17">
        <f t="shared" si="130"/>
        <v>1.3816997361764963E-2</v>
      </c>
      <c r="AG144" s="18">
        <f t="shared" si="131"/>
        <v>0.20050335431585159</v>
      </c>
      <c r="AH144" s="19">
        <f t="shared" si="198"/>
        <v>1007.1273780840359</v>
      </c>
      <c r="AI144" s="15">
        <f t="shared" si="132"/>
        <v>5.5142547561680722E-6</v>
      </c>
      <c r="AJ144" s="16">
        <f t="shared" si="133"/>
        <v>27.470964847966414</v>
      </c>
      <c r="AK144" s="17">
        <f t="shared" si="134"/>
        <v>1.3800489788400552E-2</v>
      </c>
      <c r="AL144" s="18">
        <f t="shared" si="135"/>
        <v>0.20078017028252665</v>
      </c>
      <c r="AM144" s="19">
        <f t="shared" si="199"/>
        <v>1003.2298671640154</v>
      </c>
      <c r="AN144" s="15">
        <f t="shared" si="136"/>
        <v>5.5064597343280317E-6</v>
      </c>
      <c r="AO144" s="16">
        <f t="shared" si="137"/>
        <v>27.426143472386176</v>
      </c>
      <c r="AP144" s="17">
        <f t="shared" si="138"/>
        <v>1.3780981237551771E-2</v>
      </c>
      <c r="AQ144" s="18">
        <f t="shared" si="139"/>
        <v>0.20110829674443179</v>
      </c>
      <c r="AR144" s="19">
        <f t="shared" si="200"/>
        <v>998.73279964494861</v>
      </c>
      <c r="AS144" s="15">
        <f t="shared" si="140"/>
        <v>5.4974655992898976E-6</v>
      </c>
      <c r="AT144" s="16">
        <f t="shared" si="141"/>
        <v>27.374427195916908</v>
      </c>
      <c r="AU144" s="17">
        <f t="shared" si="142"/>
        <v>1.3758471673841383E-2</v>
      </c>
      <c r="AV144" s="18">
        <f t="shared" si="143"/>
        <v>0.20148823427518858</v>
      </c>
      <c r="AW144" s="19">
        <f t="shared" si="201"/>
        <v>993.63616221753762</v>
      </c>
      <c r="AX144" s="15">
        <f t="shared" si="144"/>
        <v>5.4872723244350759E-6</v>
      </c>
      <c r="AY144" s="16">
        <f t="shared" si="145"/>
        <v>27.315815865501683</v>
      </c>
      <c r="AZ144" s="17">
        <f t="shared" si="146"/>
        <v>1.3732961030651211E-2</v>
      </c>
      <c r="BA144" s="18">
        <f t="shared" si="147"/>
        <v>0.20192056598850922</v>
      </c>
      <c r="BB144" s="19">
        <f t="shared" si="202"/>
        <v>987.93984963881019</v>
      </c>
      <c r="BC144" s="15">
        <f t="shared" si="148"/>
        <v>5.4758796992776207E-6</v>
      </c>
      <c r="BD144" s="16">
        <f t="shared" si="149"/>
        <v>27.250308270846318</v>
      </c>
      <c r="BE144" s="17">
        <f t="shared" si="150"/>
        <v>1.3704448781199427E-2</v>
      </c>
      <c r="BF144" s="18">
        <f t="shared" si="151"/>
        <v>0.20240596712444825</v>
      </c>
      <c r="BG144" s="19">
        <f t="shared" si="203"/>
        <v>981.64317063742919</v>
      </c>
      <c r="BH144" s="15">
        <f t="shared" si="152"/>
        <v>5.463286341274859E-6</v>
      </c>
      <c r="BI144" s="16">
        <f t="shared" si="153"/>
        <v>27.177896462330438</v>
      </c>
      <c r="BJ144" s="17">
        <f t="shared" si="154"/>
        <v>1.3672931465405415E-2</v>
      </c>
      <c r="BK144" s="18">
        <f t="shared" si="155"/>
        <v>0.20294525029355598</v>
      </c>
      <c r="BL144" s="19">
        <f t="shared" si="204"/>
        <v>974.7420500910647</v>
      </c>
      <c r="BM144" s="15">
        <f t="shared" si="156"/>
        <v>5.4494841001821295E-6</v>
      </c>
      <c r="BN144" s="16">
        <f t="shared" si="157"/>
        <v>27.098533576047245</v>
      </c>
      <c r="BO144" s="17">
        <f t="shared" si="158"/>
        <v>1.363838868570446E-2</v>
      </c>
      <c r="BP144" s="18">
        <f t="shared" si="159"/>
        <v>0.20353961163696824</v>
      </c>
      <c r="BQ144" s="19">
        <f t="shared" si="205"/>
        <v>967.21493902818963</v>
      </c>
      <c r="BR144" s="15">
        <f t="shared" si="160"/>
        <v>5.4344298780563795E-6</v>
      </c>
      <c r="BS144" s="16">
        <f t="shared" si="161"/>
        <v>27.011971798824177</v>
      </c>
      <c r="BT144" s="17">
        <f t="shared" si="162"/>
        <v>1.3600712581152646E-2</v>
      </c>
      <c r="BU144" s="18">
        <f t="shared" si="163"/>
        <v>0.20419186874169967</v>
      </c>
      <c r="BV144" s="19">
        <f t="shared" si="206"/>
        <v>958.96085749622728</v>
      </c>
      <c r="BW144" s="15">
        <f t="shared" si="164"/>
        <v>5.417921714992455E-6</v>
      </c>
      <c r="BX144" s="16">
        <f t="shared" si="165"/>
        <v>26.917049861206614</v>
      </c>
      <c r="BY144" s="17">
        <f t="shared" si="166"/>
        <v>1.3559397707998827E-2</v>
      </c>
      <c r="BZ144" s="18">
        <f t="shared" si="167"/>
        <v>0.20491194348713632</v>
      </c>
      <c r="CA144" s="19">
        <f t="shared" si="207"/>
        <v>949.56720486402492</v>
      </c>
      <c r="CB144" s="15">
        <f t="shared" si="168"/>
        <v>5.3991344097280497E-6</v>
      </c>
      <c r="CC144" s="16">
        <f t="shared" si="169"/>
        <v>26.809022855936284</v>
      </c>
      <c r="CD144" s="17">
        <f t="shared" si="170"/>
        <v>1.35123788403698E-2</v>
      </c>
      <c r="CE144" s="18">
        <f t="shared" si="171"/>
        <v>0.2057376365277962</v>
      </c>
      <c r="CF144" s="19">
        <f t="shared" si="208"/>
        <v>937.59525692939371</v>
      </c>
      <c r="CG144" s="15">
        <f t="shared" si="172"/>
        <v>5.3751905138587877E-6</v>
      </c>
      <c r="CH144" s="16">
        <f t="shared" si="173"/>
        <v>26.671345454688026</v>
      </c>
      <c r="CI144" s="17">
        <f t="shared" si="174"/>
        <v>1.3452454606715441E-2</v>
      </c>
      <c r="CJ144" s="18">
        <f t="shared" si="175"/>
        <v>0.20679965355967889</v>
      </c>
      <c r="CK144" s="19">
        <f t="shared" si="209"/>
        <v>918.8902797856324</v>
      </c>
      <c r="CL144" s="15">
        <f t="shared" si="176"/>
        <v>5.3377805595712655E-6</v>
      </c>
      <c r="CM144" s="16">
        <f t="shared" si="177"/>
        <v>26.456238217534771</v>
      </c>
      <c r="CN144" s="17">
        <f t="shared" si="178"/>
        <v>1.3358828955569746E-2</v>
      </c>
      <c r="CO144" s="18">
        <f t="shared" si="179"/>
        <v>0.20848107560296808</v>
      </c>
      <c r="CP144" s="19">
        <f t="shared" si="210"/>
        <v>883.95612939181183</v>
      </c>
      <c r="CQ144" s="15">
        <f t="shared" si="180"/>
        <v>5.2679122587836243E-6</v>
      </c>
      <c r="CR144" s="16">
        <f t="shared" si="181"/>
        <v>26.054495488005834</v>
      </c>
      <c r="CS144" s="17">
        <f t="shared" si="182"/>
        <v>1.318397001012944E-2</v>
      </c>
      <c r="CT144" s="18">
        <f t="shared" si="183"/>
        <v>0.21169571303113943</v>
      </c>
      <c r="CU144" s="19">
        <f t="shared" si="211"/>
        <v>816.91108595721266</v>
      </c>
      <c r="CV144" s="15">
        <f t="shared" si="184"/>
        <v>5.1338221719144262E-6</v>
      </c>
      <c r="CW144" s="16">
        <f t="shared" si="185"/>
        <v>25.283477488507945</v>
      </c>
      <c r="CX144" s="17">
        <f t="shared" si="186"/>
        <v>1.2848383615160259E-2</v>
      </c>
      <c r="CY144" s="18">
        <f t="shared" si="187"/>
        <v>0.21815136001394617</v>
      </c>
      <c r="CZ144" s="20">
        <f t="shared" si="212"/>
        <v>701.62034327881486</v>
      </c>
      <c r="DA144" s="15">
        <f t="shared" si="188"/>
        <v>4.9032406865576309E-6</v>
      </c>
      <c r="DB144" s="16">
        <f t="shared" si="189"/>
        <v>23.95763394770637</v>
      </c>
      <c r="DC144" s="17">
        <f t="shared" si="190"/>
        <v>1.2271308819966721E-2</v>
      </c>
      <c r="DD144" s="18">
        <f t="shared" si="191"/>
        <v>0.23022411194858619</v>
      </c>
    </row>
    <row r="145" spans="2:108" x14ac:dyDescent="0.25">
      <c r="B145">
        <v>126</v>
      </c>
      <c r="C145">
        <f t="shared" si="192"/>
        <v>0.12317944795950168</v>
      </c>
      <c r="D145" s="19">
        <f t="shared" si="109"/>
        <v>1017.9379397917455</v>
      </c>
      <c r="E145" s="15">
        <f t="shared" si="110"/>
        <v>5.5358758795834923E-6</v>
      </c>
      <c r="F145" s="16">
        <f t="shared" si="111"/>
        <v>27.595286307605072</v>
      </c>
      <c r="G145" s="17">
        <f t="shared" si="107"/>
        <v>1.3854600834426217E-2</v>
      </c>
      <c r="H145" s="18">
        <f t="shared" si="112"/>
        <v>0.19987562145640544</v>
      </c>
      <c r="I145" s="19">
        <f t="shared" si="193"/>
        <v>1017.6134455231896</v>
      </c>
      <c r="J145" s="15">
        <f t="shared" si="113"/>
        <v>5.5352268910463795E-6</v>
      </c>
      <c r="K145" s="16">
        <f t="shared" si="114"/>
        <v>27.591554623516679</v>
      </c>
      <c r="L145" s="17">
        <f t="shared" si="115"/>
        <v>1.3852976615003058E-2</v>
      </c>
      <c r="M145" s="18">
        <f t="shared" si="116"/>
        <v>0.1999026541005034</v>
      </c>
      <c r="N145" s="19">
        <f t="shared" si="194"/>
        <v>1016.70777325805</v>
      </c>
      <c r="O145" s="15">
        <f t="shared" si="117"/>
        <v>5.5334155465161002E-6</v>
      </c>
      <c r="P145" s="16">
        <f t="shared" si="118"/>
        <v>27.581139392467573</v>
      </c>
      <c r="Q145" s="17">
        <f t="shared" si="108"/>
        <v>1.3854600834426217E-2</v>
      </c>
      <c r="R145" s="18">
        <f t="shared" si="119"/>
        <v>0.19997814163929431</v>
      </c>
      <c r="S145" s="19">
        <f t="shared" si="195"/>
        <v>1015.2064046759428</v>
      </c>
      <c r="T145" s="15">
        <f t="shared" si="120"/>
        <v>5.5304128093518861E-6</v>
      </c>
      <c r="U145" s="16">
        <f t="shared" si="121"/>
        <v>27.563873653773342</v>
      </c>
      <c r="V145" s="17">
        <f t="shared" si="122"/>
        <v>1.3840928443817084E-2</v>
      </c>
      <c r="W145" s="18">
        <f t="shared" si="123"/>
        <v>0.2001034059755582</v>
      </c>
      <c r="X145" s="19">
        <f t="shared" si="196"/>
        <v>1013.1072076283868</v>
      </c>
      <c r="Y145" s="15">
        <f t="shared" si="124"/>
        <v>5.5262144152567738E-6</v>
      </c>
      <c r="Z145" s="16">
        <f t="shared" si="125"/>
        <v>27.539732887726448</v>
      </c>
      <c r="AA145" s="17">
        <f t="shared" si="126"/>
        <v>1.3830421150012338E-2</v>
      </c>
      <c r="AB145" s="18">
        <f t="shared" si="127"/>
        <v>0.20027881252465352</v>
      </c>
      <c r="AC145" s="19">
        <f t="shared" si="197"/>
        <v>1010.4087548506479</v>
      </c>
      <c r="AD145" s="15">
        <f t="shared" si="128"/>
        <v>5.5208175097012963E-6</v>
      </c>
      <c r="AE145" s="16">
        <f t="shared" si="129"/>
        <v>27.50870068078245</v>
      </c>
      <c r="AF145" s="17">
        <f t="shared" si="130"/>
        <v>1.3816914349311116E-2</v>
      </c>
      <c r="AG145" s="18">
        <f t="shared" si="131"/>
        <v>0.2005047444444808</v>
      </c>
      <c r="AH145" s="19">
        <f t="shared" si="198"/>
        <v>1007.110809224132</v>
      </c>
      <c r="AI145" s="15">
        <f t="shared" si="132"/>
        <v>5.5142216184482642E-6</v>
      </c>
      <c r="AJ145" s="16">
        <f t="shared" si="133"/>
        <v>27.470774306077516</v>
      </c>
      <c r="AK145" s="17">
        <f t="shared" si="134"/>
        <v>1.3800406854843066E-2</v>
      </c>
      <c r="AL145" s="18">
        <f t="shared" si="135"/>
        <v>0.20078156292739616</v>
      </c>
      <c r="AM145" s="19">
        <f t="shared" si="199"/>
        <v>1003.2133181391708</v>
      </c>
      <c r="AN145" s="15">
        <f t="shared" si="136"/>
        <v>5.5064266362783418E-6</v>
      </c>
      <c r="AO145" s="16">
        <f t="shared" si="137"/>
        <v>27.425953158600464</v>
      </c>
      <c r="AP145" s="17">
        <f t="shared" si="138"/>
        <v>1.3780898403276433E-2</v>
      </c>
      <c r="AQ145" s="18">
        <f t="shared" si="139"/>
        <v>0.20110969227227618</v>
      </c>
      <c r="AR145" s="19">
        <f t="shared" si="200"/>
        <v>998.71627391588243</v>
      </c>
      <c r="AS145" s="15">
        <f t="shared" si="140"/>
        <v>5.4974325478317657E-6</v>
      </c>
      <c r="AT145" s="16">
        <f t="shared" si="141"/>
        <v>27.374237150032648</v>
      </c>
      <c r="AU145" s="17">
        <f t="shared" si="142"/>
        <v>1.3758388956170438E-2</v>
      </c>
      <c r="AV145" s="18">
        <f t="shared" si="143"/>
        <v>0.20148963310904253</v>
      </c>
      <c r="AW145" s="19">
        <f t="shared" si="201"/>
        <v>993.61966200888241</v>
      </c>
      <c r="AX145" s="15">
        <f t="shared" si="144"/>
        <v>5.4872393240177653E-6</v>
      </c>
      <c r="AY145" s="16">
        <f t="shared" si="145"/>
        <v>27.315626113102148</v>
      </c>
      <c r="AZ145" s="17">
        <f t="shared" si="146"/>
        <v>1.3732878440719798E-2</v>
      </c>
      <c r="BA145" s="18">
        <f t="shared" si="147"/>
        <v>0.20192196866226647</v>
      </c>
      <c r="BB145" s="19">
        <f t="shared" si="202"/>
        <v>987.92336996493248</v>
      </c>
      <c r="BC145" s="15">
        <f t="shared" si="148"/>
        <v>5.4758467399298655E-6</v>
      </c>
      <c r="BD145" s="16">
        <f t="shared" si="149"/>
        <v>27.250118754596723</v>
      </c>
      <c r="BE145" s="17">
        <f t="shared" si="150"/>
        <v>1.3704366294052528E-2</v>
      </c>
      <c r="BF145" s="18">
        <f t="shared" si="151"/>
        <v>0.20240737479610393</v>
      </c>
      <c r="BG145" s="19">
        <f t="shared" si="203"/>
        <v>981.62666590003528</v>
      </c>
      <c r="BH145" s="15">
        <f t="shared" si="152"/>
        <v>5.463253331800071E-6</v>
      </c>
      <c r="BI145" s="16">
        <f t="shared" si="153"/>
        <v>27.177706657850404</v>
      </c>
      <c r="BJ145" s="17">
        <f t="shared" si="154"/>
        <v>1.3672848852805912E-2</v>
      </c>
      <c r="BK145" s="18">
        <f t="shared" si="155"/>
        <v>0.20294666762866051</v>
      </c>
      <c r="BL145" s="19">
        <f t="shared" si="204"/>
        <v>974.72527122443228</v>
      </c>
      <c r="BM145" s="15">
        <f t="shared" si="156"/>
        <v>5.4494505424488652E-6</v>
      </c>
      <c r="BN145" s="16">
        <f t="shared" si="157"/>
        <v>27.098340619080972</v>
      </c>
      <c r="BO145" s="17">
        <f t="shared" si="158"/>
        <v>1.3638304700982007E-2</v>
      </c>
      <c r="BP145" s="18">
        <f t="shared" si="159"/>
        <v>0.20354106096504812</v>
      </c>
      <c r="BQ145" s="19">
        <f t="shared" si="205"/>
        <v>967.19674635599461</v>
      </c>
      <c r="BR145" s="15">
        <f t="shared" si="160"/>
        <v>5.4343934927119902E-6</v>
      </c>
      <c r="BS145" s="16">
        <f t="shared" si="161"/>
        <v>27.011762583093937</v>
      </c>
      <c r="BT145" s="17">
        <f t="shared" si="162"/>
        <v>1.3600621519786081E-2</v>
      </c>
      <c r="BU145" s="18">
        <f t="shared" si="163"/>
        <v>0.2041934502805125</v>
      </c>
      <c r="BV145" s="19">
        <f t="shared" si="206"/>
        <v>958.93678647267484</v>
      </c>
      <c r="BW145" s="15">
        <f t="shared" si="164"/>
        <v>5.4178735729453503E-6</v>
      </c>
      <c r="BX145" s="16">
        <f t="shared" si="165"/>
        <v>26.916773044435757</v>
      </c>
      <c r="BY145" s="17">
        <f t="shared" si="166"/>
        <v>1.3559277223208254E-2</v>
      </c>
      <c r="BZ145" s="18">
        <f t="shared" si="167"/>
        <v>0.20491405083716718</v>
      </c>
      <c r="CA145" s="19">
        <f t="shared" si="207"/>
        <v>949.52258830655182</v>
      </c>
      <c r="CB145" s="15">
        <f t="shared" si="168"/>
        <v>5.3990451766131043E-6</v>
      </c>
      <c r="CC145" s="16">
        <f t="shared" si="169"/>
        <v>26.808509765525343</v>
      </c>
      <c r="CD145" s="17">
        <f t="shared" si="170"/>
        <v>1.3512155517228952E-2</v>
      </c>
      <c r="CE145" s="18">
        <f t="shared" si="171"/>
        <v>0.20574157415839914</v>
      </c>
      <c r="CF145" s="19">
        <f t="shared" si="208"/>
        <v>937.49132571091639</v>
      </c>
      <c r="CG145" s="15">
        <f t="shared" si="172"/>
        <v>5.3749826514218335E-6</v>
      </c>
      <c r="CH145" s="16">
        <f t="shared" si="173"/>
        <v>26.670150245675536</v>
      </c>
      <c r="CI145" s="17">
        <f t="shared" si="174"/>
        <v>1.3451934390736053E-2</v>
      </c>
      <c r="CJ145" s="18">
        <f t="shared" si="175"/>
        <v>0.20680892117937497</v>
      </c>
      <c r="CK145" s="19">
        <f t="shared" si="209"/>
        <v>918.65074395231522</v>
      </c>
      <c r="CL145" s="15">
        <f t="shared" si="176"/>
        <v>5.33730148790463E-6</v>
      </c>
      <c r="CM145" s="16">
        <f t="shared" si="177"/>
        <v>26.453483555451626</v>
      </c>
      <c r="CN145" s="17">
        <f t="shared" si="178"/>
        <v>1.335762998600166E-2</v>
      </c>
      <c r="CO145" s="18">
        <f t="shared" si="179"/>
        <v>0.20850278521685742</v>
      </c>
      <c r="CP145" s="19">
        <f t="shared" si="210"/>
        <v>883.48936506579105</v>
      </c>
      <c r="CQ145" s="15">
        <f t="shared" si="180"/>
        <v>5.2669787301315826E-6</v>
      </c>
      <c r="CR145" s="16">
        <f t="shared" si="181"/>
        <v>26.049127698256598</v>
      </c>
      <c r="CS145" s="17">
        <f t="shared" si="182"/>
        <v>1.3181633673997115E-2</v>
      </c>
      <c r="CT145" s="18">
        <f t="shared" si="183"/>
        <v>0.21173933591523478</v>
      </c>
      <c r="CU145" s="19">
        <f t="shared" si="211"/>
        <v>816.21187925664026</v>
      </c>
      <c r="CV145" s="15">
        <f t="shared" si="184"/>
        <v>5.132423758513281E-6</v>
      </c>
      <c r="CW145" s="16">
        <f t="shared" si="185"/>
        <v>25.275436611451362</v>
      </c>
      <c r="CX145" s="17">
        <f t="shared" si="186"/>
        <v>1.284488381496679E-2</v>
      </c>
      <c r="CY145" s="18">
        <f t="shared" si="187"/>
        <v>0.21822076052688544</v>
      </c>
      <c r="CZ145" s="20">
        <f t="shared" si="212"/>
        <v>700.88380356101186</v>
      </c>
      <c r="DA145" s="15">
        <f t="shared" si="188"/>
        <v>4.9017676071220237E-6</v>
      </c>
      <c r="DB145" s="16">
        <f t="shared" si="189"/>
        <v>23.949163740951636</v>
      </c>
      <c r="DC145" s="17">
        <f t="shared" si="190"/>
        <v>1.2267622153570711E-2</v>
      </c>
      <c r="DD145" s="18">
        <f t="shared" si="191"/>
        <v>0.2303055363293797</v>
      </c>
    </row>
    <row r="146" spans="2:108" x14ac:dyDescent="0.25">
      <c r="B146">
        <v>127</v>
      </c>
      <c r="C146">
        <f t="shared" si="192"/>
        <v>0.12415706262584694</v>
      </c>
      <c r="D146" s="19">
        <f t="shared" si="109"/>
        <v>1017.9213727536293</v>
      </c>
      <c r="E146" s="15">
        <f t="shared" si="110"/>
        <v>5.5358427455072592E-6</v>
      </c>
      <c r="F146" s="16">
        <f t="shared" si="111"/>
        <v>27.595095786666736</v>
      </c>
      <c r="G146" s="17">
        <f t="shared" si="107"/>
        <v>1.3854517909987481E-2</v>
      </c>
      <c r="H146" s="18">
        <f t="shared" si="112"/>
        <v>0.19987700142954434</v>
      </c>
      <c r="I146" s="19">
        <f t="shared" si="193"/>
        <v>1017.5968719000904</v>
      </c>
      <c r="J146" s="15">
        <f t="shared" si="113"/>
        <v>5.5351937438001808E-6</v>
      </c>
      <c r="K146" s="16">
        <f t="shared" si="114"/>
        <v>27.591364026851039</v>
      </c>
      <c r="L146" s="17">
        <f t="shared" si="115"/>
        <v>1.3852893657603935E-2</v>
      </c>
      <c r="M146" s="18">
        <f t="shared" si="116"/>
        <v>0.19990403499560111</v>
      </c>
      <c r="N146" s="19">
        <f t="shared" si="194"/>
        <v>1016.6911850200972</v>
      </c>
      <c r="O146" s="15">
        <f t="shared" si="117"/>
        <v>5.5333823700401947E-6</v>
      </c>
      <c r="P146" s="16">
        <f t="shared" si="118"/>
        <v>27.580948627731118</v>
      </c>
      <c r="Q146" s="17">
        <f t="shared" si="108"/>
        <v>1.3854517909987481E-2</v>
      </c>
      <c r="R146" s="18">
        <f t="shared" si="119"/>
        <v>0.19997952479612482</v>
      </c>
      <c r="S146" s="19">
        <f t="shared" si="195"/>
        <v>1015.1898080339275</v>
      </c>
      <c r="T146" s="15">
        <f t="shared" si="120"/>
        <v>5.530379616067856E-6</v>
      </c>
      <c r="U146" s="16">
        <f t="shared" si="121"/>
        <v>27.563682792390168</v>
      </c>
      <c r="V146" s="17">
        <f t="shared" si="122"/>
        <v>1.3840845371199376E-2</v>
      </c>
      <c r="W146" s="18">
        <f t="shared" si="123"/>
        <v>0.20010479156735775</v>
      </c>
      <c r="X146" s="19">
        <f t="shared" si="196"/>
        <v>1013.0906129813154</v>
      </c>
      <c r="Y146" s="15">
        <f t="shared" si="124"/>
        <v>5.5261812259626315E-6</v>
      </c>
      <c r="Z146" s="16">
        <f t="shared" si="125"/>
        <v>27.539542049285124</v>
      </c>
      <c r="AA146" s="17">
        <f t="shared" si="126"/>
        <v>1.3830338087380097E-2</v>
      </c>
      <c r="AB146" s="18">
        <f t="shared" si="127"/>
        <v>0.20028020037984529</v>
      </c>
      <c r="AC146" s="19">
        <f t="shared" si="197"/>
        <v>1010.3921704401446</v>
      </c>
      <c r="AD146" s="15">
        <f t="shared" si="128"/>
        <v>5.5207843408802901E-6</v>
      </c>
      <c r="AE146" s="16">
        <f t="shared" si="129"/>
        <v>27.508509960061662</v>
      </c>
      <c r="AF146" s="17">
        <f t="shared" si="130"/>
        <v>1.3816831337916859E-2</v>
      </c>
      <c r="AG146" s="18">
        <f t="shared" si="131"/>
        <v>0.20050613457464186</v>
      </c>
      <c r="AH146" s="19">
        <f t="shared" si="198"/>
        <v>1007.0942405610328</v>
      </c>
      <c r="AI146" s="15">
        <f t="shared" si="132"/>
        <v>5.5141884811220665E-6</v>
      </c>
      <c r="AJ146" s="16">
        <f t="shared" si="133"/>
        <v>27.470583766451877</v>
      </c>
      <c r="AK146" s="17">
        <f t="shared" si="134"/>
        <v>1.3800323922270662E-2</v>
      </c>
      <c r="AL146" s="18">
        <f t="shared" si="135"/>
        <v>0.20078295557504283</v>
      </c>
      <c r="AM146" s="19">
        <f t="shared" si="199"/>
        <v>1003.1967693040511</v>
      </c>
      <c r="AN146" s="15">
        <f t="shared" si="136"/>
        <v>5.5063935386081023E-6</v>
      </c>
      <c r="AO146" s="16">
        <f t="shared" si="137"/>
        <v>27.425762846996587</v>
      </c>
      <c r="AP146" s="17">
        <f t="shared" si="138"/>
        <v>1.3780815569950741E-2</v>
      </c>
      <c r="AQ146" s="18">
        <f t="shared" si="139"/>
        <v>0.2011110878034891</v>
      </c>
      <c r="AR146" s="19">
        <f t="shared" si="200"/>
        <v>998.69974835885068</v>
      </c>
      <c r="AS146" s="15">
        <f t="shared" si="140"/>
        <v>5.497399496717702E-6</v>
      </c>
      <c r="AT146" s="16">
        <f t="shared" si="141"/>
        <v>27.374047106126781</v>
      </c>
      <c r="AU146" s="17">
        <f t="shared" si="142"/>
        <v>1.3758306239360587E-2</v>
      </c>
      <c r="AV146" s="18">
        <f t="shared" si="143"/>
        <v>0.20149103194775714</v>
      </c>
      <c r="AW146" s="19">
        <f t="shared" si="201"/>
        <v>993.60316186603654</v>
      </c>
      <c r="AX146" s="15">
        <f t="shared" si="144"/>
        <v>5.4872063237320727E-6</v>
      </c>
      <c r="AY146" s="16">
        <f t="shared" si="145"/>
        <v>27.315436361459419</v>
      </c>
      <c r="AZ146" s="17">
        <f t="shared" si="146"/>
        <v>1.3732795851117783E-2</v>
      </c>
      <c r="BA146" s="18">
        <f t="shared" si="147"/>
        <v>0.20192337134991714</v>
      </c>
      <c r="BB146" s="19">
        <f t="shared" si="202"/>
        <v>987.90688976086199</v>
      </c>
      <c r="BC146" s="15">
        <f t="shared" si="148"/>
        <v>5.4758137795217243E-6</v>
      </c>
      <c r="BD146" s="16">
        <f t="shared" si="149"/>
        <v>27.249929232249912</v>
      </c>
      <c r="BE146" s="17">
        <f t="shared" si="150"/>
        <v>1.3704283804251803E-2</v>
      </c>
      <c r="BF146" s="18">
        <f t="shared" si="151"/>
        <v>0.20240878253262892</v>
      </c>
      <c r="BG146" s="19">
        <f t="shared" si="203"/>
        <v>981.61015766234618</v>
      </c>
      <c r="BH146" s="15">
        <f t="shared" si="152"/>
        <v>5.4632203153246937E-6</v>
      </c>
      <c r="BI146" s="16">
        <f t="shared" si="153"/>
        <v>27.177516813116981</v>
      </c>
      <c r="BJ146" s="17">
        <f t="shared" si="154"/>
        <v>1.3672766222686079E-2</v>
      </c>
      <c r="BK146" s="18">
        <f t="shared" si="155"/>
        <v>0.2029480852841542</v>
      </c>
      <c r="BL146" s="19">
        <f t="shared" si="204"/>
        <v>974.70847591505867</v>
      </c>
      <c r="BM146" s="15">
        <f t="shared" si="156"/>
        <v>5.4494169518301178E-6</v>
      </c>
      <c r="BN146" s="16">
        <f t="shared" si="157"/>
        <v>27.098147473023175</v>
      </c>
      <c r="BO146" s="17">
        <f t="shared" si="158"/>
        <v>1.3638220633957268E-2</v>
      </c>
      <c r="BP146" s="18">
        <f t="shared" si="159"/>
        <v>0.20354251173409291</v>
      </c>
      <c r="BQ146" s="19">
        <f t="shared" si="205"/>
        <v>967.17848908240069</v>
      </c>
      <c r="BR146" s="15">
        <f t="shared" si="160"/>
        <v>5.4343569781648017E-6</v>
      </c>
      <c r="BS146" s="16">
        <f t="shared" si="161"/>
        <v>27.011552624447607</v>
      </c>
      <c r="BT146" s="17">
        <f t="shared" si="162"/>
        <v>1.3600530135064503E-2</v>
      </c>
      <c r="BU146" s="18">
        <f t="shared" si="163"/>
        <v>0.20419503745993187</v>
      </c>
      <c r="BV146" s="19">
        <f t="shared" si="206"/>
        <v>958.9125032944421</v>
      </c>
      <c r="BW146" s="15">
        <f t="shared" si="164"/>
        <v>5.4178250065888847E-6</v>
      </c>
      <c r="BX146" s="16">
        <f t="shared" si="165"/>
        <v>26.916493787886083</v>
      </c>
      <c r="BY146" s="17">
        <f t="shared" si="166"/>
        <v>1.3559155676501383E-2</v>
      </c>
      <c r="BZ146" s="18">
        <f t="shared" si="167"/>
        <v>0.20491617680466012</v>
      </c>
      <c r="CA146" s="19">
        <f t="shared" si="207"/>
        <v>949.47741037783589</v>
      </c>
      <c r="CB146" s="15">
        <f t="shared" si="168"/>
        <v>5.3989548207556723E-6</v>
      </c>
      <c r="CC146" s="16">
        <f t="shared" si="169"/>
        <v>26.807990219345111</v>
      </c>
      <c r="CD146" s="17">
        <f t="shared" si="170"/>
        <v>1.3511929384207727E-2</v>
      </c>
      <c r="CE146" s="18">
        <f t="shared" si="171"/>
        <v>0.20574556148635972</v>
      </c>
      <c r="CF146" s="19">
        <f t="shared" si="208"/>
        <v>937.38628310307956</v>
      </c>
      <c r="CG146" s="15">
        <f t="shared" si="172"/>
        <v>5.3747725662061598E-6</v>
      </c>
      <c r="CH146" s="16">
        <f t="shared" si="173"/>
        <v>26.668942255685415</v>
      </c>
      <c r="CI146" s="17">
        <f t="shared" si="174"/>
        <v>1.3451408611822707E-2</v>
      </c>
      <c r="CJ146" s="18">
        <f t="shared" si="175"/>
        <v>0.20681828874649696</v>
      </c>
      <c r="CK146" s="19">
        <f t="shared" si="209"/>
        <v>918.40984146367464</v>
      </c>
      <c r="CL146" s="15">
        <f t="shared" si="176"/>
        <v>5.3368196829273498E-6</v>
      </c>
      <c r="CM146" s="16">
        <f t="shared" si="177"/>
        <v>26.450713176832259</v>
      </c>
      <c r="CN146" s="17">
        <f t="shared" si="178"/>
        <v>1.3356424175794666E-2</v>
      </c>
      <c r="CO146" s="18">
        <f t="shared" si="179"/>
        <v>0.20852462325405444</v>
      </c>
      <c r="CP146" s="19">
        <f t="shared" si="210"/>
        <v>883.02240269305275</v>
      </c>
      <c r="CQ146" s="15">
        <f t="shared" si="180"/>
        <v>5.2660448053861063E-6</v>
      </c>
      <c r="CR146" s="16">
        <f t="shared" si="181"/>
        <v>26.043757630970106</v>
      </c>
      <c r="CS146" s="17">
        <f t="shared" si="182"/>
        <v>1.3179296346564309E-2</v>
      </c>
      <c r="CT146" s="18">
        <f t="shared" si="183"/>
        <v>0.21178299530176314</v>
      </c>
      <c r="CU146" s="19">
        <f t="shared" si="211"/>
        <v>815.51527437685695</v>
      </c>
      <c r="CV146" s="15">
        <f t="shared" si="184"/>
        <v>5.1310305487537144E-6</v>
      </c>
      <c r="CW146" s="16">
        <f t="shared" si="185"/>
        <v>25.267425655333852</v>
      </c>
      <c r="CX146" s="17">
        <f t="shared" si="186"/>
        <v>1.2841397037893517E-2</v>
      </c>
      <c r="CY146" s="18">
        <f t="shared" si="187"/>
        <v>0.21828994671784752</v>
      </c>
      <c r="CZ146" s="20">
        <f t="shared" si="212"/>
        <v>700.15127639700324</v>
      </c>
      <c r="DA146" s="15">
        <f t="shared" si="188"/>
        <v>4.9003025527940073E-6</v>
      </c>
      <c r="DB146" s="16">
        <f t="shared" si="189"/>
        <v>23.940739678565535</v>
      </c>
      <c r="DC146" s="17">
        <f t="shared" si="190"/>
        <v>1.2263955571559671E-2</v>
      </c>
      <c r="DD146" s="18">
        <f t="shared" si="191"/>
        <v>0.23038657426855583</v>
      </c>
    </row>
    <row r="147" spans="2:108" x14ac:dyDescent="0.25">
      <c r="B147">
        <v>128</v>
      </c>
      <c r="C147">
        <f t="shared" si="192"/>
        <v>0.12513467729219219</v>
      </c>
      <c r="D147" s="19">
        <f t="shared" si="109"/>
        <v>1017.9048053793171</v>
      </c>
      <c r="E147" s="15">
        <f t="shared" si="110"/>
        <v>5.5358096107586344E-6</v>
      </c>
      <c r="F147" s="16">
        <f t="shared" si="111"/>
        <v>27.594905261862145</v>
      </c>
      <c r="G147" s="17">
        <f t="shared" ref="G147:G210" si="213">($E147*$M$8)/($D$6^2)</f>
        <v>1.3854434983865955E-2</v>
      </c>
      <c r="H147" s="18">
        <f t="shared" si="112"/>
        <v>0.19987838144974293</v>
      </c>
      <c r="I147" s="19">
        <f t="shared" si="193"/>
        <v>1017.5802981180873</v>
      </c>
      <c r="J147" s="15">
        <f t="shared" si="113"/>
        <v>5.5351605962361754E-6</v>
      </c>
      <c r="K147" s="16">
        <f t="shared" si="114"/>
        <v>27.591173428358005</v>
      </c>
      <c r="L147" s="17">
        <f t="shared" si="115"/>
        <v>1.3852810699409438E-2</v>
      </c>
      <c r="M147" s="18">
        <f t="shared" si="116"/>
        <v>0.19990541592301694</v>
      </c>
      <c r="N147" s="19">
        <f t="shared" si="194"/>
        <v>1016.674596887801</v>
      </c>
      <c r="O147" s="15">
        <f t="shared" si="117"/>
        <v>5.5333491937756027E-6</v>
      </c>
      <c r="P147" s="16">
        <f t="shared" si="118"/>
        <v>27.580757864209712</v>
      </c>
      <c r="Q147" s="17">
        <f t="shared" ref="Q147:Q210" si="214">($E147*$M$8)/($D$6^2)</f>
        <v>1.3854434983865955E-2</v>
      </c>
      <c r="R147" s="18">
        <f t="shared" si="119"/>
        <v>0.19998090796327878</v>
      </c>
      <c r="S147" s="19">
        <f t="shared" si="195"/>
        <v>1015.1732116205245</v>
      </c>
      <c r="T147" s="15">
        <f t="shared" si="120"/>
        <v>5.5303464232410492E-6</v>
      </c>
      <c r="U147" s="16">
        <f t="shared" si="121"/>
        <v>27.56349193363603</v>
      </c>
      <c r="V147" s="17">
        <f t="shared" si="122"/>
        <v>1.3840762299725959E-2</v>
      </c>
      <c r="W147" s="18">
        <f t="shared" si="123"/>
        <v>0.2001061771592598</v>
      </c>
      <c r="X147" s="19">
        <f t="shared" si="196"/>
        <v>1013.0740185690756</v>
      </c>
      <c r="Y147" s="15">
        <f t="shared" si="124"/>
        <v>5.5261480371381519E-6</v>
      </c>
      <c r="Z147" s="16">
        <f t="shared" si="125"/>
        <v>27.539351213544371</v>
      </c>
      <c r="AA147" s="17">
        <f t="shared" si="126"/>
        <v>1.3830255025923279E-2</v>
      </c>
      <c r="AB147" s="18">
        <f t="shared" si="127"/>
        <v>0.20028158823463174</v>
      </c>
      <c r="AC147" s="19">
        <f t="shared" si="197"/>
        <v>1010.3755862413958</v>
      </c>
      <c r="AD147" s="15">
        <f t="shared" si="128"/>
        <v>5.5207511724827919E-6</v>
      </c>
      <c r="AE147" s="16">
        <f t="shared" si="129"/>
        <v>27.50831924177605</v>
      </c>
      <c r="AF147" s="17">
        <f t="shared" si="130"/>
        <v>1.3816748327582515E-2</v>
      </c>
      <c r="AG147" s="18">
        <f t="shared" si="131"/>
        <v>0.20050752470632913</v>
      </c>
      <c r="AH147" s="19">
        <f t="shared" si="198"/>
        <v>1007.0776720948184</v>
      </c>
      <c r="AI147" s="15">
        <f t="shared" si="132"/>
        <v>5.5141553441896374E-6</v>
      </c>
      <c r="AJ147" s="16">
        <f t="shared" si="133"/>
        <v>27.470393229090412</v>
      </c>
      <c r="AK147" s="17">
        <f t="shared" si="134"/>
        <v>1.3800240990683743E-2</v>
      </c>
      <c r="AL147" s="18">
        <f t="shared" si="135"/>
        <v>0.20078434822545971</v>
      </c>
      <c r="AM147" s="19">
        <f t="shared" si="199"/>
        <v>1003.1802206584832</v>
      </c>
      <c r="AN147" s="15">
        <f t="shared" si="136"/>
        <v>5.5063604413169668E-6</v>
      </c>
      <c r="AO147" s="16">
        <f t="shared" si="137"/>
        <v>27.425572537572556</v>
      </c>
      <c r="AP147" s="17">
        <f t="shared" si="138"/>
        <v>1.3780732737573831E-2</v>
      </c>
      <c r="AQ147" s="18">
        <f t="shared" si="139"/>
        <v>0.20111248333808493</v>
      </c>
      <c r="AR147" s="19">
        <f t="shared" si="200"/>
        <v>998.68322297252462</v>
      </c>
      <c r="AS147" s="15">
        <f t="shared" si="140"/>
        <v>5.4973664459450493E-6</v>
      </c>
      <c r="AT147" s="16">
        <f t="shared" si="141"/>
        <v>27.37385706418403</v>
      </c>
      <c r="AU147" s="17">
        <f t="shared" si="142"/>
        <v>1.3758223523405184E-2</v>
      </c>
      <c r="AV147" s="18">
        <f t="shared" si="143"/>
        <v>0.20149243079144469</v>
      </c>
      <c r="AW147" s="19">
        <f t="shared" si="201"/>
        <v>993.58666178172416</v>
      </c>
      <c r="AX147" s="15">
        <f t="shared" si="144"/>
        <v>5.4871733235634493E-6</v>
      </c>
      <c r="AY147" s="16">
        <f t="shared" si="145"/>
        <v>27.315246610489829</v>
      </c>
      <c r="AZ147" s="17">
        <f t="shared" si="146"/>
        <v>1.3732713261808758E-2</v>
      </c>
      <c r="BA147" s="18">
        <f t="shared" si="147"/>
        <v>0.2019247740520799</v>
      </c>
      <c r="BB147" s="19">
        <f t="shared" si="202"/>
        <v>987.89040899155441</v>
      </c>
      <c r="BC147" s="15">
        <f t="shared" si="148"/>
        <v>5.4757808179831091E-6</v>
      </c>
      <c r="BD147" s="16">
        <f t="shared" si="149"/>
        <v>27.249739703402874</v>
      </c>
      <c r="BE147" s="17">
        <f t="shared" si="150"/>
        <v>1.3704201311621851E-2</v>
      </c>
      <c r="BF147" s="18">
        <f t="shared" si="151"/>
        <v>0.20241019033701901</v>
      </c>
      <c r="BG147" s="19">
        <f t="shared" si="203"/>
        <v>981.59364577783344</v>
      </c>
      <c r="BH147" s="15">
        <f t="shared" si="152"/>
        <v>5.4631872915556674E-6</v>
      </c>
      <c r="BI147" s="16">
        <f t="shared" si="153"/>
        <v>27.177326926445083</v>
      </c>
      <c r="BJ147" s="17">
        <f t="shared" si="154"/>
        <v>1.3672683574312477E-2</v>
      </c>
      <c r="BK147" s="18">
        <f t="shared" si="155"/>
        <v>0.20294950327263361</v>
      </c>
      <c r="BL147" s="19">
        <f t="shared" si="204"/>
        <v>974.69166364685736</v>
      </c>
      <c r="BM147" s="15">
        <f t="shared" si="156"/>
        <v>5.4493833272937147E-6</v>
      </c>
      <c r="BN147" s="16">
        <f t="shared" si="157"/>
        <v>27.097954131938859</v>
      </c>
      <c r="BO147" s="17">
        <f t="shared" si="158"/>
        <v>1.3638136482047029E-2</v>
      </c>
      <c r="BP147" s="18">
        <f t="shared" si="159"/>
        <v>0.203543963988744</v>
      </c>
      <c r="BQ147" s="19">
        <f t="shared" si="205"/>
        <v>967.16016575010281</v>
      </c>
      <c r="BR147" s="15">
        <f t="shared" si="160"/>
        <v>5.4343203315002059E-6</v>
      </c>
      <c r="BS147" s="16">
        <f t="shared" si="161"/>
        <v>27.011341906126184</v>
      </c>
      <c r="BT147" s="17">
        <f t="shared" si="162"/>
        <v>1.3600438419693541E-2</v>
      </c>
      <c r="BU147" s="18">
        <f t="shared" si="163"/>
        <v>0.20419663040691266</v>
      </c>
      <c r="BV147" s="19">
        <f t="shared" si="206"/>
        <v>958.88800498097282</v>
      </c>
      <c r="BW147" s="15">
        <f t="shared" si="164"/>
        <v>5.4177760099619454E-6</v>
      </c>
      <c r="BX147" s="16">
        <f t="shared" si="165"/>
        <v>26.916212057281186</v>
      </c>
      <c r="BY147" s="17">
        <f t="shared" si="166"/>
        <v>1.3559033052959371E-2</v>
      </c>
      <c r="BZ147" s="18">
        <f t="shared" si="167"/>
        <v>0.20491832165172558</v>
      </c>
      <c r="CA147" s="19">
        <f t="shared" si="207"/>
        <v>949.43166796248124</v>
      </c>
      <c r="CB147" s="15">
        <f t="shared" si="168"/>
        <v>5.3988633359249631E-6</v>
      </c>
      <c r="CC147" s="16">
        <f t="shared" si="169"/>
        <v>26.807464181568534</v>
      </c>
      <c r="CD147" s="17">
        <f t="shared" si="170"/>
        <v>1.351170042571237E-2</v>
      </c>
      <c r="CE147" s="18">
        <f t="shared" si="171"/>
        <v>0.20574959879242388</v>
      </c>
      <c r="CF147" s="19">
        <f t="shared" si="208"/>
        <v>937.28013280791868</v>
      </c>
      <c r="CG147" s="15">
        <f t="shared" si="172"/>
        <v>5.3745602656158382E-6</v>
      </c>
      <c r="CH147" s="16">
        <f t="shared" si="173"/>
        <v>26.667721527291064</v>
      </c>
      <c r="CI147" s="17">
        <f t="shared" si="174"/>
        <v>1.3450877288505532E-2</v>
      </c>
      <c r="CJ147" s="18">
        <f t="shared" si="175"/>
        <v>0.20682775595790778</v>
      </c>
      <c r="CK147" s="19">
        <f t="shared" si="209"/>
        <v>918.16759204083587</v>
      </c>
      <c r="CL147" s="15">
        <f t="shared" si="176"/>
        <v>5.3363351840816724E-6</v>
      </c>
      <c r="CM147" s="16">
        <f t="shared" si="177"/>
        <v>26.447927308469612</v>
      </c>
      <c r="CN147" s="17">
        <f t="shared" si="178"/>
        <v>1.335521162366062E-2</v>
      </c>
      <c r="CO147" s="18">
        <f t="shared" si="179"/>
        <v>0.20854658800554443</v>
      </c>
      <c r="CP147" s="19">
        <f t="shared" si="210"/>
        <v>882.55526581081949</v>
      </c>
      <c r="CQ147" s="15">
        <f t="shared" si="180"/>
        <v>5.2651105316216391E-6</v>
      </c>
      <c r="CR147" s="16">
        <f t="shared" si="181"/>
        <v>26.038385556824423</v>
      </c>
      <c r="CS147" s="17">
        <f t="shared" si="182"/>
        <v>1.3176958145643925E-2</v>
      </c>
      <c r="CT147" s="18">
        <f t="shared" si="183"/>
        <v>0.21182668902275337</v>
      </c>
      <c r="CU147" s="19">
        <f t="shared" si="211"/>
        <v>814.821253640495</v>
      </c>
      <c r="CV147" s="15">
        <f t="shared" si="184"/>
        <v>5.1296425072809906E-6</v>
      </c>
      <c r="CW147" s="16">
        <f t="shared" si="185"/>
        <v>25.259444416865691</v>
      </c>
      <c r="CX147" s="17">
        <f t="shared" si="186"/>
        <v>1.2837923195458368E-2</v>
      </c>
      <c r="CY147" s="18">
        <f t="shared" si="187"/>
        <v>0.21835891989442277</v>
      </c>
      <c r="CZ147" s="20">
        <f t="shared" si="212"/>
        <v>699.42270697806168</v>
      </c>
      <c r="DA147" s="15">
        <f t="shared" si="188"/>
        <v>4.8988454139561239E-6</v>
      </c>
      <c r="DB147" s="16">
        <f t="shared" si="189"/>
        <v>23.985920438834569</v>
      </c>
      <c r="DC147" s="17">
        <f t="shared" si="190"/>
        <v>1.2260308799594704E-2</v>
      </c>
      <c r="DD147" s="18">
        <f t="shared" si="191"/>
        <v>0.22995260965970227</v>
      </c>
    </row>
    <row r="148" spans="2:108" x14ac:dyDescent="0.25">
      <c r="B148">
        <v>129</v>
      </c>
      <c r="C148">
        <f t="shared" si="192"/>
        <v>0.12611229195853743</v>
      </c>
      <c r="D148" s="19">
        <f t="shared" ref="D148:D211" si="215">D147+(4*$H$7*(I147-D147))</f>
        <v>1017.8882376778606</v>
      </c>
      <c r="E148" s="15">
        <f t="shared" ref="E148:E211" si="216">IF($D148&gt;=650,((0.00002*$D148)+0.035)/10000,IF($D148&lt;650,((-0.0000000000003*($D148^4))+(0.0000000004*($D148^3))-(0.0000002*($D148^2))-(0.0001*$D148)+0.1409)/10000))</f>
        <v>5.5357764753557224E-6</v>
      </c>
      <c r="F148" s="16">
        <f t="shared" ref="F148:F211" si="217">IF($D148&lt;650,(53.495-(0.029*D148)),IF(D148&lt;700,((0.00000000000000006*(D148^2))-(0.2008*D148) + 164.43),IF(D148&lt;1250,((0.0115*D148)+ 15.889))))</f>
        <v>27.594714733295397</v>
      </c>
      <c r="G148" s="17">
        <f t="shared" si="213"/>
        <v>1.3854352056106948E-2</v>
      </c>
      <c r="H148" s="18">
        <f t="shared" ref="H148:H211" si="218">($C$8*$D$6)/F148</f>
        <v>0.19987976151624876</v>
      </c>
      <c r="I148" s="19">
        <f t="shared" si="193"/>
        <v>1017.5637241814552</v>
      </c>
      <c r="J148" s="15">
        <f t="shared" ref="J148:J211" si="219">IF($I148&gt;=650,((0.00002*$I148)+0.035)/10000,IF($I148&lt;650,((-0.0000000000003*($I148^4))+(0.0000000004*($I148^3))-(0.0000002*($I148^2))-(0.0001*$I148)+0.1409)/10000))</f>
        <v>5.5351274483629106E-6</v>
      </c>
      <c r="K148" s="16">
        <f t="shared" ref="K148:K211" si="220">IF($I148&lt;650,(53.495-(0.029*I148)),IF(I148&lt;700,((0.00000000000000006*(I148^2))-(0.2008*I148) + 164.43),IF(I148&lt;1250,((0.0115*I148)+ 15.889))))</f>
        <v>27.590982828086734</v>
      </c>
      <c r="L148" s="17">
        <f t="shared" ref="L148:L211" si="221">($J148*$M$8)/($D$6^2)</f>
        <v>1.3852727740440959E-2</v>
      </c>
      <c r="M148" s="18">
        <f t="shared" ref="M148:M211" si="222">($C$8*$D$6)/K148</f>
        <v>0.19990679688239563</v>
      </c>
      <c r="N148" s="19">
        <f t="shared" si="194"/>
        <v>1016.6580088605427</v>
      </c>
      <c r="O148" s="15">
        <f t="shared" ref="O148:O211" si="223">IF($N148&gt;=650,((0.00002*$N148)+0.035)/10000,IF($N148&lt;650,((-0.0000000000003*($N148^4))+(0.0000000004*($N148^3))-(0.0000002*($N148^2))-(0.0001*$N148)+0.1409)/10000))</f>
        <v>5.5333160177210859E-6</v>
      </c>
      <c r="P148" s="16">
        <f t="shared" ref="P148:P211" si="224">IF($N148&lt;650,(53.495-(0.029*$N148)),IF($N148&lt;700,((0.00000000000000006*($N148^2))-(0.2008*$N148) + 164.43),IF($N148&lt;1250,((0.0115*$N148)+ 15.889))))</f>
        <v>27.580567101896243</v>
      </c>
      <c r="Q148" s="17">
        <f t="shared" si="214"/>
        <v>1.3854352056106948E-2</v>
      </c>
      <c r="R148" s="18">
        <f t="shared" ref="R148:R211" si="225">($C$8*$D$6)/P148</f>
        <v>0.19998229114080779</v>
      </c>
      <c r="S148" s="19">
        <f t="shared" si="195"/>
        <v>1015.1566154344151</v>
      </c>
      <c r="T148" s="15">
        <f t="shared" ref="T148:T211" si="226">IF($S148&gt;=650,((0.00002*$S148)+0.035)/10000,IF($S148&lt;650,((-0.0000000000003*($S148^4))+(0.0000000004*($S148^3))-(0.0000002*($S148^2))-(0.0001*$S148)+0.1409)/10000))</f>
        <v>5.5303132308688306E-6</v>
      </c>
      <c r="U148" s="16">
        <f t="shared" ref="U148:U211" si="227">IF($S148&lt;650,(53.495-(0.029*$S148)),IF($S148&lt;700,((0.00000000000000006*($S148^2))-(0.2008*$S148) + 164.43),IF($S148&lt;1250,((0.0115*$S148)+ 15.889))))</f>
        <v>27.563301077495773</v>
      </c>
      <c r="V148" s="17">
        <f t="shared" ref="V148:V211" si="228">($T148*$M$8)/($D$6^2)</f>
        <v>1.3840679229390238E-2</v>
      </c>
      <c r="W148" s="18">
        <f t="shared" ref="W148:W211" si="229">($C$8*$D$6)/U148</f>
        <v>0.20010756275137401</v>
      </c>
      <c r="X148" s="19">
        <f t="shared" si="196"/>
        <v>1013.0574243912298</v>
      </c>
      <c r="Y148" s="15">
        <f t="shared" ref="Y148:Y211" si="230">IF($X148&gt;=650,((0.00002*$X148)+0.035)/10000,IF($X148&lt;650,((-0.0000000000003*($X148^4))+(0.0000000004*($X148^3))-(0.0000002*($X148^2))-(0.0001*$X148)+0.1409)/10000))</f>
        <v>5.5261148487824594E-6</v>
      </c>
      <c r="Z148" s="16">
        <f t="shared" ref="Z148:Z211" si="231">IF($X148&lt;650,(53.495-(0.029*$X148)),IF($X148&lt;700,((0.00000000000000006*($X148^2))-(0.2008*$X148) + 164.43),IF($X148&lt;1250,((0.0115*$X148)+ 15.889))))</f>
        <v>27.539160380499141</v>
      </c>
      <c r="AA148" s="17">
        <f t="shared" ref="AA148:AA211" si="232">($Y148*$M$8)/($D$6^2)</f>
        <v>1.3830171965639688E-2</v>
      </c>
      <c r="AB148" s="18">
        <f t="shared" ref="AB148:AB211" si="233">($C$8*$D$6)/Z148</f>
        <v>0.20028297608904919</v>
      </c>
      <c r="AC148" s="19">
        <f t="shared" si="197"/>
        <v>1010.3590022544597</v>
      </c>
      <c r="AD148" s="15">
        <f t="shared" ref="AD148:AD211" si="234">IF(AC148&gt;=650,((0.00002*AC148)+0.035)/10000,IF(AC148&lt;650,((-0.0000000000003*(AC148^4))+(0.0000000004*(AC148^3))-(0.0000002*(AC148^2))-(0.0001*AC148)+0.1409)/10000))</f>
        <v>5.5207180045089194E-6</v>
      </c>
      <c r="AE148" s="16">
        <f t="shared" ref="AE148:AE211" si="235">IF(AC148&lt;650,(53.495-(0.029*AC148)),IF(AC148&lt;700,((0.00000000000000006*(AC148^2))-(0.2008*AC148) + 164.43),IF(AC148&lt;1250,((0.0115*AC148)+ 15.889))))</f>
        <v>27.508128525926288</v>
      </c>
      <c r="AF148" s="17">
        <f t="shared" ref="AF148:AF211" si="236">(AD148*$M$8)/($D$6^2)</f>
        <v>1.3816665318308377E-2</v>
      </c>
      <c r="AG148" s="18">
        <f t="shared" ref="AG148:AG211" si="237">($C$8*$D$6)/AE148</f>
        <v>0.20050891483953726</v>
      </c>
      <c r="AH148" s="19">
        <f t="shared" si="198"/>
        <v>1007.0611038255647</v>
      </c>
      <c r="AI148" s="15">
        <f t="shared" ref="AI148:AI211" si="238">IF(AH148&gt;=650,((0.00002*AH148)+0.035)/10000,IF(AH148&lt;650,((-0.0000000000003*(AH148^4))+(0.0000000004*(AH148^3))-(0.0000002*(AH148^2))-(0.0001*AH148)+0.1409)/10000))</f>
        <v>5.5141222076511304E-6</v>
      </c>
      <c r="AJ148" s="16">
        <f t="shared" ref="AJ148:AJ211" si="239">IF(AH148&lt;650,(53.495-(0.029*AH148)),IF(AH148&lt;700,((0.00000000000000006*(AH148^2))-(0.2008*AH148) + 164.43),IF(AH148&lt;1250,((0.0115*AH148)+ 15.889))))</f>
        <v>27.470202693993993</v>
      </c>
      <c r="AK148" s="17">
        <f t="shared" ref="AK148:AK211" si="240">(AI148*$M$8)/($D$6^2)</f>
        <v>1.380015806008269E-2</v>
      </c>
      <c r="AL148" s="18">
        <f t="shared" ref="AL148:AL211" si="241">($C$8*$D$6)/AJ148</f>
        <v>0.20078574087864012</v>
      </c>
      <c r="AM148" s="19">
        <f t="shared" si="199"/>
        <v>1003.1636722022802</v>
      </c>
      <c r="AN148" s="15">
        <f t="shared" ref="AN148:AN211" si="242">IF(AM148&gt;=650,((0.00002*AM148)+0.035)/10000,IF(AM148&lt;650,((-0.0000000000003*(AM148^4))+(0.0000000004*(AM148^3))-(0.0000002*(AM148^2))-(0.0001*AM148)+0.1409)/10000))</f>
        <v>5.5063273444045609E-6</v>
      </c>
      <c r="AO148" s="16">
        <f t="shared" ref="AO148:AO211" si="243">IF(AM148&lt;650,(53.495-(0.029*AM148)),IF(AM148&lt;700,((0.00000000000000006*(AM148^2))-(0.2008*AM148) + 164.43),IF(AM148&lt;1250,((0.0115*AM148)+ 15.889))))</f>
        <v>27.425382230326221</v>
      </c>
      <c r="AP148" s="17">
        <f t="shared" ref="AP148:AP211" si="244">(AN148*$M$8)/($D$6^2)</f>
        <v>1.3780649906144766E-2</v>
      </c>
      <c r="AQ148" s="18">
        <f t="shared" ref="AQ148:AQ211" si="245">($C$8*$D$6)/AO148</f>
        <v>0.20111387887607912</v>
      </c>
      <c r="AR148" s="19">
        <f t="shared" si="200"/>
        <v>998.66669775550326</v>
      </c>
      <c r="AS148" s="15">
        <f t="shared" ref="AS148:AS211" si="246">IF(AR148&gt;=650,((0.00002*AR148)+0.035)/10000,IF(AR148&lt;650,((-0.0000000000003*(AR148^4))+(0.0000000004*(AR148^3))-(0.0000002*(AR148^2))-(0.0001*AR148)+0.1409)/10000))</f>
        <v>5.4973333955110073E-6</v>
      </c>
      <c r="AT148" s="16">
        <f t="shared" ref="AT148:AT211" si="247">IF(AR148&lt;650,(53.495-(0.029*AR148)),IF(AR148&lt;700,((0.00000000000000006*(AR148^2))-(0.2008*AR148) + 164.43),IF(AR148&lt;1250,((0.0115*AR148)+ 15.889))))</f>
        <v>27.373667024188286</v>
      </c>
      <c r="AU148" s="17">
        <f t="shared" ref="AU148:AU211" si="248">(AS148*$M$8)/($D$6^2)</f>
        <v>1.3758140808297219E-2</v>
      </c>
      <c r="AV148" s="18">
        <f t="shared" ref="AV148:AV211" si="249">($C$8*$D$6)/AT148</f>
        <v>0.20149382964022355</v>
      </c>
      <c r="AW148" s="19">
        <f t="shared" si="201"/>
        <v>993.57016174834359</v>
      </c>
      <c r="AX148" s="15">
        <f t="shared" ref="AX148:AX211" si="250">IF(AW148&gt;=650,((0.00002*AW148)+0.035)/10000,IF(AW148&lt;650,((-0.0000000000003*(AW148^4))+(0.0000000004*(AW148^3))-(0.0000002*(AW148^2))-(0.0001*AW148)+0.1409)/10000))</f>
        <v>5.4871403234966876E-6</v>
      </c>
      <c r="AY148" s="16">
        <f t="shared" ref="AY148:AY211" si="251">IF(AW148&lt;650,(53.495-(0.029*AW148)),IF(AW148&lt;700,((0.00000000000000006*(AW148^2))-(0.2008*AW148) + 164.43),IF(AW148&lt;1250,((0.0115*AW148)+ 15.889))))</f>
        <v>27.315056860105951</v>
      </c>
      <c r="AZ148" s="17">
        <f t="shared" ref="AZ148:AZ211" si="252">(AX148*$M$8)/($D$6^2)</f>
        <v>1.373263067275466E-2</v>
      </c>
      <c r="BA148" s="18">
        <f t="shared" ref="BA148:BA211" si="253">($C$8*$D$6)/AY148</f>
        <v>0.20192617676940122</v>
      </c>
      <c r="BB148" s="19">
        <f t="shared" si="202"/>
        <v>987.87392762072091</v>
      </c>
      <c r="BC148" s="15">
        <f t="shared" ref="BC148:BC211" si="254">IF(BB148&gt;=650,((0.00002*BB148)+0.035)/10000,IF(BB148&lt;650,((-0.0000000000003*(BB148^4))+(0.0000000004*(BB148^3))-(0.0000002*(BB148^2))-(0.0001*BB148)+0.1409)/10000))</f>
        <v>5.4757478552414421E-6</v>
      </c>
      <c r="BD148" s="16">
        <f t="shared" ref="BD148:BD211" si="255">IF(BB148&lt;650,(53.495-(0.029*BB148)),IF(BB148&lt;700,((0.00000000000000006*(BB148^2))-(0.2008*BB148) + 164.43),IF(BB148&lt;1250,((0.0115*BB148)+ 15.889))))</f>
        <v>27.24955016763829</v>
      </c>
      <c r="BE148" s="17">
        <f t="shared" ref="BE148:BE211" si="256">(BC148*$M$8)/($D$6^2)</f>
        <v>1.3704118815981027E-2</v>
      </c>
      <c r="BF148" s="18">
        <f t="shared" ref="BF148:BF211" si="257">($C$8*$D$6)/BD148</f>
        <v>0.20241159821237656</v>
      </c>
      <c r="BG148" s="19">
        <f t="shared" si="203"/>
        <v>981.57713009613508</v>
      </c>
      <c r="BH148" s="15">
        <f t="shared" ref="BH148:BH211" si="258">IF(BG148&gt;=650,((0.00002*BG148)+0.035)/10000,IF(BG148&lt;650,((-0.0000000000003*(BG148^4))+(0.0000000004*(BG148^3))-(0.0000002*(BG148^2))-(0.0001*BG148)+0.1409)/10000))</f>
        <v>5.4631542601922716E-6</v>
      </c>
      <c r="BI148" s="16">
        <f t="shared" ref="BI148:BI211" si="259">IF(BG148&lt;650,(53.495-(0.029*BG148)),IF(BG148&lt;700,((0.00000000000000006*(BG148^2))-(0.2008*BG148) + 164.43),IF(BG148&lt;1250,((0.0115*BG148)+ 15.889))))</f>
        <v>27.177136996105553</v>
      </c>
      <c r="BJ148" s="17">
        <f t="shared" ref="BJ148:BJ211" si="260">(BH148*$M$8)/($D$6^2)</f>
        <v>1.3672600906932496E-2</v>
      </c>
      <c r="BK148" s="18">
        <f t="shared" ref="BK148:BK211" si="261">($C$8*$D$6)/BI148</f>
        <v>0.2029509216070251</v>
      </c>
      <c r="BL148" s="19">
        <f t="shared" si="204"/>
        <v>974.67483389518907</v>
      </c>
      <c r="BM148" s="15">
        <f t="shared" ref="BM148:BM211" si="262">IF(BL148&gt;=650,((0.00002*BL148)+0.035)/10000,IF(BL148&lt;650,((-0.0000000000003*(BL148^4))+(0.0000000004*(BL148^3))-(0.0000002*(BL148^2))-(0.0001*BL148)+0.1409)/10000))</f>
        <v>5.4493496677903795E-6</v>
      </c>
      <c r="BN148" s="16">
        <f t="shared" ref="BN148:BN211" si="263">IF(BL148&lt;650,(53.495-(0.029*BL148)),IF(BL148&lt;700,((0.00000000000000006*(BL148^2))-(0.2008*BL148) + 164.43),IF(BL148&lt;1250,((0.0115*BL148)+ 15.889))))</f>
        <v>27.097760589794675</v>
      </c>
      <c r="BO148" s="17">
        <f t="shared" ref="BO148:BO211" si="264">(BM148*$M$8)/($D$6^2)</f>
        <v>1.3638052242625277E-2</v>
      </c>
      <c r="BP148" s="18">
        <f t="shared" ref="BP148:BP211" si="265">($C$8*$D$6)/BN148</f>
        <v>0.20354541777438417</v>
      </c>
      <c r="BQ148" s="19">
        <f t="shared" si="205"/>
        <v>967.14177489259714</v>
      </c>
      <c r="BR148" s="15">
        <f t="shared" ref="BR148:BR211" si="266">IF(BQ148&gt;=650,((0.00002*BQ148)+0.035)/10000,IF(BQ148&lt;650,((-0.0000000000003*(BQ148^4))+(0.0000000004*(BQ148^3))-(0.0000002*(BQ148^2))-(0.0001*BQ148)+0.1409)/10000))</f>
        <v>5.4342835497851946E-6</v>
      </c>
      <c r="BS148" s="16">
        <f t="shared" ref="BS148:BS211" si="267">IF(BQ148&lt;650,(53.495-(0.029*BQ148)),IF(BQ148&lt;700,((0.00000000000000006*(BQ148^2))-(0.2008*BQ148) + 164.43),IF(BQ148&lt;1250,((0.0115*BQ148)+ 15.889))))</f>
        <v>27.011130411264865</v>
      </c>
      <c r="BT148" s="17">
        <f t="shared" ref="BT148:BT211" si="268">(BR148*$M$8)/($D$6^2)</f>
        <v>1.3600346366332778E-2</v>
      </c>
      <c r="BU148" s="18">
        <f t="shared" ref="BU148:BU211" si="269">($C$8*$D$6)/BS148</f>
        <v>0.20419822924921849</v>
      </c>
      <c r="BV148" s="19">
        <f t="shared" si="206"/>
        <v>958.86328856987745</v>
      </c>
      <c r="BW148" s="15">
        <f t="shared" ref="BW148:BW211" si="270">IF(BV148&gt;=650,((0.00002*BV148)+0.035)/10000,IF(BV148&lt;650,((-0.0000000000003*(BV148^4))+(0.0000000004*(BV148^3))-(0.0000002*(BV148^2))-(0.0001*BV148)+0.1409)/10000))</f>
        <v>5.4177265771397562E-6</v>
      </c>
      <c r="BX148" s="16">
        <f t="shared" ref="BX148:BX211" si="271">IF(BV148&lt;650,(53.495-(0.029*BV148)),IF(BV148&lt;700,((0.00000000000000006*(BV148^2))-(0.2008*BV148) + 164.43),IF(BV148&lt;1250,((0.0115*BV148)+ 15.889))))</f>
        <v>26.915927818553591</v>
      </c>
      <c r="BY148" s="17">
        <f t="shared" ref="BY148:BY211" si="272">(BW148*$M$8)/($D$6^2)</f>
        <v>1.3558909337754325E-2</v>
      </c>
      <c r="BZ148" s="18">
        <f t="shared" ref="BZ148:BZ211" si="273">($C$8*$D$6)/BX148</f>
        <v>0.2049204856389156</v>
      </c>
      <c r="CA148" s="19">
        <f t="shared" si="207"/>
        <v>949.38535804264779</v>
      </c>
      <c r="CB148" s="15">
        <f t="shared" ref="CB148:CB211" si="274">IF(CA148&gt;=650,((0.00002*CA148)+0.035)/10000,IF(CA148&lt;650,((-0.0000000000003*(CA148^4))+(0.0000000004*(CA148^3))-(0.0000002*(CA148^2))-(0.0001*CA148)+0.1409)/10000))</f>
        <v>5.3987707160852962E-6</v>
      </c>
      <c r="CC148" s="16">
        <f t="shared" ref="CC148:CC211" si="275">IF(CA148&lt;650,(53.495-(0.029*CA148)),IF(CA148&lt;700,((0.00000000000000006*(CA148^2))-(0.2008*CA148) + 164.43),IF(CA148&lt;1250,((0.0115*CA148)+ 15.889))))</f>
        <v>26.806931617490449</v>
      </c>
      <c r="CD148" s="17">
        <f t="shared" ref="CD148:CD211" si="276">(CB148*$M$8)/($D$6^2)</f>
        <v>1.3511468626637418E-2</v>
      </c>
      <c r="CE148" s="18">
        <f t="shared" ref="CE148:CE211" si="277">($C$8*$D$6)/CC148</f>
        <v>0.20575368634884253</v>
      </c>
      <c r="CF148" s="19">
        <f t="shared" si="208"/>
        <v>937.17287866207039</v>
      </c>
      <c r="CG148" s="15">
        <f t="shared" ref="CG148:CG211" si="278">IF(CF148&gt;=650,((0.00002*CF148)+0.035)/10000,IF(CF148&lt;650,((-0.0000000000003*(CF148^4))+(0.0000000004*(CF148^3))-(0.0000002*(CF148^2))-(0.0001*CF148)+0.1409)/10000))</f>
        <v>5.3743457573241411E-6</v>
      </c>
      <c r="CH148" s="16">
        <f t="shared" ref="CH148:CH211" si="279">IF(CF148&lt;650,(53.495-(0.029*CF148)),IF(CF148&lt;700,((0.00000000000000006*(CF148^2))-(0.2008*CF148) + 164.43),IF(CF148&lt;1250,((0.0115*CF148)+ 15.889))))</f>
        <v>26.666488104613808</v>
      </c>
      <c r="CI148" s="17">
        <f t="shared" ref="CI148:CI211" si="280">(CG148*$M$8)/($D$6^2)</f>
        <v>1.3450340439988372E-2</v>
      </c>
      <c r="CJ148" s="18">
        <f t="shared" ref="CJ148:CJ211" si="281">($C$8*$D$6)/CH148</f>
        <v>0.20683732249863424</v>
      </c>
      <c r="CK148" s="19">
        <f t="shared" si="209"/>
        <v>917.92401524765364</v>
      </c>
      <c r="CL148" s="15">
        <f t="shared" ref="CL148:CL211" si="282">IF(CK148&gt;=650,((0.00002*CK148)+0.035)/10000,IF(CK148&lt;650,((-0.0000000000003*(CK148^4))+(0.0000000004*(CK148^3))-(0.0000002*(CK148^2))-(0.0001*CK148)+0.1409)/10000))</f>
        <v>5.3358480304953074E-6</v>
      </c>
      <c r="CM148" s="16">
        <f t="shared" ref="CM148:CM211" si="283">IF(CK148&lt;650,(53.495-(0.029*CK148)),IF(CK148&lt;700,((0.00000000000000006*(CK148^2))-(0.2008*CK148) + 164.43),IF(CK148&lt;1250,((0.0115*CK148)+ 15.889))))</f>
        <v>26.445126175348015</v>
      </c>
      <c r="CN148" s="17">
        <f t="shared" ref="CN148:CN211" si="284">(CL148*$M$8)/($D$6^2)</f>
        <v>1.335399242752419E-2</v>
      </c>
      <c r="CO148" s="18">
        <f t="shared" ref="CO148:CO211" si="285">($C$8*$D$6)/CM148</f>
        <v>0.20856867777555291</v>
      </c>
      <c r="CP148" s="19">
        <f t="shared" si="210"/>
        <v>882.08797733166853</v>
      </c>
      <c r="CQ148" s="15">
        <f t="shared" ref="CQ148:CQ211" si="286">IF(CP148&gt;=650,((0.00002*CP148)+0.035)/10000,IF(CP148&lt;650,((-0.0000000000003*(CP148^4))+(0.0000000004*(CP148^3))-(0.0000002*(CP148^2))-(0.0001*CP148)+0.1409)/10000))</f>
        <v>5.2641759546633371E-6</v>
      </c>
      <c r="CR148" s="16">
        <f t="shared" ref="CR148:CR211" si="287">IF(CP148&lt;650,(53.495-(0.029*CP148)),IF(CP148&lt;700,((0.00000000000000006*(CP148^2))-(0.2008*CP148) + 164.43),IF(CP148&lt;1250,((0.0115*CP148)+ 15.889))))</f>
        <v>26.033011739314187</v>
      </c>
      <c r="CS148" s="17">
        <f t="shared" ref="CS148:CS211" si="288">(CQ148*$M$8)/($D$6^2)</f>
        <v>1.3174619185922287E-2</v>
      </c>
      <c r="CT148" s="18">
        <f t="shared" ref="CT148:CT211" si="289">($C$8*$D$6)/CR148</f>
        <v>0.21187041496510706</v>
      </c>
      <c r="CU148" s="19">
        <f t="shared" si="211"/>
        <v>814.12979939927766</v>
      </c>
      <c r="CV148" s="15">
        <f t="shared" ref="CV148:CV211" si="290">IF(CU148&gt;=650,((0.00002*CU148)+0.035)/10000,IF(CU148&lt;650,((-0.0000000000003*(CU148^4))+(0.0000000004*(CU148^3))-(0.0000002*(CU148^2))-(0.0001*CU148)+0.1409)/10000))</f>
        <v>5.1282595987985554E-6</v>
      </c>
      <c r="CW148" s="16">
        <f t="shared" ref="CW148:CW211" si="291">IF(CU148&lt;650,(53.495-(0.029*CU148)),IF(CU148&lt;700,((0.00000000000000006*(CU148^2))-(0.2008*CU148) + 164.43),IF(CU148&lt;1250,((0.0115*CU148)+ 15.889))))</f>
        <v>25.251492693091691</v>
      </c>
      <c r="CX148" s="17">
        <f t="shared" ref="CX148:CX211" si="292">(CV148*$M$8)/($D$6^2)</f>
        <v>1.2834462199324883E-2</v>
      </c>
      <c r="CY148" s="18">
        <f t="shared" ref="CY148:CY211" si="293">($C$8*$D$6)/CW148</f>
        <v>0.21842768136669266</v>
      </c>
      <c r="CZ148" s="20">
        <f t="shared" si="212"/>
        <v>698.69804175216018</v>
      </c>
      <c r="DA148" s="15">
        <f t="shared" ref="DA148:DA211" si="294">IF(CZ148&gt;=650,((0.00002*CZ148)+0.035)/10000,IF(CZ148&lt;650,((-0.0000000000003*(CZ148^4))+(0.0000000004*(CZ148^3))-(0.0000002*(CZ148^2))-(0.0001*CZ148)+0.1409)/10000))</f>
        <v>4.8973960835043211E-6</v>
      </c>
      <c r="DB148" s="16">
        <f t="shared" ref="DB148:DB211" si="295">IF(CZ148&lt;650,(53.495-(0.029*CZ148)),IF(CZ148&lt;700,((0.00000000000000006*(CZ148^2))-(0.2008*CZ148) + 164.43),IF(CZ148&lt;1250,((0.0115*CZ148)+ 15.889))))</f>
        <v>24.131433216195546</v>
      </c>
      <c r="DC148" s="17">
        <f t="shared" ref="DC148:DC211" si="296">(DA148*$M$8)/($D$6^2)</f>
        <v>1.2256681569627182E-2</v>
      </c>
      <c r="DD148" s="18">
        <f t="shared" ref="DD148:DD211" si="297">($C$8*$D$6)/DB148</f>
        <v>0.22856599318345705</v>
      </c>
    </row>
    <row r="149" spans="2:108" x14ac:dyDescent="0.25">
      <c r="B149">
        <v>130</v>
      </c>
      <c r="C149">
        <f t="shared" ref="C149:C212" si="298">$B149*$M$8</f>
        <v>0.12708990662488268</v>
      </c>
      <c r="D149" s="19">
        <f t="shared" si="215"/>
        <v>1017.8716696580675</v>
      </c>
      <c r="E149" s="15">
        <f t="shared" si="216"/>
        <v>5.5357433393161355E-6</v>
      </c>
      <c r="F149" s="16">
        <f t="shared" si="217"/>
        <v>27.594524201067777</v>
      </c>
      <c r="G149" s="17">
        <f t="shared" si="213"/>
        <v>1.385426912675454E-2</v>
      </c>
      <c r="H149" s="18">
        <f t="shared" si="218"/>
        <v>0.19988114162832971</v>
      </c>
      <c r="I149" s="19">
        <f t="shared" ref="I149:I212" si="299">I148+(G149*(D148+N148-(2*I148))+((G149/(2*$I$18))*(N148-D148)))</f>
        <v>1017.5471500944002</v>
      </c>
      <c r="J149" s="15">
        <f t="shared" si="219"/>
        <v>5.5350943001888009E-6</v>
      </c>
      <c r="K149" s="16">
        <f t="shared" si="220"/>
        <v>27.590792226085604</v>
      </c>
      <c r="L149" s="17">
        <f t="shared" si="221"/>
        <v>1.3852644780719557E-2</v>
      </c>
      <c r="M149" s="18">
        <f t="shared" si="222"/>
        <v>0.19990817787338758</v>
      </c>
      <c r="N149" s="19">
        <f t="shared" ref="N149:N212" si="300">N148+(L149*(I148+S148-(2*N148))+((L149/(2*N$18))*(S148-I148)))</f>
        <v>1016.6414209377422</v>
      </c>
      <c r="O149" s="15">
        <f t="shared" si="223"/>
        <v>5.5332828418754847E-6</v>
      </c>
      <c r="P149" s="16">
        <f t="shared" si="224"/>
        <v>27.580376340784035</v>
      </c>
      <c r="Q149" s="17">
        <f t="shared" si="214"/>
        <v>1.385426912675454E-2</v>
      </c>
      <c r="R149" s="18">
        <f t="shared" si="225"/>
        <v>0.1999836743287603</v>
      </c>
      <c r="S149" s="19">
        <f t="shared" ref="S149:S212" si="301">S148+(Q149*(N148+X148-(2*S148))+((Q149/(2*S$18))*(X148-N148)))</f>
        <v>1015.1400194743031</v>
      </c>
      <c r="T149" s="15">
        <f t="shared" si="226"/>
        <v>5.5302800389486066E-6</v>
      </c>
      <c r="U149" s="16">
        <f t="shared" si="227"/>
        <v>27.563110223954485</v>
      </c>
      <c r="V149" s="17">
        <f t="shared" si="228"/>
        <v>1.3840596160185719E-2</v>
      </c>
      <c r="W149" s="18">
        <f t="shared" si="229"/>
        <v>0.20010894834380821</v>
      </c>
      <c r="X149" s="19">
        <f t="shared" ref="X149:X212" si="302">X148+(V149*(S148+AC148-(2*X148))+((V149/(2*X$18))*(AC148-S148)))</f>
        <v>1013.0408304473373</v>
      </c>
      <c r="Y149" s="15">
        <f t="shared" si="230"/>
        <v>5.5260816608946755E-6</v>
      </c>
      <c r="Z149" s="16">
        <f t="shared" si="231"/>
        <v>27.53896955014438</v>
      </c>
      <c r="AA149" s="17">
        <f t="shared" si="232"/>
        <v>1.3830088906527132E-2</v>
      </c>
      <c r="AB149" s="18">
        <f t="shared" si="233"/>
        <v>0.20028436394313393</v>
      </c>
      <c r="AC149" s="19">
        <f t="shared" ref="AC149:AC212" si="303">AC148+(AA149*(X148+AH148-(2*AC148))+((AA149/(2*AC$18))*(AH148-X148)))</f>
        <v>1010.3424184793887</v>
      </c>
      <c r="AD149" s="15">
        <f t="shared" si="234"/>
        <v>5.5206848369587777E-6</v>
      </c>
      <c r="AE149" s="16">
        <f t="shared" si="235"/>
        <v>27.507937812512971</v>
      </c>
      <c r="AF149" s="17">
        <f t="shared" si="236"/>
        <v>1.3816582310094704E-2</v>
      </c>
      <c r="AG149" s="18">
        <f t="shared" si="237"/>
        <v>0.20051030497426167</v>
      </c>
      <c r="AH149" s="19">
        <f t="shared" ref="AH149:AH212" si="304">AH148+(AF149*(AC148+AM148-(2*AH148))+((AF149/(2*AH$18))*(AM148-AC148)))</f>
        <v>1007.0445357533439</v>
      </c>
      <c r="AI149" s="15">
        <f t="shared" si="238"/>
        <v>5.5140890715066876E-6</v>
      </c>
      <c r="AJ149" s="16">
        <f t="shared" si="239"/>
        <v>27.470012161163453</v>
      </c>
      <c r="AK149" s="17">
        <f t="shared" si="240"/>
        <v>1.3800075130467859E-2</v>
      </c>
      <c r="AL149" s="18">
        <f t="shared" si="241"/>
        <v>0.20078713353457772</v>
      </c>
      <c r="AM149" s="19">
        <f t="shared" ref="AM149:AM212" si="305">AM148+(AK149*(AH148+AR148-(2*AM148))+((AK149/(2*AM$18))*(AR148-AH148)))</f>
        <v>1003.1471239352404</v>
      </c>
      <c r="AN149" s="15">
        <f t="shared" si="242"/>
        <v>5.5062942478704815E-6</v>
      </c>
      <c r="AO149" s="16">
        <f t="shared" si="243"/>
        <v>27.425191925255263</v>
      </c>
      <c r="AP149" s="17">
        <f t="shared" si="244"/>
        <v>1.3780567075662534E-2</v>
      </c>
      <c r="AQ149" s="18">
        <f t="shared" si="245"/>
        <v>0.20111527441748844</v>
      </c>
      <c r="AR149" s="19">
        <f t="shared" ref="AR149:AR212" si="306">AR148+(AP149*(AM148+AW148-(2*AR148))+((AP149/(2*AR$18))*(AW148-AM148)))</f>
        <v>998.65017270631063</v>
      </c>
      <c r="AS149" s="15">
        <f t="shared" si="246"/>
        <v>5.4973003454126217E-6</v>
      </c>
      <c r="AT149" s="16">
        <f t="shared" si="247"/>
        <v>27.373476986122572</v>
      </c>
      <c r="AU149" s="17">
        <f t="shared" si="248"/>
        <v>1.3758058094029302E-2</v>
      </c>
      <c r="AV149" s="18">
        <f t="shared" si="249"/>
        <v>0.20149522849421853</v>
      </c>
      <c r="AW149" s="19">
        <f t="shared" ref="AW149:AW212" si="307">AW148+(AU149*(AR148+BB148-(2*AW148))+((AU149/(2*AW$18))*(BB148-AR148)))</f>
        <v>993.55366175795723</v>
      </c>
      <c r="AX149" s="15">
        <f t="shared" si="250"/>
        <v>5.487107323515915E-6</v>
      </c>
      <c r="AY149" s="16">
        <f t="shared" si="251"/>
        <v>27.314867110216507</v>
      </c>
      <c r="AZ149" s="17">
        <f t="shared" si="252"/>
        <v>1.3732548083915767E-2</v>
      </c>
      <c r="BA149" s="18">
        <f t="shared" si="253"/>
        <v>0.20192757950255616</v>
      </c>
      <c r="BB149" s="19">
        <f t="shared" ref="BB149:BB212" si="308">BB148+(AZ149*(AW148+BG148-(2*BB148))+((AZ149/(2*BB$18))*(BG148-AW148)))</f>
        <v>987.85744561080287</v>
      </c>
      <c r="BC149" s="15">
        <f t="shared" si="254"/>
        <v>5.4757148912216057E-6</v>
      </c>
      <c r="BD149" s="16">
        <f t="shared" si="255"/>
        <v>27.249360624524233</v>
      </c>
      <c r="BE149" s="17">
        <f t="shared" si="256"/>
        <v>1.3704036317141337E-2</v>
      </c>
      <c r="BF149" s="18">
        <f t="shared" si="257"/>
        <v>0.20241300616191252</v>
      </c>
      <c r="BG149" s="19">
        <f t="shared" ref="BG149:BG212" si="309">BG148+(BE149*(BB148+BL148-(2*BG148))+((BE149/(2*BG$18))*(BL148-BB148)))</f>
        <v>981.56061046302204</v>
      </c>
      <c r="BH149" s="15">
        <f t="shared" si="258"/>
        <v>5.4631212209260439E-6</v>
      </c>
      <c r="BI149" s="16">
        <f t="shared" si="259"/>
        <v>27.176947020324754</v>
      </c>
      <c r="BJ149" s="17">
        <f t="shared" si="260"/>
        <v>1.3672518219774148E-2</v>
      </c>
      <c r="BK149" s="18">
        <f t="shared" si="261"/>
        <v>0.20295234030058798</v>
      </c>
      <c r="BL149" s="19">
        <f t="shared" ref="BL149:BL212" si="310">BL148+(BJ149*(BG148+BQ148-(2*BL148))+((BJ149/(2*BL$18))*(BQ148-BG148)))</f>
        <v>974.65798612691503</v>
      </c>
      <c r="BM149" s="15">
        <f t="shared" si="262"/>
        <v>5.4493159722538308E-6</v>
      </c>
      <c r="BN149" s="16">
        <f t="shared" si="263"/>
        <v>27.097566840459521</v>
      </c>
      <c r="BO149" s="17">
        <f t="shared" si="264"/>
        <v>1.3637967913023432E-2</v>
      </c>
      <c r="BP149" s="18">
        <f t="shared" si="265"/>
        <v>0.20354687313713316</v>
      </c>
      <c r="BQ149" s="19">
        <f t="shared" ref="BQ149:BQ212" si="311">BQ148+(BO149*(BL148+BV148-(2*BQ148))+((BO149/(2*BQ$18))*(BV148-BL148)))</f>
        <v>967.12331503457756</v>
      </c>
      <c r="BR149" s="15">
        <f t="shared" si="266"/>
        <v>5.4342466300691564E-6</v>
      </c>
      <c r="BS149" s="16">
        <f t="shared" si="267"/>
        <v>27.010918122897642</v>
      </c>
      <c r="BT149" s="17">
        <f t="shared" si="268"/>
        <v>1.3600253967597736E-2</v>
      </c>
      <c r="BU149" s="18">
        <f t="shared" si="269"/>
        <v>0.20419983411538703</v>
      </c>
      <c r="BV149" s="19">
        <f t="shared" ref="BV149:BV212" si="312">BV148+(BT149*(BQ148+CA148-(2*BV148))+((BT149/(2*BV$18))*(CA148-BQ148)))</f>
        <v>958.83835111769349</v>
      </c>
      <c r="BW149" s="15">
        <f t="shared" si="270"/>
        <v>5.4176767022353873E-6</v>
      </c>
      <c r="BX149" s="16">
        <f t="shared" si="271"/>
        <v>26.915641037853476</v>
      </c>
      <c r="BY149" s="17">
        <f t="shared" si="272"/>
        <v>1.3558784516153064E-2</v>
      </c>
      <c r="BZ149" s="18">
        <f t="shared" si="273"/>
        <v>0.20492266902515771</v>
      </c>
      <c r="CA149" s="19">
        <f t="shared" ref="CA149:CA212" si="313">CA148+(BY149*(BV148+CF148-(2*CA148))+((BY149/(2*CA$18))*(CF148-BV148)))</f>
        <v>949.33847769752947</v>
      </c>
      <c r="CB149" s="15">
        <f t="shared" si="274"/>
        <v>5.3986769553950596E-6</v>
      </c>
      <c r="CC149" s="16">
        <f t="shared" si="275"/>
        <v>26.806392493521589</v>
      </c>
      <c r="CD149" s="17">
        <f t="shared" si="276"/>
        <v>1.3511233972363108E-2</v>
      </c>
      <c r="CE149" s="18">
        <f t="shared" si="277"/>
        <v>0.20575782441941726</v>
      </c>
      <c r="CF149" s="19">
        <f t="shared" ref="CF149:CF212" si="314">CF148+(CD149*(CA148+CK148-(2*CF148))+((CD149/(2*CF$18))*(CK148-CA148)))</f>
        <v>937.06452463220762</v>
      </c>
      <c r="CG149" s="15">
        <f t="shared" si="278"/>
        <v>5.3741290492644155E-6</v>
      </c>
      <c r="CH149" s="16">
        <f t="shared" si="279"/>
        <v>26.665242033270388</v>
      </c>
      <c r="CI149" s="17">
        <f t="shared" si="280"/>
        <v>1.3449798086125965E-2</v>
      </c>
      <c r="CJ149" s="18">
        <f t="shared" si="281"/>
        <v>0.20684698804226567</v>
      </c>
      <c r="CK149" s="19">
        <f t="shared" ref="CK149:CK212" si="315">CK148+(CI149*(CF148+CP148-(2*CK148))+((CI149/(2*CK$18))*(CP148-CF148)))</f>
        <v>917.67913048800915</v>
      </c>
      <c r="CL149" s="15">
        <f t="shared" si="282"/>
        <v>5.3353582609760187E-6</v>
      </c>
      <c r="CM149" s="16">
        <f t="shared" si="283"/>
        <v>26.442310000612103</v>
      </c>
      <c r="CN149" s="17">
        <f t="shared" si="284"/>
        <v>1.3352766684509314E-2</v>
      </c>
      <c r="CO149" s="18">
        <f t="shared" si="285"/>
        <v>0.20859089088178456</v>
      </c>
      <c r="CP149" s="19">
        <f t="shared" ref="CP149:CP212" si="316">CP148+(CN149*(CK148+CU148-(2*CP148))+((CN149/(2*CP$18))*(CU148-CK148)))</f>
        <v>881.62055955874939</v>
      </c>
      <c r="CQ149" s="15">
        <f t="shared" si="286"/>
        <v>5.2632411191175E-6</v>
      </c>
      <c r="CR149" s="16">
        <f t="shared" si="287"/>
        <v>26.027636434925618</v>
      </c>
      <c r="CS149" s="17">
        <f t="shared" si="288"/>
        <v>1.3172279579035296E-2</v>
      </c>
      <c r="CT149" s="18">
        <f t="shared" si="289"/>
        <v>0.21191417106928567</v>
      </c>
      <c r="CU149" s="19">
        <f t="shared" ref="CU149:CU212" si="317">CU148+(CS149*(CP148+CZ148-(2*CU148))+((CS149/(2*CU$18))*(CZ148-CP148)))</f>
        <v>813.44089404246199</v>
      </c>
      <c r="CV149" s="15">
        <f t="shared" si="290"/>
        <v>5.1268817880849248E-6</v>
      </c>
      <c r="CW149" s="16">
        <f t="shared" si="291"/>
        <v>25.24357028148831</v>
      </c>
      <c r="CX149" s="17">
        <f t="shared" si="292"/>
        <v>1.2831013961344487E-2</v>
      </c>
      <c r="CY149" s="18">
        <f t="shared" si="293"/>
        <v>0.21849623244635624</v>
      </c>
      <c r="CZ149" s="20">
        <f t="shared" ref="CZ149:CZ212" si="318">CZ148+((2*$CX149)*(CU148-CZ148))+((2*$CX149*$CY149)*($C$14-CZ148))+((($CX149*$CY149)/$C$5)*($C$14-CZ148))+(((CZ148-$C$14)*$CX149*($D$6^2))/($CW149*($D$4/(2*$C$8))))</f>
        <v>697.97722838445839</v>
      </c>
      <c r="DA149" s="15">
        <f t="shared" si="294"/>
        <v>4.8959544567689172E-6</v>
      </c>
      <c r="DB149" s="16">
        <f t="shared" si="295"/>
        <v>24.276172540429968</v>
      </c>
      <c r="DC149" s="17">
        <f t="shared" si="296"/>
        <v>1.2253073619700971E-2</v>
      </c>
      <c r="DD149" s="18">
        <f t="shared" si="297"/>
        <v>0.22720323769384076</v>
      </c>
    </row>
    <row r="150" spans="2:108" x14ac:dyDescent="0.25">
      <c r="B150">
        <v>131</v>
      </c>
      <c r="C150">
        <f t="shared" si="298"/>
        <v>0.12806752129122795</v>
      </c>
      <c r="D150" s="19">
        <f t="shared" si="215"/>
        <v>1017.8551013285107</v>
      </c>
      <c r="E150" s="15">
        <f t="shared" si="216"/>
        <v>5.535710202657022E-6</v>
      </c>
      <c r="F150" s="16">
        <f t="shared" si="217"/>
        <v>27.594333665277873</v>
      </c>
      <c r="G150" s="17">
        <f t="shared" si="213"/>
        <v>1.3854186195851643E-2</v>
      </c>
      <c r="H150" s="18">
        <f t="shared" si="218"/>
        <v>0.19988252178527313</v>
      </c>
      <c r="I150" s="19">
        <f t="shared" si="299"/>
        <v>1017.5305758610608</v>
      </c>
      <c r="J150" s="15">
        <f t="shared" si="219"/>
        <v>5.5350611517221218E-6</v>
      </c>
      <c r="K150" s="16">
        <f t="shared" si="220"/>
        <v>27.590601622402197</v>
      </c>
      <c r="L150" s="17">
        <f t="shared" si="221"/>
        <v>1.3852561820265947E-2</v>
      </c>
      <c r="M150" s="18">
        <f t="shared" si="222"/>
        <v>0.19990955889564896</v>
      </c>
      <c r="N150" s="19">
        <f t="shared" si="300"/>
        <v>1016.6248331188568</v>
      </c>
      <c r="O150" s="15">
        <f t="shared" si="223"/>
        <v>5.5332496662377141E-6</v>
      </c>
      <c r="P150" s="16">
        <f t="shared" si="224"/>
        <v>27.580185580866853</v>
      </c>
      <c r="Q150" s="17">
        <f t="shared" si="214"/>
        <v>1.3854186195851643E-2</v>
      </c>
      <c r="R150" s="18">
        <f t="shared" si="225"/>
        <v>0.19998505752718151</v>
      </c>
      <c r="S150" s="19">
        <f t="shared" si="301"/>
        <v>1015.1234237389143</v>
      </c>
      <c r="T150" s="15">
        <f t="shared" si="226"/>
        <v>5.5302468474778293E-6</v>
      </c>
      <c r="U150" s="16">
        <f t="shared" si="227"/>
        <v>27.562919372997513</v>
      </c>
      <c r="V150" s="17">
        <f t="shared" si="228"/>
        <v>1.3840513092106026E-2</v>
      </c>
      <c r="W150" s="18">
        <f t="shared" si="229"/>
        <v>0.20011033393666844</v>
      </c>
      <c r="X150" s="19">
        <f t="shared" si="302"/>
        <v>1013.0242367369549</v>
      </c>
      <c r="Y150" s="15">
        <f t="shared" si="230"/>
        <v>5.5260484734739099E-6</v>
      </c>
      <c r="Z150" s="16">
        <f t="shared" si="231"/>
        <v>27.53877872247498</v>
      </c>
      <c r="AA150" s="17">
        <f t="shared" si="232"/>
        <v>1.383000584858338E-2</v>
      </c>
      <c r="AB150" s="18">
        <f t="shared" si="233"/>
        <v>0.20028575179692271</v>
      </c>
      <c r="AC150" s="19">
        <f t="shared" si="303"/>
        <v>1010.3258349162294</v>
      </c>
      <c r="AD150" s="15">
        <f t="shared" si="234"/>
        <v>5.5206516698324592E-6</v>
      </c>
      <c r="AE150" s="16">
        <f t="shared" si="235"/>
        <v>27.507747101536637</v>
      </c>
      <c r="AF150" s="17">
        <f t="shared" si="236"/>
        <v>1.3816499302941734E-2</v>
      </c>
      <c r="AG150" s="18">
        <f t="shared" si="237"/>
        <v>0.20051169511049802</v>
      </c>
      <c r="AH150" s="19">
        <f t="shared" si="304"/>
        <v>1007.0279678782235</v>
      </c>
      <c r="AI150" s="15">
        <f t="shared" si="238"/>
        <v>5.5140559357564481E-6</v>
      </c>
      <c r="AJ150" s="16">
        <f t="shared" si="239"/>
        <v>27.469821630599569</v>
      </c>
      <c r="AK150" s="17">
        <f t="shared" si="240"/>
        <v>1.3799992201839599E-2</v>
      </c>
      <c r="AL150" s="18">
        <f t="shared" si="241"/>
        <v>0.20078852619326648</v>
      </c>
      <c r="AM150" s="19">
        <f t="shared" si="305"/>
        <v>1003.1305758571472</v>
      </c>
      <c r="AN150" s="15">
        <f t="shared" si="242"/>
        <v>5.5062611517142947E-6</v>
      </c>
      <c r="AO150" s="16">
        <f t="shared" si="243"/>
        <v>27.425001622357193</v>
      </c>
      <c r="AP150" s="17">
        <f t="shared" si="244"/>
        <v>1.3780484246126054E-2</v>
      </c>
      <c r="AQ150" s="18">
        <f t="shared" si="245"/>
        <v>0.20111666996233085</v>
      </c>
      <c r="AR150" s="19">
        <f t="shared" si="306"/>
        <v>998.63364782339249</v>
      </c>
      <c r="AS150" s="15">
        <f t="shared" si="246"/>
        <v>5.4972672956467854E-6</v>
      </c>
      <c r="AT150" s="16">
        <f t="shared" si="247"/>
        <v>27.373286949969014</v>
      </c>
      <c r="AU150" s="17">
        <f t="shared" si="248"/>
        <v>1.3757975380593651E-2</v>
      </c>
      <c r="AV150" s="18">
        <f t="shared" si="249"/>
        <v>0.20149662735356097</v>
      </c>
      <c r="AW150" s="19">
        <f t="shared" si="307"/>
        <v>993.5371618022815</v>
      </c>
      <c r="AX150" s="15">
        <f t="shared" si="250"/>
        <v>5.4870743236045635E-6</v>
      </c>
      <c r="AY150" s="16">
        <f t="shared" si="251"/>
        <v>27.314677360726236</v>
      </c>
      <c r="AZ150" s="17">
        <f t="shared" si="252"/>
        <v>1.3732465495250614E-2</v>
      </c>
      <c r="BA150" s="18">
        <f t="shared" si="253"/>
        <v>0.20192898225224915</v>
      </c>
      <c r="BB150" s="19">
        <f t="shared" si="308"/>
        <v>987.84096292294646</v>
      </c>
      <c r="BC150" s="15">
        <f t="shared" si="254"/>
        <v>5.4756819258458932E-6</v>
      </c>
      <c r="BD150" s="16">
        <f t="shared" si="255"/>
        <v>27.249171073613883</v>
      </c>
      <c r="BE150" s="17">
        <f t="shared" si="256"/>
        <v>1.3703953814908304E-2</v>
      </c>
      <c r="BF150" s="18">
        <f t="shared" si="257"/>
        <v>0.20241441418894868</v>
      </c>
      <c r="BG150" s="19">
        <f t="shared" si="309"/>
        <v>981.54408672036595</v>
      </c>
      <c r="BH150" s="15">
        <f t="shared" si="258"/>
        <v>5.463088173440732E-6</v>
      </c>
      <c r="BI150" s="16">
        <f t="shared" si="259"/>
        <v>27.176756997284208</v>
      </c>
      <c r="BJ150" s="17">
        <f t="shared" si="260"/>
        <v>1.3672435512045951E-2</v>
      </c>
      <c r="BK150" s="18">
        <f t="shared" si="261"/>
        <v>0.20295375936691712</v>
      </c>
      <c r="BL150" s="19">
        <f t="shared" si="310"/>
        <v>974.64111980045345</v>
      </c>
      <c r="BM150" s="15">
        <f t="shared" si="262"/>
        <v>5.4492822396009073E-6</v>
      </c>
      <c r="BN150" s="16">
        <f t="shared" si="263"/>
        <v>27.097372877705212</v>
      </c>
      <c r="BO150" s="17">
        <f t="shared" si="264"/>
        <v>1.3637883490530675E-2</v>
      </c>
      <c r="BP150" s="18">
        <f t="shared" si="265"/>
        <v>0.20354833012384263</v>
      </c>
      <c r="BQ150" s="19">
        <f t="shared" si="311"/>
        <v>967.10478469233271</v>
      </c>
      <c r="BR150" s="15">
        <f t="shared" si="266"/>
        <v>5.4342095693846663E-6</v>
      </c>
      <c r="BS150" s="16">
        <f t="shared" si="267"/>
        <v>27.010705023961826</v>
      </c>
      <c r="BT150" s="17">
        <f t="shared" si="268"/>
        <v>1.3600161216061857E-2</v>
      </c>
      <c r="BU150" s="18">
        <f t="shared" si="269"/>
        <v>0.20420144513469607</v>
      </c>
      <c r="BV150" s="19">
        <f t="shared" si="312"/>
        <v>958.81318970062216</v>
      </c>
      <c r="BW150" s="15">
        <f t="shared" si="270"/>
        <v>5.4176263794012451E-6</v>
      </c>
      <c r="BX150" s="16">
        <f t="shared" si="271"/>
        <v>26.915351681557155</v>
      </c>
      <c r="BY150" s="17">
        <f t="shared" si="272"/>
        <v>1.3558658573520845E-2</v>
      </c>
      <c r="BZ150" s="18">
        <f t="shared" si="273"/>
        <v>0.20492487206769056</v>
      </c>
      <c r="CA150" s="19">
        <f t="shared" si="313"/>
        <v>949.29102410279313</v>
      </c>
      <c r="CB150" s="15">
        <f t="shared" si="274"/>
        <v>5.3985820482055871E-6</v>
      </c>
      <c r="CC150" s="16">
        <f t="shared" si="275"/>
        <v>26.805846777182119</v>
      </c>
      <c r="CD150" s="17">
        <f t="shared" si="276"/>
        <v>1.351099644875256E-2</v>
      </c>
      <c r="CE150" s="18">
        <f t="shared" si="277"/>
        <v>0.20576201325954951</v>
      </c>
      <c r="CF150" s="19">
        <f t="shared" si="314"/>
        <v>936.95507481055427</v>
      </c>
      <c r="CG150" s="15">
        <f t="shared" si="278"/>
        <v>5.3739101496211087E-6</v>
      </c>
      <c r="CH150" s="16">
        <f t="shared" si="279"/>
        <v>26.663983360321375</v>
      </c>
      <c r="CI150" s="17">
        <f t="shared" si="280"/>
        <v>1.3449250247401472E-2</v>
      </c>
      <c r="CJ150" s="18">
        <f t="shared" si="281"/>
        <v>0.20685675225134559</v>
      </c>
      <c r="CK150" s="19">
        <f t="shared" si="315"/>
        <v>917.43295700333181</v>
      </c>
      <c r="CL150" s="15">
        <f t="shared" si="282"/>
        <v>5.3348659140066646E-6</v>
      </c>
      <c r="CM150" s="16">
        <f t="shared" si="283"/>
        <v>26.439479005538317</v>
      </c>
      <c r="CN150" s="17">
        <f t="shared" si="284"/>
        <v>1.3351534490926797E-2</v>
      </c>
      <c r="CO150" s="18">
        <f t="shared" si="285"/>
        <v>0.20861322565564297</v>
      </c>
      <c r="CP150" s="19">
        <f t="shared" si="316"/>
        <v>881.15303420067391</v>
      </c>
      <c r="CQ150" s="15">
        <f t="shared" si="286"/>
        <v>5.2623060684013488E-6</v>
      </c>
      <c r="CR150" s="16">
        <f t="shared" si="287"/>
        <v>26.022259893307748</v>
      </c>
      <c r="CS150" s="17">
        <f t="shared" si="288"/>
        <v>1.3169939433642948E-2</v>
      </c>
      <c r="CT150" s="18">
        <f t="shared" si="289"/>
        <v>0.21195795532802575</v>
      </c>
      <c r="CU150" s="19">
        <f t="shared" si="317"/>
        <v>812.7545200047058</v>
      </c>
      <c r="CV150" s="15">
        <f t="shared" si="290"/>
        <v>5.1255090400094123E-6</v>
      </c>
      <c r="CW150" s="16">
        <f t="shared" si="291"/>
        <v>25.235676980054116</v>
      </c>
      <c r="CX150" s="17">
        <f t="shared" si="292"/>
        <v>1.282757839359583E-2</v>
      </c>
      <c r="CY150" s="18">
        <f t="shared" si="293"/>
        <v>0.21856457444591099</v>
      </c>
      <c r="CZ150" s="20">
        <f t="shared" si="318"/>
        <v>697.26021571929732</v>
      </c>
      <c r="DA150" s="15">
        <f t="shared" si="294"/>
        <v>4.8945204314385958E-6</v>
      </c>
      <c r="DB150" s="16">
        <f t="shared" si="295"/>
        <v>24.420148683594249</v>
      </c>
      <c r="DC150" s="17">
        <f t="shared" si="296"/>
        <v>1.2249484693762198E-2</v>
      </c>
      <c r="DD150" s="18">
        <f t="shared" si="297"/>
        <v>0.22586369442154394</v>
      </c>
    </row>
    <row r="151" spans="2:108" x14ac:dyDescent="0.25">
      <c r="B151">
        <v>132</v>
      </c>
      <c r="C151">
        <f t="shared" si="298"/>
        <v>0.12904513595757319</v>
      </c>
      <c r="D151" s="19">
        <f t="shared" si="215"/>
        <v>1017.8385326975366</v>
      </c>
      <c r="E151" s="15">
        <f t="shared" si="216"/>
        <v>5.5356770653950743E-6</v>
      </c>
      <c r="F151" s="16">
        <f t="shared" si="217"/>
        <v>27.59414312602167</v>
      </c>
      <c r="G151" s="17">
        <f t="shared" si="213"/>
        <v>1.385410326344004E-2</v>
      </c>
      <c r="H151" s="18">
        <f t="shared" si="218"/>
        <v>0.19988390198638517</v>
      </c>
      <c r="I151" s="19">
        <f t="shared" si="299"/>
        <v>1017.5140014855087</v>
      </c>
      <c r="J151" s="15">
        <f t="shared" si="219"/>
        <v>5.5350280029710183E-6</v>
      </c>
      <c r="K151" s="16">
        <f t="shared" si="220"/>
        <v>27.590411017083348</v>
      </c>
      <c r="L151" s="17">
        <f t="shared" si="221"/>
        <v>1.3852478859100507E-2</v>
      </c>
      <c r="M151" s="18">
        <f t="shared" si="222"/>
        <v>0.19991093994884135</v>
      </c>
      <c r="N151" s="19">
        <f t="shared" si="300"/>
        <v>1016.6082454033798</v>
      </c>
      <c r="O151" s="15">
        <f t="shared" si="223"/>
        <v>5.53321649080676E-6</v>
      </c>
      <c r="P151" s="16">
        <f t="shared" si="224"/>
        <v>27.579994822138865</v>
      </c>
      <c r="Q151" s="17">
        <f t="shared" si="214"/>
        <v>1.385410326344004E-2</v>
      </c>
      <c r="R151" s="18">
        <f t="shared" si="225"/>
        <v>0.19998644073611382</v>
      </c>
      <c r="S151" s="19">
        <f t="shared" si="301"/>
        <v>1015.1068282269962</v>
      </c>
      <c r="T151" s="15">
        <f t="shared" si="226"/>
        <v>5.5302136564539931E-6</v>
      </c>
      <c r="U151" s="16">
        <f t="shared" si="227"/>
        <v>27.562728524610456</v>
      </c>
      <c r="V151" s="17">
        <f t="shared" si="228"/>
        <v>1.3840430025144892E-2</v>
      </c>
      <c r="W151" s="18">
        <f t="shared" si="229"/>
        <v>0.20011171953005882</v>
      </c>
      <c r="X151" s="19">
        <f t="shared" si="302"/>
        <v>1013.007643259637</v>
      </c>
      <c r="Y151" s="15">
        <f t="shared" si="230"/>
        <v>5.5260152865192743E-6</v>
      </c>
      <c r="Z151" s="16">
        <f t="shared" si="231"/>
        <v>27.538587897485826</v>
      </c>
      <c r="AA151" s="17">
        <f t="shared" si="232"/>
        <v>1.3829922791806205E-2</v>
      </c>
      <c r="AB151" s="18">
        <f t="shared" si="233"/>
        <v>0.20028713965045233</v>
      </c>
      <c r="AC151" s="19">
        <f t="shared" si="303"/>
        <v>1010.3092515650225</v>
      </c>
      <c r="AD151" s="15">
        <f t="shared" si="234"/>
        <v>5.520618503130045E-6</v>
      </c>
      <c r="AE151" s="16">
        <f t="shared" si="235"/>
        <v>27.507556392997756</v>
      </c>
      <c r="AF151" s="17">
        <f t="shared" si="236"/>
        <v>1.3816416296849664E-2</v>
      </c>
      <c r="AG151" s="18">
        <f t="shared" si="237"/>
        <v>0.2005130852482426</v>
      </c>
      <c r="AH151" s="19">
        <f t="shared" si="304"/>
        <v>1007.0114002002667</v>
      </c>
      <c r="AI151" s="15">
        <f t="shared" si="238"/>
        <v>5.5140228004005337E-6</v>
      </c>
      <c r="AJ151" s="16">
        <f t="shared" si="239"/>
        <v>27.469631102303069</v>
      </c>
      <c r="AK151" s="17">
        <f t="shared" si="240"/>
        <v>1.3799909274198212E-2</v>
      </c>
      <c r="AL151" s="18">
        <f t="shared" si="241"/>
        <v>0.20078991885470085</v>
      </c>
      <c r="AM151" s="19">
        <f t="shared" si="305"/>
        <v>1003.1140279677674</v>
      </c>
      <c r="AN151" s="15">
        <f t="shared" si="242"/>
        <v>5.5062280559355349E-6</v>
      </c>
      <c r="AO151" s="16">
        <f t="shared" si="243"/>
        <v>27.424811321629324</v>
      </c>
      <c r="AP151" s="17">
        <f t="shared" si="244"/>
        <v>1.3780401417534158E-2</v>
      </c>
      <c r="AQ151" s="18">
        <f t="shared" si="245"/>
        <v>0.20111806551062586</v>
      </c>
      <c r="AR151" s="19">
        <f t="shared" si="306"/>
        <v>998.61712310511359</v>
      </c>
      <c r="AS151" s="15">
        <f t="shared" si="246"/>
        <v>5.4972342462102281E-6</v>
      </c>
      <c r="AT151" s="16">
        <f t="shared" si="247"/>
        <v>27.373096915708807</v>
      </c>
      <c r="AU151" s="17">
        <f t="shared" si="248"/>
        <v>1.3757892667982085E-2</v>
      </c>
      <c r="AV151" s="18">
        <f t="shared" si="249"/>
        <v>0.20149802621838914</v>
      </c>
      <c r="AW151" s="19">
        <f t="shared" si="307"/>
        <v>993.52066187267644</v>
      </c>
      <c r="AX151" s="15">
        <f t="shared" si="250"/>
        <v>5.4870413237453536E-6</v>
      </c>
      <c r="AY151" s="16">
        <f t="shared" si="251"/>
        <v>27.314487611535778</v>
      </c>
      <c r="AZ151" s="17">
        <f t="shared" si="252"/>
        <v>1.3732382906715957E-2</v>
      </c>
      <c r="BA151" s="18">
        <f t="shared" si="253"/>
        <v>0.20193038501921506</v>
      </c>
      <c r="BB151" s="19">
        <f t="shared" si="308"/>
        <v>987.82447951697759</v>
      </c>
      <c r="BC151" s="15">
        <f t="shared" si="254"/>
        <v>5.4756489590339558E-6</v>
      </c>
      <c r="BD151" s="16">
        <f t="shared" si="255"/>
        <v>27.248981514445241</v>
      </c>
      <c r="BE151" s="17">
        <f t="shared" si="256"/>
        <v>1.3703871309080842E-2</v>
      </c>
      <c r="BF151" s="18">
        <f t="shared" si="257"/>
        <v>0.20241582229691979</v>
      </c>
      <c r="BG151" s="19">
        <f t="shared" si="309"/>
        <v>981.52755870610804</v>
      </c>
      <c r="BH151" s="15">
        <f t="shared" si="258"/>
        <v>5.4630551174122162E-6</v>
      </c>
      <c r="BI151" s="16">
        <f t="shared" si="259"/>
        <v>27.176566925120241</v>
      </c>
      <c r="BJ151" s="17">
        <f t="shared" si="260"/>
        <v>1.3672352782936735E-2</v>
      </c>
      <c r="BK151" s="18">
        <f t="shared" si="261"/>
        <v>0.20295517881994568</v>
      </c>
      <c r="BL151" s="19">
        <f t="shared" si="310"/>
        <v>974.62423436584004</v>
      </c>
      <c r="BM151" s="15">
        <f t="shared" si="262"/>
        <v>5.4492484687316809E-6</v>
      </c>
      <c r="BN151" s="16">
        <f t="shared" si="263"/>
        <v>27.097178695207159</v>
      </c>
      <c r="BO151" s="17">
        <f t="shared" si="264"/>
        <v>1.3637798972394225E-2</v>
      </c>
      <c r="BP151" s="18">
        <f t="shared" si="265"/>
        <v>0.20354978878209123</v>
      </c>
      <c r="BQ151" s="19">
        <f t="shared" si="311"/>
        <v>967.08618237414339</v>
      </c>
      <c r="BR151" s="15">
        <f t="shared" si="266"/>
        <v>5.4341723647482872E-6</v>
      </c>
      <c r="BS151" s="16">
        <f t="shared" si="267"/>
        <v>27.010491097302648</v>
      </c>
      <c r="BT151" s="17">
        <f t="shared" si="268"/>
        <v>1.3600068104258515E-2</v>
      </c>
      <c r="BU151" s="18">
        <f t="shared" si="269"/>
        <v>0.20420306243712866</v>
      </c>
      <c r="BV151" s="19">
        <f t="shared" si="312"/>
        <v>958.78780141524294</v>
      </c>
      <c r="BW151" s="15">
        <f t="shared" si="270"/>
        <v>5.417575602830486E-6</v>
      </c>
      <c r="BX151" s="16">
        <f t="shared" si="271"/>
        <v>26.915059716275294</v>
      </c>
      <c r="BY151" s="17">
        <f t="shared" si="272"/>
        <v>1.3558531495324927E-2</v>
      </c>
      <c r="BZ151" s="18">
        <f t="shared" si="273"/>
        <v>0.20492709502200179</v>
      </c>
      <c r="CA151" s="19">
        <f t="shared" si="313"/>
        <v>949.24299452997923</v>
      </c>
      <c r="CB151" s="15">
        <f t="shared" si="274"/>
        <v>5.3984859890599589E-6</v>
      </c>
      <c r="CC151" s="16">
        <f t="shared" si="275"/>
        <v>26.805294437094759</v>
      </c>
      <c r="CD151" s="17">
        <f t="shared" si="276"/>
        <v>1.3510756042148776E-2</v>
      </c>
      <c r="CE151" s="18">
        <f t="shared" si="277"/>
        <v>0.20576625311629296</v>
      </c>
      <c r="CF151" s="19">
        <f t="shared" si="314"/>
        <v>936.84453341047822</v>
      </c>
      <c r="CG151" s="15">
        <f t="shared" si="278"/>
        <v>5.3736890668209569E-6</v>
      </c>
      <c r="CH151" s="16">
        <f t="shared" si="279"/>
        <v>26.662712134220499</v>
      </c>
      <c r="CI151" s="17">
        <f t="shared" si="280"/>
        <v>1.3448696944904437E-2</v>
      </c>
      <c r="CJ151" s="18">
        <f t="shared" si="281"/>
        <v>0.20686661477775628</v>
      </c>
      <c r="CK151" s="19">
        <f t="shared" si="315"/>
        <v>917.18551387033733</v>
      </c>
      <c r="CL151" s="15">
        <f t="shared" si="282"/>
        <v>5.3343710277406754E-6</v>
      </c>
      <c r="CM151" s="16">
        <f t="shared" si="283"/>
        <v>26.436633409508879</v>
      </c>
      <c r="CN151" s="17">
        <f t="shared" si="284"/>
        <v>1.3350295942262978E-2</v>
      </c>
      <c r="CO151" s="18">
        <f t="shared" si="285"/>
        <v>0.20863568044243139</v>
      </c>
      <c r="CP151" s="19">
        <f t="shared" si="316"/>
        <v>880.68542238608279</v>
      </c>
      <c r="CQ151" s="15">
        <f t="shared" si="286"/>
        <v>5.2613708447721661E-6</v>
      </c>
      <c r="CR151" s="16">
        <f t="shared" si="287"/>
        <v>26.016882357439954</v>
      </c>
      <c r="CS151" s="17">
        <f t="shared" si="288"/>
        <v>1.3167598855502271E-2</v>
      </c>
      <c r="CT151" s="18">
        <f t="shared" si="289"/>
        <v>0.21200176578508134</v>
      </c>
      <c r="CU151" s="19">
        <f t="shared" si="317"/>
        <v>812.07065977338902</v>
      </c>
      <c r="CV151" s="15">
        <f t="shared" si="290"/>
        <v>5.1241413195467778E-6</v>
      </c>
      <c r="CW151" s="16">
        <f t="shared" si="291"/>
        <v>25.227812587393974</v>
      </c>
      <c r="CX151" s="17">
        <f t="shared" si="292"/>
        <v>1.2824155408421477E-2</v>
      </c>
      <c r="CY151" s="18">
        <f t="shared" si="293"/>
        <v>0.21863270867788553</v>
      </c>
      <c r="CZ151" s="20">
        <f t="shared" si="318"/>
        <v>696.54695374363962</v>
      </c>
      <c r="DA151" s="15">
        <f t="shared" si="294"/>
        <v>4.8930939074872792E-6</v>
      </c>
      <c r="DB151" s="16">
        <f t="shared" si="295"/>
        <v>24.563371688306262</v>
      </c>
      <c r="DC151" s="17">
        <f t="shared" si="296"/>
        <v>1.2245914541476246E-2</v>
      </c>
      <c r="DD151" s="18">
        <f t="shared" si="297"/>
        <v>0.22454673853369206</v>
      </c>
    </row>
    <row r="152" spans="2:108" x14ac:dyDescent="0.25">
      <c r="B152">
        <v>133</v>
      </c>
      <c r="C152">
        <f t="shared" si="298"/>
        <v>0.13002275062391844</v>
      </c>
      <c r="D152" s="19">
        <f t="shared" si="215"/>
        <v>1017.8219637732734</v>
      </c>
      <c r="E152" s="15">
        <f t="shared" si="216"/>
        <v>5.5356439275465478E-6</v>
      </c>
      <c r="F152" s="16">
        <f t="shared" si="217"/>
        <v>27.593952583392642</v>
      </c>
      <c r="G152" s="17">
        <f t="shared" si="213"/>
        <v>1.385402032956041E-2</v>
      </c>
      <c r="H152" s="18">
        <f t="shared" si="218"/>
        <v>0.19988528223099022</v>
      </c>
      <c r="I152" s="19">
        <f t="shared" si="299"/>
        <v>1017.4974269717501</v>
      </c>
      <c r="J152" s="15">
        <f t="shared" si="219"/>
        <v>5.5349948539435009E-6</v>
      </c>
      <c r="K152" s="16">
        <f t="shared" si="220"/>
        <v>27.590220410175124</v>
      </c>
      <c r="L152" s="17">
        <f t="shared" si="221"/>
        <v>1.3852395897243288E-2</v>
      </c>
      <c r="M152" s="18">
        <f t="shared" si="222"/>
        <v>0.19991232103263182</v>
      </c>
      <c r="N152" s="19">
        <f t="shared" si="300"/>
        <v>1016.591657790839</v>
      </c>
      <c r="O152" s="15">
        <f t="shared" si="223"/>
        <v>5.5331833155816791E-6</v>
      </c>
      <c r="P152" s="16">
        <f t="shared" si="224"/>
        <v>27.579804064594647</v>
      </c>
      <c r="Q152" s="17">
        <f t="shared" si="214"/>
        <v>1.385402032956041E-2</v>
      </c>
      <c r="R152" s="18">
        <f t="shared" si="225"/>
        <v>0.19998782395559653</v>
      </c>
      <c r="S152" s="19">
        <f t="shared" si="301"/>
        <v>1015.090232937318</v>
      </c>
      <c r="T152" s="15">
        <f t="shared" si="226"/>
        <v>5.5301804658746367E-6</v>
      </c>
      <c r="U152" s="16">
        <f t="shared" si="227"/>
        <v>27.562537678779158</v>
      </c>
      <c r="V152" s="17">
        <f t="shared" si="228"/>
        <v>1.3840346959296155E-2</v>
      </c>
      <c r="W152" s="18">
        <f t="shared" si="229"/>
        <v>0.20011310512408184</v>
      </c>
      <c r="X152" s="19">
        <f t="shared" si="302"/>
        <v>1012.9910500149358</v>
      </c>
      <c r="Y152" s="15">
        <f t="shared" si="230"/>
        <v>5.5259821000298723E-6</v>
      </c>
      <c r="Z152" s="16">
        <f t="shared" si="231"/>
        <v>27.538397075171758</v>
      </c>
      <c r="AA152" s="17">
        <f t="shared" si="232"/>
        <v>1.382983973619337E-2</v>
      </c>
      <c r="AB152" s="18">
        <f t="shared" si="233"/>
        <v>0.20028852750375992</v>
      </c>
      <c r="AC152" s="19">
        <f t="shared" si="303"/>
        <v>1010.2926684258031</v>
      </c>
      <c r="AD152" s="15">
        <f t="shared" si="234"/>
        <v>5.5205853368516064E-6</v>
      </c>
      <c r="AE152" s="16">
        <f t="shared" si="235"/>
        <v>27.507365686896733</v>
      </c>
      <c r="AF152" s="17">
        <f t="shared" si="236"/>
        <v>1.3816333291818675E-2</v>
      </c>
      <c r="AG152" s="18">
        <f t="shared" si="237"/>
        <v>0.20051447538749212</v>
      </c>
      <c r="AH152" s="19">
        <f t="shared" si="304"/>
        <v>1006.9948327195318</v>
      </c>
      <c r="AI152" s="15">
        <f t="shared" si="238"/>
        <v>5.5139896654390639E-6</v>
      </c>
      <c r="AJ152" s="16">
        <f t="shared" si="239"/>
        <v>27.469440576274614</v>
      </c>
      <c r="AK152" s="17">
        <f t="shared" si="240"/>
        <v>1.3799826347543998E-2</v>
      </c>
      <c r="AL152" s="18">
        <f t="shared" si="241"/>
        <v>0.20079131151887569</v>
      </c>
      <c r="AM152" s="19">
        <f t="shared" si="305"/>
        <v>1003.0974802668511</v>
      </c>
      <c r="AN152" s="15">
        <f t="shared" si="242"/>
        <v>5.506194960533703E-6</v>
      </c>
      <c r="AO152" s="16">
        <f t="shared" si="243"/>
        <v>27.424621023068788</v>
      </c>
      <c r="AP152" s="17">
        <f t="shared" si="244"/>
        <v>1.3780318589885595E-2</v>
      </c>
      <c r="AQ152" s="18">
        <f t="shared" si="245"/>
        <v>0.20111946106239417</v>
      </c>
      <c r="AR152" s="19">
        <f t="shared" si="306"/>
        <v>998.60059854975418</v>
      </c>
      <c r="AS152" s="15">
        <f t="shared" si="246"/>
        <v>5.4972011970995091E-6</v>
      </c>
      <c r="AT152" s="16">
        <f t="shared" si="247"/>
        <v>27.372906883322173</v>
      </c>
      <c r="AU152" s="17">
        <f t="shared" si="248"/>
        <v>1.3757809956185991E-2</v>
      </c>
      <c r="AV152" s="18">
        <f t="shared" si="249"/>
        <v>0.20149942508884844</v>
      </c>
      <c r="AW152" s="19">
        <f t="shared" si="307"/>
        <v>993.50416196013532</v>
      </c>
      <c r="AX152" s="15">
        <f t="shared" si="250"/>
        <v>5.4870083239202716E-6</v>
      </c>
      <c r="AY152" s="16">
        <f t="shared" si="251"/>
        <v>27.314297862541554</v>
      </c>
      <c r="AZ152" s="17">
        <f t="shared" si="252"/>
        <v>1.3732300318266711E-2</v>
      </c>
      <c r="BA152" s="18">
        <f t="shared" si="253"/>
        <v>0.20193178780421997</v>
      </c>
      <c r="BB152" s="19">
        <f t="shared" si="308"/>
        <v>987.80799535137692</v>
      </c>
      <c r="BC152" s="15">
        <f t="shared" si="254"/>
        <v>5.4756159907027539E-6</v>
      </c>
      <c r="BD152" s="16">
        <f t="shared" si="255"/>
        <v>27.248791946540834</v>
      </c>
      <c r="BE152" s="17">
        <f t="shared" si="256"/>
        <v>1.3703788799451125E-2</v>
      </c>
      <c r="BF152" s="18">
        <f t="shared" si="257"/>
        <v>0.20241723048937568</v>
      </c>
      <c r="BG152" s="19">
        <f t="shared" si="309"/>
        <v>981.51102625422971</v>
      </c>
      <c r="BH152" s="15">
        <f t="shared" si="258"/>
        <v>5.4630220525084595E-6</v>
      </c>
      <c r="BI152" s="16">
        <f t="shared" si="259"/>
        <v>27.176376801923642</v>
      </c>
      <c r="BJ152" s="17">
        <f t="shared" si="260"/>
        <v>1.3672270031615509E-2</v>
      </c>
      <c r="BK152" s="18">
        <f t="shared" si="261"/>
        <v>0.20295659867394775</v>
      </c>
      <c r="BL152" s="19">
        <f t="shared" si="310"/>
        <v>974.60732926479159</v>
      </c>
      <c r="BM152" s="15">
        <f t="shared" si="262"/>
        <v>5.4492146585295835E-6</v>
      </c>
      <c r="BN152" s="16">
        <f t="shared" si="263"/>
        <v>27.096984286545101</v>
      </c>
      <c r="BO152" s="17">
        <f t="shared" si="264"/>
        <v>1.3637714355819654E-2</v>
      </c>
      <c r="BP152" s="18">
        <f t="shared" si="265"/>
        <v>0.20355124916017911</v>
      </c>
      <c r="BQ152" s="19">
        <f t="shared" si="311"/>
        <v>967.06750658068006</v>
      </c>
      <c r="BR152" s="15">
        <f t="shared" si="266"/>
        <v>5.4341350131613607E-6</v>
      </c>
      <c r="BS152" s="16">
        <f t="shared" si="267"/>
        <v>27.010276325677822</v>
      </c>
      <c r="BT152" s="17">
        <f t="shared" si="268"/>
        <v>1.3599974624682988E-2</v>
      </c>
      <c r="BU152" s="18">
        <f t="shared" si="269"/>
        <v>0.20420468615333892</v>
      </c>
      <c r="BV152" s="19">
        <f t="shared" si="312"/>
        <v>958.76218337920488</v>
      </c>
      <c r="BW152" s="15">
        <f t="shared" si="270"/>
        <v>5.4175243667584103E-6</v>
      </c>
      <c r="BX152" s="16">
        <f t="shared" si="271"/>
        <v>26.914765108860855</v>
      </c>
      <c r="BY152" s="17">
        <f t="shared" si="272"/>
        <v>1.3558403267138031E-2</v>
      </c>
      <c r="BZ152" s="18">
        <f t="shared" si="273"/>
        <v>0.20492933814176781</v>
      </c>
      <c r="CA152" s="19">
        <f t="shared" si="313"/>
        <v>949.19438634586618</v>
      </c>
      <c r="CB152" s="15">
        <f t="shared" si="274"/>
        <v>5.3983887726917322E-6</v>
      </c>
      <c r="CC152" s="16">
        <f t="shared" si="275"/>
        <v>26.80473544297746</v>
      </c>
      <c r="CD152" s="17">
        <f t="shared" si="276"/>
        <v>1.3510512739371466E-2</v>
      </c>
      <c r="CE152" s="18">
        <f t="shared" si="277"/>
        <v>0.20577054422840915</v>
      </c>
      <c r="CF152" s="19">
        <f t="shared" si="314"/>
        <v>936.73290476216482</v>
      </c>
      <c r="CG152" s="15">
        <f t="shared" si="278"/>
        <v>5.3734658095243306E-6</v>
      </c>
      <c r="CH152" s="16">
        <f t="shared" si="279"/>
        <v>26.661428404764894</v>
      </c>
      <c r="CI152" s="17">
        <f t="shared" si="280"/>
        <v>1.3448138200309106E-2</v>
      </c>
      <c r="CJ152" s="18">
        <f t="shared" si="281"/>
        <v>0.20687657526309636</v>
      </c>
      <c r="CK152" s="19">
        <f t="shared" si="315"/>
        <v>916.93681999897206</v>
      </c>
      <c r="CL152" s="15">
        <f t="shared" si="282"/>
        <v>5.3338736399979451E-6</v>
      </c>
      <c r="CM152" s="16">
        <f t="shared" si="283"/>
        <v>26.433773429988179</v>
      </c>
      <c r="CN152" s="17">
        <f t="shared" si="284"/>
        <v>1.3349051133169467E-2</v>
      </c>
      <c r="CO152" s="18">
        <f t="shared" si="285"/>
        <v>0.20865825360153534</v>
      </c>
      <c r="CP152" s="19">
        <f t="shared" si="316"/>
        <v>880.21774467789226</v>
      </c>
      <c r="CQ152" s="15">
        <f t="shared" si="286"/>
        <v>5.2604354893557843E-6</v>
      </c>
      <c r="CR152" s="16">
        <f t="shared" si="287"/>
        <v>26.011504063795762</v>
      </c>
      <c r="CS152" s="17">
        <f t="shared" si="288"/>
        <v>1.3165257947538622E-2</v>
      </c>
      <c r="CT152" s="18">
        <f t="shared" si="289"/>
        <v>0.2120456005339941</v>
      </c>
      <c r="CU152" s="19">
        <f t="shared" si="317"/>
        <v>811.3892958954217</v>
      </c>
      <c r="CV152" s="15">
        <f t="shared" si="290"/>
        <v>5.1227785917908444E-6</v>
      </c>
      <c r="CW152" s="16">
        <f t="shared" si="291"/>
        <v>25.219976902797349</v>
      </c>
      <c r="CX152" s="17">
        <f t="shared" si="292"/>
        <v>1.2820744918461961E-2</v>
      </c>
      <c r="CY152" s="18">
        <f t="shared" si="293"/>
        <v>0.21870063645412055</v>
      </c>
      <c r="CZ152" s="20">
        <f t="shared" si="318"/>
        <v>695.83739355189095</v>
      </c>
      <c r="DA152" s="15">
        <f t="shared" si="294"/>
        <v>4.8916747871037821E-6</v>
      </c>
      <c r="DB152" s="16">
        <f t="shared" si="295"/>
        <v>24.705851374809356</v>
      </c>
      <c r="DC152" s="17">
        <f t="shared" si="296"/>
        <v>1.2242362918051692E-2</v>
      </c>
      <c r="DD152" s="18">
        <f t="shared" si="297"/>
        <v>0.22325176802544258</v>
      </c>
    </row>
    <row r="153" spans="2:108" x14ac:dyDescent="0.25">
      <c r="B153">
        <v>134</v>
      </c>
      <c r="C153">
        <f t="shared" si="298"/>
        <v>0.13100036529026371</v>
      </c>
      <c r="D153" s="19">
        <f t="shared" si="215"/>
        <v>1017.8053945636387</v>
      </c>
      <c r="E153" s="15">
        <f t="shared" si="216"/>
        <v>5.5356107891272778E-6</v>
      </c>
      <c r="F153" s="16">
        <f t="shared" si="217"/>
        <v>27.593762037481845</v>
      </c>
      <c r="G153" s="17">
        <f t="shared" si="213"/>
        <v>1.3853937394252384E-2</v>
      </c>
      <c r="H153" s="18">
        <f t="shared" si="218"/>
        <v>0.19988666251843004</v>
      </c>
      <c r="I153" s="19">
        <f t="shared" si="299"/>
        <v>1017.4808523237264</v>
      </c>
      <c r="J153" s="15">
        <f t="shared" si="219"/>
        <v>5.5349617046474537E-6</v>
      </c>
      <c r="K153" s="16">
        <f t="shared" si="220"/>
        <v>27.590029801722853</v>
      </c>
      <c r="L153" s="17">
        <f t="shared" si="221"/>
        <v>1.3852312934714022E-2</v>
      </c>
      <c r="M153" s="18">
        <f t="shared" si="222"/>
        <v>0.1999137021466928</v>
      </c>
      <c r="N153" s="19">
        <f t="shared" si="300"/>
        <v>1016.5750702807958</v>
      </c>
      <c r="O153" s="15">
        <f t="shared" si="223"/>
        <v>5.5331501405615919E-6</v>
      </c>
      <c r="P153" s="16">
        <f t="shared" si="224"/>
        <v>27.579613308229149</v>
      </c>
      <c r="Q153" s="17">
        <f t="shared" si="214"/>
        <v>1.3853937394252384E-2</v>
      </c>
      <c r="R153" s="18">
        <f t="shared" si="225"/>
        <v>0.19998920718566635</v>
      </c>
      <c r="S153" s="19">
        <f t="shared" si="301"/>
        <v>1015.0736378686703</v>
      </c>
      <c r="T153" s="15">
        <f t="shared" si="226"/>
        <v>5.5301472757373408E-6</v>
      </c>
      <c r="U153" s="16">
        <f t="shared" si="227"/>
        <v>27.562346835489706</v>
      </c>
      <c r="V153" s="17">
        <f t="shared" si="228"/>
        <v>1.3840263894553758E-2</v>
      </c>
      <c r="W153" s="18">
        <f t="shared" si="229"/>
        <v>0.20011449071883805</v>
      </c>
      <c r="X153" s="19">
        <f t="shared" si="302"/>
        <v>1012.9744570024014</v>
      </c>
      <c r="Y153" s="15">
        <f t="shared" si="230"/>
        <v>5.5259489140048036E-6</v>
      </c>
      <c r="Z153" s="16">
        <f t="shared" si="231"/>
        <v>27.538206255527616</v>
      </c>
      <c r="AA153" s="17">
        <f t="shared" si="232"/>
        <v>1.3829756681742619E-2</v>
      </c>
      <c r="AB153" s="18">
        <f t="shared" si="233"/>
        <v>0.20028991535688256</v>
      </c>
      <c r="AC153" s="19">
        <f t="shared" si="303"/>
        <v>1010.2760854986005</v>
      </c>
      <c r="AD153" s="15">
        <f t="shared" si="234"/>
        <v>5.5205521709972018E-6</v>
      </c>
      <c r="AE153" s="16">
        <f t="shared" si="235"/>
        <v>27.507174983233906</v>
      </c>
      <c r="AF153" s="17">
        <f t="shared" si="236"/>
        <v>1.3816250287848915E-2</v>
      </c>
      <c r="AG153" s="18">
        <f t="shared" si="237"/>
        <v>0.20051586552824374</v>
      </c>
      <c r="AH153" s="19">
        <f t="shared" si="304"/>
        <v>1006.9782654360723</v>
      </c>
      <c r="AI153" s="15">
        <f t="shared" si="238"/>
        <v>5.5139565308721455E-6</v>
      </c>
      <c r="AJ153" s="16">
        <f t="shared" si="239"/>
        <v>27.46925005251483</v>
      </c>
      <c r="AK153" s="17">
        <f t="shared" si="240"/>
        <v>1.3799743421877227E-2</v>
      </c>
      <c r="AL153" s="18">
        <f t="shared" si="241"/>
        <v>0.20079270418578613</v>
      </c>
      <c r="AM153" s="19">
        <f t="shared" si="305"/>
        <v>1003.0809327541307</v>
      </c>
      <c r="AN153" s="15">
        <f t="shared" si="242"/>
        <v>5.5061618655082621E-6</v>
      </c>
      <c r="AO153" s="16">
        <f t="shared" si="243"/>
        <v>27.424430726672504</v>
      </c>
      <c r="AP153" s="17">
        <f t="shared" si="244"/>
        <v>1.3780235763179025E-2</v>
      </c>
      <c r="AQ153" s="18">
        <f t="shared" si="245"/>
        <v>0.20112085661765819</v>
      </c>
      <c r="AR153" s="19">
        <f t="shared" si="306"/>
        <v>998.58407415550676</v>
      </c>
      <c r="AS153" s="15">
        <f t="shared" si="246"/>
        <v>5.4971681483110141E-6</v>
      </c>
      <c r="AT153" s="16">
        <f t="shared" si="247"/>
        <v>27.372716852788329</v>
      </c>
      <c r="AU153" s="17">
        <f t="shared" si="248"/>
        <v>1.3757727245196328E-2</v>
      </c>
      <c r="AV153" s="18">
        <f t="shared" si="249"/>
        <v>0.2015008239650917</v>
      </c>
      <c r="AW153" s="19">
        <f t="shared" si="307"/>
        <v>993.48766205527409</v>
      </c>
      <c r="AX153" s="15">
        <f t="shared" si="250"/>
        <v>5.4869753241105488E-6</v>
      </c>
      <c r="AY153" s="16">
        <f t="shared" si="251"/>
        <v>27.314108113635651</v>
      </c>
      <c r="AZ153" s="17">
        <f t="shared" si="252"/>
        <v>1.3732217729855903E-2</v>
      </c>
      <c r="BA153" s="18">
        <f t="shared" si="253"/>
        <v>0.20193319060806197</v>
      </c>
      <c r="BB153" s="19">
        <f t="shared" si="308"/>
        <v>987.79151038325483</v>
      </c>
      <c r="BC153" s="15">
        <f t="shared" si="254"/>
        <v>5.4755830207665101E-6</v>
      </c>
      <c r="BD153" s="16">
        <f t="shared" si="255"/>
        <v>27.248602369407429</v>
      </c>
      <c r="BE153" s="17">
        <f t="shared" si="256"/>
        <v>1.3703706285804482E-2</v>
      </c>
      <c r="BF153" s="18">
        <f t="shared" si="257"/>
        <v>0.20241863876998353</v>
      </c>
      <c r="BG153" s="19">
        <f t="shared" si="309"/>
        <v>981.49448919472434</v>
      </c>
      <c r="BH153" s="15">
        <f t="shared" si="258"/>
        <v>5.4629889783894493E-6</v>
      </c>
      <c r="BI153" s="16">
        <f t="shared" si="259"/>
        <v>27.176186625739327</v>
      </c>
      <c r="BJ153" s="17">
        <f t="shared" si="260"/>
        <v>1.3672187257231327E-2</v>
      </c>
      <c r="BK153" s="18">
        <f t="shared" si="261"/>
        <v>0.20295801894354071</v>
      </c>
      <c r="BL153" s="19">
        <f t="shared" si="310"/>
        <v>974.59040393077362</v>
      </c>
      <c r="BM153" s="15">
        <f t="shared" si="262"/>
        <v>5.4491808078615475E-6</v>
      </c>
      <c r="BN153" s="16">
        <f t="shared" si="263"/>
        <v>27.096789645203895</v>
      </c>
      <c r="BO153" s="17">
        <f t="shared" si="264"/>
        <v>1.3637629637971235E-2</v>
      </c>
      <c r="BP153" s="18">
        <f t="shared" si="265"/>
        <v>0.20355271130712196</v>
      </c>
      <c r="BQ153" s="19">
        <f t="shared" si="311"/>
        <v>967.04875580540011</v>
      </c>
      <c r="BR153" s="15">
        <f t="shared" si="266"/>
        <v>5.4340975116108016E-6</v>
      </c>
      <c r="BS153" s="16">
        <f t="shared" si="267"/>
        <v>27.010060691762099</v>
      </c>
      <c r="BT153" s="17">
        <f t="shared" si="268"/>
        <v>1.3599880769794445E-2</v>
      </c>
      <c r="BU153" s="18">
        <f t="shared" si="269"/>
        <v>0.20420631641461773</v>
      </c>
      <c r="BV153" s="19">
        <f t="shared" si="312"/>
        <v>958.73633273189591</v>
      </c>
      <c r="BW153" s="15">
        <f t="shared" si="270"/>
        <v>5.4174726654637917E-6</v>
      </c>
      <c r="BX153" s="16">
        <f t="shared" si="271"/>
        <v>26.914467826416804</v>
      </c>
      <c r="BY153" s="17">
        <f t="shared" si="272"/>
        <v>1.3558273874641676E-2</v>
      </c>
      <c r="BZ153" s="18">
        <f t="shared" si="273"/>
        <v>0.20493160167879532</v>
      </c>
      <c r="CA153" s="19">
        <f t="shared" si="313"/>
        <v>949.14519701180052</v>
      </c>
      <c r="CB153" s="15">
        <f t="shared" si="274"/>
        <v>5.398290394023601E-6</v>
      </c>
      <c r="CC153" s="16">
        <f t="shared" si="275"/>
        <v>26.804169765635706</v>
      </c>
      <c r="CD153" s="17">
        <f t="shared" si="276"/>
        <v>1.3510266527713687E-2</v>
      </c>
      <c r="CE153" s="18">
        <f t="shared" si="277"/>
        <v>0.20577488682642611</v>
      </c>
      <c r="CF153" s="19">
        <f t="shared" si="314"/>
        <v>936.62019330836983</v>
      </c>
      <c r="CG153" s="15">
        <f t="shared" si="278"/>
        <v>5.3732403866167402E-6</v>
      </c>
      <c r="CH153" s="16">
        <f t="shared" si="279"/>
        <v>26.660132223046254</v>
      </c>
      <c r="CI153" s="17">
        <f t="shared" si="280"/>
        <v>1.3447574035853194E-2</v>
      </c>
      <c r="CJ153" s="18">
        <f t="shared" si="281"/>
        <v>0.20688663333905141</v>
      </c>
      <c r="CK153" s="19">
        <f t="shared" si="315"/>
        <v>916.68689413055506</v>
      </c>
      <c r="CL153" s="15">
        <f t="shared" si="282"/>
        <v>5.3333737882611104E-6</v>
      </c>
      <c r="CM153" s="16">
        <f t="shared" si="283"/>
        <v>26.430899282501382</v>
      </c>
      <c r="CN153" s="17">
        <f t="shared" si="284"/>
        <v>1.334780015745381E-2</v>
      </c>
      <c r="CO153" s="18">
        <f t="shared" si="285"/>
        <v>0.20868094350658845</v>
      </c>
      <c r="CP153" s="19">
        <f t="shared" si="316"/>
        <v>879.75002108722504</v>
      </c>
      <c r="CQ153" s="15">
        <f t="shared" si="286"/>
        <v>5.25950004217445E-6</v>
      </c>
      <c r="CR153" s="16">
        <f t="shared" si="287"/>
        <v>26.006125242503089</v>
      </c>
      <c r="CS153" s="17">
        <f t="shared" si="288"/>
        <v>1.316291680991542E-2</v>
      </c>
      <c r="CT153" s="18">
        <f t="shared" si="289"/>
        <v>0.21208945771688983</v>
      </c>
      <c r="CU153" s="19">
        <f t="shared" si="317"/>
        <v>810.71041098356613</v>
      </c>
      <c r="CV153" s="15">
        <f t="shared" si="290"/>
        <v>5.1214208219671327E-6</v>
      </c>
      <c r="CW153" s="16">
        <f t="shared" si="291"/>
        <v>25.212169726311011</v>
      </c>
      <c r="CX153" s="17">
        <f t="shared" si="292"/>
        <v>1.2817346836687416E-2</v>
      </c>
      <c r="CY153" s="18">
        <f t="shared" si="293"/>
        <v>0.21876835908509626</v>
      </c>
      <c r="CZ153" s="20">
        <f t="shared" si="318"/>
        <v>695.13148731204615</v>
      </c>
      <c r="DA153" s="15">
        <f t="shared" si="294"/>
        <v>4.8902629746240923E-6</v>
      </c>
      <c r="DB153" s="16">
        <f t="shared" si="295"/>
        <v>24.847597347770119</v>
      </c>
      <c r="DC153" s="17">
        <f t="shared" si="296"/>
        <v>1.2238829584070831E-2</v>
      </c>
      <c r="DD153" s="18">
        <f t="shared" si="297"/>
        <v>0.22197820267298338</v>
      </c>
    </row>
    <row r="154" spans="2:108" x14ac:dyDescent="0.25">
      <c r="B154">
        <v>135</v>
      </c>
      <c r="C154">
        <f t="shared" si="298"/>
        <v>0.13197797995660895</v>
      </c>
      <c r="D154" s="19">
        <f t="shared" si="215"/>
        <v>1017.7888250763474</v>
      </c>
      <c r="E154" s="15">
        <f t="shared" si="216"/>
        <v>5.5355776501526955E-6</v>
      </c>
      <c r="F154" s="16">
        <f t="shared" si="217"/>
        <v>27.593571488377997</v>
      </c>
      <c r="G154" s="17">
        <f t="shared" si="213"/>
        <v>1.3853854457554582E-2</v>
      </c>
      <c r="H154" s="18">
        <f t="shared" si="218"/>
        <v>0.19988804284806336</v>
      </c>
      <c r="I154" s="19">
        <f t="shared" si="299"/>
        <v>1017.4642775453153</v>
      </c>
      <c r="J154" s="15">
        <f t="shared" si="219"/>
        <v>5.5349285550906313E-6</v>
      </c>
      <c r="K154" s="16">
        <f t="shared" si="220"/>
        <v>27.589839191771127</v>
      </c>
      <c r="L154" s="17">
        <f t="shared" si="221"/>
        <v>1.3852229971532114E-2</v>
      </c>
      <c r="M154" s="18">
        <f t="shared" si="222"/>
        <v>0.19991508329070204</v>
      </c>
      <c r="N154" s="19">
        <f t="shared" si="300"/>
        <v>1016.5584828728435</v>
      </c>
      <c r="O154" s="15">
        <f t="shared" si="223"/>
        <v>5.5331169657456872E-6</v>
      </c>
      <c r="P154" s="16">
        <f t="shared" si="224"/>
        <v>27.579422553037698</v>
      </c>
      <c r="Q154" s="17">
        <f t="shared" si="214"/>
        <v>1.3853854457554582E-2</v>
      </c>
      <c r="R154" s="18">
        <f t="shared" si="225"/>
        <v>0.19999059042635717</v>
      </c>
      <c r="S154" s="19">
        <f t="shared" si="301"/>
        <v>1015.0570430198649</v>
      </c>
      <c r="T154" s="15">
        <f t="shared" si="226"/>
        <v>5.5301140860397304E-6</v>
      </c>
      <c r="U154" s="16">
        <f t="shared" si="227"/>
        <v>27.562155994728442</v>
      </c>
      <c r="V154" s="17">
        <f t="shared" si="228"/>
        <v>1.3840180830911758E-2</v>
      </c>
      <c r="W154" s="18">
        <f t="shared" si="229"/>
        <v>0.20011587631442629</v>
      </c>
      <c r="X154" s="19">
        <f t="shared" si="302"/>
        <v>1012.9578642215823</v>
      </c>
      <c r="Y154" s="15">
        <f t="shared" si="230"/>
        <v>5.5259157284431644E-6</v>
      </c>
      <c r="Z154" s="16">
        <f t="shared" si="231"/>
        <v>27.538015438548197</v>
      </c>
      <c r="AA154" s="17">
        <f t="shared" si="232"/>
        <v>1.3829673628451689E-2</v>
      </c>
      <c r="AB154" s="18">
        <f t="shared" si="233"/>
        <v>0.20029130320985772</v>
      </c>
      <c r="AC154" s="19">
        <f t="shared" si="303"/>
        <v>1010.2595027834387</v>
      </c>
      <c r="AD154" s="15">
        <f t="shared" si="234"/>
        <v>5.5205190055668778E-6</v>
      </c>
      <c r="AE154" s="16">
        <f t="shared" si="235"/>
        <v>27.506984282009544</v>
      </c>
      <c r="AF154" s="17">
        <f t="shared" si="236"/>
        <v>1.3816167284940499E-2</v>
      </c>
      <c r="AG154" s="18">
        <f t="shared" si="237"/>
        <v>0.20051725567049519</v>
      </c>
      <c r="AH154" s="19">
        <f t="shared" si="304"/>
        <v>1006.9616983499366</v>
      </c>
      <c r="AI154" s="15">
        <f t="shared" si="238"/>
        <v>5.5139233966998741E-6</v>
      </c>
      <c r="AJ154" s="16">
        <f t="shared" si="239"/>
        <v>27.469059531024271</v>
      </c>
      <c r="AK154" s="17">
        <f t="shared" si="240"/>
        <v>1.3799660497198139E-2</v>
      </c>
      <c r="AL154" s="18">
        <f t="shared" si="241"/>
        <v>0.20079409685542782</v>
      </c>
      <c r="AM154" s="19">
        <f t="shared" si="305"/>
        <v>1003.0643854293197</v>
      </c>
      <c r="AN154" s="15">
        <f t="shared" si="242"/>
        <v>5.5061287708586395E-6</v>
      </c>
      <c r="AO154" s="16">
        <f t="shared" si="243"/>
        <v>27.424240432437173</v>
      </c>
      <c r="AP154" s="17">
        <f t="shared" si="244"/>
        <v>1.3780152937413012E-2</v>
      </c>
      <c r="AQ154" s="18">
        <f t="shared" si="245"/>
        <v>0.20112225217644178</v>
      </c>
      <c r="AR154" s="19">
        <f t="shared" si="306"/>
        <v>998.56754992047286</v>
      </c>
      <c r="AS154" s="15">
        <f t="shared" si="246"/>
        <v>5.497135099840946E-6</v>
      </c>
      <c r="AT154" s="16">
        <f t="shared" si="247"/>
        <v>27.372526824085437</v>
      </c>
      <c r="AU154" s="17">
        <f t="shared" si="248"/>
        <v>1.3757644535003588E-2</v>
      </c>
      <c r="AV154" s="18">
        <f t="shared" si="249"/>
        <v>0.20150222284727951</v>
      </c>
      <c r="AW154" s="19">
        <f t="shared" si="307"/>
        <v>993.47116214832079</v>
      </c>
      <c r="AX154" s="15">
        <f t="shared" si="250"/>
        <v>5.4869423242966425E-6</v>
      </c>
      <c r="AY154" s="16">
        <f t="shared" si="251"/>
        <v>27.313918364705689</v>
      </c>
      <c r="AZ154" s="17">
        <f t="shared" si="252"/>
        <v>1.3732135141434624E-2</v>
      </c>
      <c r="BA154" s="18">
        <f t="shared" si="253"/>
        <v>0.20193459343157233</v>
      </c>
      <c r="BB154" s="19">
        <f t="shared" si="308"/>
        <v>987.7750245683269</v>
      </c>
      <c r="BC154" s="15">
        <f t="shared" si="254"/>
        <v>5.4755500491366545E-6</v>
      </c>
      <c r="BD154" s="16">
        <f t="shared" si="255"/>
        <v>27.248412782535759</v>
      </c>
      <c r="BE154" s="17">
        <f t="shared" si="256"/>
        <v>1.3703623767919247E-2</v>
      </c>
      <c r="BF154" s="18">
        <f t="shared" si="257"/>
        <v>0.20242004714252981</v>
      </c>
      <c r="BG154" s="19">
        <f t="shared" si="309"/>
        <v>981.47794735357058</v>
      </c>
      <c r="BH154" s="15">
        <f t="shared" si="258"/>
        <v>5.4629558947071416E-6</v>
      </c>
      <c r="BI154" s="16">
        <f t="shared" si="259"/>
        <v>27.175996394566063</v>
      </c>
      <c r="BJ154" s="17">
        <f t="shared" si="260"/>
        <v>1.3672104458913144E-2</v>
      </c>
      <c r="BK154" s="18">
        <f t="shared" si="261"/>
        <v>0.20295943964368751</v>
      </c>
      <c r="BL154" s="19">
        <f t="shared" si="310"/>
        <v>974.57345778907131</v>
      </c>
      <c r="BM154" s="15">
        <f t="shared" si="262"/>
        <v>5.4491469155781433E-6</v>
      </c>
      <c r="BN154" s="16">
        <f t="shared" si="263"/>
        <v>27.09659476457432</v>
      </c>
      <c r="BO154" s="17">
        <f t="shared" si="264"/>
        <v>1.3637544815972307E-2</v>
      </c>
      <c r="BP154" s="18">
        <f t="shared" si="265"/>
        <v>0.20355417527264516</v>
      </c>
      <c r="BQ154" s="19">
        <f t="shared" si="311"/>
        <v>967.02992853494459</v>
      </c>
      <c r="BR154" s="15">
        <f t="shared" si="266"/>
        <v>5.4340598570698893E-6</v>
      </c>
      <c r="BS154" s="16">
        <f t="shared" si="267"/>
        <v>27.009844178151862</v>
      </c>
      <c r="BT154" s="17">
        <f t="shared" si="268"/>
        <v>1.3599786532017931E-2</v>
      </c>
      <c r="BU154" s="18">
        <f t="shared" si="269"/>
        <v>0.20420795335285805</v>
      </c>
      <c r="BV154" s="19">
        <f t="shared" si="312"/>
        <v>958.71024663508945</v>
      </c>
      <c r="BW154" s="15">
        <f t="shared" si="270"/>
        <v>5.4174204932701795E-6</v>
      </c>
      <c r="BX154" s="16">
        <f t="shared" si="271"/>
        <v>26.914167836303527</v>
      </c>
      <c r="BY154" s="17">
        <f t="shared" si="272"/>
        <v>1.355814330362945E-2</v>
      </c>
      <c r="BZ154" s="18">
        <f t="shared" si="273"/>
        <v>0.20493388588296521</v>
      </c>
      <c r="CA154" s="19">
        <f t="shared" si="313"/>
        <v>949.09542408299433</v>
      </c>
      <c r="CB154" s="15">
        <f t="shared" si="274"/>
        <v>5.3981908481659889E-6</v>
      </c>
      <c r="CC154" s="16">
        <f t="shared" si="275"/>
        <v>26.803597376954436</v>
      </c>
      <c r="CD154" s="17">
        <f t="shared" si="276"/>
        <v>1.3510017394938324E-2</v>
      </c>
      <c r="CE154" s="18">
        <f t="shared" si="277"/>
        <v>0.20577928113269975</v>
      </c>
      <c r="CF154" s="19">
        <f t="shared" si="314"/>
        <v>936.50640360025227</v>
      </c>
      <c r="CG154" s="15">
        <f t="shared" si="278"/>
        <v>5.373012807200505E-6</v>
      </c>
      <c r="CH154" s="16">
        <f t="shared" si="279"/>
        <v>26.658823641402901</v>
      </c>
      <c r="CI154" s="17">
        <f t="shared" si="280"/>
        <v>1.3447004474317015E-2</v>
      </c>
      <c r="CJ154" s="18">
        <f t="shared" si="281"/>
        <v>0.20689678862775748</v>
      </c>
      <c r="CK154" s="19">
        <f t="shared" si="315"/>
        <v>916.43575483610869</v>
      </c>
      <c r="CL154" s="15">
        <f t="shared" si="282"/>
        <v>5.3328715096722182E-6</v>
      </c>
      <c r="CM154" s="16">
        <f t="shared" si="283"/>
        <v>26.42801118061525</v>
      </c>
      <c r="CN154" s="17">
        <f t="shared" si="284"/>
        <v>1.3346543108071174E-2</v>
      </c>
      <c r="CO154" s="18">
        <f t="shared" si="285"/>
        <v>0.20870374854562154</v>
      </c>
      <c r="CP154" s="19">
        <f t="shared" si="316"/>
        <v>879.28227108702993</v>
      </c>
      <c r="CQ154" s="15">
        <f t="shared" si="286"/>
        <v>5.2585645421740605E-6</v>
      </c>
      <c r="CR154" s="16">
        <f t="shared" si="287"/>
        <v>26.000746117500846</v>
      </c>
      <c r="CS154" s="17">
        <f t="shared" si="288"/>
        <v>1.3160575540102307E-2</v>
      </c>
      <c r="CT154" s="18">
        <f t="shared" si="289"/>
        <v>0.21213333552330205</v>
      </c>
      <c r="CU154" s="19">
        <f t="shared" si="317"/>
        <v>810.03398772230207</v>
      </c>
      <c r="CV154" s="15">
        <f t="shared" si="290"/>
        <v>5.1200679754446049E-6</v>
      </c>
      <c r="CW154" s="16">
        <f t="shared" si="291"/>
        <v>25.204390858806473</v>
      </c>
      <c r="CX154" s="17">
        <f t="shared" si="292"/>
        <v>1.2813961076426969E-2</v>
      </c>
      <c r="CY154" s="18">
        <f t="shared" si="293"/>
        <v>0.21883587787930323</v>
      </c>
      <c r="CZ154" s="20">
        <f t="shared" si="318"/>
        <v>694.4291882331014</v>
      </c>
      <c r="DA154" s="15">
        <f t="shared" si="294"/>
        <v>4.8888583764662032E-6</v>
      </c>
      <c r="DB154" s="16">
        <f t="shared" si="295"/>
        <v>24.988619002822162</v>
      </c>
      <c r="DC154" s="17">
        <f t="shared" si="296"/>
        <v>1.2235314305326577E-2</v>
      </c>
      <c r="DD154" s="18">
        <f t="shared" si="297"/>
        <v>0.22072548304398401</v>
      </c>
    </row>
    <row r="155" spans="2:108" x14ac:dyDescent="0.25">
      <c r="B155">
        <v>136</v>
      </c>
      <c r="C155">
        <f t="shared" si="298"/>
        <v>0.1329555946229542</v>
      </c>
      <c r="D155" s="19">
        <f t="shared" si="215"/>
        <v>1017.7722553189183</v>
      </c>
      <c r="E155" s="15">
        <f t="shared" si="216"/>
        <v>5.5355445106378366E-6</v>
      </c>
      <c r="F155" s="16">
        <f t="shared" si="217"/>
        <v>27.593380936167559</v>
      </c>
      <c r="G155" s="17">
        <f t="shared" si="213"/>
        <v>1.3853771519504631E-2</v>
      </c>
      <c r="H155" s="18">
        <f t="shared" si="218"/>
        <v>0.19988942321926514</v>
      </c>
      <c r="I155" s="19">
        <f t="shared" si="299"/>
        <v>1017.4477026403324</v>
      </c>
      <c r="J155" s="15">
        <f t="shared" si="219"/>
        <v>5.5348954052806655E-6</v>
      </c>
      <c r="K155" s="16">
        <f t="shared" si="220"/>
        <v>27.589648580363821</v>
      </c>
      <c r="L155" s="17">
        <f t="shared" si="221"/>
        <v>1.3852147007716666E-2</v>
      </c>
      <c r="M155" s="18">
        <f t="shared" si="222"/>
        <v>0.19991646446434244</v>
      </c>
      <c r="N155" s="19">
        <f t="shared" si="300"/>
        <v>1016.5418955666065</v>
      </c>
      <c r="O155" s="15">
        <f t="shared" si="223"/>
        <v>5.5330837911332135E-6</v>
      </c>
      <c r="P155" s="16">
        <f t="shared" si="224"/>
        <v>27.579231799015972</v>
      </c>
      <c r="Q155" s="17">
        <f t="shared" si="214"/>
        <v>1.3853771519504631E-2</v>
      </c>
      <c r="R155" s="18">
        <f t="shared" si="225"/>
        <v>0.19999197367770039</v>
      </c>
      <c r="S155" s="19">
        <f t="shared" si="301"/>
        <v>1015.0404483897344</v>
      </c>
      <c r="T155" s="15">
        <f t="shared" si="226"/>
        <v>5.5300808967794693E-6</v>
      </c>
      <c r="U155" s="16">
        <f t="shared" si="227"/>
        <v>27.561965156481946</v>
      </c>
      <c r="V155" s="17">
        <f t="shared" si="228"/>
        <v>1.3840097768364312E-2</v>
      </c>
      <c r="W155" s="18">
        <f t="shared" si="229"/>
        <v>0.20011726191094362</v>
      </c>
      <c r="X155" s="19">
        <f t="shared" si="302"/>
        <v>1012.9412716720256</v>
      </c>
      <c r="Y155" s="15">
        <f t="shared" si="230"/>
        <v>5.5258825433440519E-6</v>
      </c>
      <c r="Z155" s="16">
        <f t="shared" si="231"/>
        <v>27.537824624228293</v>
      </c>
      <c r="AA155" s="17">
        <f t="shared" si="232"/>
        <v>1.3829590576318322E-2</v>
      </c>
      <c r="AB155" s="18">
        <f t="shared" si="233"/>
        <v>0.20029269106272288</v>
      </c>
      <c r="AC155" s="19">
        <f t="shared" si="303"/>
        <v>1010.2429202803359</v>
      </c>
      <c r="AD155" s="15">
        <f t="shared" si="234"/>
        <v>5.5204858405606725E-6</v>
      </c>
      <c r="AE155" s="16">
        <f t="shared" si="235"/>
        <v>27.50679358322386</v>
      </c>
      <c r="AF155" s="17">
        <f t="shared" si="236"/>
        <v>1.3816084283093522E-2</v>
      </c>
      <c r="AG155" s="18">
        <f t="shared" si="237"/>
        <v>0.20051864581424456</v>
      </c>
      <c r="AH155" s="19">
        <f t="shared" si="304"/>
        <v>1006.9451314611675</v>
      </c>
      <c r="AI155" s="15">
        <f t="shared" si="238"/>
        <v>5.5138902629223353E-6</v>
      </c>
      <c r="AJ155" s="16">
        <f t="shared" si="239"/>
        <v>27.468869011803427</v>
      </c>
      <c r="AK155" s="17">
        <f t="shared" si="240"/>
        <v>1.3799577573506944E-2</v>
      </c>
      <c r="AL155" s="18">
        <f t="shared" si="241"/>
        <v>0.20079548952779691</v>
      </c>
      <c r="AM155" s="19">
        <f t="shared" si="305"/>
        <v>1003.0478382921124</v>
      </c>
      <c r="AN155" s="15">
        <f t="shared" si="242"/>
        <v>5.5060956765842254E-6</v>
      </c>
      <c r="AO155" s="16">
        <f t="shared" si="243"/>
        <v>27.424050140359292</v>
      </c>
      <c r="AP155" s="17">
        <f t="shared" si="244"/>
        <v>1.3780070112586033E-2</v>
      </c>
      <c r="AQ155" s="18">
        <f t="shared" si="245"/>
        <v>0.20112364773877042</v>
      </c>
      <c r="AR155" s="19">
        <f t="shared" si="306"/>
        <v>998.55102584265978</v>
      </c>
      <c r="AS155" s="15">
        <f t="shared" si="246"/>
        <v>5.4971020516853202E-6</v>
      </c>
      <c r="AT155" s="16">
        <f t="shared" si="247"/>
        <v>27.372336797190584</v>
      </c>
      <c r="AU155" s="17">
        <f t="shared" si="248"/>
        <v>1.3757561825597802E-2</v>
      </c>
      <c r="AV155" s="18">
        <f t="shared" si="249"/>
        <v>0.2015036217355804</v>
      </c>
      <c r="AW155" s="19">
        <f t="shared" si="307"/>
        <v>993.45466222910466</v>
      </c>
      <c r="AX155" s="15">
        <f t="shared" si="250"/>
        <v>5.4869093244582095E-6</v>
      </c>
      <c r="AY155" s="16">
        <f t="shared" si="251"/>
        <v>27.313728615634702</v>
      </c>
      <c r="AZ155" s="17">
        <f t="shared" si="252"/>
        <v>1.3732052552951965E-2</v>
      </c>
      <c r="BA155" s="18">
        <f t="shared" si="253"/>
        <v>0.20193599627561618</v>
      </c>
      <c r="BB155" s="19">
        <f t="shared" si="308"/>
        <v>987.75853786088919</v>
      </c>
      <c r="BC155" s="15">
        <f t="shared" si="254"/>
        <v>5.4755170757217785E-6</v>
      </c>
      <c r="BD155" s="16">
        <f t="shared" si="255"/>
        <v>27.248223185400224</v>
      </c>
      <c r="BE155" s="17">
        <f t="shared" si="256"/>
        <v>1.3703541245566652E-2</v>
      </c>
      <c r="BF155" s="18">
        <f t="shared" si="257"/>
        <v>0.20242145561092248</v>
      </c>
      <c r="BG155" s="19">
        <f t="shared" si="309"/>
        <v>981.46140055270712</v>
      </c>
      <c r="BH155" s="15">
        <f t="shared" si="258"/>
        <v>5.4629228011054148E-6</v>
      </c>
      <c r="BI155" s="16">
        <f t="shared" si="259"/>
        <v>27.175806106356131</v>
      </c>
      <c r="BJ155" s="17">
        <f t="shared" si="260"/>
        <v>1.3672021635769693E-2</v>
      </c>
      <c r="BK155" s="18">
        <f t="shared" si="261"/>
        <v>0.20296086078969905</v>
      </c>
      <c r="BL155" s="19">
        <f t="shared" si="310"/>
        <v>974.55649025686353</v>
      </c>
      <c r="BM155" s="15">
        <f t="shared" si="262"/>
        <v>5.4491129805137273E-6</v>
      </c>
      <c r="BN155" s="16">
        <f t="shared" si="263"/>
        <v>27.09639963795393</v>
      </c>
      <c r="BO155" s="17">
        <f t="shared" si="264"/>
        <v>1.3637459886905614E-2</v>
      </c>
      <c r="BP155" s="18">
        <f t="shared" si="265"/>
        <v>0.20355564110717733</v>
      </c>
      <c r="BQ155" s="19">
        <f t="shared" si="311"/>
        <v>967.01102324953433</v>
      </c>
      <c r="BR155" s="15">
        <f t="shared" si="266"/>
        <v>5.434022046499069E-6</v>
      </c>
      <c r="BS155" s="16">
        <f t="shared" si="267"/>
        <v>27.009626767369646</v>
      </c>
      <c r="BT155" s="17">
        <f t="shared" si="268"/>
        <v>1.3599691903746375E-2</v>
      </c>
      <c r="BU155" s="18">
        <f t="shared" si="269"/>
        <v>0.20420959710052089</v>
      </c>
      <c r="BV155" s="19">
        <f t="shared" si="312"/>
        <v>958.68392227356867</v>
      </c>
      <c r="BW155" s="15">
        <f t="shared" si="270"/>
        <v>5.4173678445471382E-6</v>
      </c>
      <c r="BX155" s="16">
        <f t="shared" si="271"/>
        <v>26.913865106146041</v>
      </c>
      <c r="BY155" s="17">
        <f t="shared" si="272"/>
        <v>1.3558011540010097E-2</v>
      </c>
      <c r="BZ155" s="18">
        <f t="shared" si="273"/>
        <v>0.20493619100217805</v>
      </c>
      <c r="CA155" s="19">
        <f t="shared" si="313"/>
        <v>949.04506520779171</v>
      </c>
      <c r="CB155" s="15">
        <f t="shared" si="274"/>
        <v>5.3980901304155836E-6</v>
      </c>
      <c r="CC155" s="16">
        <f t="shared" si="275"/>
        <v>26.803018249889604</v>
      </c>
      <c r="CD155" s="17">
        <f t="shared" si="276"/>
        <v>1.3509765329274432E-2</v>
      </c>
      <c r="CE155" s="18">
        <f t="shared" si="277"/>
        <v>0.20578372736147796</v>
      </c>
      <c r="CF155" s="19">
        <f t="shared" si="314"/>
        <v>936.3915402932879</v>
      </c>
      <c r="CG155" s="15">
        <f t="shared" si="278"/>
        <v>5.3727830805865763E-6</v>
      </c>
      <c r="CH155" s="16">
        <f t="shared" si="279"/>
        <v>26.657502713372811</v>
      </c>
      <c r="CI155" s="17">
        <f t="shared" si="280"/>
        <v>1.3446429539003029E-2</v>
      </c>
      <c r="CJ155" s="18">
        <f t="shared" si="281"/>
        <v>0.20690704074215741</v>
      </c>
      <c r="CK155" s="19">
        <f t="shared" si="315"/>
        <v>916.18342051487002</v>
      </c>
      <c r="CL155" s="15">
        <f t="shared" si="282"/>
        <v>5.3323668410297405E-6</v>
      </c>
      <c r="CM155" s="16">
        <f t="shared" si="283"/>
        <v>26.425109335921004</v>
      </c>
      <c r="CN155" s="17">
        <f t="shared" si="284"/>
        <v>1.3345280077116856E-2</v>
      </c>
      <c r="CO155" s="18">
        <f t="shared" si="285"/>
        <v>0.20872666712119631</v>
      </c>
      <c r="CP155" s="19">
        <f t="shared" si="316"/>
        <v>878.81451362539474</v>
      </c>
      <c r="CQ155" s="15">
        <f t="shared" si="286"/>
        <v>5.2576290272507902E-6</v>
      </c>
      <c r="CR155" s="16">
        <f t="shared" si="287"/>
        <v>25.995366906692041</v>
      </c>
      <c r="CS155" s="17">
        <f t="shared" si="288"/>
        <v>1.3158234232941799E-2</v>
      </c>
      <c r="CT155" s="18">
        <f t="shared" si="289"/>
        <v>0.2121772321890214</v>
      </c>
      <c r="CU155" s="19">
        <f t="shared" si="317"/>
        <v>809.36000887325861</v>
      </c>
      <c r="CV155" s="15">
        <f t="shared" si="290"/>
        <v>5.118720017746518E-6</v>
      </c>
      <c r="CW155" s="16">
        <f t="shared" si="291"/>
        <v>25.196640102042473</v>
      </c>
      <c r="CX155" s="17">
        <f t="shared" si="292"/>
        <v>1.2810587551395896E-2</v>
      </c>
      <c r="CY155" s="18">
        <f t="shared" si="293"/>
        <v>0.21890319414265461</v>
      </c>
      <c r="CZ155" s="20">
        <f t="shared" si="318"/>
        <v>693.73045053367957</v>
      </c>
      <c r="DA155" s="15">
        <f t="shared" si="294"/>
        <v>4.8874609010673592E-6</v>
      </c>
      <c r="DB155" s="16">
        <f t="shared" si="295"/>
        <v>25.12892553286602</v>
      </c>
      <c r="DC155" s="17">
        <f t="shared" si="296"/>
        <v>1.2231816852665417E-2</v>
      </c>
      <c r="DD155" s="18">
        <f t="shared" si="297"/>
        <v>0.21949306956185358</v>
      </c>
    </row>
    <row r="156" spans="2:108" x14ac:dyDescent="0.25">
      <c r="B156">
        <v>137</v>
      </c>
      <c r="C156">
        <f t="shared" si="298"/>
        <v>0.13393320928929944</v>
      </c>
      <c r="D156" s="19">
        <f t="shared" si="215"/>
        <v>1017.755685298681</v>
      </c>
      <c r="E156" s="15">
        <f t="shared" si="216"/>
        <v>5.5355113705973625E-6</v>
      </c>
      <c r="F156" s="16">
        <f t="shared" si="217"/>
        <v>27.593190380934828</v>
      </c>
      <c r="G156" s="17">
        <f t="shared" si="213"/>
        <v>1.3853688580139228E-2</v>
      </c>
      <c r="H156" s="18">
        <f t="shared" si="218"/>
        <v>0.19989080363142611</v>
      </c>
      <c r="I156" s="19">
        <f t="shared" si="299"/>
        <v>1017.4311276125312</v>
      </c>
      <c r="J156" s="15">
        <f t="shared" si="219"/>
        <v>5.5348622552250636E-6</v>
      </c>
      <c r="K156" s="16">
        <f t="shared" si="220"/>
        <v>27.589457967544107</v>
      </c>
      <c r="L156" s="17">
        <f t="shared" si="221"/>
        <v>1.3852064043286467E-2</v>
      </c>
      <c r="M156" s="18">
        <f t="shared" si="222"/>
        <v>0.19991784566730206</v>
      </c>
      <c r="N156" s="19">
        <f t="shared" si="300"/>
        <v>1016.525308361739</v>
      </c>
      <c r="O156" s="15">
        <f t="shared" si="223"/>
        <v>5.533050616723478E-6</v>
      </c>
      <c r="P156" s="16">
        <f t="shared" si="224"/>
        <v>27.579041046159997</v>
      </c>
      <c r="Q156" s="17">
        <f t="shared" si="214"/>
        <v>1.3853688580139228E-2</v>
      </c>
      <c r="R156" s="18">
        <f t="shared" si="225"/>
        <v>0.19999335693972489</v>
      </c>
      <c r="S156" s="19">
        <f t="shared" si="301"/>
        <v>1015.0238539771321</v>
      </c>
      <c r="T156" s="15">
        <f t="shared" si="226"/>
        <v>5.5300477079542647E-6</v>
      </c>
      <c r="U156" s="16">
        <f t="shared" si="227"/>
        <v>27.561774320737019</v>
      </c>
      <c r="V156" s="17">
        <f t="shared" si="228"/>
        <v>1.3840014706905679E-2</v>
      </c>
      <c r="W156" s="18">
        <f t="shared" si="229"/>
        <v>0.20011864750848554</v>
      </c>
      <c r="X156" s="19">
        <f t="shared" si="302"/>
        <v>1012.9246793532768</v>
      </c>
      <c r="Y156" s="15">
        <f t="shared" si="230"/>
        <v>5.5258493587065544E-6</v>
      </c>
      <c r="Z156" s="16">
        <f t="shared" si="231"/>
        <v>27.537633812562682</v>
      </c>
      <c r="AA156" s="17">
        <f t="shared" si="232"/>
        <v>1.3829507525340234E-2</v>
      </c>
      <c r="AB156" s="18">
        <f t="shared" si="233"/>
        <v>0.20029407891551559</v>
      </c>
      <c r="AC156" s="19">
        <f t="shared" si="303"/>
        <v>1010.2263379893046</v>
      </c>
      <c r="AD156" s="15">
        <f t="shared" si="234"/>
        <v>5.5204526759786096E-6</v>
      </c>
      <c r="AE156" s="16">
        <f t="shared" si="235"/>
        <v>27.506602886877005</v>
      </c>
      <c r="AF156" s="17">
        <f t="shared" si="236"/>
        <v>1.3816001282308043E-2</v>
      </c>
      <c r="AG156" s="18">
        <f t="shared" si="237"/>
        <v>0.20052003595949042</v>
      </c>
      <c r="AH156" s="19">
        <f t="shared" si="304"/>
        <v>1006.9285647698027</v>
      </c>
      <c r="AI156" s="15">
        <f t="shared" si="238"/>
        <v>5.5138571295396062E-6</v>
      </c>
      <c r="AJ156" s="16">
        <f t="shared" si="239"/>
        <v>27.468678494852732</v>
      </c>
      <c r="AK156" s="17">
        <f t="shared" si="240"/>
        <v>1.3799494650803835E-2</v>
      </c>
      <c r="AL156" s="18">
        <f t="shared" si="241"/>
        <v>0.20079688220288994</v>
      </c>
      <c r="AM156" s="19">
        <f t="shared" si="305"/>
        <v>1003.0312913421823</v>
      </c>
      <c r="AN156" s="15">
        <f t="shared" si="242"/>
        <v>5.506062582684365E-6</v>
      </c>
      <c r="AO156" s="16">
        <f t="shared" si="243"/>
        <v>27.423859850435093</v>
      </c>
      <c r="AP156" s="17">
        <f t="shared" si="244"/>
        <v>1.3779987288696444E-2</v>
      </c>
      <c r="AQ156" s="18">
        <f t="shared" si="245"/>
        <v>0.20112504330467149</v>
      </c>
      <c r="AR156" s="19">
        <f t="shared" si="306"/>
        <v>998.53450191997661</v>
      </c>
      <c r="AS156" s="15">
        <f t="shared" si="246"/>
        <v>5.4970690038399532E-6</v>
      </c>
      <c r="AT156" s="16">
        <f t="shared" si="247"/>
        <v>27.372146772079731</v>
      </c>
      <c r="AU156" s="17">
        <f t="shared" si="248"/>
        <v>1.3757479116968497E-2</v>
      </c>
      <c r="AV156" s="18">
        <f t="shared" si="249"/>
        <v>0.2015050206301712</v>
      </c>
      <c r="AW156" s="19">
        <f t="shared" si="307"/>
        <v>993.43816228704566</v>
      </c>
      <c r="AX156" s="15">
        <f t="shared" si="250"/>
        <v>5.4868763245740918E-6</v>
      </c>
      <c r="AY156" s="16">
        <f t="shared" si="251"/>
        <v>27.313538866301023</v>
      </c>
      <c r="AZ156" s="17">
        <f t="shared" si="252"/>
        <v>1.3731969964354969E-2</v>
      </c>
      <c r="BA156" s="18">
        <f t="shared" si="253"/>
        <v>0.20193739914109349</v>
      </c>
      <c r="BB156" s="19">
        <f t="shared" si="308"/>
        <v>987.74205021379362</v>
      </c>
      <c r="BC156" s="15">
        <f t="shared" si="254"/>
        <v>5.475484100427588E-6</v>
      </c>
      <c r="BD156" s="16">
        <f t="shared" si="255"/>
        <v>27.248033577458628</v>
      </c>
      <c r="BE156" s="17">
        <f t="shared" si="256"/>
        <v>1.3703458718510707E-2</v>
      </c>
      <c r="BF156" s="18">
        <f t="shared" si="257"/>
        <v>0.20242286417919306</v>
      </c>
      <c r="BG156" s="19">
        <f t="shared" si="309"/>
        <v>981.44484861000853</v>
      </c>
      <c r="BH156" s="15">
        <f t="shared" si="258"/>
        <v>5.4628896972200177E-6</v>
      </c>
      <c r="BI156" s="16">
        <f t="shared" si="259"/>
        <v>27.175615759015095</v>
      </c>
      <c r="BJ156" s="17">
        <f t="shared" si="260"/>
        <v>1.3671938786889368E-2</v>
      </c>
      <c r="BK156" s="18">
        <f t="shared" si="261"/>
        <v>0.20296228239723604</v>
      </c>
      <c r="BL156" s="19">
        <f t="shared" si="310"/>
        <v>974.53950074330055</v>
      </c>
      <c r="BM156" s="15">
        <f t="shared" si="262"/>
        <v>5.4490790014866014E-6</v>
      </c>
      <c r="BN156" s="16">
        <f t="shared" si="263"/>
        <v>27.096204258547957</v>
      </c>
      <c r="BO156" s="17">
        <f t="shared" si="264"/>
        <v>1.3637374847813735E-2</v>
      </c>
      <c r="BP156" s="18">
        <f t="shared" si="265"/>
        <v>0.20355710886184372</v>
      </c>
      <c r="BQ156" s="19">
        <f t="shared" si="311"/>
        <v>966.99203842336465</v>
      </c>
      <c r="BR156" s="15">
        <f t="shared" si="266"/>
        <v>5.4339840768467299E-6</v>
      </c>
      <c r="BS156" s="16">
        <f t="shared" si="267"/>
        <v>27.009408441868693</v>
      </c>
      <c r="BT156" s="17">
        <f t="shared" si="268"/>
        <v>1.3599596877342529E-2</v>
      </c>
      <c r="BU156" s="18">
        <f t="shared" si="269"/>
        <v>0.20421124779060107</v>
      </c>
      <c r="BV156" s="19">
        <f t="shared" si="312"/>
        <v>958.65735685572861</v>
      </c>
      <c r="BW156" s="15">
        <f t="shared" si="270"/>
        <v>5.4173147137114578E-6</v>
      </c>
      <c r="BX156" s="16">
        <f t="shared" si="271"/>
        <v>26.913559603840881</v>
      </c>
      <c r="BY156" s="17">
        <f t="shared" si="272"/>
        <v>1.3557878569810555E-2</v>
      </c>
      <c r="BZ156" s="18">
        <f t="shared" si="273"/>
        <v>0.20493851728230167</v>
      </c>
      <c r="CA156" s="19">
        <f t="shared" si="313"/>
        <v>948.9941181269063</v>
      </c>
      <c r="CB156" s="15">
        <f t="shared" si="274"/>
        <v>5.3979882362538133E-6</v>
      </c>
      <c r="CC156" s="16">
        <f t="shared" si="275"/>
        <v>26.80243235845942</v>
      </c>
      <c r="CD156" s="17">
        <f t="shared" si="276"/>
        <v>1.3509510319413411E-2</v>
      </c>
      <c r="CE156" s="18">
        <f t="shared" si="277"/>
        <v>0.20578822571896729</v>
      </c>
      <c r="CF156" s="19">
        <f t="shared" si="314"/>
        <v>936.27560814326205</v>
      </c>
      <c r="CG156" s="15">
        <f t="shared" si="278"/>
        <v>5.3725512162865242E-6</v>
      </c>
      <c r="CH156" s="16">
        <f t="shared" si="279"/>
        <v>26.656169493647511</v>
      </c>
      <c r="CI156" s="17">
        <f t="shared" si="280"/>
        <v>1.3445849253715777E-2</v>
      </c>
      <c r="CJ156" s="18">
        <f t="shared" si="281"/>
        <v>0.20691738928635039</v>
      </c>
      <c r="CK156" s="19">
        <f t="shared" si="315"/>
        <v>915.92990939297454</v>
      </c>
      <c r="CL156" s="15">
        <f t="shared" si="282"/>
        <v>5.3318598187859503E-6</v>
      </c>
      <c r="CM156" s="16">
        <f t="shared" si="283"/>
        <v>26.422193958019207</v>
      </c>
      <c r="CN156" s="17">
        <f t="shared" si="284"/>
        <v>1.3344011155819723E-2</v>
      </c>
      <c r="CO156" s="18">
        <f t="shared" si="285"/>
        <v>0.20874969765052356</v>
      </c>
      <c r="CP156" s="19">
        <f t="shared" si="316"/>
        <v>878.34676713855629</v>
      </c>
      <c r="CQ156" s="15">
        <f t="shared" si="286"/>
        <v>5.2566935342771124E-6</v>
      </c>
      <c r="CR156" s="16">
        <f t="shared" si="287"/>
        <v>25.989987822093397</v>
      </c>
      <c r="CS156" s="17">
        <f t="shared" si="288"/>
        <v>1.3155892980714392E-2</v>
      </c>
      <c r="CT156" s="18">
        <f t="shared" si="289"/>
        <v>0.21222114599497097</v>
      </c>
      <c r="CU156" s="19">
        <f t="shared" si="317"/>
        <v>808.6884572802395</v>
      </c>
      <c r="CV156" s="15">
        <f t="shared" si="290"/>
        <v>5.1173769145604794E-6</v>
      </c>
      <c r="CW156" s="16">
        <f t="shared" si="291"/>
        <v>25.188917258722753</v>
      </c>
      <c r="CX156" s="17">
        <f t="shared" si="292"/>
        <v>1.2807226175720795E-2</v>
      </c>
      <c r="CY156" s="18">
        <f t="shared" si="293"/>
        <v>0.21897030917793722</v>
      </c>
      <c r="CZ156" s="20">
        <f t="shared" si="318"/>
        <v>693.03522941181825</v>
      </c>
      <c r="DA156" s="15">
        <f t="shared" si="294"/>
        <v>4.8860704588236369E-6</v>
      </c>
      <c r="DB156" s="16">
        <f t="shared" si="295"/>
        <v>25.26852593413571</v>
      </c>
      <c r="DC156" s="17">
        <f t="shared" si="296"/>
        <v>1.2228337001836183E-2</v>
      </c>
      <c r="DD156" s="18">
        <f t="shared" si="297"/>
        <v>0.21828044162041293</v>
      </c>
    </row>
    <row r="157" spans="2:108" x14ac:dyDescent="0.25">
      <c r="B157">
        <v>138</v>
      </c>
      <c r="C157">
        <f t="shared" si="298"/>
        <v>0.13491082395564469</v>
      </c>
      <c r="D157" s="19">
        <f t="shared" si="215"/>
        <v>1017.7391150227828</v>
      </c>
      <c r="E157" s="15">
        <f t="shared" si="216"/>
        <v>5.5354782300455668E-6</v>
      </c>
      <c r="F157" s="16">
        <f t="shared" si="217"/>
        <v>27.592999822762003</v>
      </c>
      <c r="G157" s="17">
        <f t="shared" si="213"/>
        <v>1.3853605639494143E-2</v>
      </c>
      <c r="H157" s="18">
        <f t="shared" si="218"/>
        <v>0.1998921840839521</v>
      </c>
      <c r="I157" s="19">
        <f t="shared" si="299"/>
        <v>1017.4145524656051</v>
      </c>
      <c r="J157" s="15">
        <f t="shared" si="219"/>
        <v>5.5348291049312107E-6</v>
      </c>
      <c r="K157" s="16">
        <f t="shared" si="220"/>
        <v>27.589267353354458</v>
      </c>
      <c r="L157" s="17">
        <f t="shared" si="221"/>
        <v>1.3851981078259998E-2</v>
      </c>
      <c r="M157" s="18">
        <f t="shared" si="222"/>
        <v>0.19991922689927391</v>
      </c>
      <c r="N157" s="19">
        <f t="shared" si="300"/>
        <v>1016.508721257924</v>
      </c>
      <c r="O157" s="15">
        <f t="shared" si="223"/>
        <v>5.5330174425158487E-6</v>
      </c>
      <c r="P157" s="16">
        <f t="shared" si="224"/>
        <v>27.578850294466125</v>
      </c>
      <c r="Q157" s="17">
        <f t="shared" si="214"/>
        <v>1.3853605639494143E-2</v>
      </c>
      <c r="R157" s="18">
        <f t="shared" si="225"/>
        <v>0.19999474021245714</v>
      </c>
      <c r="S157" s="19">
        <f t="shared" si="301"/>
        <v>1015.0072597809319</v>
      </c>
      <c r="T157" s="15">
        <f t="shared" si="226"/>
        <v>5.5300145195618643E-6</v>
      </c>
      <c r="U157" s="16">
        <f t="shared" si="227"/>
        <v>27.561583487480718</v>
      </c>
      <c r="V157" s="17">
        <f t="shared" si="228"/>
        <v>1.3839931646530221E-2</v>
      </c>
      <c r="W157" s="18">
        <f t="shared" si="229"/>
        <v>0.20012003310714566</v>
      </c>
      <c r="X157" s="19">
        <f t="shared" si="302"/>
        <v>1012.9080872648807</v>
      </c>
      <c r="Y157" s="15">
        <f t="shared" si="230"/>
        <v>5.5258161745297616E-6</v>
      </c>
      <c r="Z157" s="16">
        <f t="shared" si="231"/>
        <v>27.537443003546127</v>
      </c>
      <c r="AA157" s="17">
        <f t="shared" si="232"/>
        <v>1.3829424475515151E-2</v>
      </c>
      <c r="AB157" s="18">
        <f t="shared" si="233"/>
        <v>0.20029546676827353</v>
      </c>
      <c r="AC157" s="19">
        <f t="shared" si="303"/>
        <v>1010.2097559103524</v>
      </c>
      <c r="AD157" s="15">
        <f t="shared" si="234"/>
        <v>5.5204195118207053E-6</v>
      </c>
      <c r="AE157" s="16">
        <f t="shared" si="235"/>
        <v>27.506412192969051</v>
      </c>
      <c r="AF157" s="17">
        <f t="shared" si="236"/>
        <v>1.38159182825841E-2</v>
      </c>
      <c r="AG157" s="18">
        <f t="shared" si="237"/>
        <v>0.20052142610623191</v>
      </c>
      <c r="AH157" s="19">
        <f t="shared" si="304"/>
        <v>1006.911998275874</v>
      </c>
      <c r="AI157" s="15">
        <f t="shared" si="238"/>
        <v>5.5138239965517486E-6</v>
      </c>
      <c r="AJ157" s="16">
        <f t="shared" si="239"/>
        <v>27.468487980172551</v>
      </c>
      <c r="AK157" s="17">
        <f t="shared" si="240"/>
        <v>1.3799411729088969E-2</v>
      </c>
      <c r="AL157" s="18">
        <f t="shared" si="241"/>
        <v>0.20079827488070395</v>
      </c>
      <c r="AM157" s="19">
        <f t="shared" si="305"/>
        <v>1003.0147445791816</v>
      </c>
      <c r="AN157" s="15">
        <f t="shared" si="242"/>
        <v>5.5060294891583638E-6</v>
      </c>
      <c r="AO157" s="16">
        <f t="shared" si="243"/>
        <v>27.423669562660589</v>
      </c>
      <c r="AP157" s="17">
        <f t="shared" si="244"/>
        <v>1.3779904465742513E-2</v>
      </c>
      <c r="AQ157" s="18">
        <f t="shared" si="245"/>
        <v>0.20112643887417397</v>
      </c>
      <c r="AR157" s="19">
        <f t="shared" si="306"/>
        <v>998.51797815023122</v>
      </c>
      <c r="AS157" s="15">
        <f t="shared" si="246"/>
        <v>5.4970359563004625E-6</v>
      </c>
      <c r="AT157" s="16">
        <f t="shared" si="247"/>
        <v>27.371956748727658</v>
      </c>
      <c r="AU157" s="17">
        <f t="shared" si="248"/>
        <v>1.3757396409104708E-2</v>
      </c>
      <c r="AV157" s="18">
        <f t="shared" si="249"/>
        <v>0.20150641953123738</v>
      </c>
      <c r="AW157" s="19">
        <f t="shared" si="307"/>
        <v>993.42166231114288</v>
      </c>
      <c r="AX157" s="15">
        <f t="shared" si="250"/>
        <v>5.4868433246222861E-6</v>
      </c>
      <c r="AY157" s="16">
        <f t="shared" si="251"/>
        <v>27.313349116578141</v>
      </c>
      <c r="AZ157" s="17">
        <f t="shared" si="252"/>
        <v>1.3731887375588572E-2</v>
      </c>
      <c r="BA157" s="18">
        <f t="shared" si="253"/>
        <v>0.20193880202894013</v>
      </c>
      <c r="BB157" s="19">
        <f t="shared" si="308"/>
        <v>987.72556157842405</v>
      </c>
      <c r="BC157" s="15">
        <f t="shared" si="254"/>
        <v>5.4754511231568487E-6</v>
      </c>
      <c r="BD157" s="16">
        <f t="shared" si="255"/>
        <v>27.247843958151876</v>
      </c>
      <c r="BE157" s="17">
        <f t="shared" si="256"/>
        <v>1.3703376186508071E-2</v>
      </c>
      <c r="BF157" s="18">
        <f t="shared" si="257"/>
        <v>0.20242427285149886</v>
      </c>
      <c r="BG157" s="19">
        <f t="shared" si="309"/>
        <v>981.4282913392633</v>
      </c>
      <c r="BH157" s="15">
        <f t="shared" si="258"/>
        <v>5.4628565826785268E-6</v>
      </c>
      <c r="BI157" s="16">
        <f t="shared" si="259"/>
        <v>27.175425350401525</v>
      </c>
      <c r="BJ157" s="17">
        <f t="shared" si="260"/>
        <v>1.3671855911340104E-2</v>
      </c>
      <c r="BK157" s="18">
        <f t="shared" si="261"/>
        <v>0.20296370448231107</v>
      </c>
      <c r="BL157" s="19">
        <f t="shared" si="310"/>
        <v>974.52248864958472</v>
      </c>
      <c r="BM157" s="15">
        <f t="shared" si="262"/>
        <v>5.4490449772991693E-6</v>
      </c>
      <c r="BN157" s="16">
        <f t="shared" si="263"/>
        <v>27.096008619470226</v>
      </c>
      <c r="BO157" s="17">
        <f t="shared" si="264"/>
        <v>1.3637289695699445E-2</v>
      </c>
      <c r="BP157" s="18">
        <f t="shared" si="265"/>
        <v>0.20355857858845927</v>
      </c>
      <c r="BQ157" s="19">
        <f t="shared" si="311"/>
        <v>966.97297252499959</v>
      </c>
      <c r="BR157" s="15">
        <f t="shared" si="266"/>
        <v>5.4339459450499994E-6</v>
      </c>
      <c r="BS157" s="16">
        <f t="shared" si="267"/>
        <v>27.009189184037496</v>
      </c>
      <c r="BT157" s="17">
        <f t="shared" si="268"/>
        <v>1.3599501445140959E-2</v>
      </c>
      <c r="BU157" s="18">
        <f t="shared" si="269"/>
        <v>0.20421290555659291</v>
      </c>
      <c r="BV157" s="19">
        <f t="shared" si="312"/>
        <v>958.63054761415651</v>
      </c>
      <c r="BW157" s="15">
        <f t="shared" si="270"/>
        <v>5.4172610952283141E-6</v>
      </c>
      <c r="BX157" s="16">
        <f t="shared" si="271"/>
        <v>26.913251297562798</v>
      </c>
      <c r="BY157" s="17">
        <f t="shared" si="272"/>
        <v>1.3557744379178853E-2</v>
      </c>
      <c r="BZ157" s="18">
        <f t="shared" si="273"/>
        <v>0.20494086496712058</v>
      </c>
      <c r="CA157" s="19">
        <f t="shared" si="313"/>
        <v>948.94258067263092</v>
      </c>
      <c r="CB157" s="15">
        <f t="shared" si="274"/>
        <v>5.3978851613452619E-6</v>
      </c>
      <c r="CC157" s="16">
        <f t="shared" si="275"/>
        <v>26.801839677735256</v>
      </c>
      <c r="CD157" s="17">
        <f t="shared" si="276"/>
        <v>1.3509252354505041E-2</v>
      </c>
      <c r="CE157" s="18">
        <f t="shared" si="277"/>
        <v>0.20579277640340202</v>
      </c>
      <c r="CF157" s="19">
        <f t="shared" si="314"/>
        <v>936.15861200234269</v>
      </c>
      <c r="CG157" s="15">
        <f t="shared" si="278"/>
        <v>5.3723172240046858E-6</v>
      </c>
      <c r="CH157" s="16">
        <f t="shared" si="279"/>
        <v>26.654824038026938</v>
      </c>
      <c r="CI157" s="17">
        <f t="shared" si="280"/>
        <v>1.3445263642742242E-2</v>
      </c>
      <c r="CJ157" s="18">
        <f t="shared" si="281"/>
        <v>0.20692783385593422</v>
      </c>
      <c r="CK157" s="19">
        <f t="shared" si="315"/>
        <v>915.67523952230442</v>
      </c>
      <c r="CL157" s="15">
        <f t="shared" si="282"/>
        <v>5.3313504790446098E-6</v>
      </c>
      <c r="CM157" s="16">
        <f t="shared" si="283"/>
        <v>26.419265254506499</v>
      </c>
      <c r="CN157" s="17">
        <f t="shared" si="284"/>
        <v>1.3342736434536429E-2</v>
      </c>
      <c r="CO157" s="18">
        <f t="shared" si="285"/>
        <v>0.2087728385655678</v>
      </c>
      <c r="CP157" s="19">
        <f t="shared" si="316"/>
        <v>877.87904956361285</v>
      </c>
      <c r="CQ157" s="15">
        <f t="shared" si="286"/>
        <v>5.2557580991272263E-6</v>
      </c>
      <c r="CR157" s="16">
        <f t="shared" si="287"/>
        <v>25.984609069981545</v>
      </c>
      <c r="CS157" s="17">
        <f t="shared" si="288"/>
        <v>1.3153551873202217E-2</v>
      </c>
      <c r="CT157" s="18">
        <f t="shared" si="289"/>
        <v>0.21226507526610702</v>
      </c>
      <c r="CU157" s="19">
        <f t="shared" si="317"/>
        <v>808.01931587386377</v>
      </c>
      <c r="CV157" s="15">
        <f t="shared" si="290"/>
        <v>5.1160386317477284E-6</v>
      </c>
      <c r="CW157" s="16">
        <f t="shared" si="291"/>
        <v>25.181222132549433</v>
      </c>
      <c r="CX157" s="17">
        <f t="shared" si="292"/>
        <v>1.2803876863962808E-2</v>
      </c>
      <c r="CY157" s="18">
        <f t="shared" si="293"/>
        <v>0.21903722428429964</v>
      </c>
      <c r="CZ157" s="20">
        <f t="shared" si="318"/>
        <v>692.34348101586954</v>
      </c>
      <c r="DA157" s="15">
        <f t="shared" si="294"/>
        <v>4.88468696203174E-6</v>
      </c>
      <c r="DB157" s="16">
        <f t="shared" si="295"/>
        <v>25.407429012042172</v>
      </c>
      <c r="DC157" s="17">
        <f t="shared" si="296"/>
        <v>1.2224874533344409E-2</v>
      </c>
      <c r="DD157" s="18">
        <f t="shared" si="297"/>
        <v>0.21708709674582974</v>
      </c>
    </row>
    <row r="158" spans="2:108" x14ac:dyDescent="0.25">
      <c r="B158">
        <v>139</v>
      </c>
      <c r="C158">
        <f t="shared" si="298"/>
        <v>0.13588843862198996</v>
      </c>
      <c r="D158" s="19">
        <f t="shared" si="215"/>
        <v>1017.7225444981946</v>
      </c>
      <c r="E158" s="15">
        <f t="shared" si="216"/>
        <v>5.5354450889963891E-6</v>
      </c>
      <c r="F158" s="16">
        <f t="shared" si="217"/>
        <v>27.592809261729236</v>
      </c>
      <c r="G158" s="17">
        <f t="shared" si="213"/>
        <v>1.3853522697604264E-2</v>
      </c>
      <c r="H158" s="18">
        <f t="shared" si="218"/>
        <v>0.1998935645762637</v>
      </c>
      <c r="I158" s="19">
        <f t="shared" si="299"/>
        <v>1017.3979772031877</v>
      </c>
      <c r="J158" s="15">
        <f t="shared" si="219"/>
        <v>5.5347959544063754E-6</v>
      </c>
      <c r="K158" s="16">
        <f t="shared" si="220"/>
        <v>27.589076737836656</v>
      </c>
      <c r="L158" s="17">
        <f t="shared" si="221"/>
        <v>1.3851898112655452E-2</v>
      </c>
      <c r="M158" s="18">
        <f t="shared" si="222"/>
        <v>0.19992060815995602</v>
      </c>
      <c r="N158" s="19">
        <f t="shared" si="300"/>
        <v>1016.4921342548718</v>
      </c>
      <c r="O158" s="15">
        <f t="shared" si="223"/>
        <v>5.5329842685097439E-6</v>
      </c>
      <c r="P158" s="16">
        <f t="shared" si="224"/>
        <v>27.578659543931025</v>
      </c>
      <c r="Q158" s="17">
        <f t="shared" si="214"/>
        <v>1.3853522697604264E-2</v>
      </c>
      <c r="R158" s="18">
        <f t="shared" si="225"/>
        <v>0.19999612349592139</v>
      </c>
      <c r="S158" s="19">
        <f t="shared" si="301"/>
        <v>1014.9906658000276</v>
      </c>
      <c r="T158" s="15">
        <f t="shared" si="226"/>
        <v>5.5299813316000565E-6</v>
      </c>
      <c r="U158" s="16">
        <f t="shared" si="227"/>
        <v>27.561392656700317</v>
      </c>
      <c r="V158" s="17">
        <f t="shared" si="228"/>
        <v>1.3839848587232407E-2</v>
      </c>
      <c r="W158" s="18">
        <f t="shared" si="229"/>
        <v>0.200121418707016</v>
      </c>
      <c r="X158" s="19">
        <f t="shared" si="302"/>
        <v>1012.8914954063807</v>
      </c>
      <c r="Y158" s="15">
        <f t="shared" si="230"/>
        <v>5.525782990812762E-6</v>
      </c>
      <c r="Z158" s="16">
        <f t="shared" si="231"/>
        <v>27.537252197173377</v>
      </c>
      <c r="AA158" s="17">
        <f t="shared" si="232"/>
        <v>1.382934142684079E-2</v>
      </c>
      <c r="AB158" s="18">
        <f t="shared" si="233"/>
        <v>0.20029685462103455</v>
      </c>
      <c r="AC158" s="19">
        <f t="shared" si="303"/>
        <v>1010.1931740434813</v>
      </c>
      <c r="AD158" s="15">
        <f t="shared" si="234"/>
        <v>5.5203863480869629E-6</v>
      </c>
      <c r="AE158" s="16">
        <f t="shared" si="235"/>
        <v>27.506221501500036</v>
      </c>
      <c r="AF158" s="17">
        <f t="shared" si="236"/>
        <v>1.3815835283921709E-2</v>
      </c>
      <c r="AG158" s="18">
        <f t="shared" si="237"/>
        <v>0.20052281625446841</v>
      </c>
      <c r="AH158" s="19">
        <f t="shared" si="304"/>
        <v>1006.895431979407</v>
      </c>
      <c r="AI158" s="15">
        <f t="shared" si="238"/>
        <v>5.5137908639588142E-6</v>
      </c>
      <c r="AJ158" s="16">
        <f t="shared" si="239"/>
        <v>27.468297467763179</v>
      </c>
      <c r="AK158" s="17">
        <f t="shared" si="240"/>
        <v>1.3799328808362476E-2</v>
      </c>
      <c r="AL158" s="18">
        <f t="shared" si="241"/>
        <v>0.20079966756123646</v>
      </c>
      <c r="AM158" s="19">
        <f t="shared" si="305"/>
        <v>1002.9981980027403</v>
      </c>
      <c r="AN158" s="15">
        <f t="shared" si="242"/>
        <v>5.5059963960054807E-6</v>
      </c>
      <c r="AO158" s="16">
        <f t="shared" si="243"/>
        <v>27.423479277031511</v>
      </c>
      <c r="AP158" s="17">
        <f t="shared" si="244"/>
        <v>1.377982164372238E-2</v>
      </c>
      <c r="AQ158" s="18">
        <f t="shared" si="245"/>
        <v>0.20112783444730889</v>
      </c>
      <c r="AR158" s="19">
        <f t="shared" si="306"/>
        <v>998.50145453112623</v>
      </c>
      <c r="AS158" s="15">
        <f t="shared" si="246"/>
        <v>5.497002909062253E-6</v>
      </c>
      <c r="AT158" s="16">
        <f t="shared" si="247"/>
        <v>27.37176672710795</v>
      </c>
      <c r="AU158" s="17">
        <f t="shared" si="248"/>
        <v>1.3757313701994935E-2</v>
      </c>
      <c r="AV158" s="18">
        <f t="shared" si="249"/>
        <v>0.20150781843897334</v>
      </c>
      <c r="AW158" s="19">
        <f t="shared" si="307"/>
        <v>993.4051622899641</v>
      </c>
      <c r="AX158" s="15">
        <f t="shared" si="250"/>
        <v>5.4868103245799282E-6</v>
      </c>
      <c r="AY158" s="16">
        <f t="shared" si="251"/>
        <v>27.313159366334588</v>
      </c>
      <c r="AZ158" s="17">
        <f t="shared" si="252"/>
        <v>1.3731804786595549E-2</v>
      </c>
      <c r="BA158" s="18">
        <f t="shared" si="253"/>
        <v>0.2019402049401286</v>
      </c>
      <c r="BB158" s="19">
        <f t="shared" si="308"/>
        <v>987.70907190467199</v>
      </c>
      <c r="BC158" s="15">
        <f t="shared" si="254"/>
        <v>5.4754181438093446E-6</v>
      </c>
      <c r="BD158" s="16">
        <f t="shared" si="255"/>
        <v>27.247654326903728</v>
      </c>
      <c r="BE158" s="17">
        <f t="shared" si="256"/>
        <v>1.3703293649307923E-2</v>
      </c>
      <c r="BF158" s="18">
        <f t="shared" si="257"/>
        <v>0.20242568163212474</v>
      </c>
      <c r="BG158" s="19">
        <f t="shared" si="309"/>
        <v>981.41172855015247</v>
      </c>
      <c r="BH158" s="15">
        <f t="shared" si="258"/>
        <v>5.4628234571003051E-6</v>
      </c>
      <c r="BI158" s="16">
        <f t="shared" si="259"/>
        <v>27.175234878326755</v>
      </c>
      <c r="BJ158" s="17">
        <f t="shared" si="260"/>
        <v>1.3671773008169288E-2</v>
      </c>
      <c r="BK158" s="18">
        <f t="shared" si="261"/>
        <v>0.20296512706129038</v>
      </c>
      <c r="BL158" s="19">
        <f t="shared" si="310"/>
        <v>974.50545336905418</v>
      </c>
      <c r="BM158" s="15">
        <f t="shared" si="262"/>
        <v>5.449010906738109E-6</v>
      </c>
      <c r="BN158" s="16">
        <f t="shared" si="263"/>
        <v>27.095812713744124</v>
      </c>
      <c r="BO158" s="17">
        <f t="shared" si="264"/>
        <v>1.3637204427526176E-2</v>
      </c>
      <c r="BP158" s="18">
        <f t="shared" si="265"/>
        <v>0.20356005033952149</v>
      </c>
      <c r="BQ158" s="19">
        <f t="shared" si="311"/>
        <v>966.95382401776396</v>
      </c>
      <c r="BR158" s="15">
        <f t="shared" si="266"/>
        <v>5.4339076480355283E-6</v>
      </c>
      <c r="BS158" s="16">
        <f t="shared" si="267"/>
        <v>27.008968976204287</v>
      </c>
      <c r="BT158" s="17">
        <f t="shared" si="268"/>
        <v>1.3599405599450018E-2</v>
      </c>
      <c r="BU158" s="18">
        <f t="shared" si="269"/>
        <v>0.20421457053245651</v>
      </c>
      <c r="BV158" s="19">
        <f t="shared" si="312"/>
        <v>958.60349180619028</v>
      </c>
      <c r="BW158" s="15">
        <f t="shared" si="270"/>
        <v>5.4172069836123811E-6</v>
      </c>
      <c r="BX158" s="16">
        <f t="shared" si="271"/>
        <v>26.912940155771189</v>
      </c>
      <c r="BY158" s="17">
        <f t="shared" si="272"/>
        <v>1.3557608954386903E-2</v>
      </c>
      <c r="BZ158" s="18">
        <f t="shared" si="273"/>
        <v>0.20494323429828731</v>
      </c>
      <c r="CA158" s="19">
        <f t="shared" si="313"/>
        <v>948.8904507680212</v>
      </c>
      <c r="CB158" s="15">
        <f t="shared" si="274"/>
        <v>5.3977809015360434E-6</v>
      </c>
      <c r="CC158" s="16">
        <f t="shared" si="275"/>
        <v>26.801240183832242</v>
      </c>
      <c r="CD158" s="17">
        <f t="shared" si="276"/>
        <v>1.350899142415342E-2</v>
      </c>
      <c r="CE158" s="18">
        <f t="shared" si="277"/>
        <v>0.20579737960511552</v>
      </c>
      <c r="CF158" s="19">
        <f t="shared" si="314"/>
        <v>936.04055681523369</v>
      </c>
      <c r="CG158" s="15">
        <f t="shared" si="278"/>
        <v>5.372081113630468E-6</v>
      </c>
      <c r="CH158" s="16">
        <f t="shared" si="279"/>
        <v>26.653466403375187</v>
      </c>
      <c r="CI158" s="17">
        <f t="shared" si="280"/>
        <v>1.344467273083258E-2</v>
      </c>
      <c r="CJ158" s="18">
        <f t="shared" si="281"/>
        <v>0.20693837403834062</v>
      </c>
      <c r="CK158" s="19">
        <f t="shared" si="315"/>
        <v>915.41942877949396</v>
      </c>
      <c r="CL158" s="15">
        <f t="shared" si="282"/>
        <v>5.330838857558988E-6</v>
      </c>
      <c r="CM158" s="16">
        <f t="shared" si="283"/>
        <v>26.41632343096418</v>
      </c>
      <c r="CN158" s="17">
        <f t="shared" si="284"/>
        <v>1.3341456002746447E-2</v>
      </c>
      <c r="CO158" s="18">
        <f t="shared" si="285"/>
        <v>0.20879608831313748</v>
      </c>
      <c r="CP158" s="19">
        <f t="shared" si="316"/>
        <v>877.41137835094423</v>
      </c>
      <c r="CQ158" s="15">
        <f t="shared" si="286"/>
        <v>5.2548227567018896E-6</v>
      </c>
      <c r="CR158" s="16">
        <f t="shared" si="287"/>
        <v>25.979230851035858</v>
      </c>
      <c r="CS158" s="17">
        <f t="shared" si="288"/>
        <v>1.3151210997751173E-2</v>
      </c>
      <c r="CT158" s="18">
        <f t="shared" si="289"/>
        <v>0.2123090183703448</v>
      </c>
      <c r="CU158" s="19">
        <f t="shared" si="317"/>
        <v>807.35256767584383</v>
      </c>
      <c r="CV158" s="15">
        <f t="shared" si="290"/>
        <v>5.1147051353516881E-6</v>
      </c>
      <c r="CW158" s="16">
        <f t="shared" si="291"/>
        <v>25.173554528272206</v>
      </c>
      <c r="CX158" s="17">
        <f t="shared" si="292"/>
        <v>1.2800539531139032E-2</v>
      </c>
      <c r="CY158" s="18">
        <f t="shared" si="293"/>
        <v>0.21910394075677506</v>
      </c>
      <c r="CZ158" s="20">
        <f t="shared" si="318"/>
        <v>691.65516241646719</v>
      </c>
      <c r="DA158" s="15">
        <f t="shared" si="294"/>
        <v>4.883310324832935E-6</v>
      </c>
      <c r="DB158" s="16">
        <f t="shared" si="295"/>
        <v>25.545643386802084</v>
      </c>
      <c r="DC158" s="17">
        <f t="shared" si="296"/>
        <v>1.222142923231199E-2</v>
      </c>
      <c r="DD158" s="18">
        <f t="shared" si="297"/>
        <v>0.2159125498028989</v>
      </c>
    </row>
    <row r="159" spans="2:108" x14ac:dyDescent="0.25">
      <c r="B159">
        <v>140</v>
      </c>
      <c r="C159">
        <f t="shared" si="298"/>
        <v>0.1368660532883352</v>
      </c>
      <c r="D159" s="19">
        <f t="shared" si="215"/>
        <v>1017.7059737317167</v>
      </c>
      <c r="E159" s="15">
        <f t="shared" si="216"/>
        <v>5.5354119474634335E-6</v>
      </c>
      <c r="F159" s="16">
        <f t="shared" si="217"/>
        <v>27.592618697914741</v>
      </c>
      <c r="G159" s="17">
        <f t="shared" si="213"/>
        <v>1.3853439754503635E-2</v>
      </c>
      <c r="H159" s="18">
        <f t="shared" si="218"/>
        <v>0.19989494510779554</v>
      </c>
      <c r="I159" s="19">
        <f t="shared" si="299"/>
        <v>1017.3814018288542</v>
      </c>
      <c r="J159" s="15">
        <f t="shared" si="219"/>
        <v>5.5347628036577082E-6</v>
      </c>
      <c r="K159" s="16">
        <f t="shared" si="220"/>
        <v>27.588886121031823</v>
      </c>
      <c r="L159" s="17">
        <f t="shared" si="221"/>
        <v>1.3851815146490724E-2</v>
      </c>
      <c r="M159" s="18">
        <f t="shared" si="222"/>
        <v>0.19992198944905124</v>
      </c>
      <c r="N159" s="19">
        <f t="shared" si="300"/>
        <v>1016.4755473523196</v>
      </c>
      <c r="O159" s="15">
        <f t="shared" si="223"/>
        <v>5.53295109470464E-6</v>
      </c>
      <c r="P159" s="16">
        <f t="shared" si="224"/>
        <v>27.578468794551675</v>
      </c>
      <c r="Q159" s="17">
        <f t="shared" si="214"/>
        <v>1.3853439754503635E-2</v>
      </c>
      <c r="R159" s="18">
        <f t="shared" si="225"/>
        <v>0.19999750679013953</v>
      </c>
      <c r="S159" s="19">
        <f t="shared" si="301"/>
        <v>1014.9740720333331</v>
      </c>
      <c r="T159" s="15">
        <f t="shared" si="226"/>
        <v>5.5299481440666669E-6</v>
      </c>
      <c r="U159" s="16">
        <f t="shared" si="227"/>
        <v>27.561201828383329</v>
      </c>
      <c r="V159" s="17">
        <f t="shared" si="228"/>
        <v>1.383976552900679E-2</v>
      </c>
      <c r="W159" s="18">
        <f t="shared" si="229"/>
        <v>0.20012280430818691</v>
      </c>
      <c r="X159" s="19">
        <f t="shared" si="302"/>
        <v>1012.87490377732</v>
      </c>
      <c r="Y159" s="15">
        <f t="shared" si="230"/>
        <v>5.5257498075546408E-6</v>
      </c>
      <c r="Z159" s="16">
        <f t="shared" si="231"/>
        <v>27.537061393439181</v>
      </c>
      <c r="AA159" s="17">
        <f t="shared" si="232"/>
        <v>1.382925837931486E-2</v>
      </c>
      <c r="AB159" s="18">
        <f t="shared" si="233"/>
        <v>0.20029824247383637</v>
      </c>
      <c r="AC159" s="19">
        <f t="shared" si="303"/>
        <v>1010.1765923886878</v>
      </c>
      <c r="AD159" s="15">
        <f t="shared" si="234"/>
        <v>5.5203531847773765E-6</v>
      </c>
      <c r="AE159" s="16">
        <f t="shared" si="235"/>
        <v>27.506030812469909</v>
      </c>
      <c r="AF159" s="17">
        <f t="shared" si="236"/>
        <v>1.3815752286320846E-2</v>
      </c>
      <c r="AG159" s="18">
        <f t="shared" si="237"/>
        <v>0.20052420640419996</v>
      </c>
      <c r="AH159" s="19">
        <f t="shared" si="304"/>
        <v>1006.8788658804212</v>
      </c>
      <c r="AI159" s="15">
        <f t="shared" si="238"/>
        <v>5.5137577317608437E-6</v>
      </c>
      <c r="AJ159" s="16">
        <f t="shared" si="239"/>
        <v>27.468106957624844</v>
      </c>
      <c r="AK159" s="17">
        <f t="shared" si="240"/>
        <v>1.3799245888624455E-2</v>
      </c>
      <c r="AL159" s="18">
        <f t="shared" si="241"/>
        <v>0.20080106024448557</v>
      </c>
      <c r="AM159" s="19">
        <f t="shared" si="305"/>
        <v>1002.9816516124647</v>
      </c>
      <c r="AN159" s="15">
        <f t="shared" si="242"/>
        <v>5.5059633032249295E-6</v>
      </c>
      <c r="AO159" s="16">
        <f t="shared" si="243"/>
        <v>27.423288993543345</v>
      </c>
      <c r="AP159" s="17">
        <f t="shared" si="244"/>
        <v>1.377973882263408E-2</v>
      </c>
      <c r="AQ159" s="18">
        <f t="shared" si="245"/>
        <v>0.20112923002410915</v>
      </c>
      <c r="AR159" s="19">
        <f t="shared" si="306"/>
        <v>998.48493106025558</v>
      </c>
      <c r="AS159" s="15">
        <f t="shared" si="246"/>
        <v>5.496969862120511E-6</v>
      </c>
      <c r="AT159" s="16">
        <f t="shared" si="247"/>
        <v>27.371576707192936</v>
      </c>
      <c r="AU159" s="17">
        <f t="shared" si="248"/>
        <v>1.3757230995627126E-2</v>
      </c>
      <c r="AV159" s="18">
        <f t="shared" si="249"/>
        <v>0.2015092173535826</v>
      </c>
      <c r="AW159" s="19">
        <f t="shared" si="307"/>
        <v>993.38866221163426</v>
      </c>
      <c r="AX159" s="15">
        <f t="shared" si="250"/>
        <v>5.4867773244232692E-6</v>
      </c>
      <c r="AY159" s="16">
        <f t="shared" si="251"/>
        <v>27.312969615433794</v>
      </c>
      <c r="AZ159" s="17">
        <f t="shared" si="252"/>
        <v>1.3731722197316469E-2</v>
      </c>
      <c r="BA159" s="18">
        <f t="shared" si="253"/>
        <v>0.20194160787566925</v>
      </c>
      <c r="BB159" s="19">
        <f t="shared" si="308"/>
        <v>987.69258114091292</v>
      </c>
      <c r="BC159" s="15">
        <f t="shared" si="254"/>
        <v>5.4753851622818259E-6</v>
      </c>
      <c r="BD159" s="16">
        <f t="shared" si="255"/>
        <v>27.247464683120498</v>
      </c>
      <c r="BE159" s="17">
        <f t="shared" si="256"/>
        <v>1.3703211106651871E-2</v>
      </c>
      <c r="BF159" s="18">
        <f t="shared" si="257"/>
        <v>0.20242709052548541</v>
      </c>
      <c r="BG159" s="19">
        <f t="shared" si="309"/>
        <v>981.39516004823031</v>
      </c>
      <c r="BH159" s="15">
        <f t="shared" si="258"/>
        <v>5.462790320096461E-6</v>
      </c>
      <c r="BI159" s="16">
        <f t="shared" si="259"/>
        <v>27.175044340554649</v>
      </c>
      <c r="BJ159" s="17">
        <f t="shared" si="260"/>
        <v>1.3671690076403637E-2</v>
      </c>
      <c r="BK159" s="18">
        <f t="shared" si="261"/>
        <v>0.20296655015089571</v>
      </c>
      <c r="BL159" s="19">
        <f t="shared" si="310"/>
        <v>974.48839428726978</v>
      </c>
      <c r="BM159" s="15">
        <f t="shared" si="262"/>
        <v>5.4489767885745398E-6</v>
      </c>
      <c r="BN159" s="16">
        <f t="shared" si="263"/>
        <v>27.095616534303602</v>
      </c>
      <c r="BO159" s="17">
        <f t="shared" si="264"/>
        <v>1.3637119040218415E-2</v>
      </c>
      <c r="BP159" s="18">
        <f t="shared" si="265"/>
        <v>0.20356152416820286</v>
      </c>
      <c r="BQ159" s="19">
        <f t="shared" si="311"/>
        <v>966.93459136013416</v>
      </c>
      <c r="BR159" s="15">
        <f t="shared" si="266"/>
        <v>5.4338691827202694E-6</v>
      </c>
      <c r="BS159" s="16">
        <f t="shared" si="267"/>
        <v>27.008747800641544</v>
      </c>
      <c r="BT159" s="17">
        <f t="shared" si="268"/>
        <v>1.359930933255378E-2</v>
      </c>
      <c r="BU159" s="18">
        <f t="shared" si="269"/>
        <v>0.20421624285258372</v>
      </c>
      <c r="BV159" s="19">
        <f t="shared" si="312"/>
        <v>958.57618671445528</v>
      </c>
      <c r="BW159" s="15">
        <f t="shared" si="270"/>
        <v>5.4171523734289116E-6</v>
      </c>
      <c r="BX159" s="16">
        <f t="shared" si="271"/>
        <v>26.912626147216237</v>
      </c>
      <c r="BY159" s="17">
        <f t="shared" si="272"/>
        <v>1.3557472281833197E-2</v>
      </c>
      <c r="BZ159" s="18">
        <f t="shared" si="273"/>
        <v>0.20494562551527584</v>
      </c>
      <c r="CA159" s="19">
        <f t="shared" si="313"/>
        <v>948.83772642605447</v>
      </c>
      <c r="CB159" s="15">
        <f t="shared" si="274"/>
        <v>5.3976754528521087E-6</v>
      </c>
      <c r="CC159" s="16">
        <f t="shared" si="275"/>
        <v>26.800633853899626</v>
      </c>
      <c r="CD159" s="17">
        <f t="shared" si="276"/>
        <v>1.3508727518412717E-2</v>
      </c>
      <c r="CE159" s="18">
        <f t="shared" si="277"/>
        <v>0.20580203550661355</v>
      </c>
      <c r="CF159" s="19">
        <f t="shared" si="314"/>
        <v>935.92144761540635</v>
      </c>
      <c r="CG159" s="15">
        <f t="shared" si="278"/>
        <v>5.3718428952308133E-6</v>
      </c>
      <c r="CH159" s="16">
        <f t="shared" si="279"/>
        <v>26.652096647577174</v>
      </c>
      <c r="CI159" s="17">
        <f t="shared" si="280"/>
        <v>1.3444076543181263E-2</v>
      </c>
      <c r="CJ159" s="18">
        <f t="shared" si="281"/>
        <v>0.2069490094131638</v>
      </c>
      <c r="CK159" s="19">
        <f t="shared" si="315"/>
        <v>915.16249486508468</v>
      </c>
      <c r="CL159" s="15">
        <f t="shared" si="282"/>
        <v>5.3303249897301699E-6</v>
      </c>
      <c r="CM159" s="16">
        <f t="shared" si="283"/>
        <v>26.413368690948474</v>
      </c>
      <c r="CN159" s="17">
        <f t="shared" si="284"/>
        <v>1.3340169949047848E-2</v>
      </c>
      <c r="CO159" s="18">
        <f t="shared" si="285"/>
        <v>0.2088194453549628</v>
      </c>
      <c r="CP159" s="19">
        <f t="shared" si="316"/>
        <v>876.94377047634282</v>
      </c>
      <c r="CQ159" s="15">
        <f t="shared" si="286"/>
        <v>5.2538875409526867E-6</v>
      </c>
      <c r="CR159" s="16">
        <f t="shared" si="287"/>
        <v>25.973853360477939</v>
      </c>
      <c r="CS159" s="17">
        <f t="shared" si="288"/>
        <v>1.3148870439331672E-2</v>
      </c>
      <c r="CT159" s="18">
        <f t="shared" si="289"/>
        <v>0.21235297371750883</v>
      </c>
      <c r="CU159" s="19">
        <f t="shared" si="317"/>
        <v>806.68819580292143</v>
      </c>
      <c r="CV159" s="15">
        <f t="shared" si="290"/>
        <v>5.1133763916058433E-6</v>
      </c>
      <c r="CW159" s="16">
        <f t="shared" si="291"/>
        <v>25.165914251733597</v>
      </c>
      <c r="CX159" s="17">
        <f t="shared" si="292"/>
        <v>1.2797214092742227E-2</v>
      </c>
      <c r="CY159" s="18">
        <f t="shared" si="293"/>
        <v>0.21917045988583733</v>
      </c>
      <c r="CZ159" s="20">
        <f t="shared" si="318"/>
        <v>690.97023157951412</v>
      </c>
      <c r="DA159" s="15">
        <f t="shared" si="294"/>
        <v>4.8819404631590293E-6</v>
      </c>
      <c r="DB159" s="16">
        <f t="shared" si="295"/>
        <v>25.683177498862221</v>
      </c>
      <c r="DC159" s="17">
        <f t="shared" si="296"/>
        <v>1.2218000888342007E-2</v>
      </c>
      <c r="DD159" s="18">
        <f t="shared" si="297"/>
        <v>0.21475633224293783</v>
      </c>
    </row>
    <row r="160" spans="2:108" x14ac:dyDescent="0.25">
      <c r="B160">
        <v>141</v>
      </c>
      <c r="C160">
        <f t="shared" si="298"/>
        <v>0.13784366795468045</v>
      </c>
      <c r="D160" s="19">
        <f t="shared" si="215"/>
        <v>1017.689402729985</v>
      </c>
      <c r="E160" s="15">
        <f t="shared" si="216"/>
        <v>5.5353788054599699E-6</v>
      </c>
      <c r="F160" s="16">
        <f t="shared" si="217"/>
        <v>27.592428131394826</v>
      </c>
      <c r="G160" s="17">
        <f t="shared" si="213"/>
        <v>1.3853356810225471E-2</v>
      </c>
      <c r="H160" s="18">
        <f t="shared" si="218"/>
        <v>0.19989632567799606</v>
      </c>
      <c r="I160" s="19">
        <f t="shared" si="299"/>
        <v>1017.3648263461223</v>
      </c>
      <c r="J160" s="15">
        <f t="shared" si="219"/>
        <v>5.5347296526922454E-6</v>
      </c>
      <c r="K160" s="16">
        <f t="shared" si="220"/>
        <v>27.588695502980407</v>
      </c>
      <c r="L160" s="17">
        <f t="shared" si="221"/>
        <v>1.3851732179783421E-2</v>
      </c>
      <c r="M160" s="18">
        <f t="shared" si="222"/>
        <v>0.19992337076626718</v>
      </c>
      <c r="N160" s="19">
        <f t="shared" si="300"/>
        <v>1016.4589605500303</v>
      </c>
      <c r="O160" s="15">
        <f t="shared" si="223"/>
        <v>5.532917921100061E-6</v>
      </c>
      <c r="P160" s="16">
        <f t="shared" si="224"/>
        <v>27.578278046325348</v>
      </c>
      <c r="Q160" s="17">
        <f t="shared" si="214"/>
        <v>1.3853356810225471E-2</v>
      </c>
      <c r="R160" s="18">
        <f t="shared" si="225"/>
        <v>0.19999889009513147</v>
      </c>
      <c r="S160" s="19">
        <f t="shared" si="301"/>
        <v>1014.9574784797817</v>
      </c>
      <c r="T160" s="15">
        <f t="shared" si="226"/>
        <v>5.5299149569595636E-6</v>
      </c>
      <c r="U160" s="16">
        <f t="shared" si="227"/>
        <v>27.561011002517489</v>
      </c>
      <c r="V160" s="17">
        <f t="shared" si="228"/>
        <v>1.3839682471848035E-2</v>
      </c>
      <c r="W160" s="18">
        <f t="shared" si="229"/>
        <v>0.2001241899107471</v>
      </c>
      <c r="X160" s="19">
        <f t="shared" si="302"/>
        <v>1012.858312377241</v>
      </c>
      <c r="Y160" s="15">
        <f t="shared" si="230"/>
        <v>5.5257166247544832E-6</v>
      </c>
      <c r="Z160" s="16">
        <f t="shared" si="231"/>
        <v>27.536870592338268</v>
      </c>
      <c r="AA160" s="17">
        <f t="shared" si="232"/>
        <v>1.3829175332935073E-2</v>
      </c>
      <c r="AB160" s="18">
        <f t="shared" si="233"/>
        <v>0.20029963032671702</v>
      </c>
      <c r="AC160" s="19">
        <f t="shared" si="303"/>
        <v>1010.1600109459632</v>
      </c>
      <c r="AD160" s="15">
        <f t="shared" si="234"/>
        <v>5.5203200218919265E-6</v>
      </c>
      <c r="AE160" s="16">
        <f t="shared" si="235"/>
        <v>27.505840125878578</v>
      </c>
      <c r="AF160" s="17">
        <f t="shared" si="236"/>
        <v>1.3815669289781469E-2</v>
      </c>
      <c r="AG160" s="18">
        <f t="shared" si="237"/>
        <v>0.2005255965554269</v>
      </c>
      <c r="AH160" s="19">
        <f t="shared" si="304"/>
        <v>1006.8622999789297</v>
      </c>
      <c r="AI160" s="15">
        <f t="shared" si="238"/>
        <v>5.5137245999578598E-6</v>
      </c>
      <c r="AJ160" s="16">
        <f t="shared" si="239"/>
        <v>27.467916449757691</v>
      </c>
      <c r="AK160" s="17">
        <f t="shared" si="240"/>
        <v>1.3799162969874965E-2</v>
      </c>
      <c r="AL160" s="18">
        <f t="shared" si="241"/>
        <v>0.20080245293044993</v>
      </c>
      <c r="AM160" s="19">
        <f t="shared" si="305"/>
        <v>1002.9651054079367</v>
      </c>
      <c r="AN160" s="15">
        <f t="shared" si="242"/>
        <v>5.5059302108158733E-6</v>
      </c>
      <c r="AO160" s="16">
        <f t="shared" si="243"/>
        <v>27.423098712191269</v>
      </c>
      <c r="AP160" s="17">
        <f t="shared" si="244"/>
        <v>1.3779656002475519E-2</v>
      </c>
      <c r="AQ160" s="18">
        <f t="shared" si="245"/>
        <v>0.20113062560460981</v>
      </c>
      <c r="AR160" s="19">
        <f t="shared" si="306"/>
        <v>998.46840773510041</v>
      </c>
      <c r="AS160" s="15">
        <f t="shared" si="246"/>
        <v>5.4969368154702016E-6</v>
      </c>
      <c r="AT160" s="16">
        <f t="shared" si="247"/>
        <v>27.371386688953656</v>
      </c>
      <c r="AU160" s="17">
        <f t="shared" si="248"/>
        <v>1.3757148289988684E-2</v>
      </c>
      <c r="AV160" s="18">
        <f t="shared" si="249"/>
        <v>0.20151061627527828</v>
      </c>
      <c r="AW160" s="19">
        <f t="shared" si="307"/>
        <v>993.37216206382436</v>
      </c>
      <c r="AX160" s="15">
        <f t="shared" si="250"/>
        <v>5.4867443241276493E-6</v>
      </c>
      <c r="AY160" s="16">
        <f t="shared" si="251"/>
        <v>27.312779863733979</v>
      </c>
      <c r="AZ160" s="17">
        <f t="shared" si="252"/>
        <v>1.3731639607689609E-2</v>
      </c>
      <c r="BA160" s="18">
        <f t="shared" si="253"/>
        <v>0.20194301083661093</v>
      </c>
      <c r="BB160" s="19">
        <f t="shared" si="308"/>
        <v>987.67608923398257</v>
      </c>
      <c r="BC160" s="15">
        <f t="shared" si="254"/>
        <v>5.4753521784679655E-6</v>
      </c>
      <c r="BD160" s="16">
        <f t="shared" si="255"/>
        <v>27.247275026190799</v>
      </c>
      <c r="BE160" s="17">
        <f t="shared" si="256"/>
        <v>1.3703128558273806E-2</v>
      </c>
      <c r="BF160" s="18">
        <f t="shared" si="257"/>
        <v>0.2024284995361274</v>
      </c>
      <c r="BG160" s="19">
        <f t="shared" si="309"/>
        <v>981.37858563490624</v>
      </c>
      <c r="BH160" s="15">
        <f t="shared" si="258"/>
        <v>5.4627571712698132E-6</v>
      </c>
      <c r="BI160" s="16">
        <f t="shared" si="259"/>
        <v>27.17485373480142</v>
      </c>
      <c r="BJ160" s="17">
        <f t="shared" si="260"/>
        <v>1.3671607115049134E-2</v>
      </c>
      <c r="BK160" s="18">
        <f t="shared" si="261"/>
        <v>0.20296797376820566</v>
      </c>
      <c r="BL160" s="19">
        <f t="shared" si="310"/>
        <v>974.47131078210487</v>
      </c>
      <c r="BM160" s="15">
        <f t="shared" si="262"/>
        <v>5.4489426215642103E-6</v>
      </c>
      <c r="BN160" s="16">
        <f t="shared" si="263"/>
        <v>27.095420073994205</v>
      </c>
      <c r="BO160" s="17">
        <f t="shared" si="264"/>
        <v>1.3637033530662182E-2</v>
      </c>
      <c r="BP160" s="18">
        <f t="shared" si="265"/>
        <v>0.20356300012834339</v>
      </c>
      <c r="BQ160" s="19">
        <f t="shared" si="311"/>
        <v>966.91527300612654</v>
      </c>
      <c r="BR160" s="15">
        <f t="shared" si="266"/>
        <v>5.433830546012254E-6</v>
      </c>
      <c r="BS160" s="16">
        <f t="shared" si="267"/>
        <v>27.008525639570454</v>
      </c>
      <c r="BT160" s="17">
        <f t="shared" si="268"/>
        <v>1.3599212636713995E-2</v>
      </c>
      <c r="BU160" s="18">
        <f t="shared" si="269"/>
        <v>0.20421792265176461</v>
      </c>
      <c r="BV160" s="19">
        <f t="shared" si="312"/>
        <v>958.54862964738027</v>
      </c>
      <c r="BW160" s="15">
        <f t="shared" si="270"/>
        <v>5.4170972592947604E-6</v>
      </c>
      <c r="BX160" s="16">
        <f t="shared" si="271"/>
        <v>26.912309240944872</v>
      </c>
      <c r="BY160" s="17">
        <f t="shared" si="272"/>
        <v>1.3557334348045371E-2</v>
      </c>
      <c r="BZ160" s="18">
        <f t="shared" si="273"/>
        <v>0.20494803885533647</v>
      </c>
      <c r="CA160" s="19">
        <f t="shared" si="313"/>
        <v>948.78440574876652</v>
      </c>
      <c r="CB160" s="15">
        <f t="shared" si="274"/>
        <v>5.3975688114975339E-6</v>
      </c>
      <c r="CC160" s="16">
        <f t="shared" si="275"/>
        <v>26.800020666110814</v>
      </c>
      <c r="CD160" s="17">
        <f t="shared" si="276"/>
        <v>1.3508460627782904E-2</v>
      </c>
      <c r="CE160" s="18">
        <f t="shared" si="277"/>
        <v>0.20580674428264986</v>
      </c>
      <c r="CF160" s="19">
        <f t="shared" si="314"/>
        <v>935.80128952141092</v>
      </c>
      <c r="CG160" s="15">
        <f t="shared" si="278"/>
        <v>5.3716025790428223E-6</v>
      </c>
      <c r="CH160" s="16">
        <f t="shared" si="279"/>
        <v>26.650714829496224</v>
      </c>
      <c r="CI160" s="17">
        <f t="shared" si="280"/>
        <v>1.3443475105408616E-2</v>
      </c>
      <c r="CJ160" s="18">
        <f t="shared" si="281"/>
        <v>0.2069597395524817</v>
      </c>
      <c r="CK160" s="19">
        <f t="shared" si="315"/>
        <v>914.90445530282352</v>
      </c>
      <c r="CL160" s="15">
        <f t="shared" si="282"/>
        <v>5.3298089106056477E-6</v>
      </c>
      <c r="CM160" s="16">
        <f t="shared" si="283"/>
        <v>26.410401235982469</v>
      </c>
      <c r="CN160" s="17">
        <f t="shared" si="284"/>
        <v>1.3338878361153762E-2</v>
      </c>
      <c r="CO160" s="18">
        <f t="shared" si="285"/>
        <v>0.20884290816776069</v>
      </c>
      <c r="CP160" s="19">
        <f t="shared" si="316"/>
        <v>876.47624245286261</v>
      </c>
      <c r="CQ160" s="15">
        <f t="shared" si="286"/>
        <v>5.2529524849057259E-6</v>
      </c>
      <c r="CR160" s="16">
        <f t="shared" si="287"/>
        <v>25.968476788207919</v>
      </c>
      <c r="CS160" s="17">
        <f t="shared" si="288"/>
        <v>1.3146530280597941E-2</v>
      </c>
      <c r="CT160" s="18">
        <f t="shared" si="289"/>
        <v>0.21239693975830734</v>
      </c>
      <c r="CU160" s="19">
        <f t="shared" si="317"/>
        <v>806.02618347048212</v>
      </c>
      <c r="CV160" s="15">
        <f t="shared" si="290"/>
        <v>5.1120523669409646E-6</v>
      </c>
      <c r="CW160" s="16">
        <f t="shared" si="291"/>
        <v>25.158301109910546</v>
      </c>
      <c r="CX160" s="17">
        <f t="shared" si="292"/>
        <v>1.2793900464758897E-2</v>
      </c>
      <c r="CY160" s="18">
        <f t="shared" si="293"/>
        <v>0.21923678295698765</v>
      </c>
      <c r="CZ160" s="20">
        <f t="shared" si="318"/>
        <v>690.28864734014996</v>
      </c>
      <c r="DA160" s="15">
        <f t="shared" si="294"/>
        <v>4.8805772946802999E-6</v>
      </c>
      <c r="DB160" s="16">
        <f t="shared" si="295"/>
        <v>25.820039614126472</v>
      </c>
      <c r="DC160" s="17">
        <f t="shared" si="296"/>
        <v>1.2214589295388394E-2</v>
      </c>
      <c r="DD160" s="18">
        <f t="shared" si="297"/>
        <v>0.21361799139077739</v>
      </c>
    </row>
    <row r="161" spans="2:108" x14ac:dyDescent="0.25">
      <c r="B161">
        <v>142</v>
      </c>
      <c r="C161">
        <f t="shared" si="298"/>
        <v>0.13882128262102572</v>
      </c>
      <c r="D161" s="19">
        <f t="shared" si="215"/>
        <v>1017.672831499476</v>
      </c>
      <c r="E161" s="15">
        <f t="shared" si="216"/>
        <v>5.5353456629989526E-6</v>
      </c>
      <c r="F161" s="16">
        <f t="shared" si="217"/>
        <v>27.592237562243973</v>
      </c>
      <c r="G161" s="17">
        <f t="shared" si="213"/>
        <v>1.3853273864802191E-2</v>
      </c>
      <c r="H161" s="18">
        <f t="shared" si="218"/>
        <v>0.1998977062863268</v>
      </c>
      <c r="I161" s="19">
        <f t="shared" si="299"/>
        <v>1017.3482507584531</v>
      </c>
      <c r="J161" s="15">
        <f t="shared" si="219"/>
        <v>5.5346965015169066E-6</v>
      </c>
      <c r="K161" s="16">
        <f t="shared" si="220"/>
        <v>27.588504883722209</v>
      </c>
      <c r="L161" s="17">
        <f t="shared" si="221"/>
        <v>1.3851649212550863E-2</v>
      </c>
      <c r="M161" s="18">
        <f t="shared" si="222"/>
        <v>0.19992475211131625</v>
      </c>
      <c r="N161" s="19">
        <f t="shared" si="300"/>
        <v>1016.442373847791</v>
      </c>
      <c r="O161" s="15">
        <f t="shared" si="223"/>
        <v>5.5328847476955824E-6</v>
      </c>
      <c r="P161" s="16">
        <f t="shared" si="224"/>
        <v>27.578087299249596</v>
      </c>
      <c r="Q161" s="17">
        <f t="shared" si="214"/>
        <v>1.3853273864802191E-2</v>
      </c>
      <c r="R161" s="18">
        <f t="shared" si="225"/>
        <v>0.20000027341091495</v>
      </c>
      <c r="S161" s="19">
        <f t="shared" si="301"/>
        <v>1014.9408851383263</v>
      </c>
      <c r="T161" s="15">
        <f t="shared" si="226"/>
        <v>5.5298817702766527E-6</v>
      </c>
      <c r="U161" s="16">
        <f t="shared" si="227"/>
        <v>27.560820179090751</v>
      </c>
      <c r="V161" s="17">
        <f t="shared" si="228"/>
        <v>1.3839599415750907E-2</v>
      </c>
      <c r="W161" s="18">
        <f t="shared" si="229"/>
        <v>0.20012557551478369</v>
      </c>
      <c r="X161" s="19">
        <f t="shared" si="302"/>
        <v>1012.8417212056856</v>
      </c>
      <c r="Y161" s="15">
        <f t="shared" si="230"/>
        <v>5.5256834424113719E-6</v>
      </c>
      <c r="Z161" s="16">
        <f t="shared" si="231"/>
        <v>27.536679793865382</v>
      </c>
      <c r="AA161" s="17">
        <f t="shared" si="232"/>
        <v>1.3829092287699133E-2</v>
      </c>
      <c r="AB161" s="18">
        <f t="shared" si="233"/>
        <v>0.20030101817971424</v>
      </c>
      <c r="AC161" s="19">
        <f t="shared" si="303"/>
        <v>1010.1434297152937</v>
      </c>
      <c r="AD161" s="15">
        <f t="shared" si="234"/>
        <v>5.5202868594305877E-6</v>
      </c>
      <c r="AE161" s="16">
        <f t="shared" si="235"/>
        <v>27.505649441725879</v>
      </c>
      <c r="AF161" s="17">
        <f t="shared" si="236"/>
        <v>1.3815586294303513E-2</v>
      </c>
      <c r="AG161" s="18">
        <f t="shared" si="237"/>
        <v>0.20052698670815006</v>
      </c>
      <c r="AH161" s="19">
        <f t="shared" si="304"/>
        <v>1006.8457342749389</v>
      </c>
      <c r="AI161" s="15">
        <f t="shared" si="238"/>
        <v>5.5136914685498779E-6</v>
      </c>
      <c r="AJ161" s="16">
        <f t="shared" si="239"/>
        <v>27.467725944161796</v>
      </c>
      <c r="AK161" s="17">
        <f t="shared" si="240"/>
        <v>1.3799080052114044E-2</v>
      </c>
      <c r="AL161" s="18">
        <f t="shared" si="241"/>
        <v>0.20080384561912865</v>
      </c>
      <c r="AM161" s="19">
        <f t="shared" si="305"/>
        <v>1002.9485593887127</v>
      </c>
      <c r="AN161" s="15">
        <f t="shared" si="242"/>
        <v>5.5058971187774263E-6</v>
      </c>
      <c r="AO161" s="16">
        <f t="shared" si="243"/>
        <v>27.422908432970196</v>
      </c>
      <c r="AP161" s="17">
        <f t="shared" si="244"/>
        <v>1.377957318324448E-2</v>
      </c>
      <c r="AQ161" s="18">
        <f t="shared" si="245"/>
        <v>0.20113202118884799</v>
      </c>
      <c r="AR161" s="19">
        <f t="shared" si="306"/>
        <v>998.45188455302571</v>
      </c>
      <c r="AS161" s="15">
        <f t="shared" si="246"/>
        <v>5.4969037691060522E-6</v>
      </c>
      <c r="AT161" s="16">
        <f t="shared" si="247"/>
        <v>27.371196672359794</v>
      </c>
      <c r="AU161" s="17">
        <f t="shared" si="248"/>
        <v>1.3757065585066413E-2</v>
      </c>
      <c r="AV161" s="18">
        <f t="shared" si="249"/>
        <v>0.20151201520428347</v>
      </c>
      <c r="AW161" s="19">
        <f t="shared" si="307"/>
        <v>993.3556618337401</v>
      </c>
      <c r="AX161" s="15">
        <f t="shared" si="250"/>
        <v>5.4867113236674806E-6</v>
      </c>
      <c r="AY161" s="16">
        <f t="shared" si="251"/>
        <v>27.31259011108801</v>
      </c>
      <c r="AZ161" s="17">
        <f t="shared" si="252"/>
        <v>1.3731557017650936E-2</v>
      </c>
      <c r="BA161" s="18">
        <f t="shared" si="253"/>
        <v>0.20194441382404221</v>
      </c>
      <c r="BB161" s="19">
        <f t="shared" si="308"/>
        <v>987.65959612915367</v>
      </c>
      <c r="BC161" s="15">
        <f t="shared" si="254"/>
        <v>5.4753191922583078E-6</v>
      </c>
      <c r="BD161" s="16">
        <f t="shared" si="255"/>
        <v>27.247085355485268</v>
      </c>
      <c r="BE161" s="17">
        <f t="shared" si="256"/>
        <v>1.3703046003899794E-2</v>
      </c>
      <c r="BF161" s="18">
        <f t="shared" si="257"/>
        <v>0.20242990866873098</v>
      </c>
      <c r="BG161" s="19">
        <f t="shared" si="309"/>
        <v>981.36200510742833</v>
      </c>
      <c r="BH161" s="15">
        <f t="shared" si="258"/>
        <v>5.4627240102148574E-6</v>
      </c>
      <c r="BI161" s="16">
        <f t="shared" si="259"/>
        <v>27.174663058735426</v>
      </c>
      <c r="BJ161" s="17">
        <f t="shared" si="260"/>
        <v>1.3671524123090922E-2</v>
      </c>
      <c r="BK161" s="18">
        <f t="shared" si="261"/>
        <v>0.20296939793065716</v>
      </c>
      <c r="BL161" s="19">
        <f t="shared" si="310"/>
        <v>974.4542022238378</v>
      </c>
      <c r="BM161" s="15">
        <f t="shared" si="262"/>
        <v>5.4489084044476764E-6</v>
      </c>
      <c r="BN161" s="16">
        <f t="shared" si="263"/>
        <v>27.095223325574132</v>
      </c>
      <c r="BO161" s="17">
        <f t="shared" si="264"/>
        <v>1.3636947895705475E-2</v>
      </c>
      <c r="BP161" s="18">
        <f t="shared" si="265"/>
        <v>0.20356447827444238</v>
      </c>
      <c r="BQ161" s="19">
        <f t="shared" si="311"/>
        <v>966.89586740568438</v>
      </c>
      <c r="BR161" s="15">
        <f t="shared" si="266"/>
        <v>5.4337917348113689E-6</v>
      </c>
      <c r="BS161" s="16">
        <f t="shared" si="267"/>
        <v>27.008302475165369</v>
      </c>
      <c r="BT161" s="17">
        <f t="shared" si="268"/>
        <v>1.3599115504172036E-2</v>
      </c>
      <c r="BU161" s="18">
        <f t="shared" si="269"/>
        <v>0.20421961006515379</v>
      </c>
      <c r="BV161" s="19">
        <f t="shared" si="312"/>
        <v>958.52081793969137</v>
      </c>
      <c r="BW161" s="15">
        <f t="shared" si="270"/>
        <v>5.4170416358793832E-6</v>
      </c>
      <c r="BX161" s="16">
        <f t="shared" si="271"/>
        <v>26.91198940630645</v>
      </c>
      <c r="BY161" s="17">
        <f t="shared" si="272"/>
        <v>1.3557195139682707E-2</v>
      </c>
      <c r="BZ161" s="18">
        <f t="shared" si="273"/>
        <v>0.20495047455345275</v>
      </c>
      <c r="CA161" s="19">
        <f t="shared" si="313"/>
        <v>948.73048692636553</v>
      </c>
      <c r="CB161" s="15">
        <f t="shared" si="274"/>
        <v>5.3974609738527311E-6</v>
      </c>
      <c r="CC161" s="16">
        <f t="shared" si="275"/>
        <v>26.799400599653204</v>
      </c>
      <c r="CD161" s="17">
        <f t="shared" si="276"/>
        <v>1.3508190743205258E-2</v>
      </c>
      <c r="CE161" s="18">
        <f t="shared" si="277"/>
        <v>0.20581150610030341</v>
      </c>
      <c r="CF161" s="19">
        <f t="shared" si="314"/>
        <v>935.6800877332663</v>
      </c>
      <c r="CG161" s="15">
        <f t="shared" si="278"/>
        <v>5.371360175466533E-6</v>
      </c>
      <c r="CH161" s="16">
        <f t="shared" si="279"/>
        <v>26.64932100893256</v>
      </c>
      <c r="CI161" s="17">
        <f t="shared" si="280"/>
        <v>1.3442868443542748E-2</v>
      </c>
      <c r="CJ161" s="18">
        <f t="shared" si="281"/>
        <v>0.20697056402117048</v>
      </c>
      <c r="CK161" s="19">
        <f t="shared" si="315"/>
        <v>914.6453274390966</v>
      </c>
      <c r="CL161" s="15">
        <f t="shared" si="282"/>
        <v>5.3292906548781937E-6</v>
      </c>
      <c r="CM161" s="16">
        <f t="shared" si="283"/>
        <v>26.407421265549608</v>
      </c>
      <c r="CN161" s="17">
        <f t="shared" si="284"/>
        <v>1.3337581325889565E-2</v>
      </c>
      <c r="CO161" s="18">
        <f t="shared" si="285"/>
        <v>0.20886647524328822</v>
      </c>
      <c r="CP161" s="19">
        <f t="shared" si="316"/>
        <v>876.00881034238898</v>
      </c>
      <c r="CQ161" s="15">
        <f t="shared" si="286"/>
        <v>5.2520176206847785E-6</v>
      </c>
      <c r="CR161" s="16">
        <f t="shared" si="287"/>
        <v>25.963101318937472</v>
      </c>
      <c r="CS161" s="17">
        <f t="shared" si="288"/>
        <v>1.3144190601945934E-2</v>
      </c>
      <c r="CT161" s="18">
        <f t="shared" si="289"/>
        <v>0.21244091498333084</v>
      </c>
      <c r="CU161" s="19">
        <f t="shared" si="317"/>
        <v>805.36651399586606</v>
      </c>
      <c r="CV161" s="15">
        <f t="shared" si="290"/>
        <v>5.1107330279917321E-6</v>
      </c>
      <c r="CW161" s="16">
        <f t="shared" si="291"/>
        <v>25.150714910952459</v>
      </c>
      <c r="CX161" s="17">
        <f t="shared" si="292"/>
        <v>1.2790598563685873E-2</v>
      </c>
      <c r="CY161" s="18">
        <f t="shared" si="293"/>
        <v>0.21930291125037141</v>
      </c>
      <c r="CZ161" s="20">
        <f t="shared" si="318"/>
        <v>689.61036937765607</v>
      </c>
      <c r="DA161" s="15">
        <f t="shared" si="294"/>
        <v>4.8792207387553123E-6</v>
      </c>
      <c r="DB161" s="16">
        <f t="shared" si="295"/>
        <v>25.956237828995199</v>
      </c>
      <c r="DC161" s="17">
        <f t="shared" si="296"/>
        <v>1.221119425163035E-2</v>
      </c>
      <c r="DD161" s="18">
        <f t="shared" si="297"/>
        <v>0.21249708976847964</v>
      </c>
    </row>
    <row r="162" spans="2:108" x14ac:dyDescent="0.25">
      <c r="B162">
        <v>143</v>
      </c>
      <c r="C162">
        <f t="shared" si="298"/>
        <v>0.13979889728737097</v>
      </c>
      <c r="D162" s="19">
        <f t="shared" si="215"/>
        <v>1017.6562600465126</v>
      </c>
      <c r="E162" s="15">
        <f t="shared" si="216"/>
        <v>5.5353125200930252E-6</v>
      </c>
      <c r="F162" s="16">
        <f t="shared" si="217"/>
        <v>27.592046990534893</v>
      </c>
      <c r="G162" s="17">
        <f t="shared" si="213"/>
        <v>1.3853190918265436E-2</v>
      </c>
      <c r="H162" s="18">
        <f t="shared" si="218"/>
        <v>0.19989908693226227</v>
      </c>
      <c r="I162" s="19">
        <f t="shared" si="299"/>
        <v>1017.3316750692522</v>
      </c>
      <c r="J162" s="15">
        <f t="shared" si="219"/>
        <v>5.5346633501385051E-6</v>
      </c>
      <c r="K162" s="16">
        <f t="shared" si="220"/>
        <v>27.5883142632964</v>
      </c>
      <c r="L162" s="17">
        <f t="shared" si="221"/>
        <v>1.3851566244810102E-2</v>
      </c>
      <c r="M162" s="18">
        <f t="shared" si="222"/>
        <v>0.19992613348391527</v>
      </c>
      <c r="N162" s="19">
        <f t="shared" si="300"/>
        <v>1016.4257872454131</v>
      </c>
      <c r="O162" s="15">
        <f t="shared" si="223"/>
        <v>5.5328515744908267E-6</v>
      </c>
      <c r="P162" s="16">
        <f t="shared" si="224"/>
        <v>27.577896553322248</v>
      </c>
      <c r="Q162" s="17">
        <f t="shared" si="214"/>
        <v>1.3853190918265436E-2</v>
      </c>
      <c r="R162" s="18">
        <f t="shared" si="225"/>
        <v>0.20000165673750578</v>
      </c>
      <c r="S162" s="19">
        <f t="shared" si="301"/>
        <v>1014.9242920079389</v>
      </c>
      <c r="T162" s="15">
        <f t="shared" si="226"/>
        <v>5.5298485840158785E-6</v>
      </c>
      <c r="U162" s="16">
        <f t="shared" si="227"/>
        <v>27.560629358091298</v>
      </c>
      <c r="V162" s="17">
        <f t="shared" si="228"/>
        <v>1.3839516360710256E-2</v>
      </c>
      <c r="W162" s="18">
        <f t="shared" si="229"/>
        <v>0.20012696112038214</v>
      </c>
      <c r="X162" s="19">
        <f t="shared" si="302"/>
        <v>1012.8251302621959</v>
      </c>
      <c r="Y162" s="15">
        <f t="shared" si="230"/>
        <v>5.525650260524392E-6</v>
      </c>
      <c r="Z162" s="16">
        <f t="shared" si="231"/>
        <v>27.536488998015251</v>
      </c>
      <c r="AA162" s="17">
        <f t="shared" si="232"/>
        <v>1.3829009243604747E-2</v>
      </c>
      <c r="AB162" s="18">
        <f t="shared" si="233"/>
        <v>0.20030240603286606</v>
      </c>
      <c r="AC162" s="19">
        <f t="shared" si="303"/>
        <v>1010.12684869666</v>
      </c>
      <c r="AD162" s="15">
        <f t="shared" si="234"/>
        <v>5.520253697393321E-6</v>
      </c>
      <c r="AE162" s="16">
        <f t="shared" si="235"/>
        <v>27.505458760011589</v>
      </c>
      <c r="AF162" s="17">
        <f t="shared" si="236"/>
        <v>1.3815503299886879E-2</v>
      </c>
      <c r="AG162" s="18">
        <f t="shared" si="237"/>
        <v>0.20052837686237071</v>
      </c>
      <c r="AH162" s="19">
        <f t="shared" si="304"/>
        <v>1006.829168768448</v>
      </c>
      <c r="AI162" s="15">
        <f t="shared" si="238"/>
        <v>5.5136583375368963E-6</v>
      </c>
      <c r="AJ162" s="16">
        <f t="shared" si="239"/>
        <v>27.467535440837153</v>
      </c>
      <c r="AK162" s="17">
        <f t="shared" si="240"/>
        <v>1.3798997135341686E-2</v>
      </c>
      <c r="AL162" s="18">
        <f t="shared" si="241"/>
        <v>0.20080523831052149</v>
      </c>
      <c r="AM162" s="19">
        <f t="shared" si="305"/>
        <v>1002.9320135543227</v>
      </c>
      <c r="AN162" s="15">
        <f t="shared" si="242"/>
        <v>5.5058640271086457E-6</v>
      </c>
      <c r="AO162" s="16">
        <f t="shared" si="243"/>
        <v>27.422718155874712</v>
      </c>
      <c r="AP162" s="17">
        <f t="shared" si="244"/>
        <v>1.3779490364938602E-2</v>
      </c>
      <c r="AQ162" s="18">
        <f t="shared" si="245"/>
        <v>0.20113341677686314</v>
      </c>
      <c r="AR162" s="19">
        <f t="shared" si="306"/>
        <v>998.43536151127591</v>
      </c>
      <c r="AS162" s="15">
        <f t="shared" si="246"/>
        <v>5.4968707230225527E-6</v>
      </c>
      <c r="AT162" s="16">
        <f t="shared" si="247"/>
        <v>27.371006657379674</v>
      </c>
      <c r="AU162" s="17">
        <f t="shared" si="248"/>
        <v>1.3756982880846525E-2</v>
      </c>
      <c r="AV162" s="18">
        <f t="shared" si="249"/>
        <v>0.20151341414083127</v>
      </c>
      <c r="AW162" s="19">
        <f t="shared" si="307"/>
        <v>993.33916150811058</v>
      </c>
      <c r="AX162" s="15">
        <f t="shared" si="250"/>
        <v>5.4866783230162221E-6</v>
      </c>
      <c r="AY162" s="16">
        <f t="shared" si="251"/>
        <v>27.312400357343272</v>
      </c>
      <c r="AZ162" s="17">
        <f t="shared" si="252"/>
        <v>1.3731474427134021E-2</v>
      </c>
      <c r="BA162" s="18">
        <f t="shared" si="253"/>
        <v>0.20194581683909218</v>
      </c>
      <c r="BB162" s="19">
        <f t="shared" si="308"/>
        <v>987.64310177011282</v>
      </c>
      <c r="BC162" s="15">
        <f t="shared" si="254"/>
        <v>5.4752862035402265E-6</v>
      </c>
      <c r="BD162" s="16">
        <f t="shared" si="255"/>
        <v>27.246895670356295</v>
      </c>
      <c r="BE162" s="17">
        <f t="shared" si="256"/>
        <v>1.3702963443247968E-2</v>
      </c>
      <c r="BF162" s="18">
        <f t="shared" si="257"/>
        <v>0.20243131792811223</v>
      </c>
      <c r="BG162" s="19">
        <f t="shared" si="309"/>
        <v>981.34541825886811</v>
      </c>
      <c r="BH162" s="15">
        <f t="shared" si="258"/>
        <v>5.4626908365177366E-6</v>
      </c>
      <c r="BI162" s="16">
        <f t="shared" si="259"/>
        <v>27.174472309976984</v>
      </c>
      <c r="BJ162" s="17">
        <f t="shared" si="260"/>
        <v>1.3671441099493246E-2</v>
      </c>
      <c r="BK162" s="18">
        <f t="shared" si="261"/>
        <v>0.20297082265604707</v>
      </c>
      <c r="BL162" s="19">
        <f t="shared" si="310"/>
        <v>974.43706797524749</v>
      </c>
      <c r="BM162" s="15">
        <f t="shared" si="262"/>
        <v>5.448874135950495E-6</v>
      </c>
      <c r="BN162" s="16">
        <f t="shared" si="263"/>
        <v>27.095026281715345</v>
      </c>
      <c r="BO162" s="17">
        <f t="shared" si="264"/>
        <v>1.3636862132158754E-2</v>
      </c>
      <c r="BP162" s="18">
        <f t="shared" si="265"/>
        <v>0.2035659586616505</v>
      </c>
      <c r="BQ162" s="19">
        <f t="shared" si="311"/>
        <v>966.87637300506196</v>
      </c>
      <c r="BR162" s="15">
        <f t="shared" si="266"/>
        <v>5.4337527460101244E-6</v>
      </c>
      <c r="BS162" s="16">
        <f t="shared" si="267"/>
        <v>27.008078289558213</v>
      </c>
      <c r="BT162" s="17">
        <f t="shared" si="268"/>
        <v>1.35990179271508E-2</v>
      </c>
      <c r="BU162" s="18">
        <f t="shared" si="269"/>
        <v>0.20422130522823742</v>
      </c>
      <c r="BV162" s="19">
        <f t="shared" si="312"/>
        <v>958.49274895288613</v>
      </c>
      <c r="BW162" s="15">
        <f t="shared" si="270"/>
        <v>5.4169854979057723E-6</v>
      </c>
      <c r="BX162" s="16">
        <f t="shared" si="271"/>
        <v>26.911666612958189</v>
      </c>
      <c r="BY162" s="17">
        <f t="shared" si="272"/>
        <v>1.3557054643538477E-2</v>
      </c>
      <c r="BZ162" s="18">
        <f t="shared" si="273"/>
        <v>0.20495293284230048</v>
      </c>
      <c r="CA162" s="19">
        <f t="shared" si="313"/>
        <v>948.67596823632709</v>
      </c>
      <c r="CB162" s="15">
        <f t="shared" si="274"/>
        <v>5.3973519364726549E-6</v>
      </c>
      <c r="CC162" s="16">
        <f t="shared" si="275"/>
        <v>26.798773634717762</v>
      </c>
      <c r="CD162" s="17">
        <f t="shared" si="276"/>
        <v>1.3507917856057884E-2</v>
      </c>
      <c r="CE162" s="18">
        <f t="shared" si="277"/>
        <v>0.2058163211190574</v>
      </c>
      <c r="CF162" s="19">
        <f t="shared" si="314"/>
        <v>935.55784752892794</v>
      </c>
      <c r="CG162" s="15">
        <f t="shared" si="278"/>
        <v>5.3711156950578566E-6</v>
      </c>
      <c r="CH162" s="16">
        <f t="shared" si="279"/>
        <v>26.64791524658267</v>
      </c>
      <c r="CI162" s="17">
        <f t="shared" si="280"/>
        <v>1.3442256584001867E-2</v>
      </c>
      <c r="CJ162" s="18">
        <f t="shared" si="281"/>
        <v>0.20698148237721237</v>
      </c>
      <c r="CK162" s="19">
        <f t="shared" si="315"/>
        <v>914.38512844249294</v>
      </c>
      <c r="CL162" s="15">
        <f t="shared" si="282"/>
        <v>5.3287702568849862E-6</v>
      </c>
      <c r="CM162" s="16">
        <f t="shared" si="283"/>
        <v>26.404428977088671</v>
      </c>
      <c r="CN162" s="17">
        <f t="shared" si="284"/>
        <v>1.3336278929190697E-2</v>
      </c>
      <c r="CO162" s="18">
        <f t="shared" si="285"/>
        <v>0.20889014508838463</v>
      </c>
      <c r="CP162" s="19">
        <f t="shared" si="316"/>
        <v>875.54148976693591</v>
      </c>
      <c r="CQ162" s="15">
        <f t="shared" si="286"/>
        <v>5.2510829795338719E-6</v>
      </c>
      <c r="CR162" s="16">
        <f t="shared" si="287"/>
        <v>25.957727132319761</v>
      </c>
      <c r="CS162" s="17">
        <f t="shared" si="288"/>
        <v>1.3141851481569881E-2</v>
      </c>
      <c r="CT162" s="18">
        <f t="shared" si="289"/>
        <v>0.21248489792207342</v>
      </c>
      <c r="CU162" s="19">
        <f t="shared" si="317"/>
        <v>804.70917080139236</v>
      </c>
      <c r="CV162" s="15">
        <f t="shared" si="290"/>
        <v>5.1094183416027852E-6</v>
      </c>
      <c r="CW162" s="16">
        <f t="shared" si="291"/>
        <v>25.143155464216012</v>
      </c>
      <c r="CX162" s="17">
        <f t="shared" si="292"/>
        <v>1.2787308306545446E-2</v>
      </c>
      <c r="CY162" s="18">
        <f t="shared" si="293"/>
        <v>0.21936884604042212</v>
      </c>
      <c r="CZ162" s="20">
        <f t="shared" si="318"/>
        <v>688.93535819126112</v>
      </c>
      <c r="DA162" s="15">
        <f t="shared" si="294"/>
        <v>4.877870716382523E-6</v>
      </c>
      <c r="DB162" s="16">
        <f t="shared" si="295"/>
        <v>26.091780075223255</v>
      </c>
      <c r="DC162" s="17">
        <f t="shared" si="296"/>
        <v>1.2207815559351225E-2</v>
      </c>
      <c r="DD162" s="18">
        <f t="shared" si="297"/>
        <v>0.2113932044535986</v>
      </c>
    </row>
    <row r="163" spans="2:108" x14ac:dyDescent="0.25">
      <c r="B163">
        <v>144</v>
      </c>
      <c r="C163">
        <f t="shared" si="298"/>
        <v>0.14077651195371621</v>
      </c>
      <c r="D163" s="19">
        <f t="shared" si="215"/>
        <v>1017.6396883772682</v>
      </c>
      <c r="E163" s="15">
        <f t="shared" si="216"/>
        <v>5.5352793767545369E-6</v>
      </c>
      <c r="F163" s="16">
        <f t="shared" si="217"/>
        <v>27.591856416338583</v>
      </c>
      <c r="G163" s="17">
        <f t="shared" si="213"/>
        <v>1.3853107970646112E-2</v>
      </c>
      <c r="H163" s="18">
        <f t="shared" si="218"/>
        <v>0.19990046761528918</v>
      </c>
      <c r="I163" s="19">
        <f t="shared" si="299"/>
        <v>1017.3150992818706</v>
      </c>
      <c r="J163" s="15">
        <f t="shared" si="219"/>
        <v>5.5346301985637419E-6</v>
      </c>
      <c r="K163" s="16">
        <f t="shared" si="220"/>
        <v>27.588123641741511</v>
      </c>
      <c r="L163" s="17">
        <f t="shared" si="221"/>
        <v>1.3851483276577908E-2</v>
      </c>
      <c r="M163" s="18">
        <f t="shared" si="222"/>
        <v>0.19992751488378585</v>
      </c>
      <c r="N163" s="19">
        <f t="shared" si="300"/>
        <v>1016.4092007427301</v>
      </c>
      <c r="O163" s="15">
        <f t="shared" si="223"/>
        <v>5.5328184014854608E-6</v>
      </c>
      <c r="P163" s="16">
        <f t="shared" si="224"/>
        <v>27.577705808541396</v>
      </c>
      <c r="Q163" s="17">
        <f t="shared" si="214"/>
        <v>1.3853107970646112E-2</v>
      </c>
      <c r="R163" s="18">
        <f t="shared" si="225"/>
        <v>0.20000304007491787</v>
      </c>
      <c r="S163" s="19">
        <f t="shared" si="301"/>
        <v>1014.9076990876105</v>
      </c>
      <c r="T163" s="15">
        <f t="shared" si="226"/>
        <v>5.5298153981752208E-6</v>
      </c>
      <c r="U163" s="16">
        <f t="shared" si="227"/>
        <v>27.560438539507519</v>
      </c>
      <c r="V163" s="17">
        <f t="shared" si="228"/>
        <v>1.3839433306721029E-2</v>
      </c>
      <c r="W163" s="18">
        <f t="shared" si="229"/>
        <v>0.20012834672762647</v>
      </c>
      <c r="X163" s="19">
        <f t="shared" si="302"/>
        <v>1012.8085395463135</v>
      </c>
      <c r="Y163" s="15">
        <f t="shared" si="230"/>
        <v>5.525617079092628E-6</v>
      </c>
      <c r="Z163" s="16">
        <f t="shared" si="231"/>
        <v>27.536298204782604</v>
      </c>
      <c r="AA163" s="17">
        <f t="shared" si="232"/>
        <v>1.3828926200649632E-2</v>
      </c>
      <c r="AB163" s="18">
        <f t="shared" si="233"/>
        <v>0.20030379388621039</v>
      </c>
      <c r="AC163" s="19">
        <f t="shared" si="303"/>
        <v>1010.1102678900378</v>
      </c>
      <c r="AD163" s="15">
        <f t="shared" si="234"/>
        <v>5.5202205357800764E-6</v>
      </c>
      <c r="AE163" s="16">
        <f t="shared" si="235"/>
        <v>27.505268080735434</v>
      </c>
      <c r="AF163" s="17">
        <f t="shared" si="236"/>
        <v>1.3815420306531441E-2</v>
      </c>
      <c r="AG163" s="18">
        <f t="shared" si="237"/>
        <v>0.20052976701809058</v>
      </c>
      <c r="AH163" s="19">
        <f t="shared" si="304"/>
        <v>1006.8126034594491</v>
      </c>
      <c r="AI163" s="15">
        <f t="shared" si="238"/>
        <v>5.5136252069188988E-6</v>
      </c>
      <c r="AJ163" s="16">
        <f t="shared" si="239"/>
        <v>27.467344939783665</v>
      </c>
      <c r="AK163" s="17">
        <f t="shared" si="240"/>
        <v>1.3798914219557855E-2</v>
      </c>
      <c r="AL163" s="18">
        <f t="shared" si="241"/>
        <v>0.20080663100462892</v>
      </c>
      <c r="AM163" s="19">
        <f t="shared" si="305"/>
        <v>1002.9154679042686</v>
      </c>
      <c r="AN163" s="15">
        <f t="shared" si="242"/>
        <v>5.5058309358085378E-6</v>
      </c>
      <c r="AO163" s="16">
        <f t="shared" si="243"/>
        <v>27.422527880899089</v>
      </c>
      <c r="AP163" s="17">
        <f t="shared" si="244"/>
        <v>1.3779407547555397E-2</v>
      </c>
      <c r="AQ163" s="18">
        <f t="shared" si="245"/>
        <v>0.20113481236869699</v>
      </c>
      <c r="AR163" s="19">
        <f t="shared" si="306"/>
        <v>998.41883860697112</v>
      </c>
      <c r="AS163" s="15">
        <f t="shared" si="246"/>
        <v>5.4968376772139425E-6</v>
      </c>
      <c r="AT163" s="16">
        <f t="shared" si="247"/>
        <v>27.370816643980167</v>
      </c>
      <c r="AU163" s="17">
        <f t="shared" si="248"/>
        <v>1.3756900177314598E-2</v>
      </c>
      <c r="AV163" s="18">
        <f t="shared" si="249"/>
        <v>0.2015148130851655</v>
      </c>
      <c r="AW163" s="19">
        <f t="shared" si="307"/>
        <v>993.32266107317662</v>
      </c>
      <c r="AX163" s="15">
        <f t="shared" si="250"/>
        <v>5.4866453221463537E-6</v>
      </c>
      <c r="AY163" s="16">
        <f t="shared" si="251"/>
        <v>27.31221060234153</v>
      </c>
      <c r="AZ163" s="17">
        <f t="shared" si="252"/>
        <v>1.3731391836069995E-2</v>
      </c>
      <c r="BA163" s="18">
        <f t="shared" si="253"/>
        <v>0.20194721988293157</v>
      </c>
      <c r="BB163" s="19">
        <f t="shared" si="308"/>
        <v>987.6266060989376</v>
      </c>
      <c r="BC163" s="15">
        <f t="shared" si="254"/>
        <v>5.4752532121978754E-6</v>
      </c>
      <c r="BD163" s="16">
        <f t="shared" si="255"/>
        <v>27.246705970137782</v>
      </c>
      <c r="BE163" s="17">
        <f t="shared" si="256"/>
        <v>1.3702880876028396E-2</v>
      </c>
      <c r="BF163" s="18">
        <f t="shared" si="257"/>
        <v>0.20243272731922496</v>
      </c>
      <c r="BG163" s="19">
        <f t="shared" si="309"/>
        <v>981.32882487810696</v>
      </c>
      <c r="BH163" s="15">
        <f t="shared" si="258"/>
        <v>5.4626576497562143E-6</v>
      </c>
      <c r="BI163" s="16">
        <f t="shared" si="259"/>
        <v>27.174281486098231</v>
      </c>
      <c r="BJ163" s="17">
        <f t="shared" si="260"/>
        <v>1.3671358043199376E-2</v>
      </c>
      <c r="BK163" s="18">
        <f t="shared" si="261"/>
        <v>0.20297224796253302</v>
      </c>
      <c r="BL163" s="19">
        <f t="shared" si="310"/>
        <v>974.41990739171126</v>
      </c>
      <c r="BM163" s="15">
        <f t="shared" si="262"/>
        <v>5.4488398147834234E-6</v>
      </c>
      <c r="BN163" s="16">
        <f t="shared" si="263"/>
        <v>27.094828935004678</v>
      </c>
      <c r="BO163" s="17">
        <f t="shared" si="264"/>
        <v>1.3636776236795437E-2</v>
      </c>
      <c r="BP163" s="18">
        <f t="shared" si="265"/>
        <v>0.20356744134576127</v>
      </c>
      <c r="BQ163" s="19">
        <f t="shared" si="311"/>
        <v>966.85678824720617</v>
      </c>
      <c r="BR163" s="15">
        <f t="shared" si="266"/>
        <v>5.4337135764944134E-6</v>
      </c>
      <c r="BS163" s="16">
        <f t="shared" si="267"/>
        <v>27.00785306484287</v>
      </c>
      <c r="BT163" s="17">
        <f t="shared" si="268"/>
        <v>1.3598919897856636E-2</v>
      </c>
      <c r="BU163" s="18">
        <f t="shared" si="269"/>
        <v>0.20422300827679987</v>
      </c>
      <c r="BV163" s="19">
        <f t="shared" si="312"/>
        <v>958.46442007568612</v>
      </c>
      <c r="BW163" s="15">
        <f t="shared" si="270"/>
        <v>5.4169288401513726E-6</v>
      </c>
      <c r="BX163" s="16">
        <f t="shared" si="271"/>
        <v>26.91134083087039</v>
      </c>
      <c r="BY163" s="17">
        <f t="shared" si="272"/>
        <v>1.3556912846542219E-2</v>
      </c>
      <c r="BZ163" s="18">
        <f t="shared" si="273"/>
        <v>0.20495541395220807</v>
      </c>
      <c r="CA163" s="19">
        <f t="shared" si="313"/>
        <v>948.62084804246956</v>
      </c>
      <c r="CB163" s="15">
        <f t="shared" si="274"/>
        <v>5.3972416960849399E-6</v>
      </c>
      <c r="CC163" s="16">
        <f t="shared" si="275"/>
        <v>26.7981397524884</v>
      </c>
      <c r="CD163" s="17">
        <f t="shared" si="276"/>
        <v>1.3507641958151059E-2</v>
      </c>
      <c r="CE163" s="18">
        <f t="shared" si="277"/>
        <v>0.20582118949088005</v>
      </c>
      <c r="CF163" s="19">
        <f t="shared" si="314"/>
        <v>935.43457426083285</v>
      </c>
      <c r="CG163" s="15">
        <f t="shared" si="278"/>
        <v>5.3708691485216664E-6</v>
      </c>
      <c r="CH163" s="16">
        <f t="shared" si="279"/>
        <v>26.646497603999578</v>
      </c>
      <c r="CI163" s="17">
        <f t="shared" si="280"/>
        <v>1.3441639553576993E-2</v>
      </c>
      <c r="CJ163" s="18">
        <f t="shared" si="281"/>
        <v>0.20699249417199644</v>
      </c>
      <c r="CK163" s="19">
        <f t="shared" si="315"/>
        <v>914.1238753034911</v>
      </c>
      <c r="CL163" s="15">
        <f t="shared" si="282"/>
        <v>5.3282477506069828E-6</v>
      </c>
      <c r="CM163" s="16">
        <f t="shared" si="283"/>
        <v>26.401424565990148</v>
      </c>
      <c r="CN163" s="17">
        <f t="shared" si="284"/>
        <v>1.3334971256101072E-2</v>
      </c>
      <c r="CO163" s="18">
        <f t="shared" si="285"/>
        <v>0.20891391622500294</v>
      </c>
      <c r="CP163" s="19">
        <f t="shared" si="316"/>
        <v>875.07429591967525</v>
      </c>
      <c r="CQ163" s="15">
        <f t="shared" si="286"/>
        <v>5.2501485918393517E-6</v>
      </c>
      <c r="CR163" s="16">
        <f t="shared" si="287"/>
        <v>25.952354403076264</v>
      </c>
      <c r="CS163" s="17">
        <f t="shared" si="288"/>
        <v>1.313951299551749E-2</v>
      </c>
      <c r="CT163" s="18">
        <f t="shared" si="289"/>
        <v>0.21252888714197757</v>
      </c>
      <c r="CU163" s="19">
        <f t="shared" si="317"/>
        <v>804.05413741711448</v>
      </c>
      <c r="CV163" s="15">
        <f t="shared" si="290"/>
        <v>5.1081082748342288E-6</v>
      </c>
      <c r="CW163" s="16">
        <f t="shared" si="291"/>
        <v>25.135622580296818</v>
      </c>
      <c r="CX163" s="17">
        <f t="shared" si="292"/>
        <v>1.2784029610899155E-2</v>
      </c>
      <c r="CY163" s="18">
        <f t="shared" si="293"/>
        <v>0.21943458859553214</v>
      </c>
      <c r="CZ163" s="20">
        <f t="shared" si="318"/>
        <v>688.26357507680791</v>
      </c>
      <c r="DA163" s="15">
        <f t="shared" si="294"/>
        <v>4.8765271501536156E-6</v>
      </c>
      <c r="DB163" s="16">
        <f t="shared" si="295"/>
        <v>26.22667412460541</v>
      </c>
      <c r="DC163" s="17">
        <f t="shared" si="296"/>
        <v>1.2204453024821727E-2</v>
      </c>
      <c r="DD163" s="18">
        <f t="shared" si="297"/>
        <v>0.21030592646992691</v>
      </c>
    </row>
    <row r="164" spans="2:108" x14ac:dyDescent="0.25">
      <c r="B164">
        <v>145</v>
      </c>
      <c r="C164">
        <f t="shared" si="298"/>
        <v>0.14175412662006145</v>
      </c>
      <c r="D164" s="19">
        <f t="shared" si="215"/>
        <v>1017.6231164977725</v>
      </c>
      <c r="E164" s="15">
        <f t="shared" si="216"/>
        <v>5.5352462329955457E-6</v>
      </c>
      <c r="F164" s="16">
        <f t="shared" si="217"/>
        <v>27.591665839724385</v>
      </c>
      <c r="G164" s="17">
        <f t="shared" si="213"/>
        <v>1.3853025021974399E-2</v>
      </c>
      <c r="H164" s="18">
        <f t="shared" si="218"/>
        <v>0.19990184833490635</v>
      </c>
      <c r="I164" s="19">
        <f t="shared" si="299"/>
        <v>1017.2985233996058</v>
      </c>
      <c r="J164" s="15">
        <f t="shared" si="219"/>
        <v>5.534597046799212E-6</v>
      </c>
      <c r="K164" s="16">
        <f t="shared" si="220"/>
        <v>27.587933019095466</v>
      </c>
      <c r="L164" s="17">
        <f t="shared" si="221"/>
        <v>1.3851400307870784E-2</v>
      </c>
      <c r="M164" s="18">
        <f t="shared" si="222"/>
        <v>0.1999288963106538</v>
      </c>
      <c r="N164" s="19">
        <f t="shared" si="300"/>
        <v>1016.3926143395981</v>
      </c>
      <c r="O164" s="15">
        <f t="shared" si="223"/>
        <v>5.5327852286791967E-6</v>
      </c>
      <c r="P164" s="16">
        <f t="shared" si="224"/>
        <v>27.577515064905377</v>
      </c>
      <c r="Q164" s="17">
        <f t="shared" si="214"/>
        <v>1.3853025021974399E-2</v>
      </c>
      <c r="R164" s="18">
        <f t="shared" si="225"/>
        <v>0.2000044234231633</v>
      </c>
      <c r="S164" s="19">
        <f t="shared" si="301"/>
        <v>1014.8911063763504</v>
      </c>
      <c r="T164" s="15">
        <f t="shared" si="226"/>
        <v>5.5297822127527017E-6</v>
      </c>
      <c r="U164" s="16">
        <f t="shared" si="227"/>
        <v>27.560247723328029</v>
      </c>
      <c r="V164" s="17">
        <f t="shared" si="228"/>
        <v>1.3839350253778275E-2</v>
      </c>
      <c r="W164" s="18">
        <f t="shared" si="229"/>
        <v>0.20012973233659898</v>
      </c>
      <c r="X164" s="19">
        <f t="shared" si="302"/>
        <v>1012.7919490575803</v>
      </c>
      <c r="Y164" s="15">
        <f t="shared" si="230"/>
        <v>5.5255838981151608E-6</v>
      </c>
      <c r="Z164" s="16">
        <f t="shared" si="231"/>
        <v>27.536107414162174</v>
      </c>
      <c r="AA164" s="17">
        <f t="shared" si="232"/>
        <v>1.382884315883148E-2</v>
      </c>
      <c r="AB164" s="18">
        <f t="shared" si="233"/>
        <v>0.20030518173978518</v>
      </c>
      <c r="AC164" s="19">
        <f t="shared" si="303"/>
        <v>1010.0936872953977</v>
      </c>
      <c r="AD164" s="15">
        <f t="shared" si="234"/>
        <v>5.5201873745907956E-6</v>
      </c>
      <c r="AE164" s="16">
        <f t="shared" si="235"/>
        <v>27.505077403897072</v>
      </c>
      <c r="AF164" s="17">
        <f t="shared" si="236"/>
        <v>1.3815337314237055E-2</v>
      </c>
      <c r="AG164" s="18">
        <f t="shared" si="237"/>
        <v>0.20053115717531178</v>
      </c>
      <c r="AH164" s="19">
        <f t="shared" si="304"/>
        <v>1006.7960383479267</v>
      </c>
      <c r="AI164" s="15">
        <f t="shared" si="238"/>
        <v>5.5135920766958542E-6</v>
      </c>
      <c r="AJ164" s="16">
        <f t="shared" si="239"/>
        <v>27.467154441001156</v>
      </c>
      <c r="AK164" s="17">
        <f t="shared" si="240"/>
        <v>1.3798831304762468E-2</v>
      </c>
      <c r="AL164" s="18">
        <f t="shared" si="241"/>
        <v>0.2008080237014519</v>
      </c>
      <c r="AM164" s="19">
        <f t="shared" si="305"/>
        <v>1002.8989224380234</v>
      </c>
      <c r="AN164" s="15">
        <f t="shared" si="242"/>
        <v>5.5057978448760473E-6</v>
      </c>
      <c r="AO164" s="16">
        <f t="shared" si="243"/>
        <v>27.422337608037267</v>
      </c>
      <c r="AP164" s="17">
        <f t="shared" si="244"/>
        <v>1.3779324731092226E-2</v>
      </c>
      <c r="AQ164" s="18">
        <f t="shared" si="245"/>
        <v>0.20113620796439377</v>
      </c>
      <c r="AR164" s="19">
        <f t="shared" si="306"/>
        <v>998.40231583710295</v>
      </c>
      <c r="AS164" s="15">
        <f t="shared" si="246"/>
        <v>5.496804631674206E-6</v>
      </c>
      <c r="AT164" s="16">
        <f t="shared" si="247"/>
        <v>27.370626632126683</v>
      </c>
      <c r="AU164" s="17">
        <f t="shared" si="248"/>
        <v>1.375681747445558E-2</v>
      </c>
      <c r="AV164" s="18">
        <f t="shared" si="249"/>
        <v>0.20151621203754072</v>
      </c>
      <c r="AW164" s="19">
        <f t="shared" si="307"/>
        <v>993.30616051467939</v>
      </c>
      <c r="AX164" s="15">
        <f t="shared" si="250"/>
        <v>5.4866123210293592E-6</v>
      </c>
      <c r="AY164" s="16">
        <f t="shared" si="251"/>
        <v>27.312020845918813</v>
      </c>
      <c r="AZ164" s="17">
        <f t="shared" si="252"/>
        <v>1.3731309244387488E-2</v>
      </c>
      <c r="BA164" s="18">
        <f t="shared" si="253"/>
        <v>0.20194862295677363</v>
      </c>
      <c r="BB164" s="19">
        <f t="shared" si="308"/>
        <v>987.61010905607418</v>
      </c>
      <c r="BC164" s="15">
        <f t="shared" si="254"/>
        <v>5.4752202181121497E-6</v>
      </c>
      <c r="BD164" s="16">
        <f t="shared" si="255"/>
        <v>27.246516254144851</v>
      </c>
      <c r="BE164" s="17">
        <f t="shared" si="256"/>
        <v>1.3702798301942999E-2</v>
      </c>
      <c r="BF164" s="18">
        <f t="shared" si="257"/>
        <v>0.20243413684716263</v>
      </c>
      <c r="BG164" s="19">
        <f t="shared" si="309"/>
        <v>981.31222474982405</v>
      </c>
      <c r="BH164" s="15">
        <f t="shared" si="258"/>
        <v>5.4626244494996487E-6</v>
      </c>
      <c r="BI164" s="16">
        <f t="shared" si="259"/>
        <v>27.174090584622974</v>
      </c>
      <c r="BJ164" s="17">
        <f t="shared" si="260"/>
        <v>1.3671274953131552E-2</v>
      </c>
      <c r="BK164" s="18">
        <f t="shared" si="261"/>
        <v>0.20297367386863469</v>
      </c>
      <c r="BL164" s="19">
        <f t="shared" si="310"/>
        <v>974.40271982130537</v>
      </c>
      <c r="BM164" s="15">
        <f t="shared" si="262"/>
        <v>5.448805439642611E-6</v>
      </c>
      <c r="BN164" s="16">
        <f t="shared" si="263"/>
        <v>27.094631277945012</v>
      </c>
      <c r="BO164" s="17">
        <f t="shared" si="264"/>
        <v>1.3636690206352388E-2</v>
      </c>
      <c r="BP164" s="18">
        <f t="shared" si="265"/>
        <v>0.20356892638320234</v>
      </c>
      <c r="BQ164" s="19">
        <f t="shared" si="311"/>
        <v>966.83711157213543</v>
      </c>
      <c r="BR164" s="15">
        <f t="shared" si="266"/>
        <v>5.4336742231442713E-6</v>
      </c>
      <c r="BS164" s="16">
        <f t="shared" si="267"/>
        <v>27.007626783079559</v>
      </c>
      <c r="BT164" s="17">
        <f t="shared" si="268"/>
        <v>1.3598821408481229E-2</v>
      </c>
      <c r="BU164" s="18">
        <f t="shared" si="269"/>
        <v>0.20422471934689101</v>
      </c>
      <c r="BV164" s="19">
        <f t="shared" si="312"/>
        <v>958.43582872447007</v>
      </c>
      <c r="BW164" s="15">
        <f t="shared" si="270"/>
        <v>5.4168716574489408E-6</v>
      </c>
      <c r="BX164" s="16">
        <f t="shared" si="271"/>
        <v>26.911012030331406</v>
      </c>
      <c r="BY164" s="17">
        <f t="shared" si="272"/>
        <v>1.3556769735761908E-2</v>
      </c>
      <c r="BZ164" s="18">
        <f t="shared" si="273"/>
        <v>0.20495791811111891</v>
      </c>
      <c r="CA164" s="19">
        <f t="shared" si="313"/>
        <v>948.56512479401215</v>
      </c>
      <c r="CB164" s="15">
        <f t="shared" si="274"/>
        <v>5.397130249588025E-6</v>
      </c>
      <c r="CC164" s="16">
        <f t="shared" si="275"/>
        <v>26.797498935131138</v>
      </c>
      <c r="CD164" s="17">
        <f t="shared" si="276"/>
        <v>1.3507363041722524E-2</v>
      </c>
      <c r="CE164" s="18">
        <f t="shared" si="277"/>
        <v>0.20582611136030662</v>
      </c>
      <c r="CF164" s="19">
        <f t="shared" si="314"/>
        <v>935.31027335252224</v>
      </c>
      <c r="CG164" s="15">
        <f t="shared" si="278"/>
        <v>5.3706205467050445E-6</v>
      </c>
      <c r="CH164" s="16">
        <f t="shared" si="279"/>
        <v>26.645068143554006</v>
      </c>
      <c r="CI164" s="17">
        <f t="shared" si="280"/>
        <v>1.3441017379415051E-2</v>
      </c>
      <c r="CJ164" s="18">
        <f t="shared" si="281"/>
        <v>0.20700359895061271</v>
      </c>
      <c r="CK164" s="19">
        <f t="shared" si="315"/>
        <v>913.86158483426368</v>
      </c>
      <c r="CL164" s="15">
        <f t="shared" si="282"/>
        <v>5.327723169668527E-6</v>
      </c>
      <c r="CM164" s="16">
        <f t="shared" si="283"/>
        <v>26.398408225594032</v>
      </c>
      <c r="CN164" s="17">
        <f t="shared" si="284"/>
        <v>1.3333658390772128E-2</v>
      </c>
      <c r="CO164" s="18">
        <f t="shared" si="285"/>
        <v>0.20893778719023065</v>
      </c>
      <c r="CP164" s="19">
        <f t="shared" si="316"/>
        <v>874.60724357570246</v>
      </c>
      <c r="CQ164" s="15">
        <f t="shared" si="286"/>
        <v>5.2492144871514057E-6</v>
      </c>
      <c r="CR164" s="16">
        <f t="shared" si="287"/>
        <v>25.946983301120575</v>
      </c>
      <c r="CS164" s="17">
        <f t="shared" si="288"/>
        <v>1.3137175217743824E-2</v>
      </c>
      <c r="CT164" s="18">
        <f t="shared" si="289"/>
        <v>0.21257288124750118</v>
      </c>
      <c r="CU164" s="19">
        <f t="shared" si="317"/>
        <v>803.40139748332183</v>
      </c>
      <c r="CV164" s="15">
        <f t="shared" si="290"/>
        <v>5.1068027949666447E-6</v>
      </c>
      <c r="CW164" s="16">
        <f t="shared" si="291"/>
        <v>25.128116071058201</v>
      </c>
      <c r="CX164" s="17">
        <f t="shared" si="292"/>
        <v>1.2780762394860323E-2</v>
      </c>
      <c r="CY164" s="18">
        <f t="shared" si="293"/>
        <v>0.2195001401777481</v>
      </c>
      <c r="CZ164" s="20">
        <f t="shared" si="318"/>
        <v>687.5949821042492</v>
      </c>
      <c r="DA164" s="15">
        <f t="shared" si="294"/>
        <v>4.8751899642084988E-6</v>
      </c>
      <c r="DB164" s="16">
        <f t="shared" si="295"/>
        <v>26.36092759349512</v>
      </c>
      <c r="DC164" s="17">
        <f t="shared" si="296"/>
        <v>1.2201106458187288E-2</v>
      </c>
      <c r="DD164" s="18">
        <f t="shared" si="297"/>
        <v>0.20923486020882845</v>
      </c>
    </row>
    <row r="165" spans="2:108" x14ac:dyDescent="0.25">
      <c r="B165">
        <v>146</v>
      </c>
      <c r="C165">
        <f t="shared" si="298"/>
        <v>0.1427317412864067</v>
      </c>
      <c r="D165" s="19">
        <f t="shared" si="215"/>
        <v>1017.6065444139156</v>
      </c>
      <c r="E165" s="15">
        <f t="shared" si="216"/>
        <v>5.5352130888278316E-6</v>
      </c>
      <c r="F165" s="16">
        <f t="shared" si="217"/>
        <v>27.591475260760028</v>
      </c>
      <c r="G165" s="17">
        <f t="shared" si="213"/>
        <v>1.3852942072279779E-2</v>
      </c>
      <c r="H165" s="18">
        <f t="shared" si="218"/>
        <v>0.19990322909062413</v>
      </c>
      <c r="I165" s="19">
        <f t="shared" si="299"/>
        <v>1017.2819474257021</v>
      </c>
      <c r="J165" s="15">
        <f t="shared" si="219"/>
        <v>5.5345638948514045E-6</v>
      </c>
      <c r="K165" s="16">
        <f t="shared" si="220"/>
        <v>27.587742395395573</v>
      </c>
      <c r="L165" s="17">
        <f t="shared" si="221"/>
        <v>1.3851317338704976E-2</v>
      </c>
      <c r="M165" s="18">
        <f t="shared" si="222"/>
        <v>0.19993027776424954</v>
      </c>
      <c r="N165" s="19">
        <f t="shared" si="300"/>
        <v>1016.3760280358938</v>
      </c>
      <c r="O165" s="15">
        <f t="shared" si="223"/>
        <v>5.5327520560717881E-6</v>
      </c>
      <c r="P165" s="16">
        <f t="shared" si="224"/>
        <v>27.577324322412778</v>
      </c>
      <c r="Q165" s="17">
        <f t="shared" si="214"/>
        <v>1.3852942072279779E-2</v>
      </c>
      <c r="R165" s="18">
        <f t="shared" si="225"/>
        <v>0.20000580678225241</v>
      </c>
      <c r="S165" s="19">
        <f t="shared" si="301"/>
        <v>1014.8745138731866</v>
      </c>
      <c r="T165" s="15">
        <f t="shared" si="226"/>
        <v>5.5297490277463739E-6</v>
      </c>
      <c r="U165" s="16">
        <f t="shared" si="227"/>
        <v>27.560056909541643</v>
      </c>
      <c r="V165" s="17">
        <f t="shared" si="228"/>
        <v>1.383926720187712E-2</v>
      </c>
      <c r="W165" s="18">
        <f t="shared" si="229"/>
        <v>0.20013111794738059</v>
      </c>
      <c r="X165" s="19">
        <f t="shared" si="302"/>
        <v>1012.7753587955384</v>
      </c>
      <c r="Y165" s="15">
        <f t="shared" si="230"/>
        <v>5.5255507175910773E-6</v>
      </c>
      <c r="Z165" s="16">
        <f t="shared" si="231"/>
        <v>27.535916626148691</v>
      </c>
      <c r="AA165" s="17">
        <f t="shared" si="232"/>
        <v>1.3828760118148008E-2</v>
      </c>
      <c r="AB165" s="18">
        <f t="shared" si="233"/>
        <v>0.20030656959362833</v>
      </c>
      <c r="AC165" s="19">
        <f t="shared" si="303"/>
        <v>1010.0771069127051</v>
      </c>
      <c r="AD165" s="15">
        <f t="shared" si="234"/>
        <v>5.5201542138254107E-6</v>
      </c>
      <c r="AE165" s="16">
        <f t="shared" si="235"/>
        <v>27.504886729496107</v>
      </c>
      <c r="AF165" s="17">
        <f t="shared" si="236"/>
        <v>1.3815254323003552E-2</v>
      </c>
      <c r="AG165" s="18">
        <f t="shared" si="237"/>
        <v>0.20053254733403686</v>
      </c>
      <c r="AH165" s="19">
        <f t="shared" si="304"/>
        <v>1006.7794734338576</v>
      </c>
      <c r="AI165" s="15">
        <f t="shared" si="238"/>
        <v>5.5135589468677149E-6</v>
      </c>
      <c r="AJ165" s="16">
        <f t="shared" si="239"/>
        <v>27.466963944489361</v>
      </c>
      <c r="AK165" s="17">
        <f t="shared" si="240"/>
        <v>1.379874839095541E-2</v>
      </c>
      <c r="AL165" s="18">
        <f t="shared" si="241"/>
        <v>0.20080941640099209</v>
      </c>
      <c r="AM165" s="19">
        <f t="shared" si="305"/>
        <v>1002.8823771550303</v>
      </c>
      <c r="AN165" s="15">
        <f t="shared" si="242"/>
        <v>5.5057647543100604E-6</v>
      </c>
      <c r="AO165" s="16">
        <f t="shared" si="243"/>
        <v>27.422147337282848</v>
      </c>
      <c r="AP165" s="17">
        <f t="shared" si="244"/>
        <v>1.3779241915546303E-2</v>
      </c>
      <c r="AQ165" s="18">
        <f t="shared" si="245"/>
        <v>0.20113760356400015</v>
      </c>
      <c r="AR165" s="19">
        <f t="shared" si="306"/>
        <v>998.38579319853045</v>
      </c>
      <c r="AS165" s="15">
        <f t="shared" si="246"/>
        <v>5.4967715863970616E-6</v>
      </c>
      <c r="AT165" s="16">
        <f t="shared" si="247"/>
        <v>27.370436621783099</v>
      </c>
      <c r="AU165" s="17">
        <f t="shared" si="248"/>
        <v>1.3756734772253752E-2</v>
      </c>
      <c r="AV165" s="18">
        <f t="shared" si="249"/>
        <v>0.20151761099822288</v>
      </c>
      <c r="AW165" s="19">
        <f t="shared" si="307"/>
        <v>993.28965981784893</v>
      </c>
      <c r="AX165" s="15">
        <f t="shared" si="250"/>
        <v>5.4865793196356984E-6</v>
      </c>
      <c r="AY165" s="16">
        <f t="shared" si="251"/>
        <v>27.311831087905261</v>
      </c>
      <c r="AZ165" s="17">
        <f t="shared" si="252"/>
        <v>1.3731226652012568E-2</v>
      </c>
      <c r="BA165" s="18">
        <f t="shared" si="253"/>
        <v>0.20195002606187518</v>
      </c>
      <c r="BB165" s="19">
        <f t="shared" si="308"/>
        <v>987.5936105803147</v>
      </c>
      <c r="BC165" s="15">
        <f t="shared" si="254"/>
        <v>5.4751872211606294E-6</v>
      </c>
      <c r="BD165" s="16">
        <f t="shared" si="255"/>
        <v>27.246326521673616</v>
      </c>
      <c r="BE165" s="17">
        <f t="shared" si="256"/>
        <v>1.3702715720685396E-2</v>
      </c>
      <c r="BF165" s="18">
        <f t="shared" si="257"/>
        <v>0.20243554651716039</v>
      </c>
      <c r="BG165" s="19">
        <f t="shared" si="309"/>
        <v>981.29561765448568</v>
      </c>
      <c r="BH165" s="15">
        <f t="shared" si="258"/>
        <v>5.4625912353089719E-6</v>
      </c>
      <c r="BI165" s="16">
        <f t="shared" si="259"/>
        <v>27.173899603026584</v>
      </c>
      <c r="BJ165" s="17">
        <f t="shared" si="260"/>
        <v>1.3671191828190913E-2</v>
      </c>
      <c r="BK165" s="18">
        <f t="shared" si="261"/>
        <v>0.20297510039323466</v>
      </c>
      <c r="BL165" s="19">
        <f t="shared" si="310"/>
        <v>974.38550460490853</v>
      </c>
      <c r="BM165" s="15">
        <f t="shared" si="262"/>
        <v>5.4487710092098173E-6</v>
      </c>
      <c r="BN165" s="16">
        <f t="shared" si="263"/>
        <v>27.094433302956446</v>
      </c>
      <c r="BO165" s="17">
        <f t="shared" si="264"/>
        <v>1.3636604037530456E-2</v>
      </c>
      <c r="BP165" s="18">
        <f t="shared" si="265"/>
        <v>0.20357041383102686</v>
      </c>
      <c r="BQ165" s="19">
        <f t="shared" si="311"/>
        <v>966.81734141731624</v>
      </c>
      <c r="BR165" s="15">
        <f t="shared" si="266"/>
        <v>5.4336346828346326E-6</v>
      </c>
      <c r="BS165" s="16">
        <f t="shared" si="267"/>
        <v>27.007399426299138</v>
      </c>
      <c r="BT165" s="17">
        <f t="shared" si="268"/>
        <v>1.3598722451203495E-2</v>
      </c>
      <c r="BU165" s="18">
        <f t="shared" si="269"/>
        <v>0.20422643857479372</v>
      </c>
      <c r="BV165" s="19">
        <f t="shared" si="312"/>
        <v>958.40697234368599</v>
      </c>
      <c r="BW165" s="15">
        <f t="shared" si="270"/>
        <v>5.4168139446873725E-6</v>
      </c>
      <c r="BX165" s="16">
        <f t="shared" si="271"/>
        <v>26.910680181952387</v>
      </c>
      <c r="BY165" s="17">
        <f t="shared" si="272"/>
        <v>1.3556625298406016E-2</v>
      </c>
      <c r="BZ165" s="18">
        <f t="shared" si="273"/>
        <v>0.20496044554455548</v>
      </c>
      <c r="CA165" s="19">
        <f t="shared" si="313"/>
        <v>948.50879702461737</v>
      </c>
      <c r="CB165" s="15">
        <f t="shared" si="274"/>
        <v>5.3970175940492349E-6</v>
      </c>
      <c r="CC165" s="16">
        <f t="shared" si="275"/>
        <v>26.796851165783099</v>
      </c>
      <c r="CD165" s="17">
        <f t="shared" si="276"/>
        <v>1.3507081099432688E-2</v>
      </c>
      <c r="CE165" s="18">
        <f t="shared" si="277"/>
        <v>0.20583108686452317</v>
      </c>
      <c r="CF165" s="19">
        <f t="shared" si="314"/>
        <v>935.18495029533972</v>
      </c>
      <c r="CG165" s="15">
        <f t="shared" si="278"/>
        <v>5.3703699005906801E-6</v>
      </c>
      <c r="CH165" s="16">
        <f t="shared" si="279"/>
        <v>26.643626928396408</v>
      </c>
      <c r="CI165" s="17">
        <f t="shared" si="280"/>
        <v>1.344039008900234E-2</v>
      </c>
      <c r="CJ165" s="18">
        <f t="shared" si="281"/>
        <v>0.2070147962521395</v>
      </c>
      <c r="CK165" s="19">
        <f t="shared" si="315"/>
        <v>913.59827366859224</v>
      </c>
      <c r="CL165" s="15">
        <f t="shared" si="282"/>
        <v>5.3271965473371842E-6</v>
      </c>
      <c r="CM165" s="16">
        <f t="shared" si="283"/>
        <v>26.39538014718881</v>
      </c>
      <c r="CN165" s="17">
        <f t="shared" si="284"/>
        <v>1.333234041646238E-2</v>
      </c>
      <c r="CO165" s="18">
        <f t="shared" si="285"/>
        <v>0.20896175653630172</v>
      </c>
      <c r="CP165" s="19">
        <f t="shared" si="316"/>
        <v>874.14034710254452</v>
      </c>
      <c r="CQ165" s="15">
        <f t="shared" si="286"/>
        <v>5.2482806942050894E-6</v>
      </c>
      <c r="CR165" s="16">
        <f t="shared" si="287"/>
        <v>25.941613991679262</v>
      </c>
      <c r="CS165" s="17">
        <f t="shared" si="288"/>
        <v>1.3134838220163923E-2</v>
      </c>
      <c r="CT165" s="18">
        <f t="shared" si="289"/>
        <v>0.21261687887920658</v>
      </c>
      <c r="CU165" s="19">
        <f t="shared" si="317"/>
        <v>802.750934752803</v>
      </c>
      <c r="CV165" s="15">
        <f t="shared" si="290"/>
        <v>5.1055018695056062E-6</v>
      </c>
      <c r="CW165" s="16">
        <f t="shared" si="291"/>
        <v>25.120635749657232</v>
      </c>
      <c r="CX165" s="17">
        <f t="shared" si="292"/>
        <v>1.2777506577105358E-2</v>
      </c>
      <c r="CY165" s="18">
        <f t="shared" si="293"/>
        <v>0.21956550204248951</v>
      </c>
      <c r="CZ165" s="20">
        <f t="shared" si="318"/>
        <v>686.92954209593472</v>
      </c>
      <c r="DA165" s="15">
        <f t="shared" si="294"/>
        <v>4.8738590841918702E-6</v>
      </c>
      <c r="DB165" s="16">
        <f t="shared" si="295"/>
        <v>26.494547947164619</v>
      </c>
      <c r="DC165" s="17">
        <f t="shared" si="296"/>
        <v>1.2197775673359381E-2</v>
      </c>
      <c r="DD165" s="18">
        <f t="shared" si="297"/>
        <v>0.20817962287936559</v>
      </c>
    </row>
    <row r="166" spans="2:108" x14ac:dyDescent="0.25">
      <c r="B166">
        <v>147</v>
      </c>
      <c r="C166">
        <f t="shared" si="298"/>
        <v>0.14370935595275197</v>
      </c>
      <c r="D166" s="19">
        <f t="shared" si="215"/>
        <v>1017.5899721314526</v>
      </c>
      <c r="E166" s="15">
        <f t="shared" si="216"/>
        <v>5.5351799442629055E-6</v>
      </c>
      <c r="F166" s="16">
        <f t="shared" si="217"/>
        <v>27.591284679511702</v>
      </c>
      <c r="G166" s="17">
        <f t="shared" si="213"/>
        <v>1.385285912159106E-2</v>
      </c>
      <c r="H166" s="18">
        <f t="shared" si="218"/>
        <v>0.19990460988196412</v>
      </c>
      <c r="I166" s="19">
        <f t="shared" si="299"/>
        <v>1017.2653713633529</v>
      </c>
      <c r="J166" s="15">
        <f t="shared" si="219"/>
        <v>5.5345307427267069E-6</v>
      </c>
      <c r="K166" s="16">
        <f t="shared" si="220"/>
        <v>27.587551770678559</v>
      </c>
      <c r="L166" s="17">
        <f t="shared" si="221"/>
        <v>1.3851234369096464E-2</v>
      </c>
      <c r="M166" s="18">
        <f t="shared" si="222"/>
        <v>0.19993165924430759</v>
      </c>
      <c r="N166" s="19">
        <f t="shared" si="300"/>
        <v>1016.3594418315143</v>
      </c>
      <c r="O166" s="15">
        <f t="shared" si="223"/>
        <v>5.532718883663029E-6</v>
      </c>
      <c r="P166" s="16">
        <f t="shared" si="224"/>
        <v>27.577133581062412</v>
      </c>
      <c r="Q166" s="17">
        <f t="shared" si="214"/>
        <v>1.385285912159106E-2</v>
      </c>
      <c r="R166" s="18">
        <f t="shared" si="225"/>
        <v>0.20000719015219384</v>
      </c>
      <c r="S166" s="19">
        <f t="shared" si="301"/>
        <v>1014.8579215771649</v>
      </c>
      <c r="T166" s="15">
        <f t="shared" si="226"/>
        <v>5.52971584315433E-6</v>
      </c>
      <c r="U166" s="16">
        <f t="shared" si="227"/>
        <v>27.559866098137398</v>
      </c>
      <c r="V166" s="17">
        <f t="shared" si="228"/>
        <v>1.383918415101279E-2</v>
      </c>
      <c r="W166" s="18">
        <f t="shared" si="229"/>
        <v>0.20013250356005058</v>
      </c>
      <c r="X166" s="19">
        <f t="shared" si="302"/>
        <v>1012.7587687597305</v>
      </c>
      <c r="Y166" s="15">
        <f t="shared" si="230"/>
        <v>5.5255175375194619E-6</v>
      </c>
      <c r="Z166" s="16">
        <f t="shared" si="231"/>
        <v>27.535725840736902</v>
      </c>
      <c r="AA166" s="17">
        <f t="shared" si="232"/>
        <v>1.3828677078596927E-2</v>
      </c>
      <c r="AB166" s="18">
        <f t="shared" si="233"/>
        <v>0.20030795744777768</v>
      </c>
      <c r="AC166" s="19">
        <f t="shared" si="303"/>
        <v>1010.0605267419203</v>
      </c>
      <c r="AD166" s="15">
        <f t="shared" si="234"/>
        <v>5.5201210534838412E-6</v>
      </c>
      <c r="AE166" s="16">
        <f t="shared" si="235"/>
        <v>27.504696057532083</v>
      </c>
      <c r="AF166" s="17">
        <f t="shared" si="236"/>
        <v>1.3815171332830729E-2</v>
      </c>
      <c r="AG166" s="18">
        <f t="shared" si="237"/>
        <v>0.20053393749426879</v>
      </c>
      <c r="AH166" s="19">
        <f t="shared" si="304"/>
        <v>1006.7629087172102</v>
      </c>
      <c r="AI166" s="15">
        <f t="shared" si="238"/>
        <v>5.5135258174344209E-6</v>
      </c>
      <c r="AJ166" s="16">
        <f t="shared" si="239"/>
        <v>27.466773450247914</v>
      </c>
      <c r="AK166" s="17">
        <f t="shared" si="240"/>
        <v>1.3798665478136529E-2</v>
      </c>
      <c r="AL166" s="18">
        <f t="shared" si="241"/>
        <v>0.20081080910325186</v>
      </c>
      <c r="AM166" s="19">
        <f t="shared" si="305"/>
        <v>1002.8658320547008</v>
      </c>
      <c r="AN166" s="15">
        <f t="shared" si="242"/>
        <v>5.5057316641094021E-6</v>
      </c>
      <c r="AO166" s="16">
        <f t="shared" si="243"/>
        <v>27.421957068629059</v>
      </c>
      <c r="AP166" s="17">
        <f t="shared" si="244"/>
        <v>1.3779159100914685E-2</v>
      </c>
      <c r="AQ166" s="18">
        <f t="shared" si="245"/>
        <v>0.20113899916756561</v>
      </c>
      <c r="AR166" s="19">
        <f t="shared" si="306"/>
        <v>998.36927068797581</v>
      </c>
      <c r="AS166" s="15">
        <f t="shared" si="246"/>
        <v>5.4967385413759524E-6</v>
      </c>
      <c r="AT166" s="16">
        <f t="shared" si="247"/>
        <v>27.370246612911721</v>
      </c>
      <c r="AU166" s="17">
        <f t="shared" si="248"/>
        <v>1.3756652070692699E-2</v>
      </c>
      <c r="AV166" s="18">
        <f t="shared" si="249"/>
        <v>0.20151900996748939</v>
      </c>
      <c r="AW166" s="19">
        <f t="shared" si="307"/>
        <v>993.27315896739219</v>
      </c>
      <c r="AX166" s="15">
        <f t="shared" si="250"/>
        <v>5.4865463179347848E-6</v>
      </c>
      <c r="AY166" s="16">
        <f t="shared" si="251"/>
        <v>27.31164132812501</v>
      </c>
      <c r="AZ166" s="17">
        <f t="shared" si="252"/>
        <v>1.3731144058868692E-2</v>
      </c>
      <c r="BA166" s="18">
        <f t="shared" si="253"/>
        <v>0.20195142919953749</v>
      </c>
      <c r="BB166" s="19">
        <f t="shared" si="308"/>
        <v>987.57711060877568</v>
      </c>
      <c r="BC166" s="15">
        <f t="shared" si="254"/>
        <v>5.4751542212175515E-6</v>
      </c>
      <c r="BD166" s="16">
        <f t="shared" si="255"/>
        <v>27.24613677200092</v>
      </c>
      <c r="BE166" s="17">
        <f t="shared" si="256"/>
        <v>1.3702633131940842E-2</v>
      </c>
      <c r="BF166" s="18">
        <f t="shared" si="257"/>
        <v>0.20243695633459671</v>
      </c>
      <c r="BG166" s="19">
        <f t="shared" si="309"/>
        <v>981.27900336833602</v>
      </c>
      <c r="BH166" s="15">
        <f t="shared" si="258"/>
        <v>5.4625580067366734E-6</v>
      </c>
      <c r="BI166" s="16">
        <f t="shared" si="259"/>
        <v>27.173708538735863</v>
      </c>
      <c r="BJ166" s="17">
        <f t="shared" si="260"/>
        <v>1.3671108667257483E-2</v>
      </c>
      <c r="BK166" s="18">
        <f t="shared" si="261"/>
        <v>0.20297652755557929</v>
      </c>
      <c r="BL166" s="19">
        <f t="shared" si="310"/>
        <v>974.36826107630691</v>
      </c>
      <c r="BM166" s="15">
        <f t="shared" si="262"/>
        <v>5.4487365221526143E-6</v>
      </c>
      <c r="BN166" s="16">
        <f t="shared" si="263"/>
        <v>27.09423500237753</v>
      </c>
      <c r="BO166" s="17">
        <f t="shared" si="264"/>
        <v>1.3636517726994979E-2</v>
      </c>
      <c r="BP166" s="18">
        <f t="shared" si="265"/>
        <v>0.20357190374690415</v>
      </c>
      <c r="BQ166" s="19">
        <f t="shared" si="311"/>
        <v>966.79747621803563</v>
      </c>
      <c r="BR166" s="15">
        <f t="shared" si="266"/>
        <v>5.4335949524360715E-6</v>
      </c>
      <c r="BS166" s="16">
        <f t="shared" si="267"/>
        <v>27.00717097650741</v>
      </c>
      <c r="BT166" s="17">
        <f t="shared" si="268"/>
        <v>1.3598623018191442E-2</v>
      </c>
      <c r="BU166" s="18">
        <f t="shared" si="269"/>
        <v>0.20422816609699138</v>
      </c>
      <c r="BV166" s="19">
        <f t="shared" si="312"/>
        <v>958.3778484062442</v>
      </c>
      <c r="BW166" s="15">
        <f t="shared" si="270"/>
        <v>5.416755696812489E-6</v>
      </c>
      <c r="BX166" s="16">
        <f t="shared" si="271"/>
        <v>26.910345256671807</v>
      </c>
      <c r="BY166" s="17">
        <f t="shared" si="272"/>
        <v>1.3556479521825487E-2</v>
      </c>
      <c r="BZ166" s="18">
        <f t="shared" si="273"/>
        <v>0.20496299647558502</v>
      </c>
      <c r="CA166" s="19">
        <f t="shared" si="313"/>
        <v>948.45186335141796</v>
      </c>
      <c r="CB166" s="15">
        <f t="shared" si="274"/>
        <v>5.3969037267028367E-6</v>
      </c>
      <c r="CC166" s="16">
        <f t="shared" si="275"/>
        <v>26.796196428541307</v>
      </c>
      <c r="CD166" s="17">
        <f t="shared" si="276"/>
        <v>1.3506796124359777E-2</v>
      </c>
      <c r="CE166" s="18">
        <f t="shared" si="277"/>
        <v>0.20583611613345124</v>
      </c>
      <c r="CF166" s="19">
        <f t="shared" si="314"/>
        <v>935.05861064520548</v>
      </c>
      <c r="CG166" s="15">
        <f t="shared" si="278"/>
        <v>5.3701172212904113E-6</v>
      </c>
      <c r="CH166" s="16">
        <f t="shared" si="279"/>
        <v>26.642174022419862</v>
      </c>
      <c r="CI166" s="17">
        <f t="shared" si="280"/>
        <v>1.3439757710148388E-2</v>
      </c>
      <c r="CJ166" s="18">
        <f t="shared" si="281"/>
        <v>0.20702608560992447</v>
      </c>
      <c r="CK166" s="19">
        <f t="shared" si="315"/>
        <v>913.33395826188871</v>
      </c>
      <c r="CL166" s="15">
        <f t="shared" si="282"/>
        <v>5.3266679165237783E-6</v>
      </c>
      <c r="CM166" s="16">
        <f t="shared" si="283"/>
        <v>26.392340520011722</v>
      </c>
      <c r="CN166" s="17">
        <f t="shared" si="284"/>
        <v>1.3331017415537534E-2</v>
      </c>
      <c r="CO166" s="18">
        <f t="shared" si="285"/>
        <v>0.20898582283059866</v>
      </c>
      <c r="CP166" s="19">
        <f t="shared" si="316"/>
        <v>873.67362047041502</v>
      </c>
      <c r="CQ166" s="15">
        <f t="shared" si="286"/>
        <v>5.2473472409408308E-6</v>
      </c>
      <c r="CR166" s="16">
        <f t="shared" si="287"/>
        <v>25.936246635409773</v>
      </c>
      <c r="CS166" s="17">
        <f t="shared" si="288"/>
        <v>1.3132502072704118E-2</v>
      </c>
      <c r="CT166" s="18">
        <f t="shared" si="289"/>
        <v>0.21266087871287154</v>
      </c>
      <c r="CU166" s="19">
        <f t="shared" si="317"/>
        <v>802.10273309288368</v>
      </c>
      <c r="CV166" s="15">
        <f t="shared" si="290"/>
        <v>5.1042054661857682E-6</v>
      </c>
      <c r="CW166" s="16">
        <f t="shared" si="291"/>
        <v>25.113181430568162</v>
      </c>
      <c r="CX166" s="17">
        <f t="shared" si="292"/>
        <v>1.277426207688399E-2</v>
      </c>
      <c r="CY166" s="18">
        <f t="shared" si="293"/>
        <v>0.21963067543828971</v>
      </c>
      <c r="CZ166" s="20">
        <f t="shared" si="318"/>
        <v>686.26721860566079</v>
      </c>
      <c r="DA166" s="15">
        <f t="shared" si="294"/>
        <v>4.8725344372113218E-6</v>
      </c>
      <c r="DB166" s="16">
        <f t="shared" si="295"/>
        <v>26.627542504011558</v>
      </c>
      <c r="DC166" s="17">
        <f t="shared" si="296"/>
        <v>1.219446048791064E-2</v>
      </c>
      <c r="DD166" s="18">
        <f t="shared" si="297"/>
        <v>0.2071398439855667</v>
      </c>
    </row>
    <row r="167" spans="2:108" x14ac:dyDescent="0.25">
      <c r="B167">
        <v>148</v>
      </c>
      <c r="C167">
        <f t="shared" si="298"/>
        <v>0.14468697061909722</v>
      </c>
      <c r="D167" s="19">
        <f t="shared" si="215"/>
        <v>1017.5733996560076</v>
      </c>
      <c r="E167" s="15">
        <f t="shared" si="216"/>
        <v>5.5351467993120154E-6</v>
      </c>
      <c r="F167" s="16">
        <f t="shared" si="217"/>
        <v>27.591094096044088</v>
      </c>
      <c r="G167" s="17">
        <f t="shared" si="213"/>
        <v>1.385277616993639E-2</v>
      </c>
      <c r="H167" s="18">
        <f t="shared" si="218"/>
        <v>0.19990599070845874</v>
      </c>
      <c r="I167" s="19">
        <f t="shared" si="299"/>
        <v>1017.2487952156999</v>
      </c>
      <c r="J167" s="15">
        <f t="shared" si="219"/>
        <v>5.5344975904314007E-6</v>
      </c>
      <c r="K167" s="16">
        <f t="shared" si="220"/>
        <v>27.587361144980548</v>
      </c>
      <c r="L167" s="17">
        <f t="shared" si="221"/>
        <v>1.3851151399060973E-2</v>
      </c>
      <c r="M167" s="18">
        <f t="shared" si="222"/>
        <v>0.19993304075056684</v>
      </c>
      <c r="N167" s="19">
        <f t="shared" si="300"/>
        <v>1016.3428557263765</v>
      </c>
      <c r="O167" s="15">
        <f t="shared" si="223"/>
        <v>5.5326857114527534E-6</v>
      </c>
      <c r="P167" s="16">
        <f t="shared" si="224"/>
        <v>27.576942840853327</v>
      </c>
      <c r="Q167" s="17">
        <f t="shared" si="214"/>
        <v>1.385277616993639E-2</v>
      </c>
      <c r="R167" s="18">
        <f t="shared" si="225"/>
        <v>0.20000857353299453</v>
      </c>
      <c r="S167" s="19">
        <f t="shared" si="301"/>
        <v>1014.8413294873492</v>
      </c>
      <c r="T167" s="15">
        <f t="shared" si="226"/>
        <v>5.5296826589746988E-6</v>
      </c>
      <c r="U167" s="16">
        <f t="shared" si="227"/>
        <v>27.559675289104515</v>
      </c>
      <c r="V167" s="17">
        <f t="shared" si="228"/>
        <v>1.3839101101180603E-2</v>
      </c>
      <c r="W167" s="18">
        <f t="shared" si="229"/>
        <v>0.20013388917468689</v>
      </c>
      <c r="X167" s="19">
        <f t="shared" si="302"/>
        <v>1012.7421789496995</v>
      </c>
      <c r="Y167" s="15">
        <f t="shared" si="230"/>
        <v>5.5254843578993988E-6</v>
      </c>
      <c r="Z167" s="16">
        <f t="shared" si="231"/>
        <v>27.535535057921543</v>
      </c>
      <c r="AA167" s="17">
        <f t="shared" si="232"/>
        <v>1.3828594040175939E-2</v>
      </c>
      <c r="AB167" s="18">
        <f t="shared" si="233"/>
        <v>0.20030934530227118</v>
      </c>
      <c r="AC167" s="19">
        <f t="shared" si="303"/>
        <v>1010.0439467829984</v>
      </c>
      <c r="AD167" s="15">
        <f t="shared" si="234"/>
        <v>5.5200878935659975E-6</v>
      </c>
      <c r="AE167" s="16">
        <f t="shared" si="235"/>
        <v>27.504505388004482</v>
      </c>
      <c r="AF167" s="17">
        <f t="shared" si="236"/>
        <v>1.3815088343718361E-2</v>
      </c>
      <c r="AG167" s="18">
        <f t="shared" si="237"/>
        <v>0.20053532765601104</v>
      </c>
      <c r="AH167" s="19">
        <f t="shared" si="304"/>
        <v>1006.7463441979447</v>
      </c>
      <c r="AI167" s="15">
        <f t="shared" si="238"/>
        <v>5.51349268839589E-6</v>
      </c>
      <c r="AJ167" s="16">
        <f t="shared" si="239"/>
        <v>27.466582958276362</v>
      </c>
      <c r="AK167" s="17">
        <f t="shared" si="240"/>
        <v>1.3798582566305617E-2</v>
      </c>
      <c r="AL167" s="18">
        <f t="shared" si="241"/>
        <v>0.20081220180823423</v>
      </c>
      <c r="AM167" s="19">
        <f t="shared" si="305"/>
        <v>1002.8492871364141</v>
      </c>
      <c r="AN167" s="15">
        <f t="shared" si="242"/>
        <v>5.5056985742728282E-6</v>
      </c>
      <c r="AO167" s="16">
        <f t="shared" si="243"/>
        <v>27.42176680206876</v>
      </c>
      <c r="AP167" s="17">
        <f t="shared" si="244"/>
        <v>1.3779076287194257E-2</v>
      </c>
      <c r="AQ167" s="18">
        <f t="shared" si="245"/>
        <v>0.20114039477514223</v>
      </c>
      <c r="AR167" s="19">
        <f t="shared" si="306"/>
        <v>998.35274830202025</v>
      </c>
      <c r="AS167" s="15">
        <f t="shared" si="246"/>
        <v>5.4967054966040411E-6</v>
      </c>
      <c r="AT167" s="16">
        <f t="shared" si="247"/>
        <v>27.370056605473231</v>
      </c>
      <c r="AU167" s="17">
        <f t="shared" si="248"/>
        <v>1.3756569369755313E-2</v>
      </c>
      <c r="AV167" s="18">
        <f t="shared" si="249"/>
        <v>0.20152040894562975</v>
      </c>
      <c r="AW167" s="19">
        <f t="shared" si="307"/>
        <v>993.25665794748147</v>
      </c>
      <c r="AX167" s="15">
        <f t="shared" si="250"/>
        <v>5.4865133158949632E-6</v>
      </c>
      <c r="AY167" s="16">
        <f t="shared" si="251"/>
        <v>27.311451566396038</v>
      </c>
      <c r="AZ167" s="17">
        <f t="shared" si="252"/>
        <v>1.373106146487663E-2</v>
      </c>
      <c r="BA167" s="18">
        <f t="shared" si="253"/>
        <v>0.20195283237110748</v>
      </c>
      <c r="BB167" s="19">
        <f t="shared" si="308"/>
        <v>987.5606090768764</v>
      </c>
      <c r="BC167" s="15">
        <f t="shared" si="254"/>
        <v>5.4751212181537526E-6</v>
      </c>
      <c r="BD167" s="16">
        <f t="shared" si="255"/>
        <v>27.245947004384078</v>
      </c>
      <c r="BE167" s="17">
        <f t="shared" si="256"/>
        <v>1.370255053538608E-2</v>
      </c>
      <c r="BF167" s="18">
        <f t="shared" si="257"/>
        <v>0.20243836630499554</v>
      </c>
      <c r="BG167" s="19">
        <f t="shared" si="309"/>
        <v>981.26238166338942</v>
      </c>
      <c r="BH167" s="15">
        <f t="shared" si="258"/>
        <v>5.4625247633267793E-6</v>
      </c>
      <c r="BI167" s="16">
        <f t="shared" si="259"/>
        <v>27.173517389128978</v>
      </c>
      <c r="BJ167" s="17">
        <f t="shared" si="260"/>
        <v>1.36710254691901E-2</v>
      </c>
      <c r="BK167" s="18">
        <f t="shared" si="261"/>
        <v>0.20297795537527938</v>
      </c>
      <c r="BL167" s="19">
        <f t="shared" si="310"/>
        <v>974.35098856230206</v>
      </c>
      <c r="BM167" s="15">
        <f t="shared" si="262"/>
        <v>5.4487019771246052E-6</v>
      </c>
      <c r="BN167" s="16">
        <f t="shared" si="263"/>
        <v>27.094036368466472</v>
      </c>
      <c r="BO167" s="17">
        <f t="shared" si="264"/>
        <v>1.3636431271376339E-2</v>
      </c>
      <c r="BP167" s="18">
        <f t="shared" si="265"/>
        <v>0.20357339618911072</v>
      </c>
      <c r="BQ167" s="19">
        <f t="shared" si="311"/>
        <v>966.77751440777149</v>
      </c>
      <c r="BR167" s="15">
        <f t="shared" si="266"/>
        <v>5.4335550288155435E-6</v>
      </c>
      <c r="BS167" s="16">
        <f t="shared" si="267"/>
        <v>27.006941415689372</v>
      </c>
      <c r="BT167" s="17">
        <f t="shared" si="268"/>
        <v>1.359852310160402E-2</v>
      </c>
      <c r="BU167" s="18">
        <f t="shared" si="269"/>
        <v>0.20422990205013594</v>
      </c>
      <c r="BV167" s="19">
        <f t="shared" si="312"/>
        <v>958.34845441389052</v>
      </c>
      <c r="BW167" s="15">
        <f t="shared" si="270"/>
        <v>5.4166969088277811E-6</v>
      </c>
      <c r="BX167" s="16">
        <f t="shared" si="271"/>
        <v>26.910007225759742</v>
      </c>
      <c r="BY167" s="17">
        <f t="shared" si="272"/>
        <v>1.3556332393515585E-2</v>
      </c>
      <c r="BZ167" s="18">
        <f t="shared" si="273"/>
        <v>0.20496557112478736</v>
      </c>
      <c r="CA167" s="19">
        <f t="shared" si="313"/>
        <v>948.3943224740301</v>
      </c>
      <c r="CB167" s="15">
        <f t="shared" si="274"/>
        <v>5.3967886449480616E-6</v>
      </c>
      <c r="CC167" s="16">
        <f t="shared" si="275"/>
        <v>26.795534708451346</v>
      </c>
      <c r="CD167" s="17">
        <f t="shared" si="276"/>
        <v>1.3506508109994856E-2</v>
      </c>
      <c r="CE167" s="18">
        <f t="shared" si="277"/>
        <v>0.2058411992898341</v>
      </c>
      <c r="CF167" s="19">
        <f t="shared" si="314"/>
        <v>934.93126001946473</v>
      </c>
      <c r="CG167" s="15">
        <f t="shared" si="278"/>
        <v>5.3698625200389301E-6</v>
      </c>
      <c r="CH167" s="16">
        <f t="shared" si="279"/>
        <v>26.640709490223841</v>
      </c>
      <c r="CI167" s="17">
        <f t="shared" si="280"/>
        <v>1.3439120270970188E-2</v>
      </c>
      <c r="CJ167" s="18">
        <f t="shared" si="281"/>
        <v>0.20703746655185859</v>
      </c>
      <c r="CK167" s="19">
        <f t="shared" si="315"/>
        <v>913.06865489131701</v>
      </c>
      <c r="CL167" s="15">
        <f t="shared" si="282"/>
        <v>5.3261373097826341E-6</v>
      </c>
      <c r="CM167" s="16">
        <f t="shared" si="283"/>
        <v>26.389289531250142</v>
      </c>
      <c r="CN167" s="17">
        <f t="shared" si="284"/>
        <v>1.3329689469471093E-2</v>
      </c>
      <c r="CO167" s="18">
        <f t="shared" si="285"/>
        <v>0.2090099846556463</v>
      </c>
      <c r="CP167" s="19">
        <f t="shared" si="316"/>
        <v>873.20707726222122</v>
      </c>
      <c r="CQ167" s="15">
        <f t="shared" si="286"/>
        <v>5.2464141545244427E-6</v>
      </c>
      <c r="CR167" s="16">
        <f t="shared" si="287"/>
        <v>25.930881388515544</v>
      </c>
      <c r="CS167" s="17">
        <f t="shared" si="288"/>
        <v>1.3130166843352109E-2</v>
      </c>
      <c r="CT167" s="18">
        <f t="shared" si="289"/>
        <v>0.2127048794586211</v>
      </c>
      <c r="CU167" s="19">
        <f t="shared" si="317"/>
        <v>801.45677648725371</v>
      </c>
      <c r="CV167" s="15">
        <f t="shared" si="290"/>
        <v>5.1029135529745079E-6</v>
      </c>
      <c r="CW167" s="16">
        <f t="shared" si="291"/>
        <v>25.105752929603419</v>
      </c>
      <c r="CX167" s="17">
        <f t="shared" si="292"/>
        <v>1.2771028814028378E-2</v>
      </c>
      <c r="CY167" s="18">
        <f t="shared" si="293"/>
        <v>0.21969566160655782</v>
      </c>
      <c r="CZ167" s="20">
        <f t="shared" si="318"/>
        <v>685.60797589845004</v>
      </c>
      <c r="DA167" s="15">
        <f t="shared" si="294"/>
        <v>4.8712159517969005E-6</v>
      </c>
      <c r="DB167" s="16">
        <f t="shared" si="295"/>
        <v>26.75991843961944</v>
      </c>
      <c r="DC167" s="17">
        <f t="shared" si="296"/>
        <v>1.2191160722973677E-2</v>
      </c>
      <c r="DD167" s="18">
        <f t="shared" si="297"/>
        <v>0.20611516482927064</v>
      </c>
    </row>
    <row r="168" spans="2:108" x14ac:dyDescent="0.25">
      <c r="B168">
        <v>149</v>
      </c>
      <c r="C168">
        <f t="shared" si="298"/>
        <v>0.14566458528544246</v>
      </c>
      <c r="D168" s="19">
        <f t="shared" si="215"/>
        <v>1017.5568269930783</v>
      </c>
      <c r="E168" s="15">
        <f t="shared" si="216"/>
        <v>5.5351136539861564E-6</v>
      </c>
      <c r="F168" s="16">
        <f t="shared" si="217"/>
        <v>27.5909035104204</v>
      </c>
      <c r="G168" s="17">
        <f t="shared" si="213"/>
        <v>1.3852693217343287E-2</v>
      </c>
      <c r="H168" s="18">
        <f t="shared" si="218"/>
        <v>0.19990737156965102</v>
      </c>
      <c r="I168" s="19">
        <f t="shared" si="299"/>
        <v>1017.2322189858356</v>
      </c>
      <c r="J168" s="15">
        <f t="shared" si="219"/>
        <v>5.5344644379716711E-6</v>
      </c>
      <c r="K168" s="16">
        <f t="shared" si="220"/>
        <v>27.587170518337111</v>
      </c>
      <c r="L168" s="17">
        <f t="shared" si="221"/>
        <v>1.3851068428613977E-2</v>
      </c>
      <c r="M168" s="18">
        <f t="shared" si="222"/>
        <v>0.1999344222827702</v>
      </c>
      <c r="N168" s="19">
        <f t="shared" si="300"/>
        <v>1016.3262697204154</v>
      </c>
      <c r="O168" s="15">
        <f t="shared" si="223"/>
        <v>5.532652539440831E-6</v>
      </c>
      <c r="P168" s="16">
        <f t="shared" si="224"/>
        <v>27.576752101784777</v>
      </c>
      <c r="Q168" s="17">
        <f t="shared" si="214"/>
        <v>1.3852693217343287E-2</v>
      </c>
      <c r="R168" s="18">
        <f t="shared" si="225"/>
        <v>0.20000995692465998</v>
      </c>
      <c r="S168" s="19">
        <f t="shared" si="301"/>
        <v>1014.8247376028207</v>
      </c>
      <c r="T168" s="15">
        <f t="shared" si="226"/>
        <v>5.5296494752056422E-6</v>
      </c>
      <c r="U168" s="16">
        <f t="shared" si="227"/>
        <v>27.559484482432438</v>
      </c>
      <c r="V168" s="17">
        <f t="shared" si="228"/>
        <v>1.3839018052375958E-2</v>
      </c>
      <c r="W168" s="18">
        <f t="shared" si="229"/>
        <v>0.20013527479136589</v>
      </c>
      <c r="X168" s="19">
        <f t="shared" si="302"/>
        <v>1012.725589364989</v>
      </c>
      <c r="Y168" s="15">
        <f t="shared" si="230"/>
        <v>5.5254511787299785E-6</v>
      </c>
      <c r="Z168" s="16">
        <f t="shared" si="231"/>
        <v>27.535344277697373</v>
      </c>
      <c r="AA168" s="17">
        <f t="shared" si="232"/>
        <v>1.3828511002882774E-2</v>
      </c>
      <c r="AB168" s="18">
        <f t="shared" si="233"/>
        <v>0.20031073315714654</v>
      </c>
      <c r="AC168" s="19">
        <f t="shared" si="303"/>
        <v>1010.0273670358898</v>
      </c>
      <c r="AD168" s="15">
        <f t="shared" si="234"/>
        <v>5.5200547340717803E-6</v>
      </c>
      <c r="AE168" s="16">
        <f t="shared" si="235"/>
        <v>27.504314720912731</v>
      </c>
      <c r="AF168" s="17">
        <f t="shared" si="236"/>
        <v>1.3815005355666198E-2</v>
      </c>
      <c r="AG168" s="18">
        <f t="shared" si="237"/>
        <v>0.20053671781926743</v>
      </c>
      <c r="AH168" s="19">
        <f t="shared" si="304"/>
        <v>1006.7297798760126</v>
      </c>
      <c r="AI168" s="15">
        <f t="shared" si="238"/>
        <v>5.5134595597520257E-6</v>
      </c>
      <c r="AJ168" s="16">
        <f t="shared" si="239"/>
        <v>27.466392468574142</v>
      </c>
      <c r="AK168" s="17">
        <f t="shared" si="240"/>
        <v>1.3798499655462435E-2</v>
      </c>
      <c r="AL168" s="18">
        <f t="shared" si="241"/>
        <v>0.20081359451594305</v>
      </c>
      <c r="AM168" s="19">
        <f t="shared" si="305"/>
        <v>1002.832742399515</v>
      </c>
      <c r="AN168" s="15">
        <f t="shared" si="242"/>
        <v>5.505665484799031E-6</v>
      </c>
      <c r="AO168" s="16">
        <f t="shared" si="243"/>
        <v>27.421576537594422</v>
      </c>
      <c r="AP168" s="17">
        <f t="shared" si="244"/>
        <v>1.3778993474381752E-2</v>
      </c>
      <c r="AQ168" s="18">
        <f t="shared" si="245"/>
        <v>0.20114179038678504</v>
      </c>
      <c r="AR168" s="19">
        <f t="shared" si="306"/>
        <v>998.33622603709932</v>
      </c>
      <c r="AS168" s="15">
        <f t="shared" si="246"/>
        <v>5.4966724520741991E-6</v>
      </c>
      <c r="AT168" s="16">
        <f t="shared" si="247"/>
        <v>27.369866599426643</v>
      </c>
      <c r="AU168" s="17">
        <f t="shared" si="248"/>
        <v>1.3756486669423753E-2</v>
      </c>
      <c r="AV168" s="18">
        <f t="shared" si="249"/>
        <v>0.20152180793294563</v>
      </c>
      <c r="AW168" s="19">
        <f t="shared" si="307"/>
        <v>993.24015674174268</v>
      </c>
      <c r="AX168" s="15">
        <f t="shared" si="250"/>
        <v>5.4864803134834855E-6</v>
      </c>
      <c r="AY168" s="16">
        <f t="shared" si="251"/>
        <v>27.311261802530041</v>
      </c>
      <c r="AZ168" s="17">
        <f t="shared" si="252"/>
        <v>1.3730978869954428E-2</v>
      </c>
      <c r="BA168" s="18">
        <f t="shared" si="253"/>
        <v>0.20195423557797859</v>
      </c>
      <c r="BB168" s="19">
        <f t="shared" si="308"/>
        <v>987.54410591831731</v>
      </c>
      <c r="BC168" s="15">
        <f t="shared" si="254"/>
        <v>5.4750882118366356E-6</v>
      </c>
      <c r="BD168" s="16">
        <f t="shared" si="255"/>
        <v>27.245757218060646</v>
      </c>
      <c r="BE168" s="17">
        <f t="shared" si="256"/>
        <v>1.3702467930689258E-2</v>
      </c>
      <c r="BF168" s="18">
        <f t="shared" si="257"/>
        <v>0.20243977643402794</v>
      </c>
      <c r="BG168" s="19">
        <f t="shared" si="309"/>
        <v>981.24575230742448</v>
      </c>
      <c r="BH168" s="15">
        <f t="shared" si="258"/>
        <v>5.4624915046148497E-6</v>
      </c>
      <c r="BI168" s="16">
        <f t="shared" si="259"/>
        <v>27.173326151535381</v>
      </c>
      <c r="BJ168" s="17">
        <f t="shared" si="260"/>
        <v>1.3670942232826409E-2</v>
      </c>
      <c r="BK168" s="18">
        <f t="shared" si="261"/>
        <v>0.20297938387231074</v>
      </c>
      <c r="BL168" s="19">
        <f t="shared" si="310"/>
        <v>974.33368638282104</v>
      </c>
      <c r="BM168" s="15">
        <f t="shared" si="262"/>
        <v>5.4486673727656422E-6</v>
      </c>
      <c r="BN168" s="16">
        <f t="shared" si="263"/>
        <v>27.093837393402442</v>
      </c>
      <c r="BO168" s="17">
        <f t="shared" si="264"/>
        <v>1.3636344667270504E-2</v>
      </c>
      <c r="BP168" s="18">
        <f t="shared" si="265"/>
        <v>0.20357489121652059</v>
      </c>
      <c r="BQ168" s="19">
        <f t="shared" si="311"/>
        <v>966.75745441855838</v>
      </c>
      <c r="BR168" s="15">
        <f t="shared" si="266"/>
        <v>5.4335149088371168E-6</v>
      </c>
      <c r="BS168" s="16">
        <f t="shared" si="267"/>
        <v>27.00671072581342</v>
      </c>
      <c r="BT168" s="17">
        <f t="shared" si="268"/>
        <v>1.3598422693592953E-2</v>
      </c>
      <c r="BU168" s="18">
        <f t="shared" si="269"/>
        <v>0.20423164657101625</v>
      </c>
      <c r="BV168" s="19">
        <f t="shared" si="312"/>
        <v>958.31878789756047</v>
      </c>
      <c r="BW168" s="15">
        <f t="shared" si="270"/>
        <v>5.4166375757951221E-6</v>
      </c>
      <c r="BX168" s="16">
        <f t="shared" si="271"/>
        <v>26.909666060821944</v>
      </c>
      <c r="BY168" s="17">
        <f t="shared" si="272"/>
        <v>1.3556183901117696E-2</v>
      </c>
      <c r="BZ168" s="18">
        <f t="shared" si="273"/>
        <v>0.20496816971022372</v>
      </c>
      <c r="CA168" s="19">
        <f t="shared" si="313"/>
        <v>948.33617317355458</v>
      </c>
      <c r="CB168" s="15">
        <f t="shared" si="274"/>
        <v>5.3966723463471096E-6</v>
      </c>
      <c r="CC168" s="16">
        <f t="shared" si="275"/>
        <v>26.794865991495875</v>
      </c>
      <c r="CD168" s="17">
        <f t="shared" si="276"/>
        <v>1.3506217050236862E-2</v>
      </c>
      <c r="CE168" s="18">
        <f t="shared" si="277"/>
        <v>0.20584633644932365</v>
      </c>
      <c r="CF168" s="19">
        <f t="shared" si="314"/>
        <v>934.80290409381087</v>
      </c>
      <c r="CG168" s="15">
        <f t="shared" si="278"/>
        <v>5.3696058081876222E-6</v>
      </c>
      <c r="CH168" s="16">
        <f t="shared" si="279"/>
        <v>26.639233397078826</v>
      </c>
      <c r="CI168" s="17">
        <f t="shared" si="280"/>
        <v>1.3438477799876778E-2</v>
      </c>
      <c r="CJ168" s="18">
        <f t="shared" si="281"/>
        <v>0.20704893860064405</v>
      </c>
      <c r="CK168" s="19">
        <f t="shared" si="315"/>
        <v>912.80237965601009</v>
      </c>
      <c r="CL168" s="15">
        <f t="shared" si="282"/>
        <v>5.325604759312021E-6</v>
      </c>
      <c r="CM168" s="16">
        <f t="shared" si="283"/>
        <v>26.386227366044118</v>
      </c>
      <c r="CN168" s="17">
        <f t="shared" si="284"/>
        <v>1.332835665884545E-2</v>
      </c>
      <c r="CO168" s="18">
        <f t="shared" si="285"/>
        <v>0.20903424060909678</v>
      </c>
      <c r="CP168" s="19">
        <f t="shared" si="316"/>
        <v>872.74073068332859</v>
      </c>
      <c r="CQ168" s="15">
        <f t="shared" si="286"/>
        <v>5.2454814613666581E-6</v>
      </c>
      <c r="CR168" s="16">
        <f t="shared" si="287"/>
        <v>25.92551840285828</v>
      </c>
      <c r="CS168" s="17">
        <f t="shared" si="288"/>
        <v>1.3127832598205868E-2</v>
      </c>
      <c r="CT168" s="18">
        <f t="shared" si="289"/>
        <v>0.2127488798600804</v>
      </c>
      <c r="CU168" s="19">
        <f t="shared" si="317"/>
        <v>800.81304903759519</v>
      </c>
      <c r="CV168" s="15">
        <f t="shared" si="290"/>
        <v>5.1016260980751903E-6</v>
      </c>
      <c r="CW168" s="16">
        <f t="shared" si="291"/>
        <v>25.098350063932344</v>
      </c>
      <c r="CX168" s="17">
        <f t="shared" si="292"/>
        <v>1.276780670896129E-2</v>
      </c>
      <c r="CY168" s="18">
        <f t="shared" si="293"/>
        <v>0.21976046178136008</v>
      </c>
      <c r="CZ168" s="20">
        <f t="shared" si="318"/>
        <v>684.95177893103119</v>
      </c>
      <c r="DA168" s="15">
        <f t="shared" si="294"/>
        <v>4.8699035578620625E-6</v>
      </c>
      <c r="DB168" s="16">
        <f t="shared" si="295"/>
        <v>26.891682790677066</v>
      </c>
      <c r="DC168" s="17">
        <f t="shared" si="296"/>
        <v>1.2187876203143355E-2</v>
      </c>
      <c r="DD168" s="18">
        <f t="shared" si="297"/>
        <v>0.20510523803709979</v>
      </c>
    </row>
    <row r="169" spans="2:108" x14ac:dyDescent="0.25">
      <c r="B169">
        <v>150</v>
      </c>
      <c r="C169">
        <f t="shared" si="298"/>
        <v>0.14664219995178773</v>
      </c>
      <c r="D169" s="19">
        <f t="shared" si="215"/>
        <v>1017.5402541480394</v>
      </c>
      <c r="E169" s="15">
        <f t="shared" si="216"/>
        <v>5.5350805082960793E-6</v>
      </c>
      <c r="F169" s="16">
        <f t="shared" si="217"/>
        <v>27.590712922702451</v>
      </c>
      <c r="G169" s="17">
        <f t="shared" si="213"/>
        <v>1.3852610263838659E-2</v>
      </c>
      <c r="H169" s="18">
        <f t="shared" si="218"/>
        <v>0.19990875246509421</v>
      </c>
      <c r="I169" s="19">
        <f t="shared" si="299"/>
        <v>1017.215642676803</v>
      </c>
      <c r="J169" s="15">
        <f t="shared" si="219"/>
        <v>5.5344312853536064E-6</v>
      </c>
      <c r="K169" s="16">
        <f t="shared" si="220"/>
        <v>27.586979890783233</v>
      </c>
      <c r="L169" s="17">
        <f t="shared" si="221"/>
        <v>1.3850985457770717E-2</v>
      </c>
      <c r="M169" s="18">
        <f t="shared" si="222"/>
        <v>0.19993580384066476</v>
      </c>
      <c r="N169" s="19">
        <f t="shared" si="300"/>
        <v>1016.3096838135846</v>
      </c>
      <c r="O169" s="15">
        <f t="shared" si="223"/>
        <v>5.5326193676271701E-6</v>
      </c>
      <c r="P169" s="16">
        <f t="shared" si="224"/>
        <v>27.576561363856221</v>
      </c>
      <c r="Q169" s="17">
        <f t="shared" si="214"/>
        <v>1.3852610263838659E-2</v>
      </c>
      <c r="R169" s="18">
        <f t="shared" si="225"/>
        <v>0.20001134032719414</v>
      </c>
      <c r="S169" s="19">
        <f t="shared" si="301"/>
        <v>1014.8081459226782</v>
      </c>
      <c r="T169" s="15">
        <f t="shared" si="226"/>
        <v>5.529616291845357E-6</v>
      </c>
      <c r="U169" s="16">
        <f t="shared" si="227"/>
        <v>27.559293678110798</v>
      </c>
      <c r="V169" s="17">
        <f t="shared" si="228"/>
        <v>1.3838935004594344E-2</v>
      </c>
      <c r="W169" s="18">
        <f t="shared" si="229"/>
        <v>0.20013666041016254</v>
      </c>
      <c r="X169" s="19">
        <f t="shared" si="302"/>
        <v>1012.7090000051434</v>
      </c>
      <c r="Y169" s="15">
        <f t="shared" si="230"/>
        <v>5.5254180000102878E-6</v>
      </c>
      <c r="Z169" s="16">
        <f t="shared" si="231"/>
        <v>27.535153500059145</v>
      </c>
      <c r="AA169" s="17">
        <f t="shared" si="232"/>
        <v>1.3828427966715146E-2</v>
      </c>
      <c r="AB169" s="18">
        <f t="shared" si="233"/>
        <v>0.2003121210124415</v>
      </c>
      <c r="AC169" s="19">
        <f t="shared" si="303"/>
        <v>1010.0107875005395</v>
      </c>
      <c r="AD169" s="15">
        <f t="shared" si="234"/>
        <v>5.5200215750010797E-6</v>
      </c>
      <c r="AE169" s="16">
        <f t="shared" si="235"/>
        <v>27.504124056256202</v>
      </c>
      <c r="AF169" s="17">
        <f t="shared" si="236"/>
        <v>1.381492236867397E-2</v>
      </c>
      <c r="AG169" s="18">
        <f t="shared" si="237"/>
        <v>0.20053810798404223</v>
      </c>
      <c r="AH169" s="19">
        <f t="shared" si="304"/>
        <v>1006.713215751356</v>
      </c>
      <c r="AI169" s="15">
        <f t="shared" si="238"/>
        <v>5.5134264315027126E-6</v>
      </c>
      <c r="AJ169" s="16">
        <f t="shared" si="239"/>
        <v>27.466201981140593</v>
      </c>
      <c r="AK169" s="17">
        <f t="shared" si="240"/>
        <v>1.3798416745606694E-2</v>
      </c>
      <c r="AL169" s="18">
        <f t="shared" si="241"/>
        <v>0.20081498722638286</v>
      </c>
      <c r="AM169" s="19">
        <f t="shared" si="305"/>
        <v>1002.8161978433137</v>
      </c>
      <c r="AN169" s="15">
        <f t="shared" si="242"/>
        <v>5.5056323956866279E-6</v>
      </c>
      <c r="AO169" s="16">
        <f t="shared" si="243"/>
        <v>27.421386275198106</v>
      </c>
      <c r="AP169" s="17">
        <f t="shared" si="244"/>
        <v>1.3778910662473701E-2</v>
      </c>
      <c r="AQ169" s="18">
        <f t="shared" si="245"/>
        <v>0.20114318600255202</v>
      </c>
      <c r="AR169" s="19">
        <f t="shared" si="306"/>
        <v>998.3197038894989</v>
      </c>
      <c r="AS169" s="15">
        <f t="shared" si="246"/>
        <v>5.4966394077789988E-6</v>
      </c>
      <c r="AT169" s="16">
        <f t="shared" si="247"/>
        <v>27.369676594729235</v>
      </c>
      <c r="AU169" s="17">
        <f t="shared" si="248"/>
        <v>1.3756403969679426E-2</v>
      </c>
      <c r="AV169" s="18">
        <f t="shared" si="249"/>
        <v>0.20152320692975165</v>
      </c>
      <c r="AW169" s="19">
        <f t="shared" si="307"/>
        <v>993.22365533324364</v>
      </c>
      <c r="AX169" s="15">
        <f t="shared" si="250"/>
        <v>5.4864473106664883E-6</v>
      </c>
      <c r="AY169" s="16">
        <f t="shared" si="251"/>
        <v>27.311072036332302</v>
      </c>
      <c r="AZ169" s="17">
        <f t="shared" si="252"/>
        <v>1.3730896274017333E-2</v>
      </c>
      <c r="BA169" s="18">
        <f t="shared" si="253"/>
        <v>0.20195563882159173</v>
      </c>
      <c r="BB169" s="19">
        <f t="shared" si="308"/>
        <v>987.52760106505923</v>
      </c>
      <c r="BC169" s="15">
        <f t="shared" si="254"/>
        <v>5.4750552021301189E-6</v>
      </c>
      <c r="BD169" s="16">
        <f t="shared" si="255"/>
        <v>27.245567412248178</v>
      </c>
      <c r="BE169" s="17">
        <f t="shared" si="256"/>
        <v>1.3702385317509809E-2</v>
      </c>
      <c r="BF169" s="18">
        <f t="shared" si="257"/>
        <v>0.20244118672751385</v>
      </c>
      <c r="BG169" s="19">
        <f t="shared" si="309"/>
        <v>981.22911506397872</v>
      </c>
      <c r="BH169" s="15">
        <f t="shared" si="258"/>
        <v>5.462458230127958E-6</v>
      </c>
      <c r="BI169" s="16">
        <f t="shared" si="259"/>
        <v>27.173134823235756</v>
      </c>
      <c r="BJ169" s="17">
        <f t="shared" si="260"/>
        <v>1.3670858956982827E-2</v>
      </c>
      <c r="BK169" s="18">
        <f t="shared" si="261"/>
        <v>0.20298081306701454</v>
      </c>
      <c r="BL169" s="19">
        <f t="shared" si="310"/>
        <v>974.31635385102857</v>
      </c>
      <c r="BM169" s="15">
        <f t="shared" si="262"/>
        <v>5.4486327077020573E-6</v>
      </c>
      <c r="BN169" s="16">
        <f t="shared" si="263"/>
        <v>27.093638069286825</v>
      </c>
      <c r="BO169" s="17">
        <f t="shared" si="264"/>
        <v>1.3636257911239605E-2</v>
      </c>
      <c r="BP169" s="18">
        <f t="shared" si="265"/>
        <v>0.20357638888859586</v>
      </c>
      <c r="BQ169" s="19">
        <f t="shared" si="311"/>
        <v>966.73729468135093</v>
      </c>
      <c r="BR169" s="15">
        <f t="shared" si="266"/>
        <v>5.4334745893627027E-6</v>
      </c>
      <c r="BS169" s="16">
        <f t="shared" si="267"/>
        <v>27.006478888835534</v>
      </c>
      <c r="BT169" s="17">
        <f t="shared" si="268"/>
        <v>1.3598321786304565E-2</v>
      </c>
      <c r="BU169" s="18">
        <f t="shared" si="269"/>
        <v>0.20423339979652649</v>
      </c>
      <c r="BV169" s="19">
        <f t="shared" si="312"/>
        <v>958.28884641771435</v>
      </c>
      <c r="BW169" s="15">
        <f t="shared" si="270"/>
        <v>5.4165776928354294E-6</v>
      </c>
      <c r="BX169" s="16">
        <f t="shared" si="271"/>
        <v>26.909321733803715</v>
      </c>
      <c r="BY169" s="17">
        <f t="shared" si="272"/>
        <v>1.3556034032420967E-2</v>
      </c>
      <c r="BZ169" s="18">
        <f t="shared" si="273"/>
        <v>0.20497079244740776</v>
      </c>
      <c r="CA169" s="19">
        <f t="shared" si="313"/>
        <v>948.27741431156596</v>
      </c>
      <c r="CB169" s="15">
        <f t="shared" si="274"/>
        <v>5.3965548286231327E-6</v>
      </c>
      <c r="CC169" s="16">
        <f t="shared" si="275"/>
        <v>26.794190264583008</v>
      </c>
      <c r="CD169" s="17">
        <f t="shared" si="276"/>
        <v>1.3505922939387544E-2</v>
      </c>
      <c r="CE169" s="18">
        <f t="shared" si="277"/>
        <v>0.20585152772056867</v>
      </c>
      <c r="CF169" s="19">
        <f t="shared" si="314"/>
        <v>934.67354859928082</v>
      </c>
      <c r="CG169" s="15">
        <f t="shared" si="278"/>
        <v>5.3693470971985628E-6</v>
      </c>
      <c r="CH169" s="16">
        <f t="shared" si="279"/>
        <v>26.637745808891729</v>
      </c>
      <c r="CI169" s="17">
        <f t="shared" si="280"/>
        <v>1.3437830325554219E-2</v>
      </c>
      <c r="CJ169" s="18">
        <f t="shared" si="281"/>
        <v>0.20706050127405579</v>
      </c>
      <c r="CK169" s="19">
        <f t="shared" si="315"/>
        <v>912.53514847737677</v>
      </c>
      <c r="CL169" s="15">
        <f t="shared" si="282"/>
        <v>5.3250702969547534E-6</v>
      </c>
      <c r="CM169" s="16">
        <f t="shared" si="283"/>
        <v>26.383154207489831</v>
      </c>
      <c r="CN169" s="17">
        <f t="shared" si="284"/>
        <v>1.332701906335342E-2</v>
      </c>
      <c r="CO169" s="18">
        <f t="shared" si="285"/>
        <v>0.20905858930370755</v>
      </c>
      <c r="CP169" s="19">
        <f t="shared" si="316"/>
        <v>872.27459357108683</v>
      </c>
      <c r="CQ169" s="15">
        <f t="shared" si="286"/>
        <v>5.2445491871421738E-6</v>
      </c>
      <c r="CR169" s="16">
        <f t="shared" si="287"/>
        <v>25.920157826067499</v>
      </c>
      <c r="CS169" s="17">
        <f t="shared" si="288"/>
        <v>1.3125499401521294E-2</v>
      </c>
      <c r="CT169" s="18">
        <f t="shared" si="289"/>
        <v>0.21279287869354799</v>
      </c>
      <c r="CU169" s="19">
        <f t="shared" si="317"/>
        <v>800.17153496502385</v>
      </c>
      <c r="CV169" s="15">
        <f t="shared" si="290"/>
        <v>5.1003430699300485E-6</v>
      </c>
      <c r="CW169" s="16">
        <f t="shared" si="291"/>
        <v>25.090972652097776</v>
      </c>
      <c r="CX169" s="17">
        <f t="shared" si="292"/>
        <v>1.2764595682703307E-2</v>
      </c>
      <c r="CY169" s="18">
        <f t="shared" si="293"/>
        <v>0.21982507718921993</v>
      </c>
      <c r="CZ169" s="20">
        <f t="shared" si="318"/>
        <v>684.2985933329918</v>
      </c>
      <c r="DA169" s="15">
        <f t="shared" si="294"/>
        <v>4.8685971866659839E-6</v>
      </c>
      <c r="DB169" s="16">
        <f t="shared" si="295"/>
        <v>27.022842458763364</v>
      </c>
      <c r="DC169" s="17">
        <f t="shared" si="296"/>
        <v>1.2184606756382452E-2</v>
      </c>
      <c r="DD169" s="18">
        <f t="shared" si="297"/>
        <v>0.2041097271101957</v>
      </c>
    </row>
    <row r="170" spans="2:108" x14ac:dyDescent="0.25">
      <c r="B170">
        <v>151</v>
      </c>
      <c r="C170">
        <f t="shared" si="298"/>
        <v>0.14761981461813298</v>
      </c>
      <c r="D170" s="19">
        <f t="shared" si="215"/>
        <v>1017.5236811261464</v>
      </c>
      <c r="E170" s="15">
        <f t="shared" si="216"/>
        <v>5.535047362252293E-6</v>
      </c>
      <c r="F170" s="16">
        <f t="shared" si="217"/>
        <v>27.590522332950684</v>
      </c>
      <c r="G170" s="17">
        <f t="shared" si="213"/>
        <v>1.3852527309448803E-2</v>
      </c>
      <c r="H170" s="18">
        <f t="shared" si="218"/>
        <v>0.19991013339435132</v>
      </c>
      <c r="I170" s="19">
        <f t="shared" si="299"/>
        <v>1017.1990662915972</v>
      </c>
      <c r="J170" s="15">
        <f t="shared" si="219"/>
        <v>5.5343981325831944E-6</v>
      </c>
      <c r="K170" s="16">
        <f t="shared" si="220"/>
        <v>27.586789262353367</v>
      </c>
      <c r="L170" s="17">
        <f t="shared" si="221"/>
        <v>1.3850902486546182E-2</v>
      </c>
      <c r="M170" s="18">
        <f t="shared" si="222"/>
        <v>0.19993718542400155</v>
      </c>
      <c r="N170" s="19">
        <f t="shared" si="300"/>
        <v>1016.2930980058545</v>
      </c>
      <c r="O170" s="15">
        <f t="shared" si="223"/>
        <v>5.532586196011709E-6</v>
      </c>
      <c r="P170" s="16">
        <f t="shared" si="224"/>
        <v>27.576370627067327</v>
      </c>
      <c r="Q170" s="17">
        <f t="shared" si="214"/>
        <v>1.3852527309448803E-2</v>
      </c>
      <c r="R170" s="18">
        <f t="shared" si="225"/>
        <v>0.2000127237405995</v>
      </c>
      <c r="S170" s="19">
        <f t="shared" si="301"/>
        <v>1014.7915544460375</v>
      </c>
      <c r="T170" s="15">
        <f t="shared" si="226"/>
        <v>5.5295831088920753E-6</v>
      </c>
      <c r="U170" s="16">
        <f t="shared" si="227"/>
        <v>27.55910287612943</v>
      </c>
      <c r="V170" s="17">
        <f t="shared" si="228"/>
        <v>1.3838851957831333E-2</v>
      </c>
      <c r="W170" s="18">
        <f t="shared" si="229"/>
        <v>0.20013804603115035</v>
      </c>
      <c r="X170" s="19">
        <f t="shared" si="302"/>
        <v>1012.6924108697079</v>
      </c>
      <c r="Y170" s="15">
        <f t="shared" si="230"/>
        <v>5.5253848217394169E-6</v>
      </c>
      <c r="Z170" s="16">
        <f t="shared" si="231"/>
        <v>27.534962725001641</v>
      </c>
      <c r="AA170" s="17">
        <f t="shared" si="232"/>
        <v>1.3828344931670776E-2</v>
      </c>
      <c r="AB170" s="18">
        <f t="shared" si="233"/>
        <v>0.20031350886819374</v>
      </c>
      <c r="AC170" s="19">
        <f t="shared" si="303"/>
        <v>1009.9942081768878</v>
      </c>
      <c r="AD170" s="15">
        <f t="shared" si="234"/>
        <v>5.519988416353776E-6</v>
      </c>
      <c r="AE170" s="16">
        <f t="shared" si="235"/>
        <v>27.50393339403421</v>
      </c>
      <c r="AF170" s="17">
        <f t="shared" si="236"/>
        <v>1.3814839382741376E-2</v>
      </c>
      <c r="AG170" s="18">
        <f t="shared" si="237"/>
        <v>0.20053949815034008</v>
      </c>
      <c r="AH170" s="19">
        <f t="shared" si="304"/>
        <v>1006.6966518239078</v>
      </c>
      <c r="AI170" s="15">
        <f t="shared" si="238"/>
        <v>5.5133933036478163E-6</v>
      </c>
      <c r="AJ170" s="16">
        <f t="shared" si="239"/>
        <v>27.466011495974939</v>
      </c>
      <c r="AK170" s="17">
        <f t="shared" si="240"/>
        <v>1.3798333836738057E-2</v>
      </c>
      <c r="AL170" s="18">
        <f t="shared" si="241"/>
        <v>0.20081637993955906</v>
      </c>
      <c r="AM170" s="19">
        <f t="shared" si="305"/>
        <v>1002.7996534670833</v>
      </c>
      <c r="AN170" s="15">
        <f t="shared" si="242"/>
        <v>5.5055993069341665E-6</v>
      </c>
      <c r="AO170" s="16">
        <f t="shared" si="243"/>
        <v>27.421196014871455</v>
      </c>
      <c r="AP170" s="17">
        <f t="shared" si="244"/>
        <v>1.3778827851466478E-2</v>
      </c>
      <c r="AQ170" s="18">
        <f t="shared" si="245"/>
        <v>0.20114458162250426</v>
      </c>
      <c r="AR170" s="19">
        <f t="shared" si="306"/>
        <v>998.30318185535032</v>
      </c>
      <c r="AS170" s="15">
        <f t="shared" si="246"/>
        <v>5.4966063637107016E-6</v>
      </c>
      <c r="AT170" s="16">
        <f t="shared" si="247"/>
        <v>27.369486591336528</v>
      </c>
      <c r="AU170" s="17">
        <f t="shared" si="248"/>
        <v>1.3756321270502971E-2</v>
      </c>
      <c r="AV170" s="18">
        <f t="shared" si="249"/>
        <v>0.20152460593637525</v>
      </c>
      <c r="AW170" s="19">
        <f t="shared" si="307"/>
        <v>993.20715370448193</v>
      </c>
      <c r="AX170" s="15">
        <f t="shared" si="250"/>
        <v>5.4864143074089645E-6</v>
      </c>
      <c r="AY170" s="16">
        <f t="shared" si="251"/>
        <v>27.310882267601542</v>
      </c>
      <c r="AZ170" s="17">
        <f t="shared" si="252"/>
        <v>1.3730813676977737E-2</v>
      </c>
      <c r="BA170" s="18">
        <f t="shared" si="253"/>
        <v>0.20195704210343643</v>
      </c>
      <c r="BB170" s="19">
        <f t="shared" si="308"/>
        <v>987.51109444730287</v>
      </c>
      <c r="BC170" s="15">
        <f t="shared" si="254"/>
        <v>5.4750221888946054E-6</v>
      </c>
      <c r="BD170" s="16">
        <f t="shared" si="255"/>
        <v>27.245377586143981</v>
      </c>
      <c r="BE170" s="17">
        <f t="shared" si="256"/>
        <v>1.3702302695498362E-2</v>
      </c>
      <c r="BF170" s="18">
        <f t="shared" si="257"/>
        <v>0.20244259719142407</v>
      </c>
      <c r="BG170" s="19">
        <f t="shared" si="309"/>
        <v>981.21246969234585</v>
      </c>
      <c r="BH170" s="15">
        <f t="shared" si="258"/>
        <v>5.4624249393846931E-6</v>
      </c>
      <c r="BI170" s="16">
        <f t="shared" si="259"/>
        <v>27.172943401461978</v>
      </c>
      <c r="BJ170" s="17">
        <f t="shared" si="260"/>
        <v>1.3670775640454521E-2</v>
      </c>
      <c r="BK170" s="18">
        <f t="shared" si="261"/>
        <v>0.20298224298009779</v>
      </c>
      <c r="BL170" s="19">
        <f t="shared" si="310"/>
        <v>974.29899027344106</v>
      </c>
      <c r="BM170" s="15">
        <f t="shared" si="262"/>
        <v>5.4485979805468831E-6</v>
      </c>
      <c r="BN170" s="16">
        <f t="shared" si="263"/>
        <v>27.09343838814457</v>
      </c>
      <c r="BO170" s="17">
        <f t="shared" si="264"/>
        <v>1.3636170999812484E-2</v>
      </c>
      <c r="BP170" s="18">
        <f t="shared" si="265"/>
        <v>0.20357788926537665</v>
      </c>
      <c r="BQ170" s="19">
        <f t="shared" si="311"/>
        <v>966.71703362638254</v>
      </c>
      <c r="BR170" s="15">
        <f t="shared" si="266"/>
        <v>5.4334340672527652E-6</v>
      </c>
      <c r="BS170" s="16">
        <f t="shared" si="267"/>
        <v>27.006245886703397</v>
      </c>
      <c r="BT170" s="17">
        <f t="shared" si="268"/>
        <v>1.359822037188156E-2</v>
      </c>
      <c r="BU170" s="18">
        <f t="shared" si="269"/>
        <v>0.20423516186363519</v>
      </c>
      <c r="BV170" s="19">
        <f t="shared" si="312"/>
        <v>958.25862756465381</v>
      </c>
      <c r="BW170" s="15">
        <f t="shared" si="270"/>
        <v>5.4165172551293082E-6</v>
      </c>
      <c r="BX170" s="16">
        <f t="shared" si="271"/>
        <v>26.908974216993517</v>
      </c>
      <c r="BY170" s="17">
        <f t="shared" si="272"/>
        <v>1.3555882775363933E-2</v>
      </c>
      <c r="BZ170" s="18">
        <f t="shared" si="273"/>
        <v>0.20497343954927796</v>
      </c>
      <c r="CA170" s="19">
        <f t="shared" si="313"/>
        <v>948.21804482909181</v>
      </c>
      <c r="CB170" s="15">
        <f t="shared" si="274"/>
        <v>5.396436089658184E-6</v>
      </c>
      <c r="CC170" s="16">
        <f t="shared" si="275"/>
        <v>26.793507515534557</v>
      </c>
      <c r="CD170" s="17">
        <f t="shared" si="276"/>
        <v>1.3505625772146326E-2</v>
      </c>
      <c r="CE170" s="18">
        <f t="shared" si="277"/>
        <v>0.20585677320530379</v>
      </c>
      <c r="CF170" s="19">
        <f t="shared" si="314"/>
        <v>934.54319931932355</v>
      </c>
      <c r="CG170" s="15">
        <f t="shared" si="278"/>
        <v>5.3690863986386476E-6</v>
      </c>
      <c r="CH170" s="16">
        <f t="shared" si="279"/>
        <v>26.636246792172219</v>
      </c>
      <c r="CI170" s="17">
        <f t="shared" si="280"/>
        <v>1.3437177876950911E-2</v>
      </c>
      <c r="CJ170" s="18">
        <f t="shared" si="281"/>
        <v>0.20707215408519625</v>
      </c>
      <c r="CK170" s="19">
        <f t="shared" si="315"/>
        <v>912.26697709949451</v>
      </c>
      <c r="CL170" s="15">
        <f t="shared" si="282"/>
        <v>5.3245339541989898E-6</v>
      </c>
      <c r="CM170" s="16">
        <f t="shared" si="283"/>
        <v>26.380070236644187</v>
      </c>
      <c r="CN170" s="17">
        <f t="shared" si="284"/>
        <v>1.3325676761800211E-2</v>
      </c>
      <c r="CO170" s="18">
        <f t="shared" si="285"/>
        <v>0.20908302936731088</v>
      </c>
      <c r="CP170" s="19">
        <f t="shared" si="316"/>
        <v>871.8086784041235</v>
      </c>
      <c r="CQ170" s="15">
        <f t="shared" si="286"/>
        <v>5.2436173568082472E-6</v>
      </c>
      <c r="CR170" s="16">
        <f t="shared" si="287"/>
        <v>25.914799801647419</v>
      </c>
      <c r="CS170" s="17">
        <f t="shared" si="288"/>
        <v>1.3123167315758756E-2</v>
      </c>
      <c r="CT170" s="18">
        <f t="shared" si="289"/>
        <v>0.21283687476718877</v>
      </c>
      <c r="CU170" s="19">
        <f t="shared" si="317"/>
        <v>799.53221861135466</v>
      </c>
      <c r="CV170" s="15">
        <f t="shared" si="290"/>
        <v>5.09906443722271E-6</v>
      </c>
      <c r="CW170" s="16">
        <f t="shared" si="291"/>
        <v>25.083620514030578</v>
      </c>
      <c r="CX170" s="17">
        <f t="shared" si="292"/>
        <v>1.2761395656879148E-2</v>
      </c>
      <c r="CY170" s="18">
        <f t="shared" si="293"/>
        <v>0.21988950904893587</v>
      </c>
      <c r="CZ170" s="20">
        <f t="shared" si="318"/>
        <v>683.64838538857714</v>
      </c>
      <c r="DA170" s="15">
        <f t="shared" si="294"/>
        <v>4.8672967707771543E-6</v>
      </c>
      <c r="DB170" s="16">
        <f t="shared" si="295"/>
        <v>27.153404214001768</v>
      </c>
      <c r="DC170" s="17">
        <f t="shared" si="296"/>
        <v>1.2181352213930567E-2</v>
      </c>
      <c r="DD170" s="18">
        <f t="shared" si="297"/>
        <v>0.20312830599545395</v>
      </c>
    </row>
    <row r="171" spans="2:108" x14ac:dyDescent="0.25">
      <c r="B171">
        <v>152</v>
      </c>
      <c r="C171">
        <f t="shared" si="298"/>
        <v>0.14859742928447822</v>
      </c>
      <c r="D171" s="19">
        <f t="shared" si="215"/>
        <v>1017.5071079325396</v>
      </c>
      <c r="E171" s="15">
        <f t="shared" si="216"/>
        <v>5.5350142158650798E-6</v>
      </c>
      <c r="F171" s="16">
        <f t="shared" si="217"/>
        <v>27.590331741224205</v>
      </c>
      <c r="G171" s="17">
        <f t="shared" si="213"/>
        <v>1.3852444354199458E-2</v>
      </c>
      <c r="H171" s="18">
        <f t="shared" si="218"/>
        <v>0.19991151435699508</v>
      </c>
      <c r="I171" s="19">
        <f t="shared" si="299"/>
        <v>1017.1824898331658</v>
      </c>
      <c r="J171" s="15">
        <f t="shared" si="219"/>
        <v>5.534364979666332E-6</v>
      </c>
      <c r="K171" s="16">
        <f t="shared" si="220"/>
        <v>27.586598633081408</v>
      </c>
      <c r="L171" s="17">
        <f t="shared" si="221"/>
        <v>1.3850819514955124E-2</v>
      </c>
      <c r="M171" s="18">
        <f t="shared" si="222"/>
        <v>0.19993856703253551</v>
      </c>
      <c r="N171" s="19">
        <f t="shared" si="300"/>
        <v>1016.2765122972125</v>
      </c>
      <c r="O171" s="15">
        <f t="shared" si="223"/>
        <v>5.5325530245944257E-6</v>
      </c>
      <c r="P171" s="16">
        <f t="shared" si="224"/>
        <v>27.576179891417944</v>
      </c>
      <c r="Q171" s="17">
        <f t="shared" si="214"/>
        <v>1.3852444354199458E-2</v>
      </c>
      <c r="R171" s="18">
        <f t="shared" si="225"/>
        <v>0.20001410716487719</v>
      </c>
      <c r="S171" s="19">
        <f t="shared" si="301"/>
        <v>1014.774963172031</v>
      </c>
      <c r="T171" s="15">
        <f t="shared" si="226"/>
        <v>5.5295499263440625E-6</v>
      </c>
      <c r="U171" s="16">
        <f t="shared" si="227"/>
        <v>27.558912076478357</v>
      </c>
      <c r="V171" s="17">
        <f t="shared" si="228"/>
        <v>1.3838768912082586E-2</v>
      </c>
      <c r="W171" s="18">
        <f t="shared" si="229"/>
        <v>0.20013943165440148</v>
      </c>
      <c r="X171" s="19">
        <f t="shared" si="302"/>
        <v>1012.6758219582289</v>
      </c>
      <c r="Y171" s="15">
        <f t="shared" si="230"/>
        <v>5.525351643916458E-6</v>
      </c>
      <c r="Z171" s="16">
        <f t="shared" si="231"/>
        <v>27.53477195251963</v>
      </c>
      <c r="AA171" s="17">
        <f t="shared" si="232"/>
        <v>1.382826189774739E-2</v>
      </c>
      <c r="AB171" s="18">
        <f t="shared" si="233"/>
        <v>0.20031489672444083</v>
      </c>
      <c r="AC171" s="19">
        <f t="shared" si="303"/>
        <v>1009.9776290648697</v>
      </c>
      <c r="AD171" s="15">
        <f t="shared" si="234"/>
        <v>5.5199552581297398E-6</v>
      </c>
      <c r="AE171" s="16">
        <f t="shared" si="235"/>
        <v>27.503742734246</v>
      </c>
      <c r="AF171" s="17">
        <f t="shared" si="236"/>
        <v>1.3814756397868087E-2</v>
      </c>
      <c r="AG171" s="18">
        <f t="shared" si="237"/>
        <v>0.20054088831816613</v>
      </c>
      <c r="AH171" s="19">
        <f t="shared" si="304"/>
        <v>1006.6800880935912</v>
      </c>
      <c r="AI171" s="15">
        <f t="shared" si="238"/>
        <v>5.5133601761871824E-6</v>
      </c>
      <c r="AJ171" s="16">
        <f t="shared" si="239"/>
        <v>27.465821013076297</v>
      </c>
      <c r="AK171" s="17">
        <f t="shared" si="240"/>
        <v>1.3798250928856138E-2</v>
      </c>
      <c r="AL171" s="18">
        <f t="shared" si="241"/>
        <v>0.20081777265547776</v>
      </c>
      <c r="AM171" s="19">
        <f t="shared" si="305"/>
        <v>1002.7831092700591</v>
      </c>
      <c r="AN171" s="15">
        <f t="shared" si="242"/>
        <v>5.5055662185401185E-6</v>
      </c>
      <c r="AO171" s="16">
        <f t="shared" si="243"/>
        <v>27.42100575660568</v>
      </c>
      <c r="AP171" s="17">
        <f t="shared" si="244"/>
        <v>1.3778745041356252E-2</v>
      </c>
      <c r="AQ171" s="18">
        <f t="shared" si="245"/>
        <v>0.20114597724670599</v>
      </c>
      <c r="AR171" s="19">
        <f t="shared" si="306"/>
        <v>998.286659930626</v>
      </c>
      <c r="AS171" s="15">
        <f t="shared" si="246"/>
        <v>5.4965733198612524E-6</v>
      </c>
      <c r="AT171" s="16">
        <f t="shared" si="247"/>
        <v>27.3692965892022</v>
      </c>
      <c r="AU171" s="17">
        <f t="shared" si="248"/>
        <v>1.3756238571874226E-2</v>
      </c>
      <c r="AV171" s="18">
        <f t="shared" si="249"/>
        <v>0.20152600495315753</v>
      </c>
      <c r="AW171" s="19">
        <f t="shared" si="307"/>
        <v>993.19065183737337</v>
      </c>
      <c r="AX171" s="15">
        <f t="shared" si="250"/>
        <v>5.4863813036747474E-6</v>
      </c>
      <c r="AY171" s="16">
        <f t="shared" si="251"/>
        <v>27.310692496129793</v>
      </c>
      <c r="AZ171" s="17">
        <f t="shared" si="252"/>
        <v>1.3730731078745123E-2</v>
      </c>
      <c r="BA171" s="18">
        <f t="shared" si="253"/>
        <v>0.20195844542505179</v>
      </c>
      <c r="BB171" s="19">
        <f t="shared" si="308"/>
        <v>987.49458599346826</v>
      </c>
      <c r="BC171" s="15">
        <f t="shared" si="254"/>
        <v>5.4749891719869364E-6</v>
      </c>
      <c r="BD171" s="16">
        <f t="shared" si="255"/>
        <v>27.245187738924884</v>
      </c>
      <c r="BE171" s="17">
        <f t="shared" si="256"/>
        <v>1.3702220064296635E-2</v>
      </c>
      <c r="BF171" s="18">
        <f t="shared" si="257"/>
        <v>0.20244400783188182</v>
      </c>
      <c r="BG171" s="19">
        <f t="shared" si="309"/>
        <v>981.19581594757369</v>
      </c>
      <c r="BH171" s="15">
        <f t="shared" si="258"/>
        <v>5.462391631895148E-6</v>
      </c>
      <c r="BI171" s="16">
        <f t="shared" si="259"/>
        <v>27.172751883397098</v>
      </c>
      <c r="BJ171" s="17">
        <f t="shared" si="260"/>
        <v>1.3670692282015407E-2</v>
      </c>
      <c r="BK171" s="18">
        <f t="shared" si="261"/>
        <v>0.20298367363263337</v>
      </c>
      <c r="BL171" s="19">
        <f t="shared" si="310"/>
        <v>974.28159495004275</v>
      </c>
      <c r="BM171" s="15">
        <f t="shared" si="262"/>
        <v>5.448563189900086E-6</v>
      </c>
      <c r="BN171" s="16">
        <f t="shared" si="263"/>
        <v>27.093238341925492</v>
      </c>
      <c r="BO171" s="17">
        <f t="shared" si="264"/>
        <v>1.3636083929485289E-2</v>
      </c>
      <c r="BP171" s="18">
        <f t="shared" si="265"/>
        <v>0.20357939240747142</v>
      </c>
      <c r="BQ171" s="19">
        <f t="shared" si="311"/>
        <v>966.69666968352124</v>
      </c>
      <c r="BR171" s="15">
        <f t="shared" si="266"/>
        <v>5.4333933393670431E-6</v>
      </c>
      <c r="BS171" s="16">
        <f t="shared" si="267"/>
        <v>27.006011701360492</v>
      </c>
      <c r="BT171" s="17">
        <f t="shared" si="268"/>
        <v>1.3598118442464828E-2</v>
      </c>
      <c r="BU171" s="18">
        <f t="shared" si="269"/>
        <v>0.2042369329093543</v>
      </c>
      <c r="BV171" s="19">
        <f t="shared" si="312"/>
        <v>958.22812895881998</v>
      </c>
      <c r="BW171" s="15">
        <f t="shared" si="270"/>
        <v>5.4164562579176397E-6</v>
      </c>
      <c r="BX171" s="16">
        <f t="shared" si="271"/>
        <v>26.908623483026428</v>
      </c>
      <c r="BY171" s="17">
        <f t="shared" si="272"/>
        <v>1.3555730118035975E-2</v>
      </c>
      <c r="BZ171" s="18">
        <f t="shared" si="273"/>
        <v>0.20497611122617168</v>
      </c>
      <c r="CA171" s="19">
        <f t="shared" si="313"/>
        <v>948.15806374558235</v>
      </c>
      <c r="CB171" s="15">
        <f t="shared" si="274"/>
        <v>5.3963161274911648E-6</v>
      </c>
      <c r="CC171" s="16">
        <f t="shared" si="275"/>
        <v>26.792817733074195</v>
      </c>
      <c r="CD171" s="17">
        <f t="shared" si="276"/>
        <v>1.3505325543605184E-2</v>
      </c>
      <c r="CE171" s="18">
        <f t="shared" si="277"/>
        <v>0.20586207299843934</v>
      </c>
      <c r="CF171" s="19">
        <f t="shared" si="314"/>
        <v>934.41186208693944</v>
      </c>
      <c r="CG171" s="15">
        <f t="shared" si="278"/>
        <v>5.3688237241738792E-6</v>
      </c>
      <c r="CH171" s="16">
        <f t="shared" si="279"/>
        <v>26.634736413999804</v>
      </c>
      <c r="CI171" s="17">
        <f t="shared" si="280"/>
        <v>1.3436520483263275E-2</v>
      </c>
      <c r="CJ171" s="18">
        <f t="shared" si="281"/>
        <v>0.20708389654274431</v>
      </c>
      <c r="CK171" s="19">
        <f t="shared" si="315"/>
        <v>911.99788108958251</v>
      </c>
      <c r="CL171" s="15">
        <f t="shared" si="282"/>
        <v>5.3239957621791651E-6</v>
      </c>
      <c r="CM171" s="16">
        <f t="shared" si="283"/>
        <v>26.376975632530197</v>
      </c>
      <c r="CN171" s="17">
        <f t="shared" si="284"/>
        <v>1.3324329832105773E-2</v>
      </c>
      <c r="CO171" s="18">
        <f t="shared" si="285"/>
        <v>0.20910755944277742</v>
      </c>
      <c r="CP171" s="19">
        <f t="shared" si="316"/>
        <v>871.34299731140959</v>
      </c>
      <c r="CQ171" s="15">
        <f t="shared" si="286"/>
        <v>5.2426859946228195E-6</v>
      </c>
      <c r="CR171" s="16">
        <f t="shared" si="287"/>
        <v>25.909444469081208</v>
      </c>
      <c r="CS171" s="17">
        <f t="shared" si="288"/>
        <v>1.3120836401628443E-2</v>
      </c>
      <c r="CT171" s="18">
        <f t="shared" si="289"/>
        <v>0.21288086692024674</v>
      </c>
      <c r="CU171" s="19">
        <f t="shared" si="317"/>
        <v>798.89508444020271</v>
      </c>
      <c r="CV171" s="15">
        <f t="shared" si="290"/>
        <v>5.0977901688804065E-6</v>
      </c>
      <c r="CW171" s="16">
        <f t="shared" si="291"/>
        <v>25.076293471062328</v>
      </c>
      <c r="CX171" s="17">
        <f t="shared" si="292"/>
        <v>1.2758206553723192E-2</v>
      </c>
      <c r="CY171" s="18">
        <f t="shared" si="293"/>
        <v>0.21995375857141525</v>
      </c>
      <c r="CZ171" s="20">
        <f t="shared" si="318"/>
        <v>683.00112201910872</v>
      </c>
      <c r="DA171" s="15">
        <f t="shared" si="294"/>
        <v>4.8660022440382179E-6</v>
      </c>
      <c r="DB171" s="16">
        <f t="shared" si="295"/>
        <v>27.283374698590961</v>
      </c>
      <c r="DC171" s="17">
        <f t="shared" si="296"/>
        <v>1.2178112410216107E-2</v>
      </c>
      <c r="DD171" s="18">
        <f t="shared" si="297"/>
        <v>0.20216065867705332</v>
      </c>
    </row>
    <row r="172" spans="2:108" x14ac:dyDescent="0.25">
      <c r="B172">
        <v>153</v>
      </c>
      <c r="C172">
        <f t="shared" si="298"/>
        <v>0.14957504395082347</v>
      </c>
      <c r="D172" s="19">
        <f t="shared" si="215"/>
        <v>1017.4905345722474</v>
      </c>
      <c r="E172" s="15">
        <f t="shared" si="216"/>
        <v>5.5349810691444956E-6</v>
      </c>
      <c r="F172" s="16">
        <f t="shared" si="217"/>
        <v>27.590141147580844</v>
      </c>
      <c r="G172" s="17">
        <f t="shared" si="213"/>
        <v>1.3852361398115786E-2</v>
      </c>
      <c r="H172" s="18">
        <f t="shared" si="218"/>
        <v>0.19991289535260751</v>
      </c>
      <c r="I172" s="19">
        <f t="shared" si="299"/>
        <v>1017.1659133044104</v>
      </c>
      <c r="J172" s="15">
        <f t="shared" si="219"/>
        <v>5.5343318266088207E-6</v>
      </c>
      <c r="K172" s="16">
        <f t="shared" si="220"/>
        <v>27.58640800300072</v>
      </c>
      <c r="L172" s="17">
        <f t="shared" si="221"/>
        <v>1.3850736543012065E-2</v>
      </c>
      <c r="M172" s="18">
        <f t="shared" si="222"/>
        <v>0.19993994866602555</v>
      </c>
      <c r="N172" s="19">
        <f t="shared" si="300"/>
        <v>1016.2599266876617</v>
      </c>
      <c r="O172" s="15">
        <f t="shared" si="223"/>
        <v>5.5325198533753244E-6</v>
      </c>
      <c r="P172" s="16">
        <f t="shared" si="224"/>
        <v>27.575989156908108</v>
      </c>
      <c r="Q172" s="17">
        <f t="shared" si="214"/>
        <v>1.3852361398115786E-2</v>
      </c>
      <c r="R172" s="18">
        <f t="shared" si="225"/>
        <v>0.20001549060002699</v>
      </c>
      <c r="S172" s="19">
        <f t="shared" si="301"/>
        <v>1014.7583720998077</v>
      </c>
      <c r="T172" s="15">
        <f t="shared" si="226"/>
        <v>5.5295167441996159E-6</v>
      </c>
      <c r="U172" s="16">
        <f t="shared" si="227"/>
        <v>27.55872127914779</v>
      </c>
      <c r="V172" s="17">
        <f t="shared" si="228"/>
        <v>1.3838685867343842E-2</v>
      </c>
      <c r="W172" s="18">
        <f t="shared" si="229"/>
        <v>0.20014081727998673</v>
      </c>
      <c r="X172" s="19">
        <f t="shared" si="302"/>
        <v>1012.6592332702535</v>
      </c>
      <c r="Y172" s="15">
        <f t="shared" si="230"/>
        <v>5.5253184665405071E-6</v>
      </c>
      <c r="Z172" s="16">
        <f t="shared" si="231"/>
        <v>27.534581182607916</v>
      </c>
      <c r="AA172" s="17">
        <f t="shared" si="232"/>
        <v>1.382817886494273E-2</v>
      </c>
      <c r="AB172" s="18">
        <f t="shared" si="233"/>
        <v>0.20031628458122028</v>
      </c>
      <c r="AC172" s="19">
        <f t="shared" si="303"/>
        <v>1009.9610501644152</v>
      </c>
      <c r="AD172" s="15">
        <f t="shared" si="234"/>
        <v>5.5199221003288305E-6</v>
      </c>
      <c r="AE172" s="16">
        <f t="shared" si="235"/>
        <v>27.503552076890774</v>
      </c>
      <c r="AF172" s="17">
        <f t="shared" si="236"/>
        <v>1.3814673414053758E-2</v>
      </c>
      <c r="AG172" s="18">
        <f t="shared" si="237"/>
        <v>0.20054227848752587</v>
      </c>
      <c r="AH172" s="19">
        <f t="shared" si="304"/>
        <v>1006.6635245603189</v>
      </c>
      <c r="AI172" s="15">
        <f t="shared" si="238"/>
        <v>5.5133270491206382E-6</v>
      </c>
      <c r="AJ172" s="16">
        <f t="shared" si="239"/>
        <v>27.465630532443669</v>
      </c>
      <c r="AK172" s="17">
        <f t="shared" si="240"/>
        <v>1.3798168021960504E-2</v>
      </c>
      <c r="AL172" s="18">
        <f t="shared" si="241"/>
        <v>0.20081916537414604</v>
      </c>
      <c r="AM172" s="19">
        <f t="shared" si="305"/>
        <v>1002.766565251437</v>
      </c>
      <c r="AN172" s="15">
        <f t="shared" si="242"/>
        <v>5.5055331305028747E-6</v>
      </c>
      <c r="AO172" s="16">
        <f t="shared" si="243"/>
        <v>27.420815500391527</v>
      </c>
      <c r="AP172" s="17">
        <f t="shared" si="244"/>
        <v>1.3778662232138996E-2</v>
      </c>
      <c r="AQ172" s="18">
        <f t="shared" si="245"/>
        <v>0.20114737287522486</v>
      </c>
      <c r="AR172" s="19">
        <f t="shared" si="306"/>
        <v>998.270138111135</v>
      </c>
      <c r="AS172" s="15">
        <f t="shared" si="246"/>
        <v>5.4965402762222706E-6</v>
      </c>
      <c r="AT172" s="16">
        <f t="shared" si="247"/>
        <v>27.369106588278051</v>
      </c>
      <c r="AU172" s="17">
        <f t="shared" si="248"/>
        <v>1.3756155873772213E-2</v>
      </c>
      <c r="AV172" s="18">
        <f t="shared" si="249"/>
        <v>0.20152740398045343</v>
      </c>
      <c r="AW172" s="19">
        <f t="shared" si="307"/>
        <v>993.1741497132399</v>
      </c>
      <c r="AX172" s="15">
        <f t="shared" si="250"/>
        <v>5.4863482994264797E-6</v>
      </c>
      <c r="AY172" s="16">
        <f t="shared" si="251"/>
        <v>27.310502721702257</v>
      </c>
      <c r="AZ172" s="17">
        <f t="shared" si="252"/>
        <v>1.3730648479225997E-2</v>
      </c>
      <c r="BA172" s="18">
        <f t="shared" si="253"/>
        <v>0.20195984878802745</v>
      </c>
      <c r="BB172" s="19">
        <f t="shared" si="308"/>
        <v>987.47807563017534</v>
      </c>
      <c r="BC172" s="15">
        <f t="shared" si="254"/>
        <v>5.4749561512603508E-6</v>
      </c>
      <c r="BD172" s="16">
        <f t="shared" si="255"/>
        <v>27.244997869747017</v>
      </c>
      <c r="BE172" s="17">
        <f t="shared" si="256"/>
        <v>1.3702137423537332E-2</v>
      </c>
      <c r="BF172" s="18">
        <f t="shared" si="257"/>
        <v>0.20244541865516449</v>
      </c>
      <c r="BG172" s="19">
        <f t="shared" si="309"/>
        <v>981.17915358046366</v>
      </c>
      <c r="BH172" s="15">
        <f t="shared" si="258"/>
        <v>5.4623583071609278E-6</v>
      </c>
      <c r="BI172" s="16">
        <f t="shared" si="259"/>
        <v>27.172560266175331</v>
      </c>
      <c r="BJ172" s="17">
        <f t="shared" si="260"/>
        <v>1.3670608880418158E-2</v>
      </c>
      <c r="BK172" s="18">
        <f t="shared" si="261"/>
        <v>0.20298510504606015</v>
      </c>
      <c r="BL172" s="19">
        <f t="shared" si="310"/>
        <v>974.26416717440384</v>
      </c>
      <c r="BM172" s="15">
        <f t="shared" si="262"/>
        <v>5.4485283343488083E-6</v>
      </c>
      <c r="BN172" s="16">
        <f t="shared" si="263"/>
        <v>27.093037922505644</v>
      </c>
      <c r="BO172" s="17">
        <f t="shared" si="264"/>
        <v>1.3635996696722072E-2</v>
      </c>
      <c r="BP172" s="18">
        <f t="shared" si="265"/>
        <v>0.20358089837604668</v>
      </c>
      <c r="BQ172" s="19">
        <f t="shared" si="311"/>
        <v>966.67620128262047</v>
      </c>
      <c r="BR172" s="15">
        <f t="shared" si="266"/>
        <v>5.4333524025652415E-6</v>
      </c>
      <c r="BS172" s="16">
        <f t="shared" si="267"/>
        <v>27.005776314750136</v>
      </c>
      <c r="BT172" s="17">
        <f t="shared" si="268"/>
        <v>1.359801599019517E-2</v>
      </c>
      <c r="BU172" s="18">
        <f t="shared" si="269"/>
        <v>0.20423871307070893</v>
      </c>
      <c r="BV172" s="19">
        <f t="shared" si="312"/>
        <v>958.197348251074</v>
      </c>
      <c r="BW172" s="15">
        <f t="shared" si="270"/>
        <v>5.416394696502148E-6</v>
      </c>
      <c r="BX172" s="16">
        <f t="shared" si="271"/>
        <v>26.90826950488735</v>
      </c>
      <c r="BY172" s="17">
        <f t="shared" si="272"/>
        <v>1.3555576048678748E-2</v>
      </c>
      <c r="BZ172" s="18">
        <f t="shared" si="273"/>
        <v>0.20497880768580071</v>
      </c>
      <c r="CA172" s="19">
        <f t="shared" si="313"/>
        <v>948.09747015787207</v>
      </c>
      <c r="CB172" s="15">
        <f t="shared" si="274"/>
        <v>5.396194940315745E-6</v>
      </c>
      <c r="CC172" s="16">
        <f t="shared" si="275"/>
        <v>26.792120906815526</v>
      </c>
      <c r="CD172" s="17">
        <f t="shared" si="276"/>
        <v>1.3505022249243421E-2</v>
      </c>
      <c r="CE172" s="18">
        <f t="shared" si="277"/>
        <v>0.20586742718815162</v>
      </c>
      <c r="CF172" s="19">
        <f t="shared" si="314"/>
        <v>934.27954278189031</v>
      </c>
      <c r="CG172" s="15">
        <f t="shared" si="278"/>
        <v>5.3685590855637812E-6</v>
      </c>
      <c r="CH172" s="16">
        <f t="shared" si="279"/>
        <v>26.633214741991736</v>
      </c>
      <c r="CI172" s="17">
        <f t="shared" si="280"/>
        <v>1.3435858173921802E-2</v>
      </c>
      <c r="CJ172" s="18">
        <f t="shared" si="281"/>
        <v>0.20709572815119801</v>
      </c>
      <c r="CK172" s="19">
        <f t="shared" si="315"/>
        <v>911.72787583855177</v>
      </c>
      <c r="CL172" s="15">
        <f t="shared" si="282"/>
        <v>5.3234557516771046E-6</v>
      </c>
      <c r="CM172" s="16">
        <f t="shared" si="283"/>
        <v>26.373870572143346</v>
      </c>
      <c r="CN172" s="17">
        <f t="shared" si="284"/>
        <v>1.3322978351307578E-2</v>
      </c>
      <c r="CO172" s="18">
        <f t="shared" si="285"/>
        <v>0.20913217818797225</v>
      </c>
      <c r="CP172" s="19">
        <f t="shared" si="316"/>
        <v>870.87756208110193</v>
      </c>
      <c r="CQ172" s="15">
        <f t="shared" si="286"/>
        <v>5.2417551241622049E-6</v>
      </c>
      <c r="CR172" s="16">
        <f t="shared" si="287"/>
        <v>25.904091963932672</v>
      </c>
      <c r="CS172" s="17">
        <f t="shared" si="288"/>
        <v>1.3118506718134646E-2</v>
      </c>
      <c r="CT172" s="18">
        <f t="shared" si="289"/>
        <v>0.2129248540222769</v>
      </c>
      <c r="CU172" s="19">
        <f t="shared" si="317"/>
        <v>798.26011703792904</v>
      </c>
      <c r="CV172" s="15">
        <f t="shared" si="290"/>
        <v>5.0965202340758592E-6</v>
      </c>
      <c r="CW172" s="16">
        <f t="shared" si="291"/>
        <v>25.068991345936183</v>
      </c>
      <c r="CX172" s="17">
        <f t="shared" si="292"/>
        <v>1.2755028296084209E-2</v>
      </c>
      <c r="CY172" s="18">
        <f t="shared" si="293"/>
        <v>0.22001782695952432</v>
      </c>
      <c r="CZ172" s="20">
        <f t="shared" si="318"/>
        <v>682.35677076599825</v>
      </c>
      <c r="DA172" s="15">
        <f t="shared" si="294"/>
        <v>4.8647135415319969E-6</v>
      </c>
      <c r="DB172" s="16">
        <f t="shared" si="295"/>
        <v>27.412760430215485</v>
      </c>
      <c r="DC172" s="17">
        <f t="shared" si="296"/>
        <v>1.2174887182771274E-2</v>
      </c>
      <c r="DD172" s="18">
        <f t="shared" si="297"/>
        <v>0.20120647878717274</v>
      </c>
    </row>
    <row r="173" spans="2:108" x14ac:dyDescent="0.25">
      <c r="B173">
        <v>154</v>
      </c>
      <c r="C173">
        <f t="shared" si="298"/>
        <v>0.15055265861716871</v>
      </c>
      <c r="D173" s="19">
        <f t="shared" si="215"/>
        <v>1017.4739610501895</v>
      </c>
      <c r="E173" s="15">
        <f t="shared" si="216"/>
        <v>5.5349479221003795E-6</v>
      </c>
      <c r="F173" s="16">
        <f t="shared" si="217"/>
        <v>27.589950552077177</v>
      </c>
      <c r="G173" s="17">
        <f t="shared" si="213"/>
        <v>1.3852278441222414E-2</v>
      </c>
      <c r="H173" s="18">
        <f t="shared" si="218"/>
        <v>0.19991427638077963</v>
      </c>
      <c r="I173" s="19">
        <f t="shared" si="299"/>
        <v>1017.1493367081866</v>
      </c>
      <c r="J173" s="15">
        <f t="shared" si="219"/>
        <v>5.5342986734163737E-6</v>
      </c>
      <c r="K173" s="16">
        <f t="shared" si="220"/>
        <v>27.586217372144148</v>
      </c>
      <c r="L173" s="17">
        <f t="shared" si="221"/>
        <v>1.3850653570731303E-2</v>
      </c>
      <c r="M173" s="18">
        <f t="shared" si="222"/>
        <v>0.19994133032423417</v>
      </c>
      <c r="N173" s="19">
        <f t="shared" si="300"/>
        <v>1016.2433411772206</v>
      </c>
      <c r="O173" s="15">
        <f t="shared" si="223"/>
        <v>5.5324866823544415E-6</v>
      </c>
      <c r="P173" s="16">
        <f t="shared" si="224"/>
        <v>27.575798423538036</v>
      </c>
      <c r="Q173" s="17">
        <f t="shared" si="214"/>
        <v>1.3852278441222414E-2</v>
      </c>
      <c r="R173" s="18">
        <f t="shared" si="225"/>
        <v>0.2000168740460474</v>
      </c>
      <c r="S173" s="19">
        <f t="shared" si="301"/>
        <v>1014.741781228533</v>
      </c>
      <c r="T173" s="15">
        <f t="shared" si="226"/>
        <v>5.5294835624570671E-6</v>
      </c>
      <c r="U173" s="16">
        <f t="shared" si="227"/>
        <v>27.558530484128127</v>
      </c>
      <c r="V173" s="17">
        <f t="shared" si="228"/>
        <v>1.3838602823610926E-2</v>
      </c>
      <c r="W173" s="18">
        <f t="shared" si="229"/>
        <v>0.20014220290797549</v>
      </c>
      <c r="X173" s="19">
        <f t="shared" si="302"/>
        <v>1012.6426448053301</v>
      </c>
      <c r="Y173" s="15">
        <f t="shared" si="230"/>
        <v>5.5252852896106614E-6</v>
      </c>
      <c r="Z173" s="16">
        <f t="shared" si="231"/>
        <v>27.534390415261296</v>
      </c>
      <c r="AA173" s="17">
        <f t="shared" si="232"/>
        <v>1.3828095833254535E-2</v>
      </c>
      <c r="AB173" s="18">
        <f t="shared" si="233"/>
        <v>0.20031767243856952</v>
      </c>
      <c r="AC173" s="19">
        <f t="shared" si="303"/>
        <v>1009.9444714754494</v>
      </c>
      <c r="AD173" s="15">
        <f t="shared" si="234"/>
        <v>5.5198889429508989E-6</v>
      </c>
      <c r="AE173" s="16">
        <f t="shared" si="235"/>
        <v>27.503361421967668</v>
      </c>
      <c r="AF173" s="17">
        <f t="shared" si="236"/>
        <v>1.3814590431298011E-2</v>
      </c>
      <c r="AG173" s="18">
        <f t="shared" si="237"/>
        <v>0.20054366865842527</v>
      </c>
      <c r="AH173" s="19">
        <f t="shared" si="304"/>
        <v>1006.6469612239936</v>
      </c>
      <c r="AI173" s="15">
        <f t="shared" si="238"/>
        <v>5.5132939224479881E-6</v>
      </c>
      <c r="AJ173" s="16">
        <f t="shared" si="239"/>
        <v>27.465440054075927</v>
      </c>
      <c r="AK173" s="17">
        <f t="shared" si="240"/>
        <v>1.3798085116050669E-2</v>
      </c>
      <c r="AL173" s="18">
        <f t="shared" si="241"/>
        <v>0.20082055809557181</v>
      </c>
      <c r="AM173" s="19">
        <f t="shared" si="305"/>
        <v>1002.750021410372</v>
      </c>
      <c r="AN173" s="15">
        <f t="shared" si="242"/>
        <v>5.5055000428207444E-6</v>
      </c>
      <c r="AO173" s="16">
        <f t="shared" si="243"/>
        <v>27.420625246219277</v>
      </c>
      <c r="AP173" s="17">
        <f t="shared" si="244"/>
        <v>1.3778579423810482E-2</v>
      </c>
      <c r="AQ173" s="18">
        <f t="shared" si="245"/>
        <v>0.20114876850813196</v>
      </c>
      <c r="AR173" s="19">
        <f t="shared" si="306"/>
        <v>998.25361639251787</v>
      </c>
      <c r="AS173" s="15">
        <f t="shared" si="246"/>
        <v>5.4965072327850358E-6</v>
      </c>
      <c r="AT173" s="16">
        <f t="shared" si="247"/>
        <v>27.368916588513954</v>
      </c>
      <c r="AU173" s="17">
        <f t="shared" si="248"/>
        <v>1.3756073176175115E-2</v>
      </c>
      <c r="AV173" s="18">
        <f t="shared" si="249"/>
        <v>0.20152880301863205</v>
      </c>
      <c r="AW173" s="19">
        <f t="shared" si="307"/>
        <v>993.15764731279774</v>
      </c>
      <c r="AX173" s="15">
        <f t="shared" si="250"/>
        <v>5.4863152946255958E-6</v>
      </c>
      <c r="AY173" s="16">
        <f t="shared" si="251"/>
        <v>27.310312944097173</v>
      </c>
      <c r="AZ173" s="17">
        <f t="shared" si="252"/>
        <v>1.3730565878323843E-2</v>
      </c>
      <c r="BA173" s="18">
        <f t="shared" si="253"/>
        <v>0.20196125219400468</v>
      </c>
      <c r="BB173" s="19">
        <f t="shared" si="308"/>
        <v>987.46156328222412</v>
      </c>
      <c r="BC173" s="15">
        <f t="shared" si="254"/>
        <v>5.4749231265644485E-6</v>
      </c>
      <c r="BD173" s="16">
        <f t="shared" si="255"/>
        <v>27.244807977745577</v>
      </c>
      <c r="BE173" s="17">
        <f t="shared" si="256"/>
        <v>1.3702054772844042E-2</v>
      </c>
      <c r="BF173" s="18">
        <f t="shared" si="257"/>
        <v>0.20244682966770541</v>
      </c>
      <c r="BG173" s="19">
        <f t="shared" si="309"/>
        <v>981.16248233757187</v>
      </c>
      <c r="BH173" s="15">
        <f t="shared" si="258"/>
        <v>5.4623249646751443E-6</v>
      </c>
      <c r="BI173" s="16">
        <f t="shared" si="259"/>
        <v>27.172368546882076</v>
      </c>
      <c r="BJ173" s="17">
        <f t="shared" si="260"/>
        <v>1.3670525434394185E-2</v>
      </c>
      <c r="BK173" s="18">
        <f t="shared" si="261"/>
        <v>0.20298653724218299</v>
      </c>
      <c r="BL173" s="19">
        <f t="shared" si="310"/>
        <v>974.24670623379984</v>
      </c>
      <c r="BM173" s="15">
        <f t="shared" si="262"/>
        <v>5.4484934124676001E-6</v>
      </c>
      <c r="BN173" s="16">
        <f t="shared" si="263"/>
        <v>27.092837121688696</v>
      </c>
      <c r="BO173" s="17">
        <f t="shared" si="264"/>
        <v>1.3635909297955362E-2</v>
      </c>
      <c r="BP173" s="18">
        <f t="shared" si="265"/>
        <v>0.20358240723281665</v>
      </c>
      <c r="BQ173" s="19">
        <f t="shared" si="311"/>
        <v>966.65562685386692</v>
      </c>
      <c r="BR173" s="15">
        <f t="shared" si="266"/>
        <v>5.4333112537077343E-6</v>
      </c>
      <c r="BS173" s="16">
        <f t="shared" si="267"/>
        <v>27.00553970881947</v>
      </c>
      <c r="BT173" s="17">
        <f t="shared" si="268"/>
        <v>1.3597913007215068E-2</v>
      </c>
      <c r="BU173" s="18">
        <f t="shared" si="269"/>
        <v>0.20424050248470713</v>
      </c>
      <c r="BV173" s="19">
        <f t="shared" si="312"/>
        <v>958.16628312295961</v>
      </c>
      <c r="BW173" s="15">
        <f t="shared" si="270"/>
        <v>5.4163325662459198E-6</v>
      </c>
      <c r="BX173" s="16">
        <f t="shared" si="271"/>
        <v>26.907912255914034</v>
      </c>
      <c r="BY173" s="17">
        <f t="shared" si="272"/>
        <v>1.3555420555687486E-2</v>
      </c>
      <c r="BZ173" s="18">
        <f t="shared" si="273"/>
        <v>0.20498152913322853</v>
      </c>
      <c r="CA173" s="19">
        <f t="shared" si="313"/>
        <v>948.03626323913375</v>
      </c>
      <c r="CB173" s="15">
        <f t="shared" si="274"/>
        <v>5.3960725264782682E-6</v>
      </c>
      <c r="CC173" s="16">
        <f t="shared" si="275"/>
        <v>26.791417027250038</v>
      </c>
      <c r="CD173" s="17">
        <f t="shared" si="276"/>
        <v>1.3504715884922445E-2</v>
      </c>
      <c r="CE173" s="18">
        <f t="shared" si="277"/>
        <v>0.20587283585597424</v>
      </c>
      <c r="CF173" s="19">
        <f t="shared" si="314"/>
        <v>934.14624732797859</v>
      </c>
      <c r="CG173" s="15">
        <f t="shared" si="278"/>
        <v>5.3682924946559576E-6</v>
      </c>
      <c r="CH173" s="16">
        <f t="shared" si="279"/>
        <v>26.631681844271753</v>
      </c>
      <c r="CI173" s="17">
        <f t="shared" si="280"/>
        <v>1.3435190978577411E-2</v>
      </c>
      <c r="CJ173" s="18">
        <f t="shared" si="281"/>
        <v>0.2071076484111109</v>
      </c>
      <c r="CK173" s="19">
        <f t="shared" si="315"/>
        <v>911.45697656162713</v>
      </c>
      <c r="CL173" s="15">
        <f t="shared" si="282"/>
        <v>5.3229139531232547E-6</v>
      </c>
      <c r="CM173" s="16">
        <f t="shared" si="283"/>
        <v>26.370755230458713</v>
      </c>
      <c r="CN173" s="17">
        <f t="shared" si="284"/>
        <v>1.3321622395563709E-2</v>
      </c>
      <c r="CO173" s="18">
        <f t="shared" si="285"/>
        <v>0.20915688427570517</v>
      </c>
      <c r="CP173" s="19">
        <f t="shared" si="316"/>
        <v>870.41238416916735</v>
      </c>
      <c r="CQ173" s="15">
        <f t="shared" si="286"/>
        <v>5.2408247683383354E-6</v>
      </c>
      <c r="CR173" s="16">
        <f t="shared" si="287"/>
        <v>25.898742417945424</v>
      </c>
      <c r="CS173" s="17">
        <f t="shared" si="288"/>
        <v>1.3116178322618908E-2</v>
      </c>
      <c r="CT173" s="18">
        <f t="shared" si="289"/>
        <v>0.21296883497239558</v>
      </c>
      <c r="CU173" s="19">
        <f t="shared" si="317"/>
        <v>797.62730111444137</v>
      </c>
      <c r="CV173" s="15">
        <f t="shared" si="290"/>
        <v>5.0952546022288831E-6</v>
      </c>
      <c r="CW173" s="16">
        <f t="shared" si="291"/>
        <v>25.061713962816075</v>
      </c>
      <c r="CX173" s="17">
        <f t="shared" si="292"/>
        <v>1.2751860807429365E-2</v>
      </c>
      <c r="CY173" s="18">
        <f t="shared" si="293"/>
        <v>0.22008171540795263</v>
      </c>
      <c r="CZ173" s="20">
        <f t="shared" si="318"/>
        <v>681.71529977433295</v>
      </c>
      <c r="DA173" s="15">
        <f t="shared" si="294"/>
        <v>4.863430599548666E-6</v>
      </c>
      <c r="DB173" s="16">
        <f t="shared" si="295"/>
        <v>27.541567805341828</v>
      </c>
      <c r="DC173" s="17">
        <f t="shared" si="296"/>
        <v>1.2171676372149901E-2</v>
      </c>
      <c r="DD173" s="18">
        <f t="shared" si="297"/>
        <v>0.20026546923484204</v>
      </c>
    </row>
    <row r="174" spans="2:108" x14ac:dyDescent="0.25">
      <c r="B174">
        <v>155</v>
      </c>
      <c r="C174">
        <f t="shared" si="298"/>
        <v>0.15153027328351398</v>
      </c>
      <c r="D174" s="19">
        <f t="shared" si="215"/>
        <v>1017.4573873711802</v>
      </c>
      <c r="E174" s="15">
        <f t="shared" si="216"/>
        <v>5.5349147747423614E-6</v>
      </c>
      <c r="F174" s="16">
        <f t="shared" si="217"/>
        <v>27.589759954768571</v>
      </c>
      <c r="G174" s="17">
        <f t="shared" si="213"/>
        <v>1.3852195483543439E-2</v>
      </c>
      <c r="H174" s="18">
        <f t="shared" si="218"/>
        <v>0.19991565744111114</v>
      </c>
      <c r="I174" s="19">
        <f t="shared" si="299"/>
        <v>1017.1327600473055</v>
      </c>
      <c r="J174" s="15">
        <f t="shared" si="219"/>
        <v>5.534265520094611E-6</v>
      </c>
      <c r="K174" s="16">
        <f t="shared" si="220"/>
        <v>27.586026740544014</v>
      </c>
      <c r="L174" s="17">
        <f t="shared" si="221"/>
        <v>1.3850570598126907E-2</v>
      </c>
      <c r="M174" s="18">
        <f t="shared" si="222"/>
        <v>0.19994271200692776</v>
      </c>
      <c r="N174" s="19">
        <f t="shared" si="300"/>
        <v>1016.2267557659222</v>
      </c>
      <c r="O174" s="15">
        <f t="shared" si="223"/>
        <v>5.5324535115318448E-6</v>
      </c>
      <c r="P174" s="16">
        <f t="shared" si="224"/>
        <v>27.575607691308107</v>
      </c>
      <c r="Q174" s="17">
        <f t="shared" si="214"/>
        <v>1.3852195483543439E-2</v>
      </c>
      <c r="R174" s="18">
        <f t="shared" si="225"/>
        <v>0.20001825750293573</v>
      </c>
      <c r="S174" s="19">
        <f t="shared" si="301"/>
        <v>1014.7251905573883</v>
      </c>
      <c r="T174" s="15">
        <f t="shared" si="226"/>
        <v>5.5294503811147768E-6</v>
      </c>
      <c r="U174" s="16">
        <f t="shared" si="227"/>
        <v>27.558339691409962</v>
      </c>
      <c r="V174" s="17">
        <f t="shared" si="228"/>
        <v>1.3838519780879733E-2</v>
      </c>
      <c r="W174" s="18">
        <f t="shared" si="229"/>
        <v>0.20014358853843583</v>
      </c>
      <c r="X174" s="19">
        <f t="shared" si="302"/>
        <v>1012.6260565630084</v>
      </c>
      <c r="Y174" s="15">
        <f t="shared" si="230"/>
        <v>5.5252521131260179E-6</v>
      </c>
      <c r="Z174" s="16">
        <f t="shared" si="231"/>
        <v>27.534199650474598</v>
      </c>
      <c r="AA174" s="17">
        <f t="shared" si="232"/>
        <v>1.3828012802680544E-2</v>
      </c>
      <c r="AB174" s="18">
        <f t="shared" si="233"/>
        <v>0.20031906029652577</v>
      </c>
      <c r="AC174" s="19">
        <f t="shared" si="303"/>
        <v>1009.9278929978924</v>
      </c>
      <c r="AD174" s="15">
        <f t="shared" si="234"/>
        <v>5.5198557859957849E-6</v>
      </c>
      <c r="AE174" s="16">
        <f t="shared" si="235"/>
        <v>27.503170769475762</v>
      </c>
      <c r="AF174" s="17">
        <f t="shared" si="236"/>
        <v>1.3814507449600447E-2</v>
      </c>
      <c r="AG174" s="18">
        <f t="shared" si="237"/>
        <v>0.2005450588308707</v>
      </c>
      <c r="AH174" s="19">
        <f t="shared" si="304"/>
        <v>1006.6303980845065</v>
      </c>
      <c r="AI174" s="15">
        <f t="shared" si="238"/>
        <v>5.5132607961690135E-6</v>
      </c>
      <c r="AJ174" s="16">
        <f t="shared" si="239"/>
        <v>27.465249577971825</v>
      </c>
      <c r="AK174" s="17">
        <f t="shared" si="240"/>
        <v>1.379800221112608E-2</v>
      </c>
      <c r="AL174" s="18">
        <f t="shared" si="241"/>
        <v>0.20082195081976392</v>
      </c>
      <c r="AM174" s="19">
        <f t="shared" si="305"/>
        <v>1002.7334777459769</v>
      </c>
      <c r="AN174" s="15">
        <f t="shared" si="242"/>
        <v>5.5054669554919539E-6</v>
      </c>
      <c r="AO174" s="16">
        <f t="shared" si="243"/>
        <v>27.420434994078732</v>
      </c>
      <c r="AP174" s="17">
        <f t="shared" si="244"/>
        <v>1.377849661636627E-2</v>
      </c>
      <c r="AQ174" s="18">
        <f t="shared" si="245"/>
        <v>0.20115016414550185</v>
      </c>
      <c r="AR174" s="19">
        <f t="shared" si="306"/>
        <v>998.23709477024227</v>
      </c>
      <c r="AS174" s="15">
        <f t="shared" si="246"/>
        <v>5.496474189540485E-6</v>
      </c>
      <c r="AT174" s="16">
        <f t="shared" si="247"/>
        <v>27.368726589857786</v>
      </c>
      <c r="AU174" s="17">
        <f t="shared" si="248"/>
        <v>1.3755990479060244E-2</v>
      </c>
      <c r="AV174" s="18">
        <f t="shared" si="249"/>
        <v>0.20153020206807731</v>
      </c>
      <c r="AW174" s="19">
        <f t="shared" si="307"/>
        <v>993.14114461614554</v>
      </c>
      <c r="AX174" s="15">
        <f t="shared" si="250"/>
        <v>5.4862822892322919E-6</v>
      </c>
      <c r="AY174" s="16">
        <f t="shared" si="251"/>
        <v>27.31012316308567</v>
      </c>
      <c r="AZ174" s="17">
        <f t="shared" si="252"/>
        <v>1.3730483275939044E-2</v>
      </c>
      <c r="BA174" s="18">
        <f t="shared" si="253"/>
        <v>0.20196265564467744</v>
      </c>
      <c r="BB174" s="19">
        <f t="shared" si="308"/>
        <v>987.44504887257574</v>
      </c>
      <c r="BC174" s="15">
        <f t="shared" si="254"/>
        <v>5.4748900977451517E-6</v>
      </c>
      <c r="BD174" s="16">
        <f t="shared" si="255"/>
        <v>27.244618062034618</v>
      </c>
      <c r="BE174" s="17">
        <f t="shared" si="256"/>
        <v>1.3701972111831162E-2</v>
      </c>
      <c r="BF174" s="18">
        <f t="shared" si="257"/>
        <v>0.20244824087609525</v>
      </c>
      <c r="BG174" s="19">
        <f t="shared" si="309"/>
        <v>981.14580196121199</v>
      </c>
      <c r="BH174" s="15">
        <f t="shared" si="258"/>
        <v>5.4622916039224243E-6</v>
      </c>
      <c r="BI174" s="16">
        <f t="shared" si="259"/>
        <v>27.172176722553935</v>
      </c>
      <c r="BJ174" s="17">
        <f t="shared" si="260"/>
        <v>1.3670441942653667E-2</v>
      </c>
      <c r="BK174" s="18">
        <f t="shared" si="261"/>
        <v>0.20298797024317239</v>
      </c>
      <c r="BL174" s="19">
        <f t="shared" si="310"/>
        <v>974.22921140933352</v>
      </c>
      <c r="BM174" s="15">
        <f t="shared" si="262"/>
        <v>5.4484584228186673E-6</v>
      </c>
      <c r="BN174" s="16">
        <f t="shared" si="263"/>
        <v>27.092635931207333</v>
      </c>
      <c r="BO174" s="17">
        <f t="shared" si="264"/>
        <v>1.3635821729586805E-2</v>
      </c>
      <c r="BP174" s="18">
        <f t="shared" si="265"/>
        <v>0.2035839190400329</v>
      </c>
      <c r="BQ174" s="19">
        <f t="shared" si="311"/>
        <v>966.63494482812348</v>
      </c>
      <c r="BR174" s="15">
        <f t="shared" si="266"/>
        <v>5.4332698896562477E-6</v>
      </c>
      <c r="BS174" s="16">
        <f t="shared" si="267"/>
        <v>27.005301865523421</v>
      </c>
      <c r="BT174" s="17">
        <f t="shared" si="268"/>
        <v>1.3597809485670383E-2</v>
      </c>
      <c r="BU174" s="18">
        <f t="shared" si="269"/>
        <v>0.2042423012883102</v>
      </c>
      <c r="BV174" s="19">
        <f t="shared" si="312"/>
        <v>958.13493128694824</v>
      </c>
      <c r="BW174" s="15">
        <f t="shared" si="270"/>
        <v>5.4162698625738973E-6</v>
      </c>
      <c r="BX174" s="16">
        <f t="shared" si="271"/>
        <v>26.907551709799904</v>
      </c>
      <c r="BY174" s="17">
        <f t="shared" si="272"/>
        <v>1.3555263627612215E-2</v>
      </c>
      <c r="BZ174" s="18">
        <f t="shared" si="273"/>
        <v>0.20498427577084888</v>
      </c>
      <c r="CA174" s="19">
        <f t="shared" si="313"/>
        <v>947.97444223782634</v>
      </c>
      <c r="CB174" s="15">
        <f t="shared" si="274"/>
        <v>5.3959488844756532E-6</v>
      </c>
      <c r="CC174" s="16">
        <f t="shared" si="275"/>
        <v>26.790706085735003</v>
      </c>
      <c r="CD174" s="17">
        <f t="shared" si="276"/>
        <v>1.3504406446880507E-2</v>
      </c>
      <c r="CE174" s="18">
        <f t="shared" si="277"/>
        <v>0.2058782990768897</v>
      </c>
      <c r="CF174" s="19">
        <f t="shared" si="314"/>
        <v>934.01198169039594</v>
      </c>
      <c r="CG174" s="15">
        <f t="shared" si="278"/>
        <v>5.3680239633807929E-6</v>
      </c>
      <c r="CH174" s="16">
        <f t="shared" si="279"/>
        <v>26.630137789439551</v>
      </c>
      <c r="CI174" s="17">
        <f t="shared" si="280"/>
        <v>1.3434518927088199E-2</v>
      </c>
      <c r="CJ174" s="18">
        <f t="shared" si="281"/>
        <v>0.20711965681932282</v>
      </c>
      <c r="CK174" s="19">
        <f t="shared" si="315"/>
        <v>911.1851982990371</v>
      </c>
      <c r="CL174" s="15">
        <f t="shared" si="282"/>
        <v>5.3223703965980754E-6</v>
      </c>
      <c r="CM174" s="16">
        <f t="shared" si="283"/>
        <v>26.367629780438925</v>
      </c>
      <c r="CN174" s="17">
        <f t="shared" si="284"/>
        <v>1.3320262040156341E-2</v>
      </c>
      <c r="CO174" s="18">
        <f t="shared" si="285"/>
        <v>0.20918167639367488</v>
      </c>
      <c r="CP174" s="19">
        <f t="shared" si="316"/>
        <v>869.94747470779328</v>
      </c>
      <c r="CQ174" s="15">
        <f t="shared" si="286"/>
        <v>5.2398949494155872E-6</v>
      </c>
      <c r="CR174" s="16">
        <f t="shared" si="287"/>
        <v>25.893395959139621</v>
      </c>
      <c r="CS174" s="17">
        <f t="shared" si="288"/>
        <v>1.3113851270802144E-2</v>
      </c>
      <c r="CT174" s="18">
        <f t="shared" si="289"/>
        <v>0.21301280869854938</v>
      </c>
      <c r="CU174" s="19">
        <f t="shared" si="317"/>
        <v>796.99662150385814</v>
      </c>
      <c r="CV174" s="15">
        <f t="shared" si="290"/>
        <v>5.0939932430077165E-6</v>
      </c>
      <c r="CW174" s="16">
        <f t="shared" si="291"/>
        <v>25.054461147294369</v>
      </c>
      <c r="CX174" s="17">
        <f t="shared" si="292"/>
        <v>1.2748704011847562E-2</v>
      </c>
      <c r="CY174" s="18">
        <f t="shared" si="293"/>
        <v>0.22014542510309118</v>
      </c>
      <c r="CZ174" s="20">
        <f t="shared" si="318"/>
        <v>681.07667777701135</v>
      </c>
      <c r="DA174" s="15">
        <f t="shared" si="294"/>
        <v>4.8621533555540232E-6</v>
      </c>
      <c r="DB174" s="16">
        <f t="shared" si="295"/>
        <v>27.669803102403961</v>
      </c>
      <c r="DC174" s="17">
        <f t="shared" si="296"/>
        <v>1.216847982184804E-2</v>
      </c>
      <c r="DD174" s="18">
        <f t="shared" si="297"/>
        <v>0.19933734185194837</v>
      </c>
    </row>
    <row r="175" spans="2:108" x14ac:dyDescent="0.25">
      <c r="B175">
        <v>156</v>
      </c>
      <c r="C175">
        <f t="shared" si="298"/>
        <v>0.15250788794985923</v>
      </c>
      <c r="D175" s="19">
        <f t="shared" si="215"/>
        <v>1017.4408135399316</v>
      </c>
      <c r="E175" s="15">
        <f t="shared" si="216"/>
        <v>5.5348816270798639E-6</v>
      </c>
      <c r="F175" s="16">
        <f t="shared" si="217"/>
        <v>27.589569355709212</v>
      </c>
      <c r="G175" s="17">
        <f t="shared" si="213"/>
        <v>1.3852112525102447E-2</v>
      </c>
      <c r="H175" s="18">
        <f t="shared" si="218"/>
        <v>0.19991703853321041</v>
      </c>
      <c r="I175" s="19">
        <f t="shared" si="299"/>
        <v>1017.1161833245341</v>
      </c>
      <c r="J175" s="15">
        <f t="shared" si="219"/>
        <v>5.5342323666490688E-6</v>
      </c>
      <c r="K175" s="16">
        <f t="shared" si="220"/>
        <v>27.58583610823214</v>
      </c>
      <c r="L175" s="17">
        <f t="shared" si="221"/>
        <v>1.3850487625212723E-2</v>
      </c>
      <c r="M175" s="18">
        <f t="shared" si="222"/>
        <v>0.19994409371387631</v>
      </c>
      <c r="N175" s="19">
        <f t="shared" si="300"/>
        <v>1016.2101704538139</v>
      </c>
      <c r="O175" s="15">
        <f t="shared" si="223"/>
        <v>5.5324203409076283E-6</v>
      </c>
      <c r="P175" s="16">
        <f t="shared" si="224"/>
        <v>27.57541696021886</v>
      </c>
      <c r="Q175" s="17">
        <f t="shared" si="214"/>
        <v>1.3852112525102447E-2</v>
      </c>
      <c r="R175" s="18">
        <f t="shared" si="225"/>
        <v>0.20001964097068811</v>
      </c>
      <c r="S175" s="19">
        <f t="shared" si="301"/>
        <v>1014.7086000855707</v>
      </c>
      <c r="T175" s="15">
        <f t="shared" si="226"/>
        <v>5.5294172001711418E-6</v>
      </c>
      <c r="U175" s="16">
        <f t="shared" si="227"/>
        <v>27.558148900984062</v>
      </c>
      <c r="V175" s="17">
        <f t="shared" si="228"/>
        <v>1.3838436739146254E-2</v>
      </c>
      <c r="W175" s="18">
        <f t="shared" si="229"/>
        <v>0.20014497417143445</v>
      </c>
      <c r="X175" s="19">
        <f t="shared" si="302"/>
        <v>1012.6094685428394</v>
      </c>
      <c r="Y175" s="15">
        <f t="shared" si="230"/>
        <v>5.5252189370856795E-6</v>
      </c>
      <c r="Z175" s="16">
        <f t="shared" si="231"/>
        <v>27.534008888242653</v>
      </c>
      <c r="AA175" s="17">
        <f t="shared" si="232"/>
        <v>1.3827929773218513E-2</v>
      </c>
      <c r="AB175" s="18">
        <f t="shared" si="233"/>
        <v>0.20032044815512634</v>
      </c>
      <c r="AC175" s="19">
        <f t="shared" si="303"/>
        <v>1009.9113147316591</v>
      </c>
      <c r="AD175" s="15">
        <f t="shared" si="234"/>
        <v>5.5198226294633184E-6</v>
      </c>
      <c r="AE175" s="16">
        <f t="shared" si="235"/>
        <v>27.502980119414079</v>
      </c>
      <c r="AF175" s="17">
        <f t="shared" si="236"/>
        <v>1.381442446896064E-2</v>
      </c>
      <c r="AG175" s="18">
        <f t="shared" si="237"/>
        <v>0.20054644900486895</v>
      </c>
      <c r="AH175" s="19">
        <f t="shared" si="304"/>
        <v>1006.613835141738</v>
      </c>
      <c r="AI175" s="15">
        <f t="shared" si="238"/>
        <v>5.5132276702834772E-6</v>
      </c>
      <c r="AJ175" s="16">
        <f t="shared" si="239"/>
        <v>27.465059104129985</v>
      </c>
      <c r="AK175" s="17">
        <f t="shared" si="240"/>
        <v>1.3797919307186149E-2</v>
      </c>
      <c r="AL175" s="18">
        <f t="shared" si="241"/>
        <v>0.20082334354673217</v>
      </c>
      <c r="AM175" s="19">
        <f t="shared" si="305"/>
        <v>1002.7169342573203</v>
      </c>
      <c r="AN175" s="15">
        <f t="shared" si="242"/>
        <v>5.5054338685146406E-6</v>
      </c>
      <c r="AO175" s="16">
        <f t="shared" si="243"/>
        <v>27.420244743959181</v>
      </c>
      <c r="AP175" s="17">
        <f t="shared" si="244"/>
        <v>1.3778413809801694E-2</v>
      </c>
      <c r="AQ175" s="18">
        <f t="shared" si="245"/>
        <v>0.20115155978741292</v>
      </c>
      <c r="AR175" s="19">
        <f t="shared" si="306"/>
        <v>998.22057323959802</v>
      </c>
      <c r="AS175" s="15">
        <f t="shared" si="246"/>
        <v>5.4964411464791966E-6</v>
      </c>
      <c r="AT175" s="16">
        <f t="shared" si="247"/>
        <v>27.368536592255374</v>
      </c>
      <c r="AU175" s="17">
        <f t="shared" si="248"/>
        <v>1.3755907782404021E-2</v>
      </c>
      <c r="AV175" s="18">
        <f t="shared" si="249"/>
        <v>0.20153160112918814</v>
      </c>
      <c r="AW175" s="19">
        <f t="shared" si="307"/>
        <v>993.12464160275226</v>
      </c>
      <c r="AX175" s="15">
        <f t="shared" si="250"/>
        <v>5.4862492832055048E-6</v>
      </c>
      <c r="AY175" s="16">
        <f t="shared" si="251"/>
        <v>27.309933378431651</v>
      </c>
      <c r="AZ175" s="17">
        <f t="shared" si="252"/>
        <v>1.373040067196883E-2</v>
      </c>
      <c r="BA175" s="18">
        <f t="shared" si="253"/>
        <v>0.20196405914179311</v>
      </c>
      <c r="BB175" s="19">
        <f t="shared" si="308"/>
        <v>987.42853232233369</v>
      </c>
      <c r="BC175" s="15">
        <f t="shared" si="254"/>
        <v>5.4748570646446674E-6</v>
      </c>
      <c r="BD175" s="16">
        <f t="shared" si="255"/>
        <v>27.244428121706836</v>
      </c>
      <c r="BE175" s="17">
        <f t="shared" si="256"/>
        <v>1.370188944010378E-2</v>
      </c>
      <c r="BF175" s="18">
        <f t="shared" si="257"/>
        <v>0.20244965228708392</v>
      </c>
      <c r="BG175" s="19">
        <f t="shared" si="309"/>
        <v>981.12911218945862</v>
      </c>
      <c r="BH175" s="15">
        <f t="shared" si="258"/>
        <v>5.4622582243789171E-6</v>
      </c>
      <c r="BI175" s="16">
        <f t="shared" si="259"/>
        <v>27.171984790178776</v>
      </c>
      <c r="BJ175" s="17">
        <f t="shared" si="260"/>
        <v>1.367035840388557E-2</v>
      </c>
      <c r="BK175" s="18">
        <f t="shared" si="261"/>
        <v>0.20298940407156435</v>
      </c>
      <c r="BL175" s="19">
        <f t="shared" si="310"/>
        <v>974.21168197605766</v>
      </c>
      <c r="BM175" s="15">
        <f t="shared" si="262"/>
        <v>5.4484233639521162E-6</v>
      </c>
      <c r="BN175" s="16">
        <f t="shared" si="263"/>
        <v>27.092434342724662</v>
      </c>
      <c r="BO175" s="17">
        <f t="shared" si="264"/>
        <v>1.3635733987987763E-2</v>
      </c>
      <c r="BP175" s="18">
        <f t="shared" si="265"/>
        <v>0.20358543386047379</v>
      </c>
      <c r="BQ175" s="19">
        <f t="shared" si="311"/>
        <v>966.6141536372678</v>
      </c>
      <c r="BR175" s="15">
        <f t="shared" si="266"/>
        <v>5.4332283072745363E-6</v>
      </c>
      <c r="BS175" s="16">
        <f t="shared" si="267"/>
        <v>27.00506276682858</v>
      </c>
      <c r="BT175" s="17">
        <f t="shared" si="268"/>
        <v>1.3597705417712052E-2</v>
      </c>
      <c r="BU175" s="18">
        <f t="shared" si="269"/>
        <v>0.20424410961840336</v>
      </c>
      <c r="BV175" s="19">
        <f t="shared" si="312"/>
        <v>958.10329048666756</v>
      </c>
      <c r="BW175" s="15">
        <f t="shared" si="270"/>
        <v>5.4162065809733362E-6</v>
      </c>
      <c r="BX175" s="16">
        <f t="shared" si="271"/>
        <v>26.907187840596677</v>
      </c>
      <c r="BY175" s="17">
        <f t="shared" si="272"/>
        <v>1.3555105253158919E-2</v>
      </c>
      <c r="BZ175" s="18">
        <f t="shared" si="273"/>
        <v>0.20498704779836588</v>
      </c>
      <c r="CA175" s="19">
        <f t="shared" si="313"/>
        <v>947.91200647663732</v>
      </c>
      <c r="CB175" s="15">
        <f t="shared" si="274"/>
        <v>5.395824012953275E-6</v>
      </c>
      <c r="CC175" s="16">
        <f t="shared" si="275"/>
        <v>26.789988074481329</v>
      </c>
      <c r="CD175" s="17">
        <f t="shared" si="276"/>
        <v>1.3504093931727388E-2</v>
      </c>
      <c r="CE175" s="18">
        <f t="shared" si="277"/>
        <v>0.20588381691942154</v>
      </c>
      <c r="CF175" s="19">
        <f t="shared" si="314"/>
        <v>933.87675187313835</v>
      </c>
      <c r="CG175" s="15">
        <f t="shared" si="278"/>
        <v>5.3677535037462768E-6</v>
      </c>
      <c r="CH175" s="16">
        <f t="shared" si="279"/>
        <v>26.628582646541091</v>
      </c>
      <c r="CI175" s="17">
        <f t="shared" si="280"/>
        <v>1.3433842049506485E-2</v>
      </c>
      <c r="CJ175" s="18">
        <f t="shared" si="281"/>
        <v>0.20713175286918434</v>
      </c>
      <c r="CK175" s="19">
        <f t="shared" si="315"/>
        <v>910.91255591676827</v>
      </c>
      <c r="CL175" s="15">
        <f t="shared" si="282"/>
        <v>5.3218251118335369E-6</v>
      </c>
      <c r="CM175" s="16">
        <f t="shared" si="283"/>
        <v>26.364494393042833</v>
      </c>
      <c r="CN175" s="17">
        <f t="shared" si="284"/>
        <v>1.3318897359495485E-2</v>
      </c>
      <c r="CO175" s="18">
        <f t="shared" si="285"/>
        <v>0.20920655324440757</v>
      </c>
      <c r="CP175" s="19">
        <f t="shared" si="316"/>
        <v>869.48284451359007</v>
      </c>
      <c r="CQ175" s="15">
        <f t="shared" si="286"/>
        <v>5.238965689027181E-6</v>
      </c>
      <c r="CR175" s="16">
        <f t="shared" si="287"/>
        <v>25.888052711906283</v>
      </c>
      <c r="CS175" s="17">
        <f t="shared" si="288"/>
        <v>1.3111525616825671E-2</v>
      </c>
      <c r="CT175" s="18">
        <f t="shared" si="289"/>
        <v>0.21305677415680191</v>
      </c>
      <c r="CU175" s="19">
        <f t="shared" si="317"/>
        <v>796.3680631650451</v>
      </c>
      <c r="CV175" s="15">
        <f t="shared" si="290"/>
        <v>5.0927361263300908E-6</v>
      </c>
      <c r="CW175" s="16">
        <f t="shared" si="291"/>
        <v>25.047232726398018</v>
      </c>
      <c r="CX175" s="17">
        <f t="shared" si="292"/>
        <v>1.2745557834052096E-2</v>
      </c>
      <c r="CY175" s="18">
        <f t="shared" si="293"/>
        <v>0.22020895722292386</v>
      </c>
      <c r="CZ175" s="20">
        <f t="shared" si="318"/>
        <v>680.44087407940594</v>
      </c>
      <c r="DA175" s="15">
        <f t="shared" si="294"/>
        <v>4.8608817481588125E-6</v>
      </c>
      <c r="DB175" s="16">
        <f t="shared" si="295"/>
        <v>27.797472484883059</v>
      </c>
      <c r="DC175" s="17">
        <f t="shared" si="296"/>
        <v>1.21652973782272E-2</v>
      </c>
      <c r="DD175" s="18">
        <f t="shared" si="297"/>
        <v>0.1984218170554726</v>
      </c>
    </row>
    <row r="176" spans="2:108" x14ac:dyDescent="0.25">
      <c r="B176">
        <v>157</v>
      </c>
      <c r="C176">
        <f t="shared" si="298"/>
        <v>0.15348550261620447</v>
      </c>
      <c r="D176" s="19">
        <f t="shared" si="215"/>
        <v>1017.4242395610564</v>
      </c>
      <c r="E176" s="15">
        <f t="shared" si="216"/>
        <v>5.5348484791221135E-6</v>
      </c>
      <c r="F176" s="16">
        <f t="shared" si="217"/>
        <v>27.589378754952151</v>
      </c>
      <c r="G176" s="17">
        <f t="shared" si="213"/>
        <v>1.3852029565922528E-2</v>
      </c>
      <c r="H176" s="18">
        <f t="shared" si="218"/>
        <v>0.19991841965669394</v>
      </c>
      <c r="I176" s="19">
        <f t="shared" si="299"/>
        <v>1017.0996065425965</v>
      </c>
      <c r="J176" s="15">
        <f t="shared" si="219"/>
        <v>5.5341992130851936E-6</v>
      </c>
      <c r="K176" s="16">
        <f t="shared" si="220"/>
        <v>27.585645475239858</v>
      </c>
      <c r="L176" s="17">
        <f t="shared" si="221"/>
        <v>1.3850404652002392E-2</v>
      </c>
      <c r="M176" s="18">
        <f t="shared" si="222"/>
        <v>0.1999454754448533</v>
      </c>
      <c r="N176" s="19">
        <f t="shared" si="300"/>
        <v>1016.1935852409564</v>
      </c>
      <c r="O176" s="15">
        <f t="shared" si="223"/>
        <v>5.5323871704819131E-6</v>
      </c>
      <c r="P176" s="16">
        <f t="shared" si="224"/>
        <v>27.575226230270999</v>
      </c>
      <c r="Q176" s="17">
        <f t="shared" si="214"/>
        <v>1.3852029565922528E-2</v>
      </c>
      <c r="R176" s="18">
        <f t="shared" si="225"/>
        <v>0.20002102444929948</v>
      </c>
      <c r="S176" s="19">
        <f t="shared" si="301"/>
        <v>1014.6920098122927</v>
      </c>
      <c r="T176" s="15">
        <f t="shared" si="226"/>
        <v>5.5293840196245857E-6</v>
      </c>
      <c r="U176" s="16">
        <f t="shared" si="227"/>
        <v>27.557958112841362</v>
      </c>
      <c r="V176" s="17">
        <f t="shared" si="228"/>
        <v>1.3838353698406539E-2</v>
      </c>
      <c r="W176" s="18">
        <f t="shared" si="229"/>
        <v>0.20014635980703693</v>
      </c>
      <c r="X176" s="19">
        <f t="shared" si="302"/>
        <v>1012.5928807443754</v>
      </c>
      <c r="Y176" s="15">
        <f t="shared" si="230"/>
        <v>5.525185761488752E-6</v>
      </c>
      <c r="Z176" s="16">
        <f t="shared" si="231"/>
        <v>27.533818128560316</v>
      </c>
      <c r="AA176" s="17">
        <f t="shared" si="232"/>
        <v>1.3827846744866201E-2</v>
      </c>
      <c r="AB176" s="18">
        <f t="shared" si="233"/>
        <v>0.20032183601440823</v>
      </c>
      <c r="AC176" s="19">
        <f t="shared" si="303"/>
        <v>1009.8947366766596</v>
      </c>
      <c r="AD176" s="15">
        <f t="shared" si="234"/>
        <v>5.5197894733533198E-6</v>
      </c>
      <c r="AE176" s="16">
        <f t="shared" si="235"/>
        <v>27.502789471781583</v>
      </c>
      <c r="AF176" s="17">
        <f t="shared" si="236"/>
        <v>1.3814341489378143E-2</v>
      </c>
      <c r="AG176" s="18">
        <f t="shared" si="237"/>
        <v>0.20054783918042723</v>
      </c>
      <c r="AH176" s="19">
        <f t="shared" si="304"/>
        <v>1006.5972723955567</v>
      </c>
      <c r="AI176" s="15">
        <f t="shared" si="238"/>
        <v>5.5131945447911141E-6</v>
      </c>
      <c r="AJ176" s="16">
        <f t="shared" si="239"/>
        <v>27.4648686325489</v>
      </c>
      <c r="AK176" s="17">
        <f t="shared" si="240"/>
        <v>1.3797836404230209E-2</v>
      </c>
      <c r="AL176" s="18">
        <f t="shared" si="241"/>
        <v>0.20082473627648725</v>
      </c>
      <c r="AM176" s="19">
        <f t="shared" si="305"/>
        <v>1002.7003909434255</v>
      </c>
      <c r="AN176" s="15">
        <f t="shared" si="242"/>
        <v>5.505400781886852E-6</v>
      </c>
      <c r="AO176" s="16">
        <f t="shared" si="243"/>
        <v>27.420054495849392</v>
      </c>
      <c r="AP176" s="17">
        <f t="shared" si="244"/>
        <v>1.3778331004111874E-2</v>
      </c>
      <c r="AQ176" s="18">
        <f t="shared" si="245"/>
        <v>0.20115295543394734</v>
      </c>
      <c r="AR176" s="19">
        <f t="shared" si="306"/>
        <v>998.20405179569218</v>
      </c>
      <c r="AS176" s="15">
        <f t="shared" si="246"/>
        <v>5.4964081035913856E-6</v>
      </c>
      <c r="AT176" s="16">
        <f t="shared" si="247"/>
        <v>27.368346595650458</v>
      </c>
      <c r="AU176" s="17">
        <f t="shared" si="248"/>
        <v>1.375582508618196E-2</v>
      </c>
      <c r="AV176" s="18">
        <f t="shared" si="249"/>
        <v>0.20153300020237891</v>
      </c>
      <c r="AW176" s="19">
        <f t="shared" si="307"/>
        <v>993.10813825144544</v>
      </c>
      <c r="AX176" s="15">
        <f t="shared" si="250"/>
        <v>5.4862162765028913E-6</v>
      </c>
      <c r="AY176" s="16">
        <f t="shared" si="251"/>
        <v>27.309743589891621</v>
      </c>
      <c r="AZ176" s="17">
        <f t="shared" si="252"/>
        <v>1.3730318066307229E-2</v>
      </c>
      <c r="BA176" s="18">
        <f t="shared" si="253"/>
        <v>0.20196546268715401</v>
      </c>
      <c r="BB176" s="19">
        <f t="shared" si="308"/>
        <v>987.41201355072565</v>
      </c>
      <c r="BC176" s="15">
        <f t="shared" si="254"/>
        <v>5.4748240271014522E-6</v>
      </c>
      <c r="BD176" s="16">
        <f t="shared" si="255"/>
        <v>27.244238155833344</v>
      </c>
      <c r="BE176" s="17">
        <f t="shared" si="256"/>
        <v>1.3701806757257606E-2</v>
      </c>
      <c r="BF176" s="18">
        <f t="shared" si="257"/>
        <v>0.202451063907582</v>
      </c>
      <c r="BG176" s="19">
        <f t="shared" si="309"/>
        <v>981.11241275615282</v>
      </c>
      <c r="BH176" s="15">
        <f t="shared" si="258"/>
        <v>5.4622248255123056E-6</v>
      </c>
      <c r="BI176" s="16">
        <f t="shared" si="259"/>
        <v>27.171792746695758</v>
      </c>
      <c r="BJ176" s="17">
        <f t="shared" si="260"/>
        <v>1.3670274816757663E-2</v>
      </c>
      <c r="BK176" s="18">
        <f t="shared" si="261"/>
        <v>0.20299083875025989</v>
      </c>
      <c r="BL176" s="19">
        <f t="shared" si="310"/>
        <v>974.19411720309949</v>
      </c>
      <c r="BM176" s="15">
        <f t="shared" si="262"/>
        <v>5.4483882344062003E-6</v>
      </c>
      <c r="BN176" s="16">
        <f t="shared" si="263"/>
        <v>27.092232347835644</v>
      </c>
      <c r="BO176" s="17">
        <f t="shared" si="264"/>
        <v>1.3635646069499933E-2</v>
      </c>
      <c r="BP176" s="18">
        <f t="shared" si="265"/>
        <v>0.20358695175743369</v>
      </c>
      <c r="BQ176" s="19">
        <f t="shared" si="311"/>
        <v>966.59325171452724</v>
      </c>
      <c r="BR176" s="15">
        <f t="shared" si="266"/>
        <v>5.433186503429055E-6</v>
      </c>
      <c r="BS176" s="16">
        <f t="shared" si="267"/>
        <v>27.00482239471706</v>
      </c>
      <c r="BT176" s="17">
        <f t="shared" si="268"/>
        <v>1.3597600795497777E-2</v>
      </c>
      <c r="BU176" s="18">
        <f t="shared" si="269"/>
        <v>0.20424592761176683</v>
      </c>
      <c r="BV176" s="19">
        <f t="shared" si="312"/>
        <v>958.07135849711301</v>
      </c>
      <c r="BW176" s="15">
        <f t="shared" si="270"/>
        <v>5.416142716994227E-6</v>
      </c>
      <c r="BX176" s="16">
        <f t="shared" si="271"/>
        <v>26.906820622716801</v>
      </c>
      <c r="BY176" s="17">
        <f t="shared" si="272"/>
        <v>1.3554945421190592E-2</v>
      </c>
      <c r="BZ176" s="18">
        <f t="shared" si="273"/>
        <v>0.20498984541277562</v>
      </c>
      <c r="CA176" s="19">
        <f t="shared" si="313"/>
        <v>947.8489553514205</v>
      </c>
      <c r="CB176" s="15">
        <f t="shared" si="274"/>
        <v>5.3956979107028418E-6</v>
      </c>
      <c r="CC176" s="16">
        <f t="shared" si="275"/>
        <v>26.789262986541335</v>
      </c>
      <c r="CD176" s="17">
        <f t="shared" si="276"/>
        <v>1.3503778336439114E-2</v>
      </c>
      <c r="CE176" s="18">
        <f t="shared" si="277"/>
        <v>0.20588938944572668</v>
      </c>
      <c r="CF176" s="19">
        <f t="shared" si="314"/>
        <v>933.74056391648855</v>
      </c>
      <c r="CG176" s="15">
        <f t="shared" si="278"/>
        <v>5.3674811278329778E-6</v>
      </c>
      <c r="CH176" s="16">
        <f t="shared" si="279"/>
        <v>26.627016485039618</v>
      </c>
      <c r="CI176" s="17">
        <f t="shared" si="280"/>
        <v>1.3433160376066228E-2</v>
      </c>
      <c r="CJ176" s="18">
        <f t="shared" si="281"/>
        <v>0.2071439360507758</v>
      </c>
      <c r="CK176" s="19">
        <f t="shared" si="315"/>
        <v>910.6390641073798</v>
      </c>
      <c r="CL176" s="15">
        <f t="shared" si="282"/>
        <v>5.3212781282147598E-6</v>
      </c>
      <c r="CM176" s="16">
        <f t="shared" si="283"/>
        <v>26.361349237234869</v>
      </c>
      <c r="CN176" s="17">
        <f t="shared" si="284"/>
        <v>1.3317528427123089E-2</v>
      </c>
      <c r="CO176" s="18">
        <f t="shared" si="285"/>
        <v>0.20923151354519032</v>
      </c>
      <c r="CP176" s="19">
        <f t="shared" si="316"/>
        <v>869.01850409558858</v>
      </c>
      <c r="CQ176" s="15">
        <f t="shared" si="286"/>
        <v>5.2380370081911779E-6</v>
      </c>
      <c r="CR176" s="16">
        <f t="shared" si="287"/>
        <v>25.882712797099266</v>
      </c>
      <c r="CS176" s="17">
        <f t="shared" si="288"/>
        <v>1.3109201413291258E-2</v>
      </c>
      <c r="CT176" s="18">
        <f t="shared" si="289"/>
        <v>0.21310073033063784</v>
      </c>
      <c r="CU176" s="19">
        <f t="shared" si="317"/>
        <v>795.74161118203187</v>
      </c>
      <c r="CV176" s="15">
        <f t="shared" si="290"/>
        <v>5.0914832223640639E-6</v>
      </c>
      <c r="CW176" s="16">
        <f t="shared" si="291"/>
        <v>25.040028528593368</v>
      </c>
      <c r="CX176" s="17">
        <f t="shared" si="292"/>
        <v>1.2742422199382758E-2</v>
      </c>
      <c r="CY176" s="18">
        <f t="shared" si="293"/>
        <v>0.22027231293693109</v>
      </c>
      <c r="CZ176" s="20">
        <f t="shared" si="318"/>
        <v>679.80785854453359</v>
      </c>
      <c r="DA176" s="15">
        <f t="shared" si="294"/>
        <v>4.8596157170890674E-6</v>
      </c>
      <c r="DB176" s="16">
        <f t="shared" si="295"/>
        <v>27.924582004285384</v>
      </c>
      <c r="DC176" s="17">
        <f t="shared" si="296"/>
        <v>1.2162128890440112E-2</v>
      </c>
      <c r="DD176" s="18">
        <f t="shared" si="297"/>
        <v>0.19751862352509186</v>
      </c>
    </row>
    <row r="177" spans="2:108" x14ac:dyDescent="0.25">
      <c r="B177">
        <v>158</v>
      </c>
      <c r="C177">
        <f t="shared" si="298"/>
        <v>0.15446311728254974</v>
      </c>
      <c r="D177" s="19">
        <f t="shared" si="215"/>
        <v>1017.407665439071</v>
      </c>
      <c r="E177" s="15">
        <f t="shared" si="216"/>
        <v>5.534815330878143E-6</v>
      </c>
      <c r="F177" s="16">
        <f t="shared" si="217"/>
        <v>27.589188152549315</v>
      </c>
      <c r="G177" s="17">
        <f t="shared" si="213"/>
        <v>1.3851946606026287E-2</v>
      </c>
      <c r="H177" s="18">
        <f t="shared" si="218"/>
        <v>0.19991980081118629</v>
      </c>
      <c r="I177" s="19">
        <f t="shared" si="299"/>
        <v>1017.0830297041742</v>
      </c>
      <c r="J177" s="15">
        <f t="shared" si="219"/>
        <v>5.5341660594083488E-6</v>
      </c>
      <c r="K177" s="16">
        <f t="shared" si="220"/>
        <v>27.585454841598001</v>
      </c>
      <c r="L177" s="17">
        <f t="shared" si="221"/>
        <v>1.3850321678509333E-2</v>
      </c>
      <c r="M177" s="18">
        <f t="shared" si="222"/>
        <v>0.1999468571996359</v>
      </c>
      <c r="N177" s="19">
        <f t="shared" si="300"/>
        <v>1016.1770001274234</v>
      </c>
      <c r="O177" s="15">
        <f t="shared" si="223"/>
        <v>5.5323540002548474E-6</v>
      </c>
      <c r="P177" s="16">
        <f t="shared" si="224"/>
        <v>27.575035501465369</v>
      </c>
      <c r="Q177" s="17">
        <f t="shared" si="214"/>
        <v>1.3851946606026287E-2</v>
      </c>
      <c r="R177" s="18">
        <f t="shared" si="225"/>
        <v>0.2000224079387638</v>
      </c>
      <c r="S177" s="19">
        <f t="shared" si="301"/>
        <v>1014.6754197367824</v>
      </c>
      <c r="T177" s="15">
        <f t="shared" si="226"/>
        <v>5.5293508394735651E-6</v>
      </c>
      <c r="U177" s="16">
        <f t="shared" si="227"/>
        <v>27.557767326972996</v>
      </c>
      <c r="V177" s="17">
        <f t="shared" si="228"/>
        <v>1.383827065865673E-2</v>
      </c>
      <c r="W177" s="18">
        <f t="shared" si="229"/>
        <v>0.20014774544530739</v>
      </c>
      <c r="X177" s="19">
        <f t="shared" si="302"/>
        <v>1012.5762931671703</v>
      </c>
      <c r="Y177" s="15">
        <f t="shared" si="230"/>
        <v>5.5251525863343406E-6</v>
      </c>
      <c r="Z177" s="16">
        <f t="shared" si="231"/>
        <v>27.533627371422458</v>
      </c>
      <c r="AA177" s="17">
        <f t="shared" si="232"/>
        <v>1.3827763717621374E-2</v>
      </c>
      <c r="AB177" s="18">
        <f t="shared" si="233"/>
        <v>0.2003232238744084</v>
      </c>
      <c r="AC177" s="19">
        <f t="shared" si="303"/>
        <v>1009.8781588327986</v>
      </c>
      <c r="AD177" s="15">
        <f t="shared" si="234"/>
        <v>5.5197563176655975E-6</v>
      </c>
      <c r="AE177" s="16">
        <f t="shared" si="235"/>
        <v>27.502598826577184</v>
      </c>
      <c r="AF177" s="17">
        <f t="shared" si="236"/>
        <v>1.3814258510852471E-2</v>
      </c>
      <c r="AG177" s="18">
        <f t="shared" si="237"/>
        <v>0.20054922935755315</v>
      </c>
      <c r="AH177" s="19">
        <f t="shared" si="304"/>
        <v>1006.580709845819</v>
      </c>
      <c r="AI177" s="15">
        <f t="shared" si="238"/>
        <v>5.5131614196916379E-6</v>
      </c>
      <c r="AJ177" s="16">
        <f t="shared" si="239"/>
        <v>27.464678163226917</v>
      </c>
      <c r="AK177" s="17">
        <f t="shared" si="240"/>
        <v>1.3797753502257544E-2</v>
      </c>
      <c r="AL177" s="18">
        <f t="shared" si="241"/>
        <v>0.20082612900904098</v>
      </c>
      <c r="AM177" s="19">
        <f t="shared" si="305"/>
        <v>1002.6838478032689</v>
      </c>
      <c r="AN177" s="15">
        <f t="shared" si="242"/>
        <v>5.5053676956065383E-6</v>
      </c>
      <c r="AO177" s="16">
        <f t="shared" si="243"/>
        <v>27.419864249737593</v>
      </c>
      <c r="AP177" s="17">
        <f t="shared" si="244"/>
        <v>1.3778248199291679E-2</v>
      </c>
      <c r="AQ177" s="18">
        <f t="shared" si="245"/>
        <v>0.20115435108519125</v>
      </c>
      <c r="AR177" s="19">
        <f t="shared" si="306"/>
        <v>998.18753043344429</v>
      </c>
      <c r="AS177" s="15">
        <f t="shared" si="246"/>
        <v>5.4963750608668893E-6</v>
      </c>
      <c r="AT177" s="16">
        <f t="shared" si="247"/>
        <v>27.368156599984609</v>
      </c>
      <c r="AU177" s="17">
        <f t="shared" si="248"/>
        <v>1.3755742390368626E-2</v>
      </c>
      <c r="AV177" s="18">
        <f t="shared" si="249"/>
        <v>0.20153439928808001</v>
      </c>
      <c r="AW177" s="19">
        <f t="shared" si="307"/>
        <v>993.09163454039913</v>
      </c>
      <c r="AX177" s="15">
        <f t="shared" si="250"/>
        <v>5.4861832690807988E-6</v>
      </c>
      <c r="AY177" s="16">
        <f t="shared" si="251"/>
        <v>27.309553797214591</v>
      </c>
      <c r="AZ177" s="17">
        <f t="shared" si="252"/>
        <v>1.3730235458844995E-2</v>
      </c>
      <c r="BA177" s="18">
        <f t="shared" si="253"/>
        <v>0.20196686628261792</v>
      </c>
      <c r="BB177" s="19">
        <f t="shared" si="308"/>
        <v>987.3954924750858</v>
      </c>
      <c r="BC177" s="15">
        <f t="shared" si="254"/>
        <v>5.4747909849501719E-6</v>
      </c>
      <c r="BD177" s="16">
        <f t="shared" si="255"/>
        <v>27.244048163463486</v>
      </c>
      <c r="BE177" s="17">
        <f t="shared" si="256"/>
        <v>1.3701724062878855E-2</v>
      </c>
      <c r="BF177" s="18">
        <f t="shared" si="257"/>
        <v>0.20245247574466219</v>
      </c>
      <c r="BG177" s="19">
        <f t="shared" si="309"/>
        <v>981.09570339090908</v>
      </c>
      <c r="BH177" s="15">
        <f t="shared" si="258"/>
        <v>5.4621914067818185E-6</v>
      </c>
      <c r="BI177" s="16">
        <f t="shared" si="259"/>
        <v>27.171600588995453</v>
      </c>
      <c r="BJ177" s="17">
        <f t="shared" si="260"/>
        <v>1.3670191179916561E-2</v>
      </c>
      <c r="BK177" s="18">
        <f t="shared" si="261"/>
        <v>0.20299227430252445</v>
      </c>
      <c r="BL177" s="19">
        <f t="shared" si="310"/>
        <v>974.17651635378684</v>
      </c>
      <c r="BM177" s="15">
        <f t="shared" si="262"/>
        <v>5.4483530327075741E-6</v>
      </c>
      <c r="BN177" s="16">
        <f t="shared" si="263"/>
        <v>27.092029938068549</v>
      </c>
      <c r="BO177" s="17">
        <f t="shared" si="264"/>
        <v>1.3635557970435978E-2</v>
      </c>
      <c r="BP177" s="18">
        <f t="shared" si="265"/>
        <v>0.20358847279471229</v>
      </c>
      <c r="BQ177" s="19">
        <f t="shared" si="311"/>
        <v>966.57223749480829</v>
      </c>
      <c r="BR177" s="15">
        <f t="shared" si="266"/>
        <v>5.4331444749896164E-6</v>
      </c>
      <c r="BS177" s="16">
        <f t="shared" si="267"/>
        <v>27.004580731190295</v>
      </c>
      <c r="BT177" s="17">
        <f t="shared" si="268"/>
        <v>1.3597495611193651E-2</v>
      </c>
      <c r="BU177" s="18">
        <f t="shared" si="269"/>
        <v>0.20424775540504697</v>
      </c>
      <c r="BV177" s="19">
        <f t="shared" si="312"/>
        <v>958.03913312484315</v>
      </c>
      <c r="BW177" s="15">
        <f t="shared" si="270"/>
        <v>5.4160782662496869E-6</v>
      </c>
      <c r="BX177" s="16">
        <f t="shared" si="271"/>
        <v>26.906450030935694</v>
      </c>
      <c r="BY177" s="17">
        <f t="shared" si="272"/>
        <v>1.3554784120728207E-2</v>
      </c>
      <c r="BZ177" s="18">
        <f t="shared" si="273"/>
        <v>0.20499266880834927</v>
      </c>
      <c r="CA177" s="19">
        <f t="shared" si="313"/>
        <v>947.78528833013002</v>
      </c>
      <c r="CB177" s="15">
        <f t="shared" si="274"/>
        <v>5.395570576660261E-6</v>
      </c>
      <c r="CC177" s="16">
        <f t="shared" si="275"/>
        <v>26.788530815796495</v>
      </c>
      <c r="CD177" s="17">
        <f t="shared" si="276"/>
        <v>1.3503459658352581E-2</v>
      </c>
      <c r="CE177" s="18">
        <f t="shared" si="277"/>
        <v>0.20589501671168844</v>
      </c>
      <c r="CF177" s="19">
        <f t="shared" si="314"/>
        <v>933.60342389456389</v>
      </c>
      <c r="CG177" s="15">
        <f t="shared" si="278"/>
        <v>5.3672068477891289E-6</v>
      </c>
      <c r="CH177" s="16">
        <f t="shared" si="279"/>
        <v>26.625439374787483</v>
      </c>
      <c r="CI177" s="17">
        <f t="shared" si="280"/>
        <v>1.3432473937170734E-2</v>
      </c>
      <c r="CJ177" s="18">
        <f t="shared" si="281"/>
        <v>0.20715620585112032</v>
      </c>
      <c r="CK177" s="19">
        <f t="shared" si="315"/>
        <v>910.36473739087512</v>
      </c>
      <c r="CL177" s="15">
        <f t="shared" si="282"/>
        <v>5.3207294747817501E-6</v>
      </c>
      <c r="CM177" s="16">
        <f t="shared" si="283"/>
        <v>26.358194479995063</v>
      </c>
      <c r="CN177" s="17">
        <f t="shared" si="284"/>
        <v>1.3316155315717389E-2</v>
      </c>
      <c r="CO177" s="18">
        <f t="shared" si="285"/>
        <v>0.20925655602799972</v>
      </c>
      <c r="CP177" s="19">
        <f t="shared" si="316"/>
        <v>868.55446366303886</v>
      </c>
      <c r="CQ177" s="15">
        <f t="shared" si="286"/>
        <v>5.2371089273260781E-6</v>
      </c>
      <c r="CR177" s="16">
        <f t="shared" si="287"/>
        <v>25.877376332124946</v>
      </c>
      <c r="CS177" s="17">
        <f t="shared" si="288"/>
        <v>1.310687871130015E-2</v>
      </c>
      <c r="CT177" s="18">
        <f t="shared" si="289"/>
        <v>0.21314467623028455</v>
      </c>
      <c r="CU177" s="19">
        <f t="shared" si="317"/>
        <v>795.11725076431674</v>
      </c>
      <c r="CV177" s="15">
        <f t="shared" si="290"/>
        <v>5.0902345015286346E-6</v>
      </c>
      <c r="CW177" s="16">
        <f t="shared" si="291"/>
        <v>25.032848383789641</v>
      </c>
      <c r="CX177" s="17">
        <f t="shared" si="292"/>
        <v>1.2739297033807368E-2</v>
      </c>
      <c r="CY177" s="18">
        <f t="shared" si="293"/>
        <v>0.22033549340600478</v>
      </c>
      <c r="CZ177" s="20">
        <f t="shared" si="318"/>
        <v>679.17760157871373</v>
      </c>
      <c r="DA177" s="15">
        <f t="shared" si="294"/>
        <v>4.858355203157428E-6</v>
      </c>
      <c r="DB177" s="16">
        <f t="shared" si="295"/>
        <v>28.051137603021971</v>
      </c>
      <c r="DC177" s="17">
        <f t="shared" si="296"/>
        <v>1.215897421035895E-2</v>
      </c>
      <c r="DD177" s="18">
        <f t="shared" si="297"/>
        <v>0.19662749789533659</v>
      </c>
    </row>
    <row r="178" spans="2:108" x14ac:dyDescent="0.25">
      <c r="B178">
        <v>159</v>
      </c>
      <c r="C178">
        <f t="shared" si="298"/>
        <v>0.15544073194889499</v>
      </c>
      <c r="D178" s="19">
        <f t="shared" si="215"/>
        <v>1017.3910911783981</v>
      </c>
      <c r="E178" s="15">
        <f t="shared" si="216"/>
        <v>5.5347821823567973E-6</v>
      </c>
      <c r="F178" s="16">
        <f t="shared" si="217"/>
        <v>27.588997548551578</v>
      </c>
      <c r="G178" s="17">
        <f t="shared" si="213"/>
        <v>1.385186364543586E-2</v>
      </c>
      <c r="H178" s="18">
        <f t="shared" si="218"/>
        <v>0.19992118199631978</v>
      </c>
      <c r="I178" s="19">
        <f t="shared" si="299"/>
        <v>1017.0664528119075</v>
      </c>
      <c r="J178" s="15">
        <f t="shared" si="219"/>
        <v>5.5341329056238155E-6</v>
      </c>
      <c r="K178" s="16">
        <f t="shared" si="220"/>
        <v>27.585264207336934</v>
      </c>
      <c r="L178" s="17">
        <f t="shared" si="221"/>
        <v>1.385023870474676E-2</v>
      </c>
      <c r="M178" s="18">
        <f t="shared" si="222"/>
        <v>0.19994823897800454</v>
      </c>
      <c r="N178" s="19">
        <f t="shared" si="300"/>
        <v>1016.1604151133012</v>
      </c>
      <c r="O178" s="15">
        <f t="shared" si="223"/>
        <v>5.5323208302266033E-6</v>
      </c>
      <c r="P178" s="16">
        <f t="shared" si="224"/>
        <v>27.574844773802962</v>
      </c>
      <c r="Q178" s="17">
        <f t="shared" si="214"/>
        <v>1.385186364543586E-2</v>
      </c>
      <c r="R178" s="18">
        <f t="shared" si="225"/>
        <v>0.20002379143907387</v>
      </c>
      <c r="S178" s="19">
        <f t="shared" si="301"/>
        <v>1014.6588298582826</v>
      </c>
      <c r="T178" s="15">
        <f t="shared" si="226"/>
        <v>5.5293176597165657E-6</v>
      </c>
      <c r="U178" s="16">
        <f t="shared" si="227"/>
        <v>27.557576543370249</v>
      </c>
      <c r="V178" s="17">
        <f t="shared" si="228"/>
        <v>1.3838187619893035E-2</v>
      </c>
      <c r="W178" s="18">
        <f t="shared" si="229"/>
        <v>0.20014913108630877</v>
      </c>
      <c r="X178" s="19">
        <f t="shared" si="302"/>
        <v>1012.5597058107794</v>
      </c>
      <c r="Y178" s="15">
        <f t="shared" si="230"/>
        <v>5.5251194116215596E-6</v>
      </c>
      <c r="Z178" s="16">
        <f t="shared" si="231"/>
        <v>27.533436616823963</v>
      </c>
      <c r="AA178" s="17">
        <f t="shared" si="232"/>
        <v>1.3827680691481811E-2</v>
      </c>
      <c r="AB178" s="18">
        <f t="shared" si="233"/>
        <v>0.20032461173516372</v>
      </c>
      <c r="AC178" s="19">
        <f t="shared" si="303"/>
        <v>1009.8615811999759</v>
      </c>
      <c r="AD178" s="15">
        <f t="shared" si="234"/>
        <v>5.5197231623999527E-6</v>
      </c>
      <c r="AE178" s="16">
        <f t="shared" si="235"/>
        <v>27.502408183799723</v>
      </c>
      <c r="AF178" s="17">
        <f t="shared" si="236"/>
        <v>1.3814175533383133E-2</v>
      </c>
      <c r="AG178" s="18">
        <f t="shared" si="237"/>
        <v>0.20055061953625486</v>
      </c>
      <c r="AH178" s="19">
        <f t="shared" si="304"/>
        <v>1006.5641474923688</v>
      </c>
      <c r="AI178" s="15">
        <f t="shared" si="238"/>
        <v>5.5131282949847386E-6</v>
      </c>
      <c r="AJ178" s="16">
        <f t="shared" si="239"/>
        <v>27.464487696162237</v>
      </c>
      <c r="AK178" s="17">
        <f t="shared" si="240"/>
        <v>1.3797670601267379E-2</v>
      </c>
      <c r="AL178" s="18">
        <f t="shared" si="241"/>
        <v>0.20082752174440627</v>
      </c>
      <c r="AM178" s="19">
        <f t="shared" si="305"/>
        <v>1002.6673048357781</v>
      </c>
      <c r="AN178" s="15">
        <f t="shared" si="242"/>
        <v>5.5053346096715566E-6</v>
      </c>
      <c r="AO178" s="16">
        <f t="shared" si="243"/>
        <v>27.419674005611448</v>
      </c>
      <c r="AP178" s="17">
        <f t="shared" si="244"/>
        <v>1.377816539533574E-2</v>
      </c>
      <c r="AQ178" s="18">
        <f t="shared" si="245"/>
        <v>0.20115574674123496</v>
      </c>
      <c r="AR178" s="19">
        <f t="shared" si="306"/>
        <v>998.17100914758112</v>
      </c>
      <c r="AS178" s="15">
        <f t="shared" si="246"/>
        <v>5.4963420182951621E-6</v>
      </c>
      <c r="AT178" s="16">
        <f t="shared" si="247"/>
        <v>27.367966605197182</v>
      </c>
      <c r="AU178" s="17">
        <f t="shared" si="248"/>
        <v>1.3755659694937626E-2</v>
      </c>
      <c r="AV178" s="18">
        <f t="shared" si="249"/>
        <v>0.20153579838673807</v>
      </c>
      <c r="AW178" s="19">
        <f t="shared" si="307"/>
        <v>993.07513044712186</v>
      </c>
      <c r="AX178" s="15">
        <f t="shared" si="250"/>
        <v>5.4861502608942445E-6</v>
      </c>
      <c r="AY178" s="16">
        <f t="shared" si="251"/>
        <v>27.309364000141901</v>
      </c>
      <c r="AZ178" s="17">
        <f t="shared" si="252"/>
        <v>1.3730152849469544E-2</v>
      </c>
      <c r="BA178" s="18">
        <f t="shared" si="253"/>
        <v>0.20196826993009945</v>
      </c>
      <c r="BB178" s="19">
        <f t="shared" si="308"/>
        <v>987.37896901083695</v>
      </c>
      <c r="BC178" s="15">
        <f t="shared" si="254"/>
        <v>5.4747579380216741E-6</v>
      </c>
      <c r="BD178" s="16">
        <f t="shared" si="255"/>
        <v>27.243858143624625</v>
      </c>
      <c r="BE178" s="17">
        <f t="shared" si="256"/>
        <v>1.3701641356544194E-2</v>
      </c>
      <c r="BF178" s="18">
        <f t="shared" si="257"/>
        <v>0.20245388780556103</v>
      </c>
      <c r="BG178" s="19">
        <f t="shared" si="309"/>
        <v>981.07898381912287</v>
      </c>
      <c r="BH178" s="15">
        <f t="shared" si="258"/>
        <v>5.4621579676382466E-6</v>
      </c>
      <c r="BI178" s="16">
        <f t="shared" si="259"/>
        <v>27.171408313919912</v>
      </c>
      <c r="BJ178" s="17">
        <f t="shared" si="260"/>
        <v>1.3670107491987767E-2</v>
      </c>
      <c r="BK178" s="18">
        <f t="shared" si="261"/>
        <v>0.20299371075198724</v>
      </c>
      <c r="BL178" s="19">
        <f t="shared" si="310"/>
        <v>974.15887868577533</v>
      </c>
      <c r="BM178" s="15">
        <f t="shared" si="262"/>
        <v>5.4483177573715509E-6</v>
      </c>
      <c r="BN178" s="16">
        <f t="shared" si="263"/>
        <v>27.091827104886416</v>
      </c>
      <c r="BO178" s="17">
        <f t="shared" si="264"/>
        <v>1.3635469687080185E-2</v>
      </c>
      <c r="BP178" s="18">
        <f t="shared" si="265"/>
        <v>0.20358999703660349</v>
      </c>
      <c r="BQ178" s="19">
        <f t="shared" si="311"/>
        <v>966.55110941502221</v>
      </c>
      <c r="BR178" s="15">
        <f t="shared" si="266"/>
        <v>5.4331022188300448E-6</v>
      </c>
      <c r="BS178" s="16">
        <f t="shared" si="267"/>
        <v>27.004337758272754</v>
      </c>
      <c r="BT178" s="17">
        <f t="shared" si="268"/>
        <v>1.359738985697582E-2</v>
      </c>
      <c r="BU178" s="18">
        <f t="shared" si="269"/>
        <v>0.20424959313472862</v>
      </c>
      <c r="BV178" s="19">
        <f t="shared" si="312"/>
        <v>958.00661220815891</v>
      </c>
      <c r="BW178" s="15">
        <f t="shared" si="270"/>
        <v>5.4160132244163184E-6</v>
      </c>
      <c r="BX178" s="16">
        <f t="shared" si="271"/>
        <v>26.906076040393827</v>
      </c>
      <c r="BY178" s="17">
        <f t="shared" si="272"/>
        <v>1.3554621340951624E-2</v>
      </c>
      <c r="BZ178" s="18">
        <f t="shared" si="273"/>
        <v>0.20499551817661729</v>
      </c>
      <c r="CA178" s="19">
        <f t="shared" si="313"/>
        <v>947.7210049517513</v>
      </c>
      <c r="CB178" s="15">
        <f t="shared" si="274"/>
        <v>5.3954420099035032E-6</v>
      </c>
      <c r="CC178" s="16">
        <f t="shared" si="275"/>
        <v>26.787791556945137</v>
      </c>
      <c r="CD178" s="17">
        <f t="shared" si="276"/>
        <v>1.3503137895160234E-2</v>
      </c>
      <c r="CE178" s="18">
        <f t="shared" si="277"/>
        <v>0.20590069876700945</v>
      </c>
      <c r="CF178" s="19">
        <f t="shared" si="314"/>
        <v>933.46533791292848</v>
      </c>
      <c r="CG178" s="15">
        <f t="shared" si="278"/>
        <v>5.3669306758258578E-6</v>
      </c>
      <c r="CH178" s="16">
        <f t="shared" si="279"/>
        <v>26.623851385998677</v>
      </c>
      <c r="CI178" s="17">
        <f t="shared" si="280"/>
        <v>1.3431782763380713E-2</v>
      </c>
      <c r="CJ178" s="18">
        <f t="shared" si="281"/>
        <v>0.20716856175439119</v>
      </c>
      <c r="CK178" s="19">
        <f t="shared" si="315"/>
        <v>910.08959011562649</v>
      </c>
      <c r="CL178" s="15">
        <f t="shared" si="282"/>
        <v>5.3201791802312533E-6</v>
      </c>
      <c r="CM178" s="16">
        <f t="shared" si="283"/>
        <v>26.355030286329704</v>
      </c>
      <c r="CN178" s="17">
        <f t="shared" si="284"/>
        <v>1.3314778097097548E-2</v>
      </c>
      <c r="CO178" s="18">
        <f t="shared" si="285"/>
        <v>0.20928167943942536</v>
      </c>
      <c r="CP178" s="19">
        <f t="shared" si="316"/>
        <v>868.0907331330136</v>
      </c>
      <c r="CQ178" s="15">
        <f t="shared" si="286"/>
        <v>5.2361814662660279E-6</v>
      </c>
      <c r="CR178" s="16">
        <f t="shared" si="287"/>
        <v>25.872043431029656</v>
      </c>
      <c r="CS178" s="17">
        <f t="shared" si="288"/>
        <v>1.3104557560491141E-2</v>
      </c>
      <c r="CT178" s="18">
        <f t="shared" si="289"/>
        <v>0.21318861089205002</v>
      </c>
      <c r="CU178" s="19">
        <f t="shared" si="317"/>
        <v>794.49496724706557</v>
      </c>
      <c r="CV178" s="15">
        <f t="shared" si="290"/>
        <v>5.0889899344941311E-6</v>
      </c>
      <c r="CW178" s="16">
        <f t="shared" si="291"/>
        <v>25.025692123341251</v>
      </c>
      <c r="CX178" s="17">
        <f t="shared" si="292"/>
        <v>1.2736182263922747E-2</v>
      </c>
      <c r="CY178" s="18">
        <f t="shared" si="293"/>
        <v>0.22039849978237458</v>
      </c>
      <c r="CZ178" s="20">
        <f t="shared" si="318"/>
        <v>678.55007411769509</v>
      </c>
      <c r="DA178" s="15">
        <f t="shared" si="294"/>
        <v>4.857100148235391E-6</v>
      </c>
      <c r="DB178" s="16">
        <f t="shared" si="295"/>
        <v>28.177145117194442</v>
      </c>
      <c r="DC178" s="17">
        <f t="shared" si="296"/>
        <v>1.2155833192505889E-2</v>
      </c>
      <c r="DD178" s="18">
        <f t="shared" si="297"/>
        <v>0.19574818446153436</v>
      </c>
    </row>
    <row r="179" spans="2:108" x14ac:dyDescent="0.25">
      <c r="B179">
        <v>160</v>
      </c>
      <c r="C179">
        <f t="shared" si="298"/>
        <v>0.15641834661524023</v>
      </c>
      <c r="D179" s="19">
        <f t="shared" si="215"/>
        <v>1017.3745167833694</v>
      </c>
      <c r="E179" s="15">
        <f t="shared" si="216"/>
        <v>5.5347490335667396E-6</v>
      </c>
      <c r="F179" s="16">
        <f t="shared" si="217"/>
        <v>27.588806943008748</v>
      </c>
      <c r="G179" s="17">
        <f t="shared" si="213"/>
        <v>1.3851780684172929E-2</v>
      </c>
      <c r="H179" s="18">
        <f t="shared" si="218"/>
        <v>0.19992256321173427</v>
      </c>
      <c r="I179" s="19">
        <f t="shared" si="299"/>
        <v>1017.0498758683957</v>
      </c>
      <c r="J179" s="15">
        <f t="shared" si="219"/>
        <v>5.5340997517367913E-6</v>
      </c>
      <c r="K179" s="16">
        <f t="shared" si="220"/>
        <v>27.58507357248655</v>
      </c>
      <c r="L179" s="17">
        <f t="shared" si="221"/>
        <v>1.3850155730727684E-2</v>
      </c>
      <c r="M179" s="18">
        <f t="shared" si="222"/>
        <v>0.19994962077974313</v>
      </c>
      <c r="N179" s="19">
        <f t="shared" si="300"/>
        <v>1016.1438301986876</v>
      </c>
      <c r="O179" s="15">
        <f t="shared" si="223"/>
        <v>5.5322876603973754E-6</v>
      </c>
      <c r="P179" s="16">
        <f t="shared" si="224"/>
        <v>27.574654047284909</v>
      </c>
      <c r="Q179" s="17">
        <f t="shared" si="214"/>
        <v>1.3851780684172929E-2</v>
      </c>
      <c r="R179" s="18">
        <f t="shared" si="225"/>
        <v>0.2000251749502216</v>
      </c>
      <c r="S179" s="19">
        <f t="shared" si="301"/>
        <v>1014.6422401760511</v>
      </c>
      <c r="T179" s="15">
        <f t="shared" si="226"/>
        <v>5.5292844803521025E-6</v>
      </c>
      <c r="U179" s="16">
        <f t="shared" si="227"/>
        <v>27.557385762024587</v>
      </c>
      <c r="V179" s="17">
        <f t="shared" si="228"/>
        <v>1.3838104582111738E-2</v>
      </c>
      <c r="W179" s="18">
        <f t="shared" si="229"/>
        <v>0.20015051673010284</v>
      </c>
      <c r="X179" s="19">
        <f t="shared" si="302"/>
        <v>1012.5431186747597</v>
      </c>
      <c r="Y179" s="15">
        <f t="shared" si="230"/>
        <v>5.5250862373495203E-6</v>
      </c>
      <c r="Z179" s="16">
        <f t="shared" si="231"/>
        <v>27.533245864759735</v>
      </c>
      <c r="AA179" s="17">
        <f t="shared" si="232"/>
        <v>1.3827597666445292E-2</v>
      </c>
      <c r="AB179" s="18">
        <f t="shared" si="233"/>
        <v>0.20032599959671088</v>
      </c>
      <c r="AC179" s="19">
        <f t="shared" si="303"/>
        <v>1009.8450037780863</v>
      </c>
      <c r="AD179" s="15">
        <f t="shared" si="234"/>
        <v>5.5196900075561734E-6</v>
      </c>
      <c r="AE179" s="16">
        <f t="shared" si="235"/>
        <v>27.502217543447991</v>
      </c>
      <c r="AF179" s="17">
        <f t="shared" si="236"/>
        <v>1.3814092556969592E-2</v>
      </c>
      <c r="AG179" s="18">
        <f t="shared" si="237"/>
        <v>0.2005520097165408</v>
      </c>
      <c r="AH179" s="19">
        <f t="shared" si="304"/>
        <v>1006.5475853350367</v>
      </c>
      <c r="AI179" s="15">
        <f t="shared" si="238"/>
        <v>5.513095170670074E-6</v>
      </c>
      <c r="AJ179" s="16">
        <f t="shared" si="239"/>
        <v>27.464297231352923</v>
      </c>
      <c r="AK179" s="17">
        <f t="shared" si="240"/>
        <v>1.3797587701258858E-2</v>
      </c>
      <c r="AL179" s="18">
        <f t="shared" si="241"/>
        <v>0.20082891448259693</v>
      </c>
      <c r="AM179" s="19">
        <f t="shared" si="305"/>
        <v>1002.6507620398302</v>
      </c>
      <c r="AN179" s="15">
        <f t="shared" si="242"/>
        <v>5.5053015240796606E-6</v>
      </c>
      <c r="AO179" s="16">
        <f t="shared" si="243"/>
        <v>27.419483763458047</v>
      </c>
      <c r="AP179" s="17">
        <f t="shared" si="244"/>
        <v>1.3778082592238443E-2</v>
      </c>
      <c r="AQ179" s="18">
        <f t="shared" si="245"/>
        <v>0.20115714240217297</v>
      </c>
      <c r="AR179" s="19">
        <f t="shared" si="306"/>
        <v>998.15448793263192</v>
      </c>
      <c r="AS179" s="15">
        <f t="shared" si="246"/>
        <v>5.4963089758652648E-6</v>
      </c>
      <c r="AT179" s="16">
        <f t="shared" si="247"/>
        <v>27.367776611225267</v>
      </c>
      <c r="AU179" s="17">
        <f t="shared" si="248"/>
        <v>1.3755576999861584E-2</v>
      </c>
      <c r="AV179" s="18">
        <f t="shared" si="249"/>
        <v>0.2015371974988166</v>
      </c>
      <c r="AW179" s="19">
        <f t="shared" si="307"/>
        <v>993.05862594844496</v>
      </c>
      <c r="AX179" s="15">
        <f t="shared" si="250"/>
        <v>5.4861172518968909E-6</v>
      </c>
      <c r="AY179" s="16">
        <f t="shared" si="251"/>
        <v>27.309174198407117</v>
      </c>
      <c r="AZ179" s="17">
        <f t="shared" si="252"/>
        <v>1.3730070238064914E-2</v>
      </c>
      <c r="BA179" s="18">
        <f t="shared" si="253"/>
        <v>0.20196967363157081</v>
      </c>
      <c r="BB179" s="19">
        <f t="shared" si="308"/>
        <v>987.3624430714741</v>
      </c>
      <c r="BC179" s="15">
        <f t="shared" si="254"/>
        <v>5.4747248861429488E-6</v>
      </c>
      <c r="BD179" s="16">
        <f t="shared" si="255"/>
        <v>27.243668095321951</v>
      </c>
      <c r="BE179" s="17">
        <f t="shared" si="256"/>
        <v>1.370155863782063E-2</v>
      </c>
      <c r="BF179" s="18">
        <f t="shared" si="257"/>
        <v>0.20245530009768015</v>
      </c>
      <c r="BG179" s="19">
        <f t="shared" si="309"/>
        <v>981.06225376198074</v>
      </c>
      <c r="BH179" s="15">
        <f t="shared" si="258"/>
        <v>5.4621245075239617E-6</v>
      </c>
      <c r="BI179" s="16">
        <f t="shared" si="259"/>
        <v>27.171215918262778</v>
      </c>
      <c r="BJ179" s="17">
        <f t="shared" si="260"/>
        <v>1.3670023751575701E-2</v>
      </c>
      <c r="BK179" s="18">
        <f t="shared" si="261"/>
        <v>0.2029951481226405</v>
      </c>
      <c r="BL179" s="19">
        <f t="shared" si="310"/>
        <v>974.14120345117703</v>
      </c>
      <c r="BM179" s="15">
        <f t="shared" si="262"/>
        <v>5.4482824069023551E-6</v>
      </c>
      <c r="BN179" s="16">
        <f t="shared" si="263"/>
        <v>27.091623839688538</v>
      </c>
      <c r="BO179" s="17">
        <f t="shared" si="264"/>
        <v>1.3635381215689087E-2</v>
      </c>
      <c r="BP179" s="18">
        <f t="shared" si="265"/>
        <v>0.20359152454788443</v>
      </c>
      <c r="BQ179" s="19">
        <f t="shared" si="311"/>
        <v>966.52986591440572</v>
      </c>
      <c r="BR179" s="15">
        <f t="shared" si="266"/>
        <v>5.4330597318288118E-6</v>
      </c>
      <c r="BS179" s="16">
        <f t="shared" si="267"/>
        <v>27.004093458015667</v>
      </c>
      <c r="BT179" s="17">
        <f t="shared" si="268"/>
        <v>1.3597283525032051E-2</v>
      </c>
      <c r="BU179" s="18">
        <f t="shared" si="269"/>
        <v>0.20425144093710684</v>
      </c>
      <c r="BV179" s="19">
        <f t="shared" si="312"/>
        <v>957.97379361726723</v>
      </c>
      <c r="BW179" s="15">
        <f t="shared" si="270"/>
        <v>5.415947587234535E-6</v>
      </c>
      <c r="BX179" s="16">
        <f t="shared" si="271"/>
        <v>26.905698626598571</v>
      </c>
      <c r="BY179" s="17">
        <f t="shared" si="272"/>
        <v>1.3554457071200409E-2</v>
      </c>
      <c r="BZ179" s="18">
        <f t="shared" si="273"/>
        <v>0.20499839370635542</v>
      </c>
      <c r="CA179" s="19">
        <f t="shared" si="313"/>
        <v>947.65610482523016</v>
      </c>
      <c r="CB179" s="15">
        <f t="shared" si="274"/>
        <v>5.3953122096504607E-6</v>
      </c>
      <c r="CC179" s="16">
        <f t="shared" si="275"/>
        <v>26.787045205490145</v>
      </c>
      <c r="CD179" s="17">
        <f t="shared" si="276"/>
        <v>1.3502813044904695E-2</v>
      </c>
      <c r="CE179" s="18">
        <f t="shared" si="277"/>
        <v>0.20590643565530489</v>
      </c>
      <c r="CF179" s="19">
        <f t="shared" si="314"/>
        <v>933.32631210626892</v>
      </c>
      <c r="CG179" s="15">
        <f t="shared" si="278"/>
        <v>5.3666526242125382E-6</v>
      </c>
      <c r="CH179" s="16">
        <f t="shared" si="279"/>
        <v>26.622252589222093</v>
      </c>
      <c r="CI179" s="17">
        <f t="shared" si="280"/>
        <v>1.3431086885402645E-2</v>
      </c>
      <c r="CJ179" s="18">
        <f t="shared" si="281"/>
        <v>0.207181003242114</v>
      </c>
      <c r="CK179" s="19">
        <f t="shared" si="315"/>
        <v>909.81363645934994</v>
      </c>
      <c r="CL179" s="15">
        <f t="shared" si="282"/>
        <v>5.3196272729187009E-6</v>
      </c>
      <c r="CM179" s="16">
        <f t="shared" si="283"/>
        <v>26.351856819282524</v>
      </c>
      <c r="CN179" s="17">
        <f t="shared" si="284"/>
        <v>1.3313396842228519E-2</v>
      </c>
      <c r="CO179" s="18">
        <f t="shared" si="285"/>
        <v>0.20930688254058952</v>
      </c>
      <c r="CP179" s="19">
        <f t="shared" si="316"/>
        <v>867.62732213782135</v>
      </c>
      <c r="CQ179" s="15">
        <f t="shared" si="286"/>
        <v>5.235254644275643E-6</v>
      </c>
      <c r="CR179" s="16">
        <f t="shared" si="287"/>
        <v>25.866714204584945</v>
      </c>
      <c r="CS179" s="17">
        <f t="shared" si="288"/>
        <v>1.3102238009077659E-2</v>
      </c>
      <c r="CT179" s="18">
        <f t="shared" si="289"/>
        <v>0.21323253337767736</v>
      </c>
      <c r="CU179" s="19">
        <f t="shared" si="317"/>
        <v>793.87474609121352</v>
      </c>
      <c r="CV179" s="15">
        <f t="shared" si="290"/>
        <v>5.087749492182428E-6</v>
      </c>
      <c r="CW179" s="16">
        <f t="shared" si="291"/>
        <v>25.018559580048954</v>
      </c>
      <c r="CX179" s="17">
        <f t="shared" si="292"/>
        <v>1.2733077816955254E-2</v>
      </c>
      <c r="CY179" s="18">
        <f t="shared" si="293"/>
        <v>0.22046133320954392</v>
      </c>
      <c r="CZ179" s="20">
        <f t="shared" si="318"/>
        <v>677.92524761323261</v>
      </c>
      <c r="DA179" s="15">
        <f t="shared" si="294"/>
        <v>4.8558504952264662E-6</v>
      </c>
      <c r="DB179" s="16">
        <f t="shared" si="295"/>
        <v>28.302610279290462</v>
      </c>
      <c r="DC179" s="17">
        <f t="shared" si="296"/>
        <v>1.2152705693985908E-2</v>
      </c>
      <c r="DD179" s="18">
        <f t="shared" si="297"/>
        <v>0.19488043489882217</v>
      </c>
    </row>
    <row r="180" spans="2:108" x14ac:dyDescent="0.25">
      <c r="B180">
        <v>161</v>
      </c>
      <c r="C180">
        <f t="shared" si="298"/>
        <v>0.15739596128158548</v>
      </c>
      <c r="D180" s="19">
        <f t="shared" si="215"/>
        <v>1017.3579422582279</v>
      </c>
      <c r="E180" s="15">
        <f t="shared" si="216"/>
        <v>5.5347158845164565E-6</v>
      </c>
      <c r="F180" s="16">
        <f t="shared" si="217"/>
        <v>27.588616335969618</v>
      </c>
      <c r="G180" s="17">
        <f t="shared" si="213"/>
        <v>1.3851697722258735E-2</v>
      </c>
      <c r="H180" s="18">
        <f t="shared" si="218"/>
        <v>0.19992394445707709</v>
      </c>
      <c r="I180" s="19">
        <f t="shared" si="299"/>
        <v>1017.0332988761979</v>
      </c>
      <c r="J180" s="15">
        <f t="shared" si="219"/>
        <v>5.5340665977523964E-6</v>
      </c>
      <c r="K180" s="16">
        <f t="shared" si="220"/>
        <v>27.584882937076273</v>
      </c>
      <c r="L180" s="17">
        <f t="shared" si="221"/>
        <v>1.385007275646492E-2</v>
      </c>
      <c r="M180" s="18">
        <f t="shared" si="222"/>
        <v>0.19995100260463902</v>
      </c>
      <c r="N180" s="19">
        <f t="shared" si="300"/>
        <v>1016.1272453836923</v>
      </c>
      <c r="O180" s="15">
        <f t="shared" si="223"/>
        <v>5.532254490767385E-6</v>
      </c>
      <c r="P180" s="16">
        <f t="shared" si="224"/>
        <v>27.574463321912461</v>
      </c>
      <c r="Q180" s="17">
        <f t="shared" si="214"/>
        <v>1.3851697722258735E-2</v>
      </c>
      <c r="R180" s="18">
        <f t="shared" si="225"/>
        <v>0.20002655847219794</v>
      </c>
      <c r="S180" s="19">
        <f t="shared" si="301"/>
        <v>1014.6256506893602</v>
      </c>
      <c r="T180" s="15">
        <f t="shared" si="226"/>
        <v>5.5292513013787211E-6</v>
      </c>
      <c r="U180" s="16">
        <f t="shared" si="227"/>
        <v>27.557194982927641</v>
      </c>
      <c r="V180" s="17">
        <f t="shared" si="228"/>
        <v>1.38380215453092E-2</v>
      </c>
      <c r="W180" s="18">
        <f t="shared" si="229"/>
        <v>0.20015190237675007</v>
      </c>
      <c r="X180" s="19">
        <f t="shared" si="302"/>
        <v>1012.5265317586699</v>
      </c>
      <c r="Y180" s="15">
        <f t="shared" si="230"/>
        <v>5.525053063517341E-6</v>
      </c>
      <c r="Z180" s="16">
        <f t="shared" si="231"/>
        <v>27.533055115224702</v>
      </c>
      <c r="AA180" s="17">
        <f t="shared" si="232"/>
        <v>1.3827514642509605E-2</v>
      </c>
      <c r="AB180" s="18">
        <f t="shared" si="233"/>
        <v>0.2003273874590864</v>
      </c>
      <c r="AC180" s="19">
        <f t="shared" si="303"/>
        <v>1009.8284265670189</v>
      </c>
      <c r="AD180" s="15">
        <f t="shared" si="234"/>
        <v>5.5196568531340387E-6</v>
      </c>
      <c r="AE180" s="16">
        <f t="shared" si="235"/>
        <v>27.502026905520715</v>
      </c>
      <c r="AF180" s="17">
        <f t="shared" si="236"/>
        <v>1.3814009581611298E-2</v>
      </c>
      <c r="AG180" s="18">
        <f t="shared" si="237"/>
        <v>0.20055339989841992</v>
      </c>
      <c r="AH180" s="19">
        <f t="shared" si="304"/>
        <v>1006.5310233736403</v>
      </c>
      <c r="AI180" s="15">
        <f t="shared" si="238"/>
        <v>5.5130620467472816E-6</v>
      </c>
      <c r="AJ180" s="16">
        <f t="shared" si="239"/>
        <v>27.464106768796864</v>
      </c>
      <c r="AK180" s="17">
        <f t="shared" si="240"/>
        <v>1.3797504802231072E-2</v>
      </c>
      <c r="AL180" s="18">
        <f t="shared" si="241"/>
        <v>0.20083030722362816</v>
      </c>
      <c r="AM180" s="19">
        <f t="shared" si="305"/>
        <v>1002.6342194142505</v>
      </c>
      <c r="AN180" s="15">
        <f t="shared" si="242"/>
        <v>5.5052684388285021E-6</v>
      </c>
      <c r="AO180" s="16">
        <f t="shared" si="243"/>
        <v>27.419293523263882</v>
      </c>
      <c r="AP180" s="17">
        <f t="shared" si="244"/>
        <v>1.3777999789993904E-2</v>
      </c>
      <c r="AQ180" s="18">
        <f t="shared" si="245"/>
        <v>0.20115853806810419</v>
      </c>
      <c r="AR180" s="19">
        <f t="shared" si="306"/>
        <v>998.13796678292294</v>
      </c>
      <c r="AS180" s="15">
        <f t="shared" si="246"/>
        <v>5.496275933565846E-6</v>
      </c>
      <c r="AT180" s="16">
        <f t="shared" si="247"/>
        <v>27.367586618003614</v>
      </c>
      <c r="AU180" s="17">
        <f t="shared" si="248"/>
        <v>1.3755494305112088E-2</v>
      </c>
      <c r="AV180" s="18">
        <f t="shared" si="249"/>
        <v>0.20153859662479617</v>
      </c>
      <c r="AW180" s="19">
        <f t="shared" si="307"/>
        <v>993.04212102051031</v>
      </c>
      <c r="AX180" s="15">
        <f t="shared" si="250"/>
        <v>5.4860842420410211E-6</v>
      </c>
      <c r="AY180" s="16">
        <f t="shared" si="251"/>
        <v>27.308984391735869</v>
      </c>
      <c r="AZ180" s="17">
        <f t="shared" si="252"/>
        <v>1.3729987624511678E-2</v>
      </c>
      <c r="BA180" s="18">
        <f t="shared" si="253"/>
        <v>0.20197107738906303</v>
      </c>
      <c r="BB180" s="19">
        <f t="shared" si="308"/>
        <v>987.34591456854753</v>
      </c>
      <c r="BC180" s="15">
        <f t="shared" si="254"/>
        <v>5.4746918291370959E-6</v>
      </c>
      <c r="BD180" s="16">
        <f t="shared" si="255"/>
        <v>27.243478017538294</v>
      </c>
      <c r="BE180" s="17">
        <f t="shared" si="256"/>
        <v>1.3701475906265437E-2</v>
      </c>
      <c r="BF180" s="18">
        <f t="shared" si="257"/>
        <v>0.20245671262858783</v>
      </c>
      <c r="BG180" s="19">
        <f t="shared" si="309"/>
        <v>981.04551293647069</v>
      </c>
      <c r="BH180" s="15">
        <f t="shared" si="258"/>
        <v>5.4620910258729425E-6</v>
      </c>
      <c r="BI180" s="16">
        <f t="shared" si="259"/>
        <v>27.171023398769414</v>
      </c>
      <c r="BJ180" s="17">
        <f t="shared" si="260"/>
        <v>1.3669939957263792E-2</v>
      </c>
      <c r="BK180" s="18">
        <f t="shared" si="261"/>
        <v>0.20299658643883856</v>
      </c>
      <c r="BL180" s="19">
        <f t="shared" si="310"/>
        <v>974.1234898966901</v>
      </c>
      <c r="BM180" s="15">
        <f t="shared" si="262"/>
        <v>5.4482469797933811E-6</v>
      </c>
      <c r="BN180" s="16">
        <f t="shared" si="263"/>
        <v>27.091420133811937</v>
      </c>
      <c r="BO180" s="17">
        <f t="shared" si="264"/>
        <v>1.363529255249211E-2</v>
      </c>
      <c r="BP180" s="18">
        <f t="shared" si="265"/>
        <v>0.20359305539380435</v>
      </c>
      <c r="BQ180" s="19">
        <f t="shared" si="311"/>
        <v>966.50850543483659</v>
      </c>
      <c r="BR180" s="15">
        <f t="shared" si="266"/>
        <v>5.4330170108696733E-6</v>
      </c>
      <c r="BS180" s="16">
        <f t="shared" si="267"/>
        <v>27.00384781250062</v>
      </c>
      <c r="BT180" s="17">
        <f t="shared" si="268"/>
        <v>1.3597176607563342E-2</v>
      </c>
      <c r="BU180" s="18">
        <f t="shared" si="269"/>
        <v>0.20425329894825978</v>
      </c>
      <c r="BV180" s="19">
        <f t="shared" si="312"/>
        <v>957.94067525442927</v>
      </c>
      <c r="BW180" s="15">
        <f t="shared" si="270"/>
        <v>5.4158813505088589E-6</v>
      </c>
      <c r="BX180" s="16">
        <f t="shared" si="271"/>
        <v>26.905317765425934</v>
      </c>
      <c r="BY180" s="17">
        <f t="shared" si="272"/>
        <v>1.3554291300974561E-2</v>
      </c>
      <c r="BZ180" s="18">
        <f t="shared" si="273"/>
        <v>0.20500129558357152</v>
      </c>
      <c r="CA180" s="19">
        <f t="shared" si="313"/>
        <v>947.59058762840027</v>
      </c>
      <c r="CB180" s="15">
        <f t="shared" si="274"/>
        <v>5.3951811752568014E-6</v>
      </c>
      <c r="CC180" s="16">
        <f t="shared" si="275"/>
        <v>26.786291757726602</v>
      </c>
      <c r="CD180" s="17">
        <f t="shared" si="276"/>
        <v>1.35024851059734E-2</v>
      </c>
      <c r="CE180" s="18">
        <f t="shared" si="277"/>
        <v>0.20591222741419585</v>
      </c>
      <c r="CF180" s="19">
        <f t="shared" si="314"/>
        <v>933.18635263613294</v>
      </c>
      <c r="CG180" s="15">
        <f t="shared" si="278"/>
        <v>5.3663727052722664E-6</v>
      </c>
      <c r="CH180" s="16">
        <f t="shared" si="279"/>
        <v>26.620643055315526</v>
      </c>
      <c r="CI180" s="17">
        <f t="shared" si="280"/>
        <v>1.3430386334077468E-2</v>
      </c>
      <c r="CJ180" s="18">
        <f t="shared" si="281"/>
        <v>0.20719352979336303</v>
      </c>
      <c r="CK180" s="19">
        <f t="shared" si="315"/>
        <v>909.53689043012707</v>
      </c>
      <c r="CL180" s="15">
        <f t="shared" si="282"/>
        <v>5.3190737808602549E-6</v>
      </c>
      <c r="CM180" s="16">
        <f t="shared" si="283"/>
        <v>26.348674239946462</v>
      </c>
      <c r="CN180" s="17">
        <f t="shared" si="284"/>
        <v>1.3312011621226172E-2</v>
      </c>
      <c r="CO180" s="18">
        <f t="shared" si="285"/>
        <v>0.20933216410706237</v>
      </c>
      <c r="CP180" s="19">
        <f t="shared" si="316"/>
        <v>867.16424003223358</v>
      </c>
      <c r="CQ180" s="15">
        <f t="shared" si="286"/>
        <v>5.2343284800644677E-6</v>
      </c>
      <c r="CR180" s="16">
        <f t="shared" si="287"/>
        <v>25.861388760370687</v>
      </c>
      <c r="CS180" s="17">
        <f t="shared" si="288"/>
        <v>1.3099920103883958E-2</v>
      </c>
      <c r="CT180" s="18">
        <f t="shared" si="289"/>
        <v>0.21327644277371519</v>
      </c>
      <c r="CU180" s="19">
        <f t="shared" si="317"/>
        <v>793.25657288347452</v>
      </c>
      <c r="CV180" s="15">
        <f t="shared" si="290"/>
        <v>5.0865131457669494E-6</v>
      </c>
      <c r="CW180" s="16">
        <f t="shared" si="291"/>
        <v>25.011450588159956</v>
      </c>
      <c r="CX180" s="17">
        <f t="shared" si="292"/>
        <v>1.2729983620760809E-2</v>
      </c>
      <c r="CY180" s="18">
        <f t="shared" si="293"/>
        <v>0.22052399482223609</v>
      </c>
      <c r="CZ180" s="20">
        <f t="shared" si="318"/>
        <v>677.30309402009937</v>
      </c>
      <c r="DA180" s="15">
        <f t="shared" si="294"/>
        <v>4.8546061880401986E-6</v>
      </c>
      <c r="DB180" s="16">
        <f t="shared" si="295"/>
        <v>28.427538720791574</v>
      </c>
      <c r="DC180" s="17">
        <f t="shared" si="296"/>
        <v>1.2149591574421789E-2</v>
      </c>
      <c r="DD180" s="18">
        <f t="shared" si="297"/>
        <v>0.19402400799355646</v>
      </c>
    </row>
    <row r="181" spans="2:108" x14ac:dyDescent="0.25">
      <c r="B181">
        <v>162</v>
      </c>
      <c r="C181">
        <f t="shared" si="298"/>
        <v>0.15837357594793072</v>
      </c>
      <c r="D181" s="19">
        <f t="shared" si="215"/>
        <v>1017.341367607131</v>
      </c>
      <c r="E181" s="15">
        <f t="shared" si="216"/>
        <v>5.5346827352142624E-6</v>
      </c>
      <c r="F181" s="16">
        <f t="shared" si="217"/>
        <v>27.588425727482004</v>
      </c>
      <c r="G181" s="17">
        <f t="shared" si="213"/>
        <v>1.3851614759714085E-2</v>
      </c>
      <c r="H181" s="18">
        <f t="shared" si="218"/>
        <v>0.19992532573200258</v>
      </c>
      <c r="I181" s="19">
        <f t="shared" si="299"/>
        <v>1017.0167218378342</v>
      </c>
      <c r="J181" s="15">
        <f t="shared" si="219"/>
        <v>5.534033443675669E-6</v>
      </c>
      <c r="K181" s="16">
        <f t="shared" si="220"/>
        <v>27.584692301135092</v>
      </c>
      <c r="L181" s="17">
        <f t="shared" si="221"/>
        <v>1.3849989781971076E-2</v>
      </c>
      <c r="M181" s="18">
        <f t="shared" si="222"/>
        <v>0.19995238445248256</v>
      </c>
      <c r="N181" s="19">
        <f t="shared" si="300"/>
        <v>1016.1106606684357</v>
      </c>
      <c r="O181" s="15">
        <f t="shared" si="223"/>
        <v>5.5322213213368717E-6</v>
      </c>
      <c r="P181" s="16">
        <f t="shared" si="224"/>
        <v>27.57427259768701</v>
      </c>
      <c r="Q181" s="17">
        <f t="shared" si="214"/>
        <v>1.3851614759714085E-2</v>
      </c>
      <c r="R181" s="18">
        <f t="shared" si="225"/>
        <v>0.20002794200499283</v>
      </c>
      <c r="S181" s="19">
        <f t="shared" si="301"/>
        <v>1014.6090613974962</v>
      </c>
      <c r="T181" s="15">
        <f t="shared" si="226"/>
        <v>5.5292181227949936E-6</v>
      </c>
      <c r="U181" s="16">
        <f t="shared" si="227"/>
        <v>27.557004206071205</v>
      </c>
      <c r="V181" s="17">
        <f t="shared" si="228"/>
        <v>1.3837938509481845E-2</v>
      </c>
      <c r="W181" s="18">
        <f t="shared" si="229"/>
        <v>0.20015328802630977</v>
      </c>
      <c r="X181" s="19">
        <f t="shared" si="302"/>
        <v>1012.5099450620701</v>
      </c>
      <c r="Y181" s="15">
        <f t="shared" si="230"/>
        <v>5.5250198901241399E-6</v>
      </c>
      <c r="Z181" s="16">
        <f t="shared" si="231"/>
        <v>27.532864368213804</v>
      </c>
      <c r="AA181" s="17">
        <f t="shared" si="232"/>
        <v>1.3827431619672547E-2</v>
      </c>
      <c r="AB181" s="18">
        <f t="shared" si="233"/>
        <v>0.20032877532232679</v>
      </c>
      <c r="AC181" s="19">
        <f t="shared" si="303"/>
        <v>1009.8118495666583</v>
      </c>
      <c r="AD181" s="15">
        <f t="shared" si="234"/>
        <v>5.5196236991333172E-6</v>
      </c>
      <c r="AE181" s="16">
        <f t="shared" si="235"/>
        <v>27.501836270016568</v>
      </c>
      <c r="AF181" s="17">
        <f t="shared" si="236"/>
        <v>1.3813926607307675E-2</v>
      </c>
      <c r="AG181" s="18">
        <f t="shared" si="237"/>
        <v>0.20055479008190158</v>
      </c>
      <c r="AH181" s="19">
        <f t="shared" si="304"/>
        <v>1006.5144616079831</v>
      </c>
      <c r="AI181" s="15">
        <f t="shared" si="238"/>
        <v>5.5130289232159667E-6</v>
      </c>
      <c r="AJ181" s="16">
        <f t="shared" si="239"/>
        <v>27.463916308491804</v>
      </c>
      <c r="AK181" s="17">
        <f t="shared" si="240"/>
        <v>1.3797421904183035E-2</v>
      </c>
      <c r="AL181" s="18">
        <f t="shared" si="241"/>
        <v>0.20083169996751615</v>
      </c>
      <c r="AM181" s="19">
        <f t="shared" si="305"/>
        <v>1002.6176769578105</v>
      </c>
      <c r="AN181" s="15">
        <f t="shared" si="242"/>
        <v>5.5052353539156215E-6</v>
      </c>
      <c r="AO181" s="16">
        <f t="shared" si="243"/>
        <v>27.41910328501482</v>
      </c>
      <c r="AP181" s="17">
        <f t="shared" si="244"/>
        <v>1.3777916988595975E-2</v>
      </c>
      <c r="AQ181" s="18">
        <f t="shared" si="245"/>
        <v>0.20115993373913207</v>
      </c>
      <c r="AR181" s="19">
        <f t="shared" si="306"/>
        <v>998.12144569257248</v>
      </c>
      <c r="AS181" s="15">
        <f t="shared" si="246"/>
        <v>5.4962428913851457E-6</v>
      </c>
      <c r="AT181" s="16">
        <f t="shared" si="247"/>
        <v>27.367396625464583</v>
      </c>
      <c r="AU181" s="17">
        <f t="shared" si="248"/>
        <v>1.3755411610659711E-2</v>
      </c>
      <c r="AV181" s="18">
        <f t="shared" si="249"/>
        <v>0.20153999576517512</v>
      </c>
      <c r="AW181" s="19">
        <f t="shared" si="307"/>
        <v>993.02561563875884</v>
      </c>
      <c r="AX181" s="15">
        <f t="shared" si="250"/>
        <v>5.4860512312775182E-6</v>
      </c>
      <c r="AY181" s="16">
        <f t="shared" si="251"/>
        <v>27.308794579845724</v>
      </c>
      <c r="AZ181" s="17">
        <f t="shared" si="252"/>
        <v>1.3729905008686916E-2</v>
      </c>
      <c r="BA181" s="18">
        <f t="shared" si="253"/>
        <v>0.2019724812046669</v>
      </c>
      <c r="BB181" s="19">
        <f t="shared" si="308"/>
        <v>987.32938341164686</v>
      </c>
      <c r="BC181" s="15">
        <f t="shared" si="254"/>
        <v>5.474658766823294E-6</v>
      </c>
      <c r="BD181" s="16">
        <f t="shared" si="255"/>
        <v>27.243287909233938</v>
      </c>
      <c r="BE181" s="17">
        <f t="shared" si="256"/>
        <v>1.3701393161426073E-2</v>
      </c>
      <c r="BF181" s="18">
        <f t="shared" si="257"/>
        <v>0.20245812540602026</v>
      </c>
      <c r="BG181" s="19">
        <f t="shared" si="309"/>
        <v>981.02876105539451</v>
      </c>
      <c r="BH181" s="15">
        <f t="shared" si="258"/>
        <v>5.462057522110789E-6</v>
      </c>
      <c r="BI181" s="16">
        <f t="shared" si="259"/>
        <v>27.170830752137036</v>
      </c>
      <c r="BJ181" s="17">
        <f t="shared" si="260"/>
        <v>1.3669856107614488E-2</v>
      </c>
      <c r="BK181" s="18">
        <f t="shared" si="261"/>
        <v>0.20299802572529682</v>
      </c>
      <c r="BL181" s="19">
        <f t="shared" si="310"/>
        <v>974.10573726372968</v>
      </c>
      <c r="BM181" s="15">
        <f t="shared" si="262"/>
        <v>5.4482114745274598E-6</v>
      </c>
      <c r="BN181" s="16">
        <f t="shared" si="263"/>
        <v>27.09121597853289</v>
      </c>
      <c r="BO181" s="17">
        <f t="shared" si="264"/>
        <v>1.3635203693692245E-2</v>
      </c>
      <c r="BP181" s="18">
        <f t="shared" si="265"/>
        <v>0.20359458964007326</v>
      </c>
      <c r="BQ181" s="19">
        <f t="shared" si="311"/>
        <v>966.48702642114529</v>
      </c>
      <c r="BR181" s="15">
        <f t="shared" si="266"/>
        <v>5.4329740528422911E-6</v>
      </c>
      <c r="BS181" s="16">
        <f t="shared" si="267"/>
        <v>27.00360080384317</v>
      </c>
      <c r="BT181" s="17">
        <f t="shared" si="268"/>
        <v>1.359706909678547E-2</v>
      </c>
      <c r="BU181" s="18">
        <f t="shared" si="269"/>
        <v>0.20425516730402163</v>
      </c>
      <c r="BV181" s="19">
        <f t="shared" si="312"/>
        <v>957.90725505409353</v>
      </c>
      <c r="BW181" s="15">
        <f t="shared" si="270"/>
        <v>5.4158145101081875E-6</v>
      </c>
      <c r="BX181" s="16">
        <f t="shared" si="271"/>
        <v>26.904933433122075</v>
      </c>
      <c r="BY181" s="17">
        <f t="shared" si="272"/>
        <v>1.3554124019935198E-2</v>
      </c>
      <c r="BZ181" s="18">
        <f t="shared" si="273"/>
        <v>0.20500422399149423</v>
      </c>
      <c r="CA181" s="19">
        <f t="shared" si="313"/>
        <v>947.52445310690996</v>
      </c>
      <c r="CB181" s="15">
        <f t="shared" si="274"/>
        <v>5.3950489062138201E-6</v>
      </c>
      <c r="CC181" s="16">
        <f t="shared" si="275"/>
        <v>26.785531210729463</v>
      </c>
      <c r="CD181" s="17">
        <f t="shared" si="276"/>
        <v>1.3502154077093214E-2</v>
      </c>
      <c r="CE181" s="18">
        <f t="shared" si="277"/>
        <v>0.20591807407540269</v>
      </c>
      <c r="CF181" s="19">
        <f t="shared" si="314"/>
        <v>933.04546568872865</v>
      </c>
      <c r="CG181" s="15">
        <f t="shared" si="278"/>
        <v>5.3660909313774586E-6</v>
      </c>
      <c r="CH181" s="16">
        <f t="shared" si="279"/>
        <v>26.619022855420379</v>
      </c>
      <c r="CI181" s="17">
        <f t="shared" si="280"/>
        <v>1.3429681140369545E-2</v>
      </c>
      <c r="CJ181" s="18">
        <f t="shared" si="281"/>
        <v>0.20720614088495229</v>
      </c>
      <c r="CK181" s="19">
        <f t="shared" si="315"/>
        <v>909.25936586747059</v>
      </c>
      <c r="CL181" s="15">
        <f t="shared" si="282"/>
        <v>5.318518731734942E-6</v>
      </c>
      <c r="CM181" s="16">
        <f t="shared" si="283"/>
        <v>26.345482707475909</v>
      </c>
      <c r="CN181" s="17">
        <f t="shared" si="284"/>
        <v>1.3310622503362624E-2</v>
      </c>
      <c r="CO181" s="18">
        <f t="shared" si="285"/>
        <v>0.20935752292877374</v>
      </c>
      <c r="CP181" s="19">
        <f t="shared" si="316"/>
        <v>866.70149590053018</v>
      </c>
      <c r="CQ181" s="15">
        <f t="shared" si="286"/>
        <v>5.2334029918010612E-6</v>
      </c>
      <c r="CR181" s="16">
        <f t="shared" si="287"/>
        <v>25.856067202856096</v>
      </c>
      <c r="CS181" s="17">
        <f t="shared" si="288"/>
        <v>1.3097603890380378E-2</v>
      </c>
      <c r="CT181" s="18">
        <f t="shared" si="289"/>
        <v>0.21332033819090387</v>
      </c>
      <c r="CU181" s="19">
        <f t="shared" si="317"/>
        <v>792.64043333626489</v>
      </c>
      <c r="CV181" s="15">
        <f t="shared" si="290"/>
        <v>5.0852808666725299E-6</v>
      </c>
      <c r="CW181" s="16">
        <f t="shared" si="291"/>
        <v>25.004364983367047</v>
      </c>
      <c r="CX181" s="17">
        <f t="shared" si="292"/>
        <v>1.2726899603824528E-2</v>
      </c>
      <c r="CY181" s="18">
        <f t="shared" si="293"/>
        <v>0.22058648574634887</v>
      </c>
      <c r="CZ181" s="20">
        <f t="shared" si="318"/>
        <v>676.68358578351376</v>
      </c>
      <c r="DA181" s="15">
        <f t="shared" si="294"/>
        <v>4.853367171567028E-6</v>
      </c>
      <c r="DB181" s="16">
        <f t="shared" si="295"/>
        <v>28.551935974697926</v>
      </c>
      <c r="DC181" s="17">
        <f t="shared" si="296"/>
        <v>1.2146490695891191E-2</v>
      </c>
      <c r="DD181" s="18">
        <f t="shared" si="297"/>
        <v>0.19317866938647596</v>
      </c>
    </row>
    <row r="182" spans="2:108" x14ac:dyDescent="0.25">
      <c r="B182">
        <v>163</v>
      </c>
      <c r="C182">
        <f t="shared" si="298"/>
        <v>0.15935119061427599</v>
      </c>
      <c r="D182" s="19">
        <f t="shared" si="215"/>
        <v>1017.3247928341523</v>
      </c>
      <c r="E182" s="15">
        <f t="shared" si="216"/>
        <v>5.5346495856683057E-6</v>
      </c>
      <c r="F182" s="16">
        <f t="shared" si="217"/>
        <v>27.588235117592752</v>
      </c>
      <c r="G182" s="17">
        <f t="shared" si="213"/>
        <v>1.3851531796559371E-2</v>
      </c>
      <c r="H182" s="18">
        <f t="shared" si="218"/>
        <v>0.19992670703617205</v>
      </c>
      <c r="I182" s="19">
        <f t="shared" si="299"/>
        <v>1017.0001447557859</v>
      </c>
      <c r="J182" s="15">
        <f t="shared" si="219"/>
        <v>5.5340002895115727E-6</v>
      </c>
      <c r="K182" s="16">
        <f t="shared" si="220"/>
        <v>27.584501664691537</v>
      </c>
      <c r="L182" s="17">
        <f t="shared" si="221"/>
        <v>1.3849906807258576E-2</v>
      </c>
      <c r="M182" s="18">
        <f t="shared" si="222"/>
        <v>0.19995376632306758</v>
      </c>
      <c r="N182" s="19">
        <f t="shared" si="300"/>
        <v>1016.0940760530486</v>
      </c>
      <c r="O182" s="15">
        <f t="shared" si="223"/>
        <v>5.5321881521060972E-6</v>
      </c>
      <c r="P182" s="16">
        <f t="shared" si="224"/>
        <v>27.574081874610059</v>
      </c>
      <c r="Q182" s="17">
        <f t="shared" si="214"/>
        <v>1.3851531796559371E-2</v>
      </c>
      <c r="R182" s="18">
        <f t="shared" si="225"/>
        <v>0.20002932554859543</v>
      </c>
      <c r="S182" s="19">
        <f t="shared" si="301"/>
        <v>1014.5924722997598</v>
      </c>
      <c r="T182" s="15">
        <f t="shared" si="226"/>
        <v>5.5291849445995206E-6</v>
      </c>
      <c r="U182" s="16">
        <f t="shared" si="227"/>
        <v>27.556813431447239</v>
      </c>
      <c r="V182" s="17">
        <f t="shared" si="228"/>
        <v>1.3837855474626171E-2</v>
      </c>
      <c r="W182" s="18">
        <f t="shared" si="229"/>
        <v>0.2001546736788401</v>
      </c>
      <c r="X182" s="19">
        <f t="shared" si="302"/>
        <v>1012.4933585845223</v>
      </c>
      <c r="Y182" s="15">
        <f t="shared" si="230"/>
        <v>5.5249867171690445E-6</v>
      </c>
      <c r="Z182" s="16">
        <f t="shared" si="231"/>
        <v>27.532673623722005</v>
      </c>
      <c r="AA182" s="17">
        <f t="shared" si="232"/>
        <v>1.3827348597931935E-2</v>
      </c>
      <c r="AB182" s="18">
        <f t="shared" si="233"/>
        <v>0.20033016318646826</v>
      </c>
      <c r="AC182" s="19">
        <f t="shared" si="303"/>
        <v>1009.7952727768834</v>
      </c>
      <c r="AD182" s="15">
        <f t="shared" si="234"/>
        <v>5.5195905455537677E-6</v>
      </c>
      <c r="AE182" s="16">
        <f t="shared" si="235"/>
        <v>27.501645636934157</v>
      </c>
      <c r="AF182" s="17">
        <f t="shared" si="236"/>
        <v>1.3813843634058114E-2</v>
      </c>
      <c r="AG182" s="18">
        <f t="shared" si="237"/>
        <v>0.20055618026699562</v>
      </c>
      <c r="AH182" s="19">
        <f t="shared" si="304"/>
        <v>1006.497900037854</v>
      </c>
      <c r="AI182" s="15">
        <f t="shared" si="238"/>
        <v>5.5129958000757082E-6</v>
      </c>
      <c r="AJ182" s="16">
        <f t="shared" si="239"/>
        <v>27.463725850435321</v>
      </c>
      <c r="AK182" s="17">
        <f t="shared" si="240"/>
        <v>1.3797339007113692E-2</v>
      </c>
      <c r="AL182" s="18">
        <f t="shared" si="241"/>
        <v>0.20083309271427835</v>
      </c>
      <c r="AM182" s="19">
        <f t="shared" si="305"/>
        <v>1002.601134669226</v>
      </c>
      <c r="AN182" s="15">
        <f t="shared" si="242"/>
        <v>5.5052022693384522E-6</v>
      </c>
      <c r="AO182" s="16">
        <f t="shared" si="243"/>
        <v>27.418913048696098</v>
      </c>
      <c r="AP182" s="17">
        <f t="shared" si="244"/>
        <v>1.3777834188038225E-2</v>
      </c>
      <c r="AQ182" s="18">
        <f t="shared" si="245"/>
        <v>0.2011613294153648</v>
      </c>
      <c r="AR182" s="19">
        <f t="shared" si="306"/>
        <v>998.10492465548566</v>
      </c>
      <c r="AS182" s="15">
        <f t="shared" si="246"/>
        <v>5.4962098493109717E-6</v>
      </c>
      <c r="AT182" s="16">
        <f t="shared" si="247"/>
        <v>27.367206633538082</v>
      </c>
      <c r="AU182" s="17">
        <f t="shared" si="248"/>
        <v>1.3755328916473934E-2</v>
      </c>
      <c r="AV182" s="18">
        <f t="shared" si="249"/>
        <v>0.20154139492046982</v>
      </c>
      <c r="AW182" s="19">
        <f t="shared" si="307"/>
        <v>993.00910977791841</v>
      </c>
      <c r="AX182" s="15">
        <f t="shared" si="250"/>
        <v>5.4860182195558372E-6</v>
      </c>
      <c r="AY182" s="16">
        <f t="shared" si="251"/>
        <v>27.308604762446059</v>
      </c>
      <c r="AZ182" s="17">
        <f t="shared" si="252"/>
        <v>1.3729822390464127E-2</v>
      </c>
      <c r="BA182" s="18">
        <f t="shared" si="253"/>
        <v>0.20197388508053385</v>
      </c>
      <c r="BB182" s="19">
        <f t="shared" si="308"/>
        <v>987.31284950838551</v>
      </c>
      <c r="BC182" s="15">
        <f t="shared" si="254"/>
        <v>5.4746256990167715E-6</v>
      </c>
      <c r="BD182" s="16">
        <f t="shared" si="255"/>
        <v>27.243097769346434</v>
      </c>
      <c r="BE182" s="17">
        <f t="shared" si="256"/>
        <v>1.3701310402840115E-2</v>
      </c>
      <c r="BF182" s="18">
        <f t="shared" si="257"/>
        <v>0.20245953843788303</v>
      </c>
      <c r="BG182" s="19">
        <f t="shared" si="309"/>
        <v>981.01199782738138</v>
      </c>
      <c r="BH182" s="15">
        <f t="shared" si="258"/>
        <v>5.4620239956547635E-6</v>
      </c>
      <c r="BI182" s="16">
        <f t="shared" si="259"/>
        <v>27.170637975014884</v>
      </c>
      <c r="BJ182" s="17">
        <f t="shared" si="260"/>
        <v>1.3669772201169378E-2</v>
      </c>
      <c r="BK182" s="18">
        <f t="shared" si="261"/>
        <v>0.20299946600709065</v>
      </c>
      <c r="BL182" s="19">
        <f t="shared" si="310"/>
        <v>974.08794478855953</v>
      </c>
      <c r="BM182" s="15">
        <f t="shared" si="262"/>
        <v>5.4481758895771198E-6</v>
      </c>
      <c r="BN182" s="16">
        <f t="shared" si="263"/>
        <v>27.091011365068432</v>
      </c>
      <c r="BO182" s="17">
        <f t="shared" si="264"/>
        <v>1.3635114635466699E-2</v>
      </c>
      <c r="BP182" s="18">
        <f t="shared" si="265"/>
        <v>0.20359612735285076</v>
      </c>
      <c r="BQ182" s="19">
        <f t="shared" si="311"/>
        <v>966.46542732142063</v>
      </c>
      <c r="BR182" s="15">
        <f t="shared" si="266"/>
        <v>5.4329308546428417E-6</v>
      </c>
      <c r="BS182" s="16">
        <f t="shared" si="267"/>
        <v>27.003352414196335</v>
      </c>
      <c r="BT182" s="17">
        <f t="shared" si="268"/>
        <v>1.3596960984930517E-2</v>
      </c>
      <c r="BU182" s="18">
        <f t="shared" si="269"/>
        <v>0.20425704613995627</v>
      </c>
      <c r="BV182" s="19">
        <f t="shared" si="312"/>
        <v>957.8735309830148</v>
      </c>
      <c r="BW182" s="15">
        <f t="shared" si="270"/>
        <v>5.4157470619660301E-6</v>
      </c>
      <c r="BX182" s="16">
        <f t="shared" si="271"/>
        <v>26.904545606304669</v>
      </c>
      <c r="BY182" s="17">
        <f t="shared" si="272"/>
        <v>1.3553955217905141E-2</v>
      </c>
      <c r="BZ182" s="18">
        <f t="shared" si="273"/>
        <v>0.20500717911056254</v>
      </c>
      <c r="CA182" s="19">
        <f t="shared" si="313"/>
        <v>947.45770107314866</v>
      </c>
      <c r="CB182" s="15">
        <f t="shared" si="274"/>
        <v>5.3949154021462974E-6</v>
      </c>
      <c r="CC182" s="16">
        <f t="shared" si="275"/>
        <v>26.784763562341208</v>
      </c>
      <c r="CD182" s="17">
        <f t="shared" si="276"/>
        <v>1.3501819957325084E-2</v>
      </c>
      <c r="CE182" s="18">
        <f t="shared" si="277"/>
        <v>0.20592397566483836</v>
      </c>
      <c r="CF182" s="19">
        <f t="shared" si="314"/>
        <v>932.90365747278474</v>
      </c>
      <c r="CG182" s="15">
        <f t="shared" si="278"/>
        <v>5.3658073149455696E-6</v>
      </c>
      <c r="CH182" s="16">
        <f t="shared" si="279"/>
        <v>26.617392060937021</v>
      </c>
      <c r="CI182" s="17">
        <f t="shared" si="280"/>
        <v>1.3428971335355961E-2</v>
      </c>
      <c r="CJ182" s="18">
        <f t="shared" si="281"/>
        <v>0.20721883599162161</v>
      </c>
      <c r="CK182" s="19">
        <f t="shared" si="315"/>
        <v>908.98107644343031</v>
      </c>
      <c r="CL182" s="15">
        <f t="shared" si="282"/>
        <v>5.3179621528868609E-6</v>
      </c>
      <c r="CM182" s="16">
        <f t="shared" si="283"/>
        <v>26.342282379099448</v>
      </c>
      <c r="CN182" s="17">
        <f t="shared" si="284"/>
        <v>1.3309229557071778E-2</v>
      </c>
      <c r="CO182" s="18">
        <f t="shared" si="285"/>
        <v>0.20938295780992081</v>
      </c>
      <c r="CP182" s="19">
        <f t="shared" si="316"/>
        <v>866.23909856336729</v>
      </c>
      <c r="CQ182" s="15">
        <f t="shared" si="286"/>
        <v>5.2324781971267355E-6</v>
      </c>
      <c r="CR182" s="16">
        <f t="shared" si="287"/>
        <v>25.850749633478721</v>
      </c>
      <c r="CS182" s="17">
        <f t="shared" si="288"/>
        <v>1.3095289412717712E-2</v>
      </c>
      <c r="CT182" s="18">
        <f t="shared" si="289"/>
        <v>0.21336421876357656</v>
      </c>
      <c r="CU182" s="19">
        <f t="shared" si="317"/>
        <v>792.02631328754705</v>
      </c>
      <c r="CV182" s="15">
        <f t="shared" si="290"/>
        <v>5.0840526265750948E-6</v>
      </c>
      <c r="CW182" s="16">
        <f t="shared" si="291"/>
        <v>24.997302602806791</v>
      </c>
      <c r="CX182" s="17">
        <f t="shared" si="292"/>
        <v>1.2723825695259931E-2</v>
      </c>
      <c r="CY182" s="18">
        <f t="shared" si="293"/>
        <v>0.22064880709891815</v>
      </c>
      <c r="CZ182" s="20">
        <f t="shared" si="318"/>
        <v>676.06669582696907</v>
      </c>
      <c r="DA182" s="15">
        <f t="shared" si="294"/>
        <v>4.8521333916539384E-6</v>
      </c>
      <c r="DB182" s="16">
        <f t="shared" si="295"/>
        <v>28.675807477972029</v>
      </c>
      <c r="DC182" s="17">
        <f t="shared" si="296"/>
        <v>1.214340292286571E-2</v>
      </c>
      <c r="DD182" s="18">
        <f t="shared" si="297"/>
        <v>0.19234419132702549</v>
      </c>
    </row>
    <row r="183" spans="2:108" x14ac:dyDescent="0.25">
      <c r="B183">
        <v>164</v>
      </c>
      <c r="C183">
        <f t="shared" si="298"/>
        <v>0.16032880528062124</v>
      </c>
      <c r="D183" s="19">
        <f t="shared" si="215"/>
        <v>1017.3082179432841</v>
      </c>
      <c r="E183" s="15">
        <f t="shared" si="216"/>
        <v>5.534616435886569E-6</v>
      </c>
      <c r="F183" s="16">
        <f t="shared" si="217"/>
        <v>27.588044506347767</v>
      </c>
      <c r="G183" s="17">
        <f t="shared" si="213"/>
        <v>1.3851448832814573E-2</v>
      </c>
      <c r="H183" s="18">
        <f t="shared" si="218"/>
        <v>0.19992808836925369</v>
      </c>
      <c r="I183" s="19">
        <f t="shared" si="299"/>
        <v>1016.9835676324965</v>
      </c>
      <c r="J183" s="15">
        <f t="shared" si="219"/>
        <v>5.5339671352649932E-6</v>
      </c>
      <c r="K183" s="16">
        <f t="shared" si="220"/>
        <v>27.584311027773708</v>
      </c>
      <c r="L183" s="17">
        <f t="shared" si="221"/>
        <v>1.3849823832339642E-2</v>
      </c>
      <c r="M183" s="18">
        <f t="shared" si="222"/>
        <v>0.19995514821619087</v>
      </c>
      <c r="N183" s="19">
        <f t="shared" si="300"/>
        <v>1016.077491537672</v>
      </c>
      <c r="O183" s="15">
        <f t="shared" si="223"/>
        <v>5.5321549830753453E-6</v>
      </c>
      <c r="P183" s="16">
        <f t="shared" si="224"/>
        <v>27.573891152683228</v>
      </c>
      <c r="Q183" s="17">
        <f t="shared" si="214"/>
        <v>1.3851448832814573E-2</v>
      </c>
      <c r="R183" s="18">
        <f t="shared" si="225"/>
        <v>0.20003070910299406</v>
      </c>
      <c r="S183" s="19">
        <f t="shared" si="301"/>
        <v>1014.5758833954653</v>
      </c>
      <c r="T183" s="15">
        <f t="shared" si="226"/>
        <v>5.5291517667909307E-6</v>
      </c>
      <c r="U183" s="16">
        <f t="shared" si="227"/>
        <v>27.55662265904785</v>
      </c>
      <c r="V183" s="17">
        <f t="shared" si="228"/>
        <v>1.3837772440738748E-2</v>
      </c>
      <c r="W183" s="18">
        <f t="shared" si="229"/>
        <v>0.20015605933439809</v>
      </c>
      <c r="X183" s="19">
        <f t="shared" si="302"/>
        <v>1012.4767723255904</v>
      </c>
      <c r="Y183" s="15">
        <f t="shared" si="230"/>
        <v>5.5249535446511816E-6</v>
      </c>
      <c r="Z183" s="16">
        <f t="shared" si="231"/>
        <v>27.53248288174429</v>
      </c>
      <c r="AA183" s="17">
        <f t="shared" si="232"/>
        <v>1.3827265577285577E-2</v>
      </c>
      <c r="AB183" s="18">
        <f t="shared" si="233"/>
        <v>0.20033155105154699</v>
      </c>
      <c r="AC183" s="19">
        <f t="shared" si="303"/>
        <v>1009.7786961975678</v>
      </c>
      <c r="AD183" s="15">
        <f t="shared" si="234"/>
        <v>5.5195573923951359E-6</v>
      </c>
      <c r="AE183" s="16">
        <f t="shared" si="235"/>
        <v>27.501455006272028</v>
      </c>
      <c r="AF183" s="17">
        <f t="shared" si="236"/>
        <v>1.3813760661861981E-2</v>
      </c>
      <c r="AG183" s="18">
        <f t="shared" si="237"/>
        <v>0.20055757045371225</v>
      </c>
      <c r="AH183" s="19">
        <f t="shared" si="304"/>
        <v>1006.4813386630273</v>
      </c>
      <c r="AI183" s="15">
        <f t="shared" si="238"/>
        <v>5.5129626773260556E-6</v>
      </c>
      <c r="AJ183" s="16">
        <f t="shared" si="239"/>
        <v>27.463535394624813</v>
      </c>
      <c r="AK183" s="17">
        <f t="shared" si="240"/>
        <v>1.3797256111021916E-2</v>
      </c>
      <c r="AL183" s="18">
        <f t="shared" si="241"/>
        <v>0.20083448546393348</v>
      </c>
      <c r="AM183" s="19">
        <f t="shared" si="305"/>
        <v>1002.5845925471556</v>
      </c>
      <c r="AN183" s="15">
        <f t="shared" si="242"/>
        <v>5.5051691850943118E-6</v>
      </c>
      <c r="AO183" s="16">
        <f t="shared" si="243"/>
        <v>27.418722814292288</v>
      </c>
      <c r="AP183" s="17">
        <f t="shared" si="244"/>
        <v>1.3777751388313945E-2</v>
      </c>
      <c r="AQ183" s="18">
        <f t="shared" si="245"/>
        <v>0.20116272509691532</v>
      </c>
      <c r="AR183" s="19">
        <f t="shared" si="306"/>
        <v>998.08840366534923</v>
      </c>
      <c r="AS183" s="15">
        <f t="shared" si="246"/>
        <v>5.4961768073306997E-6</v>
      </c>
      <c r="AT183" s="16">
        <f t="shared" si="247"/>
        <v>27.367016642151516</v>
      </c>
      <c r="AU183" s="17">
        <f t="shared" si="248"/>
        <v>1.3755246222523164E-2</v>
      </c>
      <c r="AV183" s="18">
        <f t="shared" si="249"/>
        <v>0.20154279409121512</v>
      </c>
      <c r="AW183" s="19">
        <f t="shared" si="307"/>
        <v>992.99260341199204</v>
      </c>
      <c r="AX183" s="15">
        <f t="shared" si="250"/>
        <v>5.4859852068239847E-6</v>
      </c>
      <c r="AY183" s="16">
        <f t="shared" si="251"/>
        <v>27.308414939237906</v>
      </c>
      <c r="AZ183" s="17">
        <f t="shared" si="252"/>
        <v>1.372973976971319E-2</v>
      </c>
      <c r="BA183" s="18">
        <f t="shared" si="253"/>
        <v>0.20197528901887721</v>
      </c>
      <c r="BB183" s="19">
        <f t="shared" si="308"/>
        <v>987.29631276438556</v>
      </c>
      <c r="BC183" s="15">
        <f t="shared" si="254"/>
        <v>5.4745926255287712E-6</v>
      </c>
      <c r="BD183" s="16">
        <f t="shared" si="255"/>
        <v>27.242907596790431</v>
      </c>
      <c r="BE183" s="17">
        <f t="shared" si="256"/>
        <v>1.3701227630035159E-2</v>
      </c>
      <c r="BF183" s="18">
        <f t="shared" si="257"/>
        <v>0.2024609517322524</v>
      </c>
      <c r="BG183" s="19">
        <f t="shared" si="309"/>
        <v>980.99522295690258</v>
      </c>
      <c r="BH183" s="15">
        <f t="shared" si="258"/>
        <v>5.4619904459138058E-6</v>
      </c>
      <c r="BI183" s="16">
        <f t="shared" si="259"/>
        <v>27.17044506400438</v>
      </c>
      <c r="BJ183" s="17">
        <f t="shared" si="260"/>
        <v>1.3669688236449219E-2</v>
      </c>
      <c r="BK183" s="18">
        <f t="shared" si="261"/>
        <v>0.20300090730965403</v>
      </c>
      <c r="BL183" s="19">
        <f t="shared" si="310"/>
        <v>974.07011170242492</v>
      </c>
      <c r="BM183" s="15">
        <f t="shared" si="262"/>
        <v>5.4481402234048499E-6</v>
      </c>
      <c r="BN183" s="16">
        <f t="shared" si="263"/>
        <v>27.090806284577887</v>
      </c>
      <c r="BO183" s="17">
        <f t="shared" si="264"/>
        <v>1.3635025373967553E-2</v>
      </c>
      <c r="BP183" s="18">
        <f t="shared" si="265"/>
        <v>0.2035976685987344</v>
      </c>
      <c r="BQ183" s="19">
        <f t="shared" si="311"/>
        <v>966.44370658731157</v>
      </c>
      <c r="BR183" s="15">
        <f t="shared" si="266"/>
        <v>5.4328874131746235E-6</v>
      </c>
      <c r="BS183" s="16">
        <f t="shared" si="267"/>
        <v>27.003102625754082</v>
      </c>
      <c r="BT183" s="17">
        <f t="shared" si="268"/>
        <v>1.3596852264248385E-2</v>
      </c>
      <c r="BU183" s="18">
        <f t="shared" si="269"/>
        <v>0.20425893559133085</v>
      </c>
      <c r="BV183" s="19">
        <f t="shared" si="312"/>
        <v>957.8395010403583</v>
      </c>
      <c r="BW183" s="15">
        <f t="shared" si="270"/>
        <v>5.4156790020807175E-6</v>
      </c>
      <c r="BX183" s="16">
        <f t="shared" si="271"/>
        <v>26.90415426196412</v>
      </c>
      <c r="BY183" s="17">
        <f t="shared" si="272"/>
        <v>1.3553784884869441E-2</v>
      </c>
      <c r="BZ183" s="18">
        <f t="shared" si="273"/>
        <v>0.20501016111841663</v>
      </c>
      <c r="CA183" s="19">
        <f t="shared" si="313"/>
        <v>947.39033140517472</v>
      </c>
      <c r="CB183" s="15">
        <f t="shared" si="274"/>
        <v>5.3947806628103504E-6</v>
      </c>
      <c r="CC183" s="16">
        <f t="shared" si="275"/>
        <v>26.78398881115951</v>
      </c>
      <c r="CD183" s="17">
        <f t="shared" si="276"/>
        <v>1.3501482746058637E-2</v>
      </c>
      <c r="CE183" s="18">
        <f t="shared" si="277"/>
        <v>0.20592993220270175</v>
      </c>
      <c r="CF183" s="19">
        <f t="shared" si="314"/>
        <v>932.76093421746998</v>
      </c>
      <c r="CG183" s="15">
        <f t="shared" si="278"/>
        <v>5.3655218684349402E-6</v>
      </c>
      <c r="CH183" s="16">
        <f t="shared" si="279"/>
        <v>26.615750743500904</v>
      </c>
      <c r="CI183" s="17">
        <f t="shared" si="280"/>
        <v>1.3428256950216126E-2</v>
      </c>
      <c r="CJ183" s="18">
        <f t="shared" si="281"/>
        <v>0.20723161458621708</v>
      </c>
      <c r="CK183" s="19">
        <f t="shared" si="315"/>
        <v>908.70203566373834</v>
      </c>
      <c r="CL183" s="15">
        <f t="shared" si="282"/>
        <v>5.3174040713274775E-6</v>
      </c>
      <c r="CM183" s="16">
        <f t="shared" si="283"/>
        <v>26.33907341013299</v>
      </c>
      <c r="CN183" s="17">
        <f t="shared" si="284"/>
        <v>1.3307832849955055E-2</v>
      </c>
      <c r="CO183" s="18">
        <f t="shared" si="285"/>
        <v>0.20940846756887302</v>
      </c>
      <c r="CP183" s="19">
        <f t="shared" si="316"/>
        <v>865.77705658447246</v>
      </c>
      <c r="CQ183" s="15">
        <f t="shared" si="286"/>
        <v>5.2315541131689457E-6</v>
      </c>
      <c r="CR183" s="16">
        <f t="shared" si="287"/>
        <v>25.845436150721433</v>
      </c>
      <c r="CS183" s="17">
        <f t="shared" si="288"/>
        <v>1.3092976713760732E-2</v>
      </c>
      <c r="CT183" s="18">
        <f t="shared" si="289"/>
        <v>0.21340808364907551</v>
      </c>
      <c r="CU183" s="19">
        <f t="shared" si="317"/>
        <v>791.41419870059906</v>
      </c>
      <c r="CV183" s="15">
        <f t="shared" si="290"/>
        <v>5.0828283974011983E-6</v>
      </c>
      <c r="CW183" s="16">
        <f t="shared" si="291"/>
        <v>24.990263285056891</v>
      </c>
      <c r="CX183" s="17">
        <f t="shared" si="292"/>
        <v>1.2720761824807787E-2</v>
      </c>
      <c r="CY183" s="18">
        <f t="shared" si="293"/>
        <v>0.22071095998808896</v>
      </c>
      <c r="CZ183" s="20">
        <f t="shared" si="318"/>
        <v>675.45239754044837</v>
      </c>
      <c r="DA183" s="15">
        <f t="shared" si="294"/>
        <v>4.8509047950808969E-6</v>
      </c>
      <c r="DB183" s="16">
        <f t="shared" si="295"/>
        <v>28.799158573905345</v>
      </c>
      <c r="DC183" s="17">
        <f t="shared" si="296"/>
        <v>1.2140328122151914E-2</v>
      </c>
      <c r="DD183" s="18">
        <f t="shared" si="297"/>
        <v>0.19152035243827081</v>
      </c>
    </row>
    <row r="184" spans="2:108" x14ac:dyDescent="0.25">
      <c r="B184">
        <v>165</v>
      </c>
      <c r="C184">
        <f t="shared" si="298"/>
        <v>0.16130641994696648</v>
      </c>
      <c r="D184" s="19">
        <f t="shared" si="215"/>
        <v>1017.2916429384398</v>
      </c>
      <c r="E184" s="15">
        <f t="shared" si="216"/>
        <v>5.5345832858768804E-6</v>
      </c>
      <c r="F184" s="16">
        <f t="shared" si="217"/>
        <v>27.587853893792058</v>
      </c>
      <c r="G184" s="17">
        <f t="shared" si="213"/>
        <v>1.385136586849928E-2</v>
      </c>
      <c r="H184" s="18">
        <f t="shared" si="218"/>
        <v>0.19992946973092207</v>
      </c>
      <c r="I184" s="19">
        <f t="shared" si="299"/>
        <v>1016.9669904703724</v>
      </c>
      <c r="J184" s="15">
        <f t="shared" si="219"/>
        <v>5.533933980940745E-6</v>
      </c>
      <c r="K184" s="16">
        <f t="shared" si="220"/>
        <v>27.584120390409282</v>
      </c>
      <c r="L184" s="17">
        <f t="shared" si="221"/>
        <v>1.3849740857226329E-2</v>
      </c>
      <c r="M184" s="18">
        <f t="shared" si="222"/>
        <v>0.19995653013165238</v>
      </c>
      <c r="N184" s="19">
        <f t="shared" si="300"/>
        <v>1016.0609071224563</v>
      </c>
      <c r="O184" s="15">
        <f t="shared" si="223"/>
        <v>5.5321218142449125E-6</v>
      </c>
      <c r="P184" s="16">
        <f t="shared" si="224"/>
        <v>27.573700431908247</v>
      </c>
      <c r="Q184" s="17">
        <f t="shared" si="214"/>
        <v>1.385136586849928E-2</v>
      </c>
      <c r="R184" s="18">
        <f t="shared" si="225"/>
        <v>0.20003209266817618</v>
      </c>
      <c r="S184" s="19">
        <f t="shared" si="301"/>
        <v>1014.5592946839406</v>
      </c>
      <c r="T184" s="15">
        <f t="shared" si="226"/>
        <v>5.5291185893678822E-6</v>
      </c>
      <c r="U184" s="16">
        <f t="shared" si="227"/>
        <v>27.556431888865315</v>
      </c>
      <c r="V184" s="17">
        <f t="shared" si="228"/>
        <v>1.3837689407816215E-2</v>
      </c>
      <c r="W184" s="18">
        <f t="shared" si="229"/>
        <v>0.20015744499303953</v>
      </c>
      <c r="X184" s="19">
        <f t="shared" si="302"/>
        <v>1012.4601862848402</v>
      </c>
      <c r="Y184" s="15">
        <f t="shared" si="230"/>
        <v>5.5249203725696805E-6</v>
      </c>
      <c r="Z184" s="16">
        <f t="shared" si="231"/>
        <v>27.532292142275661</v>
      </c>
      <c r="AA184" s="17">
        <f t="shared" si="232"/>
        <v>1.3827182557731302E-2</v>
      </c>
      <c r="AB184" s="18">
        <f t="shared" si="233"/>
        <v>0.20033293891759896</v>
      </c>
      <c r="AC184" s="19">
        <f t="shared" si="303"/>
        <v>1009.7621198285799</v>
      </c>
      <c r="AD184" s="15">
        <f t="shared" si="234"/>
        <v>5.5195242396571601E-6</v>
      </c>
      <c r="AE184" s="16">
        <f t="shared" si="235"/>
        <v>27.501264378028669</v>
      </c>
      <c r="AF184" s="17">
        <f t="shared" si="236"/>
        <v>1.3813677690718623E-2</v>
      </c>
      <c r="AG184" s="18">
        <f t="shared" si="237"/>
        <v>0.20055896064206225</v>
      </c>
      <c r="AH184" s="19">
        <f t="shared" si="304"/>
        <v>1006.4647774832615</v>
      </c>
      <c r="AI184" s="15">
        <f t="shared" si="238"/>
        <v>5.5129295549665235E-6</v>
      </c>
      <c r="AJ184" s="16">
        <f t="shared" si="239"/>
        <v>27.463344941057507</v>
      </c>
      <c r="AK184" s="17">
        <f t="shared" si="240"/>
        <v>1.379717321590649E-2</v>
      </c>
      <c r="AL184" s="18">
        <f t="shared" si="241"/>
        <v>0.20083587821650156</v>
      </c>
      <c r="AM184" s="19">
        <f t="shared" si="305"/>
        <v>1002.5680505901986</v>
      </c>
      <c r="AN184" s="15">
        <f t="shared" si="242"/>
        <v>5.5051361011803981E-6</v>
      </c>
      <c r="AO184" s="16">
        <f t="shared" si="243"/>
        <v>27.418532581787282</v>
      </c>
      <c r="AP184" s="17">
        <f t="shared" si="244"/>
        <v>1.3777668589416123E-2</v>
      </c>
      <c r="AQ184" s="18">
        <f t="shared" si="245"/>
        <v>0.20116412078390167</v>
      </c>
      <c r="AR184" s="19">
        <f t="shared" si="306"/>
        <v>998.07188271562597</v>
      </c>
      <c r="AS184" s="15">
        <f t="shared" si="246"/>
        <v>5.4961437654312525E-6</v>
      </c>
      <c r="AT184" s="16">
        <f t="shared" si="247"/>
        <v>27.366826651229697</v>
      </c>
      <c r="AU184" s="17">
        <f t="shared" si="248"/>
        <v>1.3755163528774676E-2</v>
      </c>
      <c r="AV184" s="18">
        <f t="shared" si="249"/>
        <v>0.20154419327796494</v>
      </c>
      <c r="AW184" s="19">
        <f t="shared" si="307"/>
        <v>992.97609651424614</v>
      </c>
      <c r="AX184" s="15">
        <f t="shared" si="250"/>
        <v>5.4859521930284927E-6</v>
      </c>
      <c r="AY184" s="16">
        <f t="shared" si="251"/>
        <v>27.308225109913828</v>
      </c>
      <c r="AZ184" s="17">
        <f t="shared" si="252"/>
        <v>1.3729657146300289E-2</v>
      </c>
      <c r="BA184" s="18">
        <f t="shared" si="253"/>
        <v>0.20197669302197299</v>
      </c>
      <c r="BB184" s="19">
        <f t="shared" si="308"/>
        <v>987.27977308326297</v>
      </c>
      <c r="BC184" s="15">
        <f t="shared" si="254"/>
        <v>5.4745595461665263E-6</v>
      </c>
      <c r="BD184" s="16">
        <f t="shared" si="255"/>
        <v>27.242717390457521</v>
      </c>
      <c r="BE184" s="17">
        <f t="shared" si="256"/>
        <v>1.3701144842528767E-2</v>
      </c>
      <c r="BF184" s="18">
        <f t="shared" si="257"/>
        <v>0.20246236529737643</v>
      </c>
      <c r="BG184" s="19">
        <f t="shared" si="309"/>
        <v>980.97843614428768</v>
      </c>
      <c r="BH184" s="15">
        <f t="shared" si="258"/>
        <v>5.4619568722885755E-6</v>
      </c>
      <c r="BI184" s="16">
        <f t="shared" si="259"/>
        <v>27.170252015659308</v>
      </c>
      <c r="BJ184" s="17">
        <f t="shared" si="260"/>
        <v>1.3669604211954045E-2</v>
      </c>
      <c r="BK184" s="18">
        <f t="shared" si="261"/>
        <v>0.20300234965877842</v>
      </c>
      <c r="BL184" s="19">
        <f t="shared" si="310"/>
        <v>974.05223723168638</v>
      </c>
      <c r="BM184" s="15">
        <f t="shared" si="262"/>
        <v>5.4481044744633739E-6</v>
      </c>
      <c r="BN184" s="16">
        <f t="shared" si="263"/>
        <v>27.090600728164393</v>
      </c>
      <c r="BO184" s="17">
        <f t="shared" si="264"/>
        <v>1.3634935905322451E-2</v>
      </c>
      <c r="BP184" s="18">
        <f t="shared" si="265"/>
        <v>0.20359921344474846</v>
      </c>
      <c r="BQ184" s="19">
        <f t="shared" si="311"/>
        <v>966.42186267432282</v>
      </c>
      <c r="BR184" s="15">
        <f t="shared" si="266"/>
        <v>5.4328437253486464E-6</v>
      </c>
      <c r="BS184" s="16">
        <f t="shared" si="267"/>
        <v>27.002851420754709</v>
      </c>
      <c r="BT184" s="17">
        <f t="shared" si="268"/>
        <v>1.3596742927008279E-2</v>
      </c>
      <c r="BU184" s="18">
        <f t="shared" si="269"/>
        <v>0.20426083579309057</v>
      </c>
      <c r="BV184" s="19">
        <f t="shared" si="312"/>
        <v>957.80516325778956</v>
      </c>
      <c r="BW184" s="15">
        <f t="shared" si="270"/>
        <v>5.4156103265155795E-6</v>
      </c>
      <c r="BX184" s="16">
        <f t="shared" si="271"/>
        <v>26.903759377464581</v>
      </c>
      <c r="BY184" s="17">
        <f t="shared" si="272"/>
        <v>1.3553613010975811E-2</v>
      </c>
      <c r="BZ184" s="18">
        <f t="shared" si="273"/>
        <v>0.20501317018989018</v>
      </c>
      <c r="CA184" s="19">
        <f t="shared" si="313"/>
        <v>947.32234404564383</v>
      </c>
      <c r="CB184" s="15">
        <f t="shared" si="274"/>
        <v>5.3946446880912876E-6</v>
      </c>
      <c r="CC184" s="16">
        <f t="shared" si="275"/>
        <v>26.783206956524904</v>
      </c>
      <c r="CD184" s="17">
        <f t="shared" si="276"/>
        <v>1.3501142443006839E-2</v>
      </c>
      <c r="CE184" s="18">
        <f t="shared" si="277"/>
        <v>0.20593594370357085</v>
      </c>
      <c r="CF184" s="19">
        <f t="shared" si="314"/>
        <v>932.61730217037064</v>
      </c>
      <c r="CG184" s="15">
        <f t="shared" si="278"/>
        <v>5.3652346043407424E-6</v>
      </c>
      <c r="CH184" s="16">
        <f t="shared" si="279"/>
        <v>26.614098974959262</v>
      </c>
      <c r="CI184" s="17">
        <f t="shared" si="280"/>
        <v>1.3427538016221624E-2</v>
      </c>
      <c r="CJ184" s="18">
        <f t="shared" si="281"/>
        <v>0.20724447613986688</v>
      </c>
      <c r="CK184" s="19">
        <f t="shared" si="315"/>
        <v>908.42225686898848</v>
      </c>
      <c r="CL184" s="15">
        <f t="shared" si="282"/>
        <v>5.316844513737978E-6</v>
      </c>
      <c r="CM184" s="16">
        <f t="shared" si="283"/>
        <v>26.335855953993367</v>
      </c>
      <c r="CN184" s="17">
        <f t="shared" si="284"/>
        <v>1.3306432448787287E-2</v>
      </c>
      <c r="CO184" s="18">
        <f t="shared" si="285"/>
        <v>0.20943405103807355</v>
      </c>
      <c r="CP184" s="19">
        <f t="shared" si="316"/>
        <v>865.31537827716988</v>
      </c>
      <c r="CQ184" s="15">
        <f t="shared" si="286"/>
        <v>5.2306307565543404E-6</v>
      </c>
      <c r="CR184" s="16">
        <f t="shared" si="287"/>
        <v>25.840126850187453</v>
      </c>
      <c r="CS184" s="17">
        <f t="shared" si="288"/>
        <v>1.3090665835120849E-2</v>
      </c>
      <c r="CT184" s="18">
        <f t="shared" si="289"/>
        <v>0.21345193202718307</v>
      </c>
      <c r="CU184" s="19">
        <f t="shared" si="317"/>
        <v>790.80407566371389</v>
      </c>
      <c r="CV184" s="15">
        <f t="shared" si="290"/>
        <v>5.0816081513274284E-6</v>
      </c>
      <c r="CW184" s="16">
        <f t="shared" si="291"/>
        <v>24.98324687013271</v>
      </c>
      <c r="CX184" s="17">
        <f t="shared" si="292"/>
        <v>1.2717707922834619E-2</v>
      </c>
      <c r="CY184" s="18">
        <f t="shared" si="293"/>
        <v>0.22077294551309459</v>
      </c>
      <c r="CZ184" s="20">
        <f t="shared" si="318"/>
        <v>674.84066476901114</v>
      </c>
      <c r="DA184" s="15">
        <f t="shared" si="294"/>
        <v>4.8496813295380225E-6</v>
      </c>
      <c r="DB184" s="16">
        <f t="shared" si="295"/>
        <v>28.921994514409874</v>
      </c>
      <c r="DC184" s="17">
        <f t="shared" si="296"/>
        <v>1.21372661628342E-2</v>
      </c>
      <c r="DD184" s="18">
        <f t="shared" si="297"/>
        <v>0.19070693749187792</v>
      </c>
    </row>
    <row r="185" spans="2:108" x14ac:dyDescent="0.25">
      <c r="B185">
        <v>166</v>
      </c>
      <c r="C185">
        <f t="shared" si="298"/>
        <v>0.16228403461331176</v>
      </c>
      <c r="D185" s="19">
        <f t="shared" si="215"/>
        <v>1017.2750678234557</v>
      </c>
      <c r="E185" s="15">
        <f t="shared" si="216"/>
        <v>5.5345501356469125E-6</v>
      </c>
      <c r="F185" s="16">
        <f t="shared" si="217"/>
        <v>27.587663279969739</v>
      </c>
      <c r="G185" s="17">
        <f t="shared" si="213"/>
        <v>1.3851282903632698E-2</v>
      </c>
      <c r="H185" s="18">
        <f t="shared" si="218"/>
        <v>0.19993085112085832</v>
      </c>
      <c r="I185" s="19">
        <f t="shared" si="299"/>
        <v>1016.9504132717833</v>
      </c>
      <c r="J185" s="15">
        <f t="shared" si="219"/>
        <v>5.5339008265435672E-6</v>
      </c>
      <c r="K185" s="16">
        <f t="shared" si="220"/>
        <v>27.583929752625508</v>
      </c>
      <c r="L185" s="17">
        <f t="shared" si="221"/>
        <v>1.3849657881930499E-2</v>
      </c>
      <c r="M185" s="18">
        <f t="shared" si="222"/>
        <v>0.19995791206925506</v>
      </c>
      <c r="N185" s="19">
        <f t="shared" si="300"/>
        <v>1016.0443228075613</v>
      </c>
      <c r="O185" s="15">
        <f t="shared" si="223"/>
        <v>5.5320886456151231E-6</v>
      </c>
      <c r="P185" s="16">
        <f t="shared" si="224"/>
        <v>27.573509712286956</v>
      </c>
      <c r="Q185" s="17">
        <f t="shared" si="214"/>
        <v>1.3851282903632698E-2</v>
      </c>
      <c r="R185" s="18">
        <f t="shared" si="225"/>
        <v>0.20003347624412854</v>
      </c>
      <c r="S185" s="19">
        <f t="shared" si="301"/>
        <v>1014.542706164527</v>
      </c>
      <c r="T185" s="15">
        <f t="shared" si="226"/>
        <v>5.5290854123290547E-6</v>
      </c>
      <c r="U185" s="16">
        <f t="shared" si="227"/>
        <v>27.556241120892061</v>
      </c>
      <c r="V185" s="17">
        <f t="shared" si="228"/>
        <v>1.3837606375855271E-2</v>
      </c>
      <c r="W185" s="18">
        <f t="shared" si="229"/>
        <v>0.20015883065481924</v>
      </c>
      <c r="X185" s="19">
        <f t="shared" si="302"/>
        <v>1012.4436004618391</v>
      </c>
      <c r="Y185" s="15">
        <f t="shared" si="230"/>
        <v>5.524887200923678E-6</v>
      </c>
      <c r="Z185" s="16">
        <f t="shared" si="231"/>
        <v>27.532101405311149</v>
      </c>
      <c r="AA185" s="17">
        <f t="shared" si="232"/>
        <v>1.3827099539266948E-2</v>
      </c>
      <c r="AB185" s="18">
        <f t="shared" si="233"/>
        <v>0.20033432678465998</v>
      </c>
      <c r="AC185" s="19">
        <f t="shared" si="303"/>
        <v>1009.7455436697826</v>
      </c>
      <c r="AD185" s="15">
        <f t="shared" si="234"/>
        <v>5.519491087339566E-6</v>
      </c>
      <c r="AE185" s="16">
        <f t="shared" si="235"/>
        <v>27.501073752202501</v>
      </c>
      <c r="AF185" s="17">
        <f t="shared" si="236"/>
        <v>1.381359472062735E-2</v>
      </c>
      <c r="AG185" s="18">
        <f t="shared" si="237"/>
        <v>0.20056035083205673</v>
      </c>
      <c r="AH185" s="19">
        <f t="shared" si="304"/>
        <v>1006.4482164982995</v>
      </c>
      <c r="AI185" s="15">
        <f t="shared" si="238"/>
        <v>5.5128964329965994E-6</v>
      </c>
      <c r="AJ185" s="16">
        <f t="shared" si="239"/>
        <v>27.463154489730442</v>
      </c>
      <c r="AK185" s="17">
        <f t="shared" si="240"/>
        <v>1.3797090321766138E-2</v>
      </c>
      <c r="AL185" s="18">
        <f t="shared" si="241"/>
        <v>0.20083727097200396</v>
      </c>
      <c r="AM185" s="19">
        <f t="shared" si="305"/>
        <v>1002.5515087968934</v>
      </c>
      <c r="AN185" s="15">
        <f t="shared" si="242"/>
        <v>5.5051030175937873E-6</v>
      </c>
      <c r="AO185" s="16">
        <f t="shared" si="243"/>
        <v>27.418342351164274</v>
      </c>
      <c r="AP185" s="17">
        <f t="shared" si="244"/>
        <v>1.3777585791337438E-2</v>
      </c>
      <c r="AQ185" s="18">
        <f t="shared" si="245"/>
        <v>0.20116551647644695</v>
      </c>
      <c r="AR185" s="19">
        <f t="shared" si="306"/>
        <v>998.05536179954959</v>
      </c>
      <c r="AS185" s="15">
        <f t="shared" si="246"/>
        <v>5.4961107235991003E-6</v>
      </c>
      <c r="AT185" s="16">
        <f t="shared" si="247"/>
        <v>27.366636660694819</v>
      </c>
      <c r="AU185" s="17">
        <f t="shared" si="248"/>
        <v>1.3755080835194604E-2</v>
      </c>
      <c r="AV185" s="18">
        <f t="shared" si="249"/>
        <v>0.20154559248129258</v>
      </c>
      <c r="AW185" s="19">
        <f t="shared" si="307"/>
        <v>992.95958905719863</v>
      </c>
      <c r="AX185" s="15">
        <f t="shared" si="250"/>
        <v>5.4859191781143979E-6</v>
      </c>
      <c r="AY185" s="16">
        <f t="shared" si="251"/>
        <v>27.308035274157781</v>
      </c>
      <c r="AZ185" s="17">
        <f t="shared" si="252"/>
        <v>1.3729574520087866E-2</v>
      </c>
      <c r="BA185" s="18">
        <f t="shared" si="253"/>
        <v>0.20197809709216108</v>
      </c>
      <c r="BB185" s="19">
        <f t="shared" si="308"/>
        <v>987.26323036661358</v>
      </c>
      <c r="BC185" s="15">
        <f t="shared" si="254"/>
        <v>5.4745264607332278E-6</v>
      </c>
      <c r="BD185" s="16">
        <f t="shared" si="255"/>
        <v>27.242527149216055</v>
      </c>
      <c r="BE185" s="17">
        <f t="shared" si="256"/>
        <v>1.3701062039828389E-2</v>
      </c>
      <c r="BF185" s="18">
        <f t="shared" si="257"/>
        <v>0.20246377914167629</v>
      </c>
      <c r="BG185" s="19">
        <f t="shared" si="309"/>
        <v>980.96163708574181</v>
      </c>
      <c r="BH185" s="15">
        <f t="shared" si="258"/>
        <v>5.4619232741714849E-6</v>
      </c>
      <c r="BI185" s="16">
        <f t="shared" si="259"/>
        <v>27.170058826486031</v>
      </c>
      <c r="BJ185" s="17">
        <f t="shared" si="260"/>
        <v>1.3669520126163251E-2</v>
      </c>
      <c r="BK185" s="18">
        <f t="shared" si="261"/>
        <v>0.20300379308061103</v>
      </c>
      <c r="BL185" s="19">
        <f t="shared" si="310"/>
        <v>974.03432059795398</v>
      </c>
      <c r="BM185" s="15">
        <f t="shared" si="262"/>
        <v>5.4480686411959082E-6</v>
      </c>
      <c r="BN185" s="16">
        <f t="shared" si="263"/>
        <v>27.090394686876472</v>
      </c>
      <c r="BO185" s="17">
        <f t="shared" si="264"/>
        <v>1.3634846225635239E-2</v>
      </c>
      <c r="BP185" s="18">
        <f t="shared" si="265"/>
        <v>0.20360076195833204</v>
      </c>
      <c r="BQ185" s="19">
        <f t="shared" si="311"/>
        <v>966.39989404210678</v>
      </c>
      <c r="BR185" s="15">
        <f t="shared" si="266"/>
        <v>5.4327997880842141E-6</v>
      </c>
      <c r="BS185" s="16">
        <f t="shared" si="267"/>
        <v>27.002598781484227</v>
      </c>
      <c r="BT185" s="17">
        <f t="shared" si="268"/>
        <v>1.3596632965500165E-2</v>
      </c>
      <c r="BU185" s="18">
        <f t="shared" si="269"/>
        <v>0.20426274687983301</v>
      </c>
      <c r="BV185" s="19">
        <f t="shared" si="312"/>
        <v>957.77051569955142</v>
      </c>
      <c r="BW185" s="15">
        <f t="shared" si="270"/>
        <v>5.4155410313991028E-6</v>
      </c>
      <c r="BX185" s="16">
        <f t="shared" si="271"/>
        <v>26.903360930544842</v>
      </c>
      <c r="BY185" s="17">
        <f t="shared" si="272"/>
        <v>1.3553439586535047E-2</v>
      </c>
      <c r="BZ185" s="18">
        <f t="shared" si="273"/>
        <v>0.20501620649700358</v>
      </c>
      <c r="CA185" s="19">
        <f t="shared" si="313"/>
        <v>947.25373900073953</v>
      </c>
      <c r="CB185" s="15">
        <f t="shared" si="274"/>
        <v>5.3945074780014798E-6</v>
      </c>
      <c r="CC185" s="16">
        <f t="shared" si="275"/>
        <v>26.782417998508503</v>
      </c>
      <c r="CD185" s="17">
        <f t="shared" si="276"/>
        <v>1.3500799048200654E-2</v>
      </c>
      <c r="CE185" s="18">
        <f t="shared" si="277"/>
        <v>0.20594201017649572</v>
      </c>
      <c r="CF185" s="19">
        <f t="shared" si="314"/>
        <v>932.47276759552517</v>
      </c>
      <c r="CG185" s="15">
        <f t="shared" si="278"/>
        <v>5.3649455351910514E-6</v>
      </c>
      <c r="CH185" s="16">
        <f t="shared" si="279"/>
        <v>26.612436827348539</v>
      </c>
      <c r="CI185" s="17">
        <f t="shared" si="280"/>
        <v>1.3426814564726389E-2</v>
      </c>
      <c r="CJ185" s="18">
        <f t="shared" si="281"/>
        <v>0.20725742012215179</v>
      </c>
      <c r="CK185" s="19">
        <f t="shared" si="315"/>
        <v>908.14175323584925</v>
      </c>
      <c r="CL185" s="15">
        <f t="shared" si="282"/>
        <v>5.3162835064716986E-6</v>
      </c>
      <c r="CM185" s="16">
        <f t="shared" si="283"/>
        <v>26.332630162212265</v>
      </c>
      <c r="CN185" s="17">
        <f t="shared" si="284"/>
        <v>1.3305028419522797E-2</v>
      </c>
      <c r="CO185" s="18">
        <f t="shared" si="285"/>
        <v>0.20945970706393804</v>
      </c>
      <c r="CP185" s="19">
        <f t="shared" si="316"/>
        <v>864.85407171074132</v>
      </c>
      <c r="CQ185" s="15">
        <f t="shared" si="286"/>
        <v>5.2297081434214824E-6</v>
      </c>
      <c r="CR185" s="16">
        <f t="shared" si="287"/>
        <v>25.834821824673526</v>
      </c>
      <c r="CS185" s="17">
        <f t="shared" si="288"/>
        <v>1.3088356817187934E-2</v>
      </c>
      <c r="CT185" s="18">
        <f t="shared" si="289"/>
        <v>0.21349576309956614</v>
      </c>
      <c r="CU185" s="19">
        <f t="shared" si="317"/>
        <v>790.19593038983453</v>
      </c>
      <c r="CV185" s="15">
        <f t="shared" si="290"/>
        <v>5.0803918607796695E-6</v>
      </c>
      <c r="CW185" s="16">
        <f t="shared" si="291"/>
        <v>24.976253199483097</v>
      </c>
      <c r="CX185" s="17">
        <f t="shared" si="292"/>
        <v>1.2714663920330875E-2</v>
      </c>
      <c r="CY185" s="18">
        <f t="shared" si="293"/>
        <v>0.22083476476424216</v>
      </c>
      <c r="CZ185" s="20">
        <f t="shared" si="318"/>
        <v>674.23147180173828</v>
      </c>
      <c r="DA185" s="15">
        <f t="shared" si="294"/>
        <v>4.8484629436034773E-6</v>
      </c>
      <c r="DB185" s="16">
        <f t="shared" si="295"/>
        <v>29.044320462238232</v>
      </c>
      <c r="DC185" s="17">
        <f t="shared" si="296"/>
        <v>1.2134216916219466E-2</v>
      </c>
      <c r="DD185" s="18">
        <f t="shared" si="297"/>
        <v>0.18990373719265013</v>
      </c>
    </row>
    <row r="186" spans="2:108" x14ac:dyDescent="0.25">
      <c r="B186">
        <v>167</v>
      </c>
      <c r="C186">
        <f t="shared" si="298"/>
        <v>0.163261649279657</v>
      </c>
      <c r="D186" s="19">
        <f t="shared" si="215"/>
        <v>1017.2584926020933</v>
      </c>
      <c r="E186" s="15">
        <f t="shared" si="216"/>
        <v>5.5345169852041868E-6</v>
      </c>
      <c r="F186" s="16">
        <f t="shared" si="217"/>
        <v>27.587472664924071</v>
      </c>
      <c r="G186" s="17">
        <f t="shared" si="213"/>
        <v>1.3851199938233645E-2</v>
      </c>
      <c r="H186" s="18">
        <f t="shared" si="218"/>
        <v>0.1999322325387497</v>
      </c>
      <c r="I186" s="19">
        <f t="shared" si="299"/>
        <v>1016.9338360390633</v>
      </c>
      <c r="J186" s="15">
        <f t="shared" si="219"/>
        <v>5.533867672078127E-6</v>
      </c>
      <c r="K186" s="16">
        <f t="shared" si="220"/>
        <v>27.583739114449227</v>
      </c>
      <c r="L186" s="17">
        <f t="shared" si="221"/>
        <v>1.3849574906463824E-2</v>
      </c>
      <c r="M186" s="18">
        <f t="shared" si="222"/>
        <v>0.19995929402880491</v>
      </c>
      <c r="N186" s="19">
        <f t="shared" si="300"/>
        <v>1016.0277385931554</v>
      </c>
      <c r="O186" s="15">
        <f t="shared" si="223"/>
        <v>5.5320554771863109E-6</v>
      </c>
      <c r="P186" s="16">
        <f t="shared" si="224"/>
        <v>27.573318993821285</v>
      </c>
      <c r="Q186" s="17">
        <f t="shared" si="214"/>
        <v>1.3851199938233645E-2</v>
      </c>
      <c r="R186" s="18">
        <f t="shared" si="225"/>
        <v>0.20003485983083713</v>
      </c>
      <c r="S186" s="19">
        <f t="shared" si="301"/>
        <v>1014.5261178365787</v>
      </c>
      <c r="T186" s="15">
        <f t="shared" si="226"/>
        <v>5.529052235673158E-6</v>
      </c>
      <c r="U186" s="16">
        <f t="shared" si="227"/>
        <v>27.556050355120654</v>
      </c>
      <c r="V186" s="17">
        <f t="shared" si="228"/>
        <v>1.3837523344852685E-2</v>
      </c>
      <c r="W186" s="18">
        <f t="shared" si="229"/>
        <v>0.20016021631979086</v>
      </c>
      <c r="X186" s="19">
        <f t="shared" si="302"/>
        <v>1012.4270148561562</v>
      </c>
      <c r="Y186" s="15">
        <f t="shared" si="230"/>
        <v>5.5248540297123134E-6</v>
      </c>
      <c r="Z186" s="16">
        <f t="shared" si="231"/>
        <v>27.531910670845797</v>
      </c>
      <c r="AA186" s="17">
        <f t="shared" si="232"/>
        <v>1.3827016521890358E-2</v>
      </c>
      <c r="AB186" s="18">
        <f t="shared" si="233"/>
        <v>0.20033571465276576</v>
      </c>
      <c r="AC186" s="19">
        <f t="shared" si="303"/>
        <v>1009.7289677210333</v>
      </c>
      <c r="AD186" s="15">
        <f t="shared" si="234"/>
        <v>5.5194579354420663E-6</v>
      </c>
      <c r="AE186" s="16">
        <f t="shared" si="235"/>
        <v>27.500883128791884</v>
      </c>
      <c r="AF186" s="17">
        <f t="shared" si="236"/>
        <v>1.3813511751587446E-2</v>
      </c>
      <c r="AG186" s="18">
        <f t="shared" si="237"/>
        <v>0.20056174102370733</v>
      </c>
      <c r="AH186" s="19">
        <f t="shared" si="304"/>
        <v>1006.4316557078675</v>
      </c>
      <c r="AI186" s="15">
        <f t="shared" si="238"/>
        <v>5.5128633114157362E-6</v>
      </c>
      <c r="AJ186" s="16">
        <f t="shared" si="239"/>
        <v>27.462964040640475</v>
      </c>
      <c r="AK186" s="17">
        <f t="shared" si="240"/>
        <v>1.3797007428599482E-2</v>
      </c>
      <c r="AL186" s="18">
        <f t="shared" si="241"/>
        <v>0.20083866373046336</v>
      </c>
      <c r="AM186" s="19">
        <f t="shared" si="305"/>
        <v>1002.5349671657153</v>
      </c>
      <c r="AN186" s="15">
        <f t="shared" si="242"/>
        <v>5.5050699343314317E-6</v>
      </c>
      <c r="AO186" s="16">
        <f t="shared" si="243"/>
        <v>27.418152122405726</v>
      </c>
      <c r="AP186" s="17">
        <f t="shared" si="244"/>
        <v>1.3777502994070266E-2</v>
      </c>
      <c r="AQ186" s="18">
        <f t="shared" si="245"/>
        <v>0.20116691217467969</v>
      </c>
      <c r="AR186" s="19">
        <f t="shared" si="306"/>
        <v>998.03884091011912</v>
      </c>
      <c r="AS186" s="15">
        <f t="shared" si="246"/>
        <v>5.4960776818202384E-6</v>
      </c>
      <c r="AT186" s="16">
        <f t="shared" si="247"/>
        <v>27.366446670466367</v>
      </c>
      <c r="AU186" s="17">
        <f t="shared" si="248"/>
        <v>1.3754998141747904E-2</v>
      </c>
      <c r="AV186" s="18">
        <f t="shared" si="249"/>
        <v>0.20154699170179133</v>
      </c>
      <c r="AW186" s="19">
        <f t="shared" si="307"/>
        <v>992.94308101260754</v>
      </c>
      <c r="AX186" s="15">
        <f t="shared" si="250"/>
        <v>5.485886162025216E-6</v>
      </c>
      <c r="AY186" s="16">
        <f t="shared" si="251"/>
        <v>27.307845431644985</v>
      </c>
      <c r="AZ186" s="17">
        <f t="shared" si="252"/>
        <v>1.3729491890934562E-2</v>
      </c>
      <c r="BA186" s="18">
        <f t="shared" si="253"/>
        <v>0.20197950123184605</v>
      </c>
      <c r="BB186" s="19">
        <f t="shared" si="308"/>
        <v>987.24668451399918</v>
      </c>
      <c r="BC186" s="15">
        <f t="shared" si="254"/>
        <v>5.4744933690279985E-6</v>
      </c>
      <c r="BD186" s="16">
        <f t="shared" si="255"/>
        <v>27.24233687191099</v>
      </c>
      <c r="BE186" s="17">
        <f t="shared" si="256"/>
        <v>1.3700979221431292E-2</v>
      </c>
      <c r="BF186" s="18">
        <f t="shared" si="257"/>
        <v>0.20246519327374762</v>
      </c>
      <c r="BG186" s="19">
        <f t="shared" si="309"/>
        <v>980.94482547336452</v>
      </c>
      <c r="BH186" s="15">
        <f t="shared" si="258"/>
        <v>5.4618896509467293E-6</v>
      </c>
      <c r="BI186" s="16">
        <f t="shared" si="259"/>
        <v>27.169865492943693</v>
      </c>
      <c r="BJ186" s="17">
        <f t="shared" si="260"/>
        <v>1.3669435977535662E-2</v>
      </c>
      <c r="BK186" s="18">
        <f t="shared" si="261"/>
        <v>0.20300523760165348</v>
      </c>
      <c r="BL186" s="19">
        <f t="shared" si="310"/>
        <v>974.01636101822226</v>
      </c>
      <c r="BM186" s="15">
        <f t="shared" si="262"/>
        <v>5.4480327220364454E-6</v>
      </c>
      <c r="BN186" s="16">
        <f t="shared" si="263"/>
        <v>27.090188151709555</v>
      </c>
      <c r="BO186" s="17">
        <f t="shared" si="264"/>
        <v>1.3634756330986679E-2</v>
      </c>
      <c r="BP186" s="18">
        <f t="shared" si="265"/>
        <v>0.20360231420732788</v>
      </c>
      <c r="BQ186" s="19">
        <f t="shared" si="311"/>
        <v>966.37779915474914</v>
      </c>
      <c r="BR186" s="15">
        <f t="shared" si="266"/>
        <v>5.432755598309499E-6</v>
      </c>
      <c r="BS186" s="16">
        <f t="shared" si="267"/>
        <v>27.002344690279614</v>
      </c>
      <c r="BT186" s="17">
        <f t="shared" si="268"/>
        <v>1.3596522372036192E-2</v>
      </c>
      <c r="BU186" s="18">
        <f t="shared" si="269"/>
        <v>0.20426466898578372</v>
      </c>
      <c r="BV186" s="19">
        <f t="shared" si="312"/>
        <v>957.73555646252714</v>
      </c>
      <c r="BW186" s="15">
        <f t="shared" si="270"/>
        <v>5.4154711129250552E-6</v>
      </c>
      <c r="BX186" s="16">
        <f t="shared" si="271"/>
        <v>26.90295889931906</v>
      </c>
      <c r="BY186" s="17">
        <f t="shared" si="272"/>
        <v>1.3553264602021312E-2</v>
      </c>
      <c r="BZ186" s="18">
        <f t="shared" si="273"/>
        <v>0.20501927020895852</v>
      </c>
      <c r="CA186" s="19">
        <f t="shared" si="313"/>
        <v>947.18451633910615</v>
      </c>
      <c r="CB186" s="15">
        <f t="shared" si="274"/>
        <v>5.3943690326782132E-6</v>
      </c>
      <c r="CC186" s="16">
        <f t="shared" si="275"/>
        <v>26.781621937899722</v>
      </c>
      <c r="CD186" s="17">
        <f t="shared" si="276"/>
        <v>1.3500452561983662E-2</v>
      </c>
      <c r="CE186" s="18">
        <f t="shared" si="277"/>
        <v>0.20594813162509112</v>
      </c>
      <c r="CF186" s="19">
        <f t="shared" si="314"/>
        <v>932.32733677151532</v>
      </c>
      <c r="CG186" s="15">
        <f t="shared" si="278"/>
        <v>5.364654673543031E-6</v>
      </c>
      <c r="CH186" s="16">
        <f t="shared" si="279"/>
        <v>26.610764372872424</v>
      </c>
      <c r="CI186" s="17">
        <f t="shared" si="280"/>
        <v>1.3426086627157156E-2</v>
      </c>
      <c r="CJ186" s="18">
        <f t="shared" si="281"/>
        <v>0.20727044600127101</v>
      </c>
      <c r="CK186" s="19">
        <f t="shared" si="315"/>
        <v>907.86053777830739</v>
      </c>
      <c r="CL186" s="15">
        <f t="shared" si="282"/>
        <v>5.3157210755566151E-6</v>
      </c>
      <c r="CM186" s="16">
        <f t="shared" si="283"/>
        <v>26.329396184450534</v>
      </c>
      <c r="CN186" s="17">
        <f t="shared" si="284"/>
        <v>1.3303620827301636E-2</v>
      </c>
      <c r="CO186" s="18">
        <f t="shared" si="285"/>
        <v>0.20948543450675056</v>
      </c>
      <c r="CP186" s="19">
        <f t="shared" si="316"/>
        <v>864.39314471662578</v>
      </c>
      <c r="CQ186" s="15">
        <f t="shared" si="286"/>
        <v>5.2287862894332526E-6</v>
      </c>
      <c r="CR186" s="16">
        <f t="shared" si="287"/>
        <v>25.829521164241196</v>
      </c>
      <c r="CS186" s="17">
        <f t="shared" si="288"/>
        <v>1.308604969916138E-2</v>
      </c>
      <c r="CT186" s="18">
        <f t="shared" si="289"/>
        <v>0.21353957608923543</v>
      </c>
      <c r="CU186" s="19">
        <f t="shared" si="317"/>
        <v>789.58974921612901</v>
      </c>
      <c r="CV186" s="15">
        <f t="shared" si="290"/>
        <v>5.0791794984322582E-6</v>
      </c>
      <c r="CW186" s="16">
        <f t="shared" si="291"/>
        <v>24.969282115985482</v>
      </c>
      <c r="CX186" s="17">
        <f t="shared" si="292"/>
        <v>1.2711629748908784E-2</v>
      </c>
      <c r="CY186" s="18">
        <f t="shared" si="293"/>
        <v>0.22089641882290498</v>
      </c>
      <c r="CZ186" s="20">
        <f t="shared" si="318"/>
        <v>673.62479336101967</v>
      </c>
      <c r="DA186" s="15">
        <f t="shared" si="294"/>
        <v>4.8472495867220397E-6</v>
      </c>
      <c r="DB186" s="16">
        <f t="shared" si="295"/>
        <v>29.166141493134489</v>
      </c>
      <c r="DC186" s="17">
        <f t="shared" si="296"/>
        <v>1.2131180255783486E-2</v>
      </c>
      <c r="DD186" s="18">
        <f t="shared" si="297"/>
        <v>0.1891105479721526</v>
      </c>
    </row>
    <row r="187" spans="2:108" x14ac:dyDescent="0.25">
      <c r="B187">
        <v>168</v>
      </c>
      <c r="C187">
        <f t="shared" si="298"/>
        <v>0.16423926394600225</v>
      </c>
      <c r="D187" s="19">
        <f t="shared" si="215"/>
        <v>1017.2419172780411</v>
      </c>
      <c r="E187" s="15">
        <f t="shared" si="216"/>
        <v>5.5344838345560819E-6</v>
      </c>
      <c r="F187" s="16">
        <f t="shared" si="217"/>
        <v>27.587282048697475</v>
      </c>
      <c r="G187" s="17">
        <f t="shared" si="213"/>
        <v>1.3851116972320592E-2</v>
      </c>
      <c r="H187" s="18">
        <f t="shared" si="218"/>
        <v>0.19993361398428949</v>
      </c>
      <c r="I187" s="19">
        <f t="shared" si="299"/>
        <v>1016.9172587745111</v>
      </c>
      <c r="J187" s="15">
        <f t="shared" si="219"/>
        <v>5.5338345175490231E-6</v>
      </c>
      <c r="K187" s="16">
        <f t="shared" si="220"/>
        <v>27.583548475906877</v>
      </c>
      <c r="L187" s="17">
        <f t="shared" si="221"/>
        <v>1.384949193083782E-2</v>
      </c>
      <c r="M187" s="18">
        <f t="shared" si="222"/>
        <v>0.19996067601011078</v>
      </c>
      <c r="N187" s="19">
        <f t="shared" si="300"/>
        <v>1016.0111544794154</v>
      </c>
      <c r="O187" s="15">
        <f t="shared" si="223"/>
        <v>5.5320223089588309E-6</v>
      </c>
      <c r="P187" s="16">
        <f t="shared" si="224"/>
        <v>27.573128276513277</v>
      </c>
      <c r="Q187" s="17">
        <f t="shared" si="214"/>
        <v>1.3851116972320592E-2</v>
      </c>
      <c r="R187" s="18">
        <f t="shared" si="225"/>
        <v>0.20003624342828724</v>
      </c>
      <c r="S187" s="19">
        <f t="shared" si="301"/>
        <v>1014.509529699463</v>
      </c>
      <c r="T187" s="15">
        <f t="shared" si="226"/>
        <v>5.529019059398926E-6</v>
      </c>
      <c r="U187" s="16">
        <f t="shared" si="227"/>
        <v>27.555859591543822</v>
      </c>
      <c r="V187" s="17">
        <f t="shared" si="228"/>
        <v>1.3837440314805291E-2</v>
      </c>
      <c r="W187" s="18">
        <f t="shared" si="229"/>
        <v>0.200161601988007</v>
      </c>
      <c r="X187" s="19">
        <f t="shared" si="302"/>
        <v>1012.4104294673631</v>
      </c>
      <c r="Y187" s="15">
        <f t="shared" si="230"/>
        <v>5.5248208589347264E-6</v>
      </c>
      <c r="Z187" s="16">
        <f t="shared" si="231"/>
        <v>27.531719938874673</v>
      </c>
      <c r="AA187" s="17">
        <f t="shared" si="232"/>
        <v>1.382693350559938E-2</v>
      </c>
      <c r="AB187" s="18">
        <f t="shared" si="233"/>
        <v>0.2003371025219518</v>
      </c>
      <c r="AC187" s="19">
        <f t="shared" si="303"/>
        <v>1009.7123919821838</v>
      </c>
      <c r="AD187" s="15">
        <f t="shared" si="234"/>
        <v>5.519424783964368E-6</v>
      </c>
      <c r="AE187" s="16">
        <f t="shared" si="235"/>
        <v>27.500692507795115</v>
      </c>
      <c r="AF187" s="17">
        <f t="shared" si="236"/>
        <v>1.3813428783598175E-2</v>
      </c>
      <c r="AG187" s="18">
        <f t="shared" si="237"/>
        <v>0.20056313121702615</v>
      </c>
      <c r="AH187" s="19">
        <f t="shared" si="304"/>
        <v>1006.4150951116749</v>
      </c>
      <c r="AI187" s="15">
        <f t="shared" si="238"/>
        <v>5.5128301902233503E-6</v>
      </c>
      <c r="AJ187" s="16">
        <f t="shared" si="239"/>
        <v>27.462773593784259</v>
      </c>
      <c r="AK187" s="17">
        <f t="shared" si="240"/>
        <v>1.3796924536405067E-2</v>
      </c>
      <c r="AL187" s="18">
        <f t="shared" si="241"/>
        <v>0.20084005649190401</v>
      </c>
      <c r="AM187" s="19">
        <f t="shared" si="305"/>
        <v>1002.5184256950749</v>
      </c>
      <c r="AN187" s="15">
        <f t="shared" si="242"/>
        <v>5.5050368513901508E-6</v>
      </c>
      <c r="AO187" s="16">
        <f t="shared" si="243"/>
        <v>27.417961895493363</v>
      </c>
      <c r="AP187" s="17">
        <f t="shared" si="244"/>
        <v>1.3777420197606645E-2</v>
      </c>
      <c r="AQ187" s="18">
        <f t="shared" si="245"/>
        <v>0.20116830787873377</v>
      </c>
      <c r="AR187" s="19">
        <f t="shared" si="306"/>
        <v>998.02232004009363</v>
      </c>
      <c r="AS187" s="15">
        <f t="shared" si="246"/>
        <v>5.4960446400801875E-6</v>
      </c>
      <c r="AT187" s="16">
        <f t="shared" si="247"/>
        <v>27.366256680461078</v>
      </c>
      <c r="AU187" s="17">
        <f t="shared" si="248"/>
        <v>1.3754915448398335E-2</v>
      </c>
      <c r="AV187" s="18">
        <f t="shared" si="249"/>
        <v>0.20154839094007471</v>
      </c>
      <c r="AW187" s="19">
        <f t="shared" si="307"/>
        <v>992.92657235145896</v>
      </c>
      <c r="AX187" s="15">
        <f t="shared" si="250"/>
        <v>5.4858531447029176E-6</v>
      </c>
      <c r="AY187" s="16">
        <f t="shared" si="251"/>
        <v>27.307655582041775</v>
      </c>
      <c r="AZ187" s="17">
        <f t="shared" si="252"/>
        <v>1.3729409258695145E-2</v>
      </c>
      <c r="BA187" s="18">
        <f t="shared" si="253"/>
        <v>0.20198090544349837</v>
      </c>
      <c r="BB187" s="19">
        <f t="shared" si="308"/>
        <v>987.2301354229345</v>
      </c>
      <c r="BC187" s="15">
        <f t="shared" si="254"/>
        <v>5.4744602708458699E-6</v>
      </c>
      <c r="BD187" s="16">
        <f t="shared" si="255"/>
        <v>27.242146557363746</v>
      </c>
      <c r="BE187" s="17">
        <f t="shared" si="256"/>
        <v>1.3700896386824498E-2</v>
      </c>
      <c r="BF187" s="18">
        <f t="shared" si="257"/>
        <v>0.20246660770236138</v>
      </c>
      <c r="BG187" s="19">
        <f t="shared" si="309"/>
        <v>980.92800099516944</v>
      </c>
      <c r="BH187" s="15">
        <f t="shared" si="258"/>
        <v>5.4618560019903392E-6</v>
      </c>
      <c r="BI187" s="16">
        <f t="shared" si="259"/>
        <v>27.169672011444447</v>
      </c>
      <c r="BJ187" s="17">
        <f t="shared" si="260"/>
        <v>1.3669351764509683E-2</v>
      </c>
      <c r="BK187" s="18">
        <f t="shared" si="261"/>
        <v>0.20300668324875989</v>
      </c>
      <c r="BL187" s="19">
        <f t="shared" si="310"/>
        <v>973.99835770500601</v>
      </c>
      <c r="BM187" s="15">
        <f t="shared" si="262"/>
        <v>5.4479967154100125E-6</v>
      </c>
      <c r="BN187" s="16">
        <f t="shared" si="263"/>
        <v>27.089981113607568</v>
      </c>
      <c r="BO187" s="17">
        <f t="shared" si="264"/>
        <v>1.3634666217435096E-2</v>
      </c>
      <c r="BP187" s="18">
        <f t="shared" si="265"/>
        <v>0.20360387025997026</v>
      </c>
      <c r="BQ187" s="19">
        <f t="shared" si="311"/>
        <v>966.35557648104998</v>
      </c>
      <c r="BR187" s="15">
        <f t="shared" si="266"/>
        <v>5.4327111529621001E-6</v>
      </c>
      <c r="BS187" s="16">
        <f t="shared" si="267"/>
        <v>27.002089129532074</v>
      </c>
      <c r="BT187" s="17">
        <f t="shared" si="268"/>
        <v>1.3596411138952115E-2</v>
      </c>
      <c r="BU187" s="18">
        <f t="shared" si="269"/>
        <v>0.20426660224477164</v>
      </c>
      <c r="BV187" s="19">
        <f t="shared" si="312"/>
        <v>957.70028367629061</v>
      </c>
      <c r="BW187" s="15">
        <f t="shared" si="270"/>
        <v>5.4154005673525816E-6</v>
      </c>
      <c r="BX187" s="16">
        <f t="shared" si="271"/>
        <v>26.90255326227734</v>
      </c>
      <c r="BY187" s="17">
        <f t="shared" si="272"/>
        <v>1.3553088048072395E-2</v>
      </c>
      <c r="BZ187" s="18">
        <f t="shared" si="273"/>
        <v>0.20502236149213349</v>
      </c>
      <c r="CA187" s="19">
        <f t="shared" si="313"/>
        <v>947.11467619078485</v>
      </c>
      <c r="CB187" s="15">
        <f t="shared" si="274"/>
        <v>5.3942293523815703E-6</v>
      </c>
      <c r="CC187" s="16">
        <f t="shared" si="275"/>
        <v>26.780818776194025</v>
      </c>
      <c r="CD187" s="17">
        <f t="shared" si="276"/>
        <v>1.3500102985006772E-2</v>
      </c>
      <c r="CE187" s="18">
        <f t="shared" si="277"/>
        <v>0.20595430804762935</v>
      </c>
      <c r="CF187" s="19">
        <f t="shared" si="314"/>
        <v>932.18101598961175</v>
      </c>
      <c r="CG187" s="15">
        <f t="shared" si="278"/>
        <v>5.3643620319792241E-6</v>
      </c>
      <c r="CH187" s="16">
        <f t="shared" si="279"/>
        <v>26.609081683880532</v>
      </c>
      <c r="CI187" s="17">
        <f t="shared" si="280"/>
        <v>1.3425354235004169E-2</v>
      </c>
      <c r="CJ187" s="18">
        <f t="shared" si="281"/>
        <v>0.20728355324420311</v>
      </c>
      <c r="CK187" s="19">
        <f t="shared" si="315"/>
        <v>907.57862334893889</v>
      </c>
      <c r="CL187" s="15">
        <f t="shared" si="282"/>
        <v>5.3151572466978786E-6</v>
      </c>
      <c r="CM187" s="16">
        <f t="shared" si="283"/>
        <v>26.326154168512794</v>
      </c>
      <c r="CN187" s="17">
        <f t="shared" si="284"/>
        <v>1.3302209736455914E-2</v>
      </c>
      <c r="CO187" s="18">
        <f t="shared" si="285"/>
        <v>0.20951123224055732</v>
      </c>
      <c r="CP187" s="19">
        <f t="shared" si="316"/>
        <v>863.93260489446175</v>
      </c>
      <c r="CQ187" s="15">
        <f t="shared" si="286"/>
        <v>5.2278652097889238E-6</v>
      </c>
      <c r="CR187" s="16">
        <f t="shared" si="287"/>
        <v>25.824224956286308</v>
      </c>
      <c r="CS187" s="17">
        <f t="shared" si="288"/>
        <v>1.3083744519080311E-2</v>
      </c>
      <c r="CT187" s="18">
        <f t="shared" si="289"/>
        <v>0.21358337024001756</v>
      </c>
      <c r="CU187" s="19">
        <f t="shared" si="317"/>
        <v>788.98551860350926</v>
      </c>
      <c r="CV187" s="15">
        <f t="shared" si="290"/>
        <v>5.0779710372070184E-6</v>
      </c>
      <c r="CW187" s="16">
        <f t="shared" si="291"/>
        <v>24.962333463940354</v>
      </c>
      <c r="CX187" s="17">
        <f t="shared" si="292"/>
        <v>1.2708605340799973E-2</v>
      </c>
      <c r="CY187" s="18">
        <f t="shared" si="293"/>
        <v>0.22095790876152119</v>
      </c>
      <c r="CZ187" s="20">
        <f t="shared" si="318"/>
        <v>673.02060459217489</v>
      </c>
      <c r="DA187" s="15">
        <f t="shared" si="294"/>
        <v>4.8460412091843497E-6</v>
      </c>
      <c r="DB187" s="16">
        <f t="shared" si="295"/>
        <v>29.287462597918449</v>
      </c>
      <c r="DC187" s="17">
        <f t="shared" si="296"/>
        <v>1.2128156057118969E-2</v>
      </c>
      <c r="DD187" s="18">
        <f t="shared" si="297"/>
        <v>0.18832717179097697</v>
      </c>
    </row>
    <row r="188" spans="2:108" x14ac:dyDescent="0.25">
      <c r="B188">
        <v>169</v>
      </c>
      <c r="C188">
        <f t="shared" si="298"/>
        <v>0.16521687861234749</v>
      </c>
      <c r="D188" s="19">
        <f t="shared" si="215"/>
        <v>1017.2253418549168</v>
      </c>
      <c r="E188" s="15">
        <f t="shared" si="216"/>
        <v>5.534450683709834E-6</v>
      </c>
      <c r="F188" s="16">
        <f t="shared" si="217"/>
        <v>27.587091431331544</v>
      </c>
      <c r="G188" s="17">
        <f t="shared" si="213"/>
        <v>1.385103400591165E-2</v>
      </c>
      <c r="H188" s="18">
        <f t="shared" si="218"/>
        <v>0.19993499545717705</v>
      </c>
      <c r="I188" s="19">
        <f t="shared" si="299"/>
        <v>1016.900681480391</v>
      </c>
      <c r="J188" s="15">
        <f t="shared" si="219"/>
        <v>5.5338013629607826E-6</v>
      </c>
      <c r="K188" s="16">
        <f t="shared" si="220"/>
        <v>27.583357837024494</v>
      </c>
      <c r="L188" s="17">
        <f t="shared" si="221"/>
        <v>1.3849408955063815E-2</v>
      </c>
      <c r="M188" s="18">
        <f t="shared" si="222"/>
        <v>0.19996205801298442</v>
      </c>
      <c r="N188" s="19">
        <f t="shared" si="300"/>
        <v>1015.9945704665262</v>
      </c>
      <c r="O188" s="15">
        <f t="shared" si="223"/>
        <v>5.5319891409330522E-6</v>
      </c>
      <c r="P188" s="16">
        <f t="shared" si="224"/>
        <v>27.572937560365048</v>
      </c>
      <c r="Q188" s="17">
        <f t="shared" si="214"/>
        <v>1.385103400591165E-2</v>
      </c>
      <c r="R188" s="18">
        <f t="shared" si="225"/>
        <v>0.20003762703646352</v>
      </c>
      <c r="S188" s="19">
        <f t="shared" si="301"/>
        <v>1014.4929417525595</v>
      </c>
      <c r="T188" s="15">
        <f t="shared" si="226"/>
        <v>5.5289858835051193E-6</v>
      </c>
      <c r="U188" s="16">
        <f t="shared" si="227"/>
        <v>27.555668830154435</v>
      </c>
      <c r="V188" s="17">
        <f t="shared" si="228"/>
        <v>1.3837357285709983E-2</v>
      </c>
      <c r="W188" s="18">
        <f t="shared" si="229"/>
        <v>0.2001629876595192</v>
      </c>
      <c r="X188" s="19">
        <f t="shared" si="302"/>
        <v>1012.3938442950326</v>
      </c>
      <c r="Y188" s="15">
        <f t="shared" si="230"/>
        <v>5.5247876885900663E-6</v>
      </c>
      <c r="Z188" s="16">
        <f t="shared" si="231"/>
        <v>27.531529209392872</v>
      </c>
      <c r="AA188" s="17">
        <f t="shared" si="232"/>
        <v>1.3826850490391885E-2</v>
      </c>
      <c r="AB188" s="18">
        <f t="shared" si="233"/>
        <v>0.20033849039225349</v>
      </c>
      <c r="AC188" s="19">
        <f t="shared" si="303"/>
        <v>1009.6958164530803</v>
      </c>
      <c r="AD188" s="15">
        <f t="shared" si="234"/>
        <v>5.5193916329061611E-6</v>
      </c>
      <c r="AE188" s="16">
        <f t="shared" si="235"/>
        <v>27.500501889210422</v>
      </c>
      <c r="AF188" s="17">
        <f t="shared" si="236"/>
        <v>1.3813345816658763E-2</v>
      </c>
      <c r="AG188" s="18">
        <f t="shared" si="237"/>
        <v>0.2005645214120258</v>
      </c>
      <c r="AH188" s="19">
        <f t="shared" si="304"/>
        <v>1006.398534709413</v>
      </c>
      <c r="AI188" s="15">
        <f t="shared" si="238"/>
        <v>5.5127970694188259E-6</v>
      </c>
      <c r="AJ188" s="16">
        <f t="shared" si="239"/>
        <v>27.462583149158249</v>
      </c>
      <c r="AK188" s="17">
        <f t="shared" si="240"/>
        <v>1.3796841645181352E-2</v>
      </c>
      <c r="AL188" s="18">
        <f t="shared" si="241"/>
        <v>0.2008414492563515</v>
      </c>
      <c r="AM188" s="19">
        <f t="shared" si="305"/>
        <v>1002.5018843833158</v>
      </c>
      <c r="AN188" s="15">
        <f t="shared" si="242"/>
        <v>5.5050037687666325E-6</v>
      </c>
      <c r="AO188" s="16">
        <f t="shared" si="243"/>
        <v>27.417771670408129</v>
      </c>
      <c r="AP188" s="17">
        <f t="shared" si="244"/>
        <v>1.3777337401938285E-2</v>
      </c>
      <c r="AQ188" s="18">
        <f t="shared" si="245"/>
        <v>0.20116970358874889</v>
      </c>
      <c r="AR188" s="19">
        <f t="shared" si="306"/>
        <v>998.0057991819865</v>
      </c>
      <c r="AS188" s="15">
        <f t="shared" si="246"/>
        <v>5.4960115983639738E-6</v>
      </c>
      <c r="AT188" s="16">
        <f t="shared" si="247"/>
        <v>27.366066690592845</v>
      </c>
      <c r="AU188" s="17">
        <f t="shared" si="248"/>
        <v>1.3754832755108424E-2</v>
      </c>
      <c r="AV188" s="18">
        <f t="shared" si="249"/>
        <v>0.20154979019677716</v>
      </c>
      <c r="AW188" s="19">
        <f t="shared" si="307"/>
        <v>992.9100630439558</v>
      </c>
      <c r="AX188" s="15">
        <f t="shared" si="250"/>
        <v>5.4858201260879123E-6</v>
      </c>
      <c r="AY188" s="16">
        <f t="shared" si="251"/>
        <v>27.307465725005493</v>
      </c>
      <c r="AZ188" s="17">
        <f t="shared" si="252"/>
        <v>1.3729326623220479E-2</v>
      </c>
      <c r="BA188" s="18">
        <f t="shared" si="253"/>
        <v>0.20198230972965509</v>
      </c>
      <c r="BB188" s="19">
        <f t="shared" si="308"/>
        <v>987.21358298887446</v>
      </c>
      <c r="BC188" s="15">
        <f t="shared" si="254"/>
        <v>5.4744271659777494E-6</v>
      </c>
      <c r="BD188" s="16">
        <f t="shared" si="255"/>
        <v>27.241956204372055</v>
      </c>
      <c r="BE188" s="17">
        <f t="shared" si="256"/>
        <v>1.3700813535484718E-2</v>
      </c>
      <c r="BF188" s="18">
        <f t="shared" si="257"/>
        <v>0.20246802243646506</v>
      </c>
      <c r="BG188" s="19">
        <f t="shared" si="309"/>
        <v>980.91116333510581</v>
      </c>
      <c r="BH188" s="15">
        <f t="shared" si="258"/>
        <v>5.461822326670213E-6</v>
      </c>
      <c r="BI188" s="16">
        <f t="shared" si="259"/>
        <v>27.169478378353716</v>
      </c>
      <c r="BJ188" s="17">
        <f t="shared" si="260"/>
        <v>1.3669267485503346E-2</v>
      </c>
      <c r="BK188" s="18">
        <f t="shared" si="261"/>
        <v>0.20300813004913526</v>
      </c>
      <c r="BL188" s="19">
        <f t="shared" si="310"/>
        <v>973.98030986647677</v>
      </c>
      <c r="BM188" s="15">
        <f t="shared" si="262"/>
        <v>5.4479606197329543E-6</v>
      </c>
      <c r="BN188" s="16">
        <f t="shared" si="263"/>
        <v>27.089773563464483</v>
      </c>
      <c r="BO188" s="17">
        <f t="shared" si="264"/>
        <v>1.3634575881017092E-2</v>
      </c>
      <c r="BP188" s="18">
        <f t="shared" si="265"/>
        <v>0.20360543018487351</v>
      </c>
      <c r="BQ188" s="19">
        <f t="shared" si="311"/>
        <v>966.33322449479965</v>
      </c>
      <c r="BR188" s="15">
        <f t="shared" si="266"/>
        <v>5.4326664489895995E-6</v>
      </c>
      <c r="BS188" s="16">
        <f t="shared" si="267"/>
        <v>27.001832081690196</v>
      </c>
      <c r="BT188" s="17">
        <f t="shared" si="268"/>
        <v>1.3596299258608663E-2</v>
      </c>
      <c r="BU188" s="18">
        <f t="shared" si="269"/>
        <v>0.20426854679020529</v>
      </c>
      <c r="BV188" s="19">
        <f t="shared" si="312"/>
        <v>957.66469550314389</v>
      </c>
      <c r="BW188" s="15">
        <f t="shared" si="270"/>
        <v>5.4153293910062884E-6</v>
      </c>
      <c r="BX188" s="16">
        <f t="shared" si="271"/>
        <v>26.902143998286157</v>
      </c>
      <c r="BY188" s="17">
        <f t="shared" si="272"/>
        <v>1.355290991548991E-2</v>
      </c>
      <c r="BZ188" s="18">
        <f t="shared" si="273"/>
        <v>0.2050254805100806</v>
      </c>
      <c r="CA188" s="19">
        <f t="shared" si="313"/>
        <v>947.04421874615275</v>
      </c>
      <c r="CB188" s="15">
        <f t="shared" si="274"/>
        <v>5.3940884374923058E-6</v>
      </c>
      <c r="CC188" s="16">
        <f t="shared" si="275"/>
        <v>26.780008515580754</v>
      </c>
      <c r="CD188" s="17">
        <f t="shared" si="276"/>
        <v>1.3499750318222897E-2</v>
      </c>
      <c r="CE188" s="18">
        <f t="shared" si="277"/>
        <v>0.20596053943713197</v>
      </c>
      <c r="CF188" s="19">
        <f t="shared" si="314"/>
        <v>932.0338115519744</v>
      </c>
      <c r="CG188" s="15">
        <f t="shared" si="278"/>
        <v>5.3640676231039487E-6</v>
      </c>
      <c r="CH188" s="16">
        <f t="shared" si="279"/>
        <v>26.607388832847704</v>
      </c>
      <c r="CI188" s="17">
        <f t="shared" si="280"/>
        <v>1.342461741981218E-2</v>
      </c>
      <c r="CJ188" s="18">
        <f t="shared" si="281"/>
        <v>0.20729674131686227</v>
      </c>
      <c r="CK188" s="19">
        <f t="shared" si="315"/>
        <v>907.2960226402065</v>
      </c>
      <c r="CL188" s="15">
        <f t="shared" si="282"/>
        <v>5.3145920452804134E-6</v>
      </c>
      <c r="CM188" s="16">
        <f t="shared" si="283"/>
        <v>26.322904260362375</v>
      </c>
      <c r="CN188" s="17">
        <f t="shared" si="284"/>
        <v>1.3300795210516322E-2</v>
      </c>
      <c r="CO188" s="18">
        <f t="shared" si="285"/>
        <v>0.20953709915305785</v>
      </c>
      <c r="CP188" s="19">
        <f t="shared" si="316"/>
        <v>863.47245961797614</v>
      </c>
      <c r="CQ188" s="15">
        <f t="shared" si="286"/>
        <v>5.2269449192359528E-6</v>
      </c>
      <c r="CR188" s="16">
        <f t="shared" si="287"/>
        <v>25.818933285606725</v>
      </c>
      <c r="CS188" s="17">
        <f t="shared" si="288"/>
        <v>1.308144131385309E-2</v>
      </c>
      <c r="CT188" s="18">
        <f t="shared" si="289"/>
        <v>0.21362714481604064</v>
      </c>
      <c r="CU188" s="19">
        <f t="shared" si="317"/>
        <v>788.38322513609853</v>
      </c>
      <c r="CV188" s="15">
        <f t="shared" si="290"/>
        <v>5.0767664502721977E-6</v>
      </c>
      <c r="CW188" s="16">
        <f t="shared" si="291"/>
        <v>24.955407089065133</v>
      </c>
      <c r="CX188" s="17">
        <f t="shared" si="292"/>
        <v>1.270559062885279E-2</v>
      </c>
      <c r="CY188" s="18">
        <f t="shared" si="293"/>
        <v>0.22101923564359791</v>
      </c>
      <c r="CZ188" s="20">
        <f t="shared" si="318"/>
        <v>672.41888105339308</v>
      </c>
      <c r="DA188" s="15">
        <f t="shared" si="294"/>
        <v>4.8448377621067864E-6</v>
      </c>
      <c r="DB188" s="16">
        <f t="shared" si="295"/>
        <v>29.408288684505806</v>
      </c>
      <c r="DC188" s="17">
        <f t="shared" si="296"/>
        <v>1.2125144197885185E-2</v>
      </c>
      <c r="DD188" s="18">
        <f t="shared" si="297"/>
        <v>0.18755341594922487</v>
      </c>
    </row>
    <row r="189" spans="2:108" x14ac:dyDescent="0.25">
      <c r="B189">
        <v>170</v>
      </c>
      <c r="C189">
        <f t="shared" si="298"/>
        <v>0.16619449327869273</v>
      </c>
      <c r="D189" s="19">
        <f t="shared" si="215"/>
        <v>1017.2087663362689</v>
      </c>
      <c r="E189" s="15">
        <f t="shared" si="216"/>
        <v>5.5344175326725378E-6</v>
      </c>
      <c r="F189" s="16">
        <f t="shared" si="217"/>
        <v>27.586900812867093</v>
      </c>
      <c r="G189" s="17">
        <f t="shared" si="213"/>
        <v>1.385095103902457E-2</v>
      </c>
      <c r="H189" s="18">
        <f t="shared" si="218"/>
        <v>0.19993637695711727</v>
      </c>
      <c r="I189" s="19">
        <f t="shared" si="299"/>
        <v>1016.8841041589335</v>
      </c>
      <c r="J189" s="15">
        <f t="shared" si="219"/>
        <v>5.5337682083178671E-6</v>
      </c>
      <c r="K189" s="16">
        <f t="shared" si="220"/>
        <v>27.583167197827734</v>
      </c>
      <c r="L189" s="17">
        <f t="shared" si="221"/>
        <v>1.3849325979152977E-2</v>
      </c>
      <c r="M189" s="18">
        <f t="shared" si="222"/>
        <v>0.19996344003724031</v>
      </c>
      <c r="N189" s="19">
        <f t="shared" si="300"/>
        <v>1015.9779865546802</v>
      </c>
      <c r="O189" s="15">
        <f t="shared" si="223"/>
        <v>5.5319559731093604E-6</v>
      </c>
      <c r="P189" s="16">
        <f t="shared" si="224"/>
        <v>27.572746845378823</v>
      </c>
      <c r="Q189" s="17">
        <f t="shared" si="214"/>
        <v>1.385095103902457E-2</v>
      </c>
      <c r="R189" s="18">
        <f t="shared" si="225"/>
        <v>0.2000390106553499</v>
      </c>
      <c r="S189" s="19">
        <f t="shared" si="301"/>
        <v>1014.4763539952608</v>
      </c>
      <c r="T189" s="15">
        <f t="shared" si="226"/>
        <v>5.5289527079905216E-6</v>
      </c>
      <c r="U189" s="16">
        <f t="shared" si="227"/>
        <v>27.555478070945497</v>
      </c>
      <c r="V189" s="17">
        <f t="shared" si="228"/>
        <v>1.383727425756372E-2</v>
      </c>
      <c r="W189" s="18">
        <f t="shared" si="229"/>
        <v>0.20016437333437798</v>
      </c>
      <c r="X189" s="19">
        <f t="shared" si="302"/>
        <v>1012.37725933874</v>
      </c>
      <c r="Y189" s="15">
        <f t="shared" si="230"/>
        <v>5.5247545186774802E-6</v>
      </c>
      <c r="Z189" s="16">
        <f t="shared" si="231"/>
        <v>27.531338482395512</v>
      </c>
      <c r="AA189" s="17">
        <f t="shared" si="232"/>
        <v>1.3826767476265741E-2</v>
      </c>
      <c r="AB189" s="18">
        <f t="shared" si="233"/>
        <v>0.20033987826370594</v>
      </c>
      <c r="AC189" s="19">
        <f t="shared" si="303"/>
        <v>1009.6792411335632</v>
      </c>
      <c r="AD189" s="15">
        <f t="shared" si="234"/>
        <v>5.5193584822671271E-6</v>
      </c>
      <c r="AE189" s="16">
        <f t="shared" si="235"/>
        <v>27.500311273035976</v>
      </c>
      <c r="AF189" s="17">
        <f t="shared" si="236"/>
        <v>1.381326285076841E-2</v>
      </c>
      <c r="AG189" s="18">
        <f t="shared" si="237"/>
        <v>0.20056591160871928</v>
      </c>
      <c r="AH189" s="19">
        <f t="shared" si="304"/>
        <v>1006.3819745007552</v>
      </c>
      <c r="AI189" s="15">
        <f t="shared" si="238"/>
        <v>5.5127639490015106E-6</v>
      </c>
      <c r="AJ189" s="16">
        <f t="shared" si="239"/>
        <v>27.462392706758685</v>
      </c>
      <c r="AK189" s="17">
        <f t="shared" si="240"/>
        <v>1.37967587549267E-2</v>
      </c>
      <c r="AL189" s="18">
        <f t="shared" si="241"/>
        <v>0.20084284202383307</v>
      </c>
      <c r="AM189" s="19">
        <f t="shared" si="305"/>
        <v>1002.4853432287125</v>
      </c>
      <c r="AN189" s="15">
        <f t="shared" si="242"/>
        <v>5.5049706864574253E-6</v>
      </c>
      <c r="AO189" s="16">
        <f t="shared" si="243"/>
        <v>27.417581447130193</v>
      </c>
      <c r="AP189" s="17">
        <f t="shared" si="244"/>
        <v>1.3777254607056552E-2</v>
      </c>
      <c r="AQ189" s="18">
        <f t="shared" si="245"/>
        <v>0.2011710993048704</v>
      </c>
      <c r="AR189" s="19">
        <f t="shared" si="306"/>
        <v>997.9892783280601</v>
      </c>
      <c r="AS189" s="15">
        <f t="shared" si="246"/>
        <v>5.4959785566561212E-6</v>
      </c>
      <c r="AT189" s="16">
        <f t="shared" si="247"/>
        <v>27.365876700772688</v>
      </c>
      <c r="AU189" s="17">
        <f t="shared" si="248"/>
        <v>1.3754750061839438E-2</v>
      </c>
      <c r="AV189" s="18">
        <f t="shared" si="249"/>
        <v>0.20155118947255449</v>
      </c>
      <c r="AW189" s="19">
        <f t="shared" si="307"/>
        <v>992.89355305950619</v>
      </c>
      <c r="AX189" s="15">
        <f t="shared" si="250"/>
        <v>5.4857871061190129E-6</v>
      </c>
      <c r="AY189" s="16">
        <f t="shared" si="251"/>
        <v>27.307275860184319</v>
      </c>
      <c r="AZ189" s="17">
        <f t="shared" si="252"/>
        <v>1.3729243984357429E-2</v>
      </c>
      <c r="BA189" s="18">
        <f t="shared" si="253"/>
        <v>0.20198371409292126</v>
      </c>
      <c r="BB189" s="19">
        <f t="shared" si="308"/>
        <v>987.19702710520198</v>
      </c>
      <c r="BC189" s="15">
        <f t="shared" si="254"/>
        <v>5.474394054210405E-6</v>
      </c>
      <c r="BD189" s="16">
        <f t="shared" si="255"/>
        <v>27.241765811709822</v>
      </c>
      <c r="BE189" s="17">
        <f t="shared" si="256"/>
        <v>1.3700730666878293E-2</v>
      </c>
      <c r="BF189" s="18">
        <f t="shared" si="257"/>
        <v>0.20246943748518384</v>
      </c>
      <c r="BG189" s="19">
        <f t="shared" si="309"/>
        <v>980.89431217308049</v>
      </c>
      <c r="BH189" s="15">
        <f t="shared" si="258"/>
        <v>5.4617886243461614E-6</v>
      </c>
      <c r="BI189" s="16">
        <f t="shared" si="259"/>
        <v>27.169284589990426</v>
      </c>
      <c r="BJ189" s="17">
        <f t="shared" si="260"/>
        <v>1.3669183138914463E-2</v>
      </c>
      <c r="BK189" s="18">
        <f t="shared" si="261"/>
        <v>0.20300957803033354</v>
      </c>
      <c r="BL189" s="19">
        <f t="shared" si="310"/>
        <v>973.96221670659929</v>
      </c>
      <c r="BM189" s="15">
        <f t="shared" si="262"/>
        <v>5.4479244334131996E-6</v>
      </c>
      <c r="BN189" s="16">
        <f t="shared" si="263"/>
        <v>27.089565492125892</v>
      </c>
      <c r="BO189" s="17">
        <f t="shared" si="264"/>
        <v>1.3634485317748194E-2</v>
      </c>
      <c r="BP189" s="18">
        <f t="shared" si="265"/>
        <v>0.20360699405102026</v>
      </c>
      <c r="BQ189" s="19">
        <f t="shared" si="311"/>
        <v>966.31074167504914</v>
      </c>
      <c r="BR189" s="15">
        <f t="shared" si="266"/>
        <v>5.4326214833500986E-6</v>
      </c>
      <c r="BS189" s="16">
        <f t="shared" si="267"/>
        <v>27.001573529263062</v>
      </c>
      <c r="BT189" s="17">
        <f t="shared" si="268"/>
        <v>1.3596186723392901E-2</v>
      </c>
      <c r="BU189" s="18">
        <f t="shared" si="269"/>
        <v>0.20427050275504943</v>
      </c>
      <c r="BV189" s="19">
        <f t="shared" si="312"/>
        <v>957.62879013814256</v>
      </c>
      <c r="BW189" s="15">
        <f t="shared" si="270"/>
        <v>5.4152575802762855E-6</v>
      </c>
      <c r="BX189" s="16">
        <f t="shared" si="271"/>
        <v>26.90173108658864</v>
      </c>
      <c r="BY189" s="17">
        <f t="shared" si="272"/>
        <v>1.3552730195239409E-2</v>
      </c>
      <c r="BZ189" s="18">
        <f t="shared" si="273"/>
        <v>0.2050286274235234</v>
      </c>
      <c r="CA189" s="19">
        <f t="shared" si="313"/>
        <v>946.9731442548665</v>
      </c>
      <c r="CB189" s="15">
        <f t="shared" si="274"/>
        <v>5.3939462885097338E-6</v>
      </c>
      <c r="CC189" s="16">
        <f t="shared" si="275"/>
        <v>26.779191158930963</v>
      </c>
      <c r="CD189" s="17">
        <f t="shared" si="276"/>
        <v>1.3499394562881666E-2</v>
      </c>
      <c r="CE189" s="18">
        <f t="shared" si="277"/>
        <v>0.20596682578146194</v>
      </c>
      <c r="CF189" s="19">
        <f t="shared" si="314"/>
        <v>931.88572976990497</v>
      </c>
      <c r="CG189" s="15">
        <f t="shared" si="278"/>
        <v>5.3637714595398108E-6</v>
      </c>
      <c r="CH189" s="16">
        <f t="shared" si="279"/>
        <v>26.605685892353904</v>
      </c>
      <c r="CI189" s="17">
        <f t="shared" si="280"/>
        <v>1.3423876213171697E-2</v>
      </c>
      <c r="CJ189" s="18">
        <f t="shared" si="281"/>
        <v>0.20731000968424995</v>
      </c>
      <c r="CK189" s="19">
        <f t="shared" si="315"/>
        <v>907.01274818578065</v>
      </c>
      <c r="CL189" s="15">
        <f t="shared" si="282"/>
        <v>5.3140254963715616E-6</v>
      </c>
      <c r="CM189" s="16">
        <f t="shared" si="283"/>
        <v>26.319646604136476</v>
      </c>
      <c r="CN189" s="17">
        <f t="shared" si="284"/>
        <v>1.3299377312218733E-2</v>
      </c>
      <c r="CO189" s="18">
        <f t="shared" si="285"/>
        <v>0.20956303414549446</v>
      </c>
      <c r="CP189" s="19">
        <f t="shared" si="316"/>
        <v>863.01271604072394</v>
      </c>
      <c r="CQ189" s="15">
        <f t="shared" si="286"/>
        <v>5.2260254320814485E-6</v>
      </c>
      <c r="CR189" s="16">
        <f t="shared" si="287"/>
        <v>25.813646234468322</v>
      </c>
      <c r="CS189" s="17">
        <f t="shared" si="288"/>
        <v>1.3079140119286025E-2</v>
      </c>
      <c r="CT189" s="18">
        <f t="shared" si="289"/>
        <v>0.21367089910123285</v>
      </c>
      <c r="CU189" s="19">
        <f t="shared" si="317"/>
        <v>787.78285552065029</v>
      </c>
      <c r="CV189" s="15">
        <f t="shared" si="290"/>
        <v>5.0755657110413005E-6</v>
      </c>
      <c r="CW189" s="16">
        <f t="shared" si="291"/>
        <v>24.948502838487478</v>
      </c>
      <c r="CX189" s="17">
        <f t="shared" si="292"/>
        <v>1.2702585546529381E-2</v>
      </c>
      <c r="CY189" s="18">
        <f t="shared" si="293"/>
        <v>0.22108040052372091</v>
      </c>
      <c r="CZ189" s="20">
        <f t="shared" si="318"/>
        <v>671.81959870597905</v>
      </c>
      <c r="DA189" s="15">
        <f t="shared" si="294"/>
        <v>4.843639197411959E-6</v>
      </c>
      <c r="DB189" s="16">
        <f t="shared" si="295"/>
        <v>29.528624579866488</v>
      </c>
      <c r="DC189" s="17">
        <f t="shared" si="296"/>
        <v>1.2122144557759165E-2</v>
      </c>
      <c r="DD189" s="18">
        <f t="shared" si="297"/>
        <v>0.1867890929048121</v>
      </c>
    </row>
    <row r="190" spans="2:108" x14ac:dyDescent="0.25">
      <c r="B190">
        <v>171</v>
      </c>
      <c r="C190">
        <f t="shared" si="298"/>
        <v>0.16717210794503801</v>
      </c>
      <c r="D190" s="19">
        <f t="shared" si="215"/>
        <v>1017.1921907255787</v>
      </c>
      <c r="E190" s="15">
        <f t="shared" si="216"/>
        <v>5.5343843814511576E-6</v>
      </c>
      <c r="F190" s="16">
        <f t="shared" si="217"/>
        <v>27.586710193344153</v>
      </c>
      <c r="G190" s="17">
        <f t="shared" si="213"/>
        <v>1.3850868071676785E-2</v>
      </c>
      <c r="H190" s="18">
        <f t="shared" si="218"/>
        <v>0.19993775848382078</v>
      </c>
      <c r="I190" s="19">
        <f t="shared" si="299"/>
        <v>1016.8675268123357</v>
      </c>
      <c r="J190" s="15">
        <f t="shared" si="219"/>
        <v>5.5337350536246725E-6</v>
      </c>
      <c r="K190" s="16">
        <f t="shared" si="220"/>
        <v>27.582976558341858</v>
      </c>
      <c r="L190" s="17">
        <f t="shared" si="221"/>
        <v>1.3849243003116303E-2</v>
      </c>
      <c r="M190" s="18">
        <f t="shared" si="222"/>
        <v>0.19996482208269584</v>
      </c>
      <c r="N190" s="19">
        <f t="shared" si="300"/>
        <v>1015.9614027440773</v>
      </c>
      <c r="O190" s="15">
        <f t="shared" si="223"/>
        <v>5.5319228054881552E-6</v>
      </c>
      <c r="P190" s="16">
        <f t="shared" si="224"/>
        <v>27.572556131556887</v>
      </c>
      <c r="Q190" s="17">
        <f t="shared" si="214"/>
        <v>1.3850868071676785E-2</v>
      </c>
      <c r="R190" s="18">
        <f t="shared" si="225"/>
        <v>0.20004039428492987</v>
      </c>
      <c r="S190" s="19">
        <f t="shared" si="301"/>
        <v>1014.459766426971</v>
      </c>
      <c r="T190" s="15">
        <f t="shared" si="226"/>
        <v>5.528919532853942E-6</v>
      </c>
      <c r="U190" s="16">
        <f t="shared" si="227"/>
        <v>27.555287313910164</v>
      </c>
      <c r="V190" s="17">
        <f t="shared" si="228"/>
        <v>1.383719123036352E-2</v>
      </c>
      <c r="W190" s="18">
        <f t="shared" si="229"/>
        <v>0.20016575901263281</v>
      </c>
      <c r="X190" s="19">
        <f t="shared" si="302"/>
        <v>1012.3606745980622</v>
      </c>
      <c r="Y190" s="15">
        <f t="shared" si="230"/>
        <v>5.5247213491961255E-6</v>
      </c>
      <c r="Z190" s="16">
        <f t="shared" si="231"/>
        <v>27.531147757877715</v>
      </c>
      <c r="AA190" s="17">
        <f t="shared" si="232"/>
        <v>1.3826684463218835E-2</v>
      </c>
      <c r="AB190" s="18">
        <f t="shared" si="233"/>
        <v>0.20034126613634437</v>
      </c>
      <c r="AC190" s="19">
        <f t="shared" si="303"/>
        <v>1009.6626660234671</v>
      </c>
      <c r="AD190" s="15">
        <f t="shared" si="234"/>
        <v>5.5193253320469339E-6</v>
      </c>
      <c r="AE190" s="16">
        <f t="shared" si="235"/>
        <v>27.500120659269868</v>
      </c>
      <c r="AF190" s="17">
        <f t="shared" si="236"/>
        <v>1.3813179885926291E-2</v>
      </c>
      <c r="AG190" s="18">
        <f t="shared" si="237"/>
        <v>0.20056730180712018</v>
      </c>
      <c r="AH190" s="19">
        <f t="shared" si="304"/>
        <v>1006.3654144853562</v>
      </c>
      <c r="AI190" s="15">
        <f t="shared" si="238"/>
        <v>5.5127308289707135E-6</v>
      </c>
      <c r="AJ190" s="16">
        <f t="shared" si="239"/>
        <v>27.462202266581595</v>
      </c>
      <c r="AK190" s="17">
        <f t="shared" si="240"/>
        <v>1.3796675865639386E-2</v>
      </c>
      <c r="AL190" s="18">
        <f t="shared" si="241"/>
        <v>0.20084423479437749</v>
      </c>
      <c r="AM190" s="19">
        <f t="shared" si="305"/>
        <v>1002.4688022294689</v>
      </c>
      <c r="AN190" s="15">
        <f t="shared" si="242"/>
        <v>5.5049376044589386E-6</v>
      </c>
      <c r="AO190" s="16">
        <f t="shared" si="243"/>
        <v>27.417391225638891</v>
      </c>
      <c r="AP190" s="17">
        <f t="shared" si="244"/>
        <v>1.3777171812952455E-2</v>
      </c>
      <c r="AQ190" s="18">
        <f t="shared" si="245"/>
        <v>0.20117249502724974</v>
      </c>
      <c r="AR190" s="19">
        <f t="shared" si="306"/>
        <v>997.97275747031995</v>
      </c>
      <c r="AS190" s="15">
        <f t="shared" si="246"/>
        <v>5.495945514940641E-6</v>
      </c>
      <c r="AT190" s="16">
        <f t="shared" si="247"/>
        <v>27.365686710908676</v>
      </c>
      <c r="AU190" s="17">
        <f t="shared" si="248"/>
        <v>1.3754667368551363E-2</v>
      </c>
      <c r="AV190" s="18">
        <f t="shared" si="249"/>
        <v>0.2015525887680841</v>
      </c>
      <c r="AW190" s="19">
        <f t="shared" si="307"/>
        <v>992.87704236671175</v>
      </c>
      <c r="AX190" s="15">
        <f t="shared" si="250"/>
        <v>5.4857540847334237E-6</v>
      </c>
      <c r="AY190" s="16">
        <f t="shared" si="251"/>
        <v>27.307085987217185</v>
      </c>
      <c r="AZ190" s="17">
        <f t="shared" si="252"/>
        <v>1.3729161341948841E-2</v>
      </c>
      <c r="BA190" s="18">
        <f t="shared" si="253"/>
        <v>0.20198511853597043</v>
      </c>
      <c r="BB190" s="19">
        <f t="shared" si="308"/>
        <v>987.18046766321629</v>
      </c>
      <c r="BC190" s="15">
        <f t="shared" si="254"/>
        <v>5.4743609353264337E-6</v>
      </c>
      <c r="BD190" s="16">
        <f t="shared" si="255"/>
        <v>27.241575378126988</v>
      </c>
      <c r="BE190" s="17">
        <f t="shared" si="256"/>
        <v>1.3700647780461131E-2</v>
      </c>
      <c r="BF190" s="18">
        <f t="shared" si="257"/>
        <v>0.2024708528578214</v>
      </c>
      <c r="BG190" s="19">
        <f t="shared" si="309"/>
        <v>980.87744718498152</v>
      </c>
      <c r="BH190" s="15">
        <f t="shared" si="258"/>
        <v>5.4617548943699637E-6</v>
      </c>
      <c r="BI190" s="16">
        <f t="shared" si="259"/>
        <v>27.169090642627289</v>
      </c>
      <c r="BJ190" s="17">
        <f t="shared" si="260"/>
        <v>1.3669098723120731E-2</v>
      </c>
      <c r="BK190" s="18">
        <f t="shared" si="261"/>
        <v>0.2030110272202556</v>
      </c>
      <c r="BL190" s="19">
        <f t="shared" si="310"/>
        <v>973.94407742526857</v>
      </c>
      <c r="BM190" s="15">
        <f t="shared" si="262"/>
        <v>5.4478881548505371E-6</v>
      </c>
      <c r="BN190" s="16">
        <f t="shared" si="263"/>
        <v>27.08935689039059</v>
      </c>
      <c r="BO190" s="17">
        <f t="shared" si="264"/>
        <v>1.3634394523623566E-2</v>
      </c>
      <c r="BP190" s="18">
        <f t="shared" si="265"/>
        <v>0.20360856192774951</v>
      </c>
      <c r="BQ190" s="19">
        <f t="shared" si="311"/>
        <v>966.28812650637565</v>
      </c>
      <c r="BR190" s="15">
        <f t="shared" si="266"/>
        <v>5.4325762530127517E-6</v>
      </c>
      <c r="BS190" s="16">
        <f t="shared" si="267"/>
        <v>27.001313454823318</v>
      </c>
      <c r="BT190" s="17">
        <f t="shared" si="268"/>
        <v>1.3596073525719546E-2</v>
      </c>
      <c r="BU190" s="18">
        <f t="shared" si="269"/>
        <v>0.20427247027180187</v>
      </c>
      <c r="BV190" s="19">
        <f t="shared" si="312"/>
        <v>957.59256580910858</v>
      </c>
      <c r="BW190" s="15">
        <f t="shared" si="270"/>
        <v>5.4151851316182178E-6</v>
      </c>
      <c r="BX190" s="16">
        <f t="shared" si="271"/>
        <v>26.901314506804749</v>
      </c>
      <c r="BY190" s="17">
        <f t="shared" si="272"/>
        <v>1.3552548878450459E-2</v>
      </c>
      <c r="BZ190" s="18">
        <f t="shared" si="273"/>
        <v>0.20503180239035568</v>
      </c>
      <c r="CA190" s="19">
        <f t="shared" si="313"/>
        <v>946.90145302481017</v>
      </c>
      <c r="CB190" s="15">
        <f t="shared" si="274"/>
        <v>5.3938029060496201E-6</v>
      </c>
      <c r="CC190" s="16">
        <f t="shared" si="275"/>
        <v>26.778366709785317</v>
      </c>
      <c r="CD190" s="17">
        <f t="shared" si="276"/>
        <v>1.3499035720524152E-2</v>
      </c>
      <c r="CE190" s="18">
        <f t="shared" si="277"/>
        <v>0.20597316706341492</v>
      </c>
      <c r="CF190" s="19">
        <f t="shared" si="314"/>
        <v>931.73677696215202</v>
      </c>
      <c r="CG190" s="15">
        <f t="shared" si="278"/>
        <v>5.363473553924304E-6</v>
      </c>
      <c r="CH190" s="16">
        <f t="shared" si="279"/>
        <v>26.603972935064746</v>
      </c>
      <c r="CI190" s="17">
        <f t="shared" si="280"/>
        <v>1.3423130646710498E-2</v>
      </c>
      <c r="CJ190" s="18">
        <f t="shared" si="281"/>
        <v>0.20732335781060202</v>
      </c>
      <c r="CK190" s="19">
        <f t="shared" si="315"/>
        <v>906.72881236188209</v>
      </c>
      <c r="CL190" s="15">
        <f t="shared" si="282"/>
        <v>5.3134576247237647E-6</v>
      </c>
      <c r="CM190" s="16">
        <f t="shared" si="283"/>
        <v>26.316381342161641</v>
      </c>
      <c r="CN190" s="17">
        <f t="shared" si="284"/>
        <v>1.3297956103510925E-2</v>
      </c>
      <c r="CO190" s="18">
        <f t="shared" si="285"/>
        <v>0.20958903613253932</v>
      </c>
      <c r="CP190" s="19">
        <f t="shared" si="316"/>
        <v>862.55338110168145</v>
      </c>
      <c r="CQ190" s="15">
        <f t="shared" si="286"/>
        <v>5.2251067622033632E-6</v>
      </c>
      <c r="CR190" s="16">
        <f t="shared" si="287"/>
        <v>25.808363882669337</v>
      </c>
      <c r="CS190" s="17">
        <f t="shared" si="288"/>
        <v>1.3076840970111379E-2</v>
      </c>
      <c r="CT190" s="18">
        <f t="shared" si="289"/>
        <v>0.21371463239883318</v>
      </c>
      <c r="CU190" s="19">
        <f t="shared" si="317"/>
        <v>787.18439658592365</v>
      </c>
      <c r="CV190" s="15">
        <f t="shared" si="290"/>
        <v>5.0743687931718476E-6</v>
      </c>
      <c r="CW190" s="16">
        <f t="shared" si="291"/>
        <v>24.941620560738123</v>
      </c>
      <c r="CX190" s="17">
        <f t="shared" si="292"/>
        <v>1.2699590027902597E-2</v>
      </c>
      <c r="CY190" s="18">
        <f t="shared" si="293"/>
        <v>0.22114140444756933</v>
      </c>
      <c r="CZ190" s="20">
        <f t="shared" si="318"/>
        <v>671.22273390489806</v>
      </c>
      <c r="DA190" s="15">
        <f t="shared" si="294"/>
        <v>4.8424454678097968E-6</v>
      </c>
      <c r="DB190" s="16">
        <f t="shared" si="295"/>
        <v>29.64847503192351</v>
      </c>
      <c r="DC190" s="17">
        <f t="shared" si="296"/>
        <v>1.211915701838835E-2</v>
      </c>
      <c r="DD190" s="18">
        <f t="shared" si="297"/>
        <v>0.18603402009921727</v>
      </c>
    </row>
    <row r="191" spans="2:108" x14ac:dyDescent="0.25">
      <c r="B191">
        <v>172</v>
      </c>
      <c r="C191">
        <f t="shared" si="298"/>
        <v>0.16814972261138325</v>
      </c>
      <c r="D191" s="19">
        <f t="shared" si="215"/>
        <v>1017.1756150262618</v>
      </c>
      <c r="E191" s="15">
        <f t="shared" si="216"/>
        <v>5.5343512300525239E-6</v>
      </c>
      <c r="F191" s="16">
        <f t="shared" si="217"/>
        <v>27.586519572802011</v>
      </c>
      <c r="G191" s="17">
        <f t="shared" si="213"/>
        <v>1.3850785103885389E-2</v>
      </c>
      <c r="H191" s="18">
        <f t="shared" si="218"/>
        <v>0.19993914003700353</v>
      </c>
      <c r="I191" s="19">
        <f t="shared" si="299"/>
        <v>1016.8509494427619</v>
      </c>
      <c r="J191" s="15">
        <f t="shared" si="219"/>
        <v>5.5337018988855246E-6</v>
      </c>
      <c r="K191" s="16">
        <f t="shared" si="220"/>
        <v>27.58278591859176</v>
      </c>
      <c r="L191" s="17">
        <f t="shared" si="221"/>
        <v>1.3849160026964624E-2</v>
      </c>
      <c r="M191" s="18">
        <f t="shared" si="222"/>
        <v>0.19996620414917105</v>
      </c>
      <c r="N191" s="19">
        <f t="shared" si="300"/>
        <v>1015.9448190349241</v>
      </c>
      <c r="O191" s="15">
        <f t="shared" si="223"/>
        <v>5.5318896380698483E-6</v>
      </c>
      <c r="P191" s="16">
        <f t="shared" si="224"/>
        <v>27.572365418901626</v>
      </c>
      <c r="Q191" s="17">
        <f t="shared" si="214"/>
        <v>1.3850785103885389E-2</v>
      </c>
      <c r="R191" s="18">
        <f t="shared" si="225"/>
        <v>0.2000417779251861</v>
      </c>
      <c r="S191" s="19">
        <f t="shared" si="301"/>
        <v>1014.4431790471066</v>
      </c>
      <c r="T191" s="15">
        <f t="shared" si="226"/>
        <v>5.5288863580942133E-6</v>
      </c>
      <c r="U191" s="16">
        <f t="shared" si="227"/>
        <v>27.555096559041726</v>
      </c>
      <c r="V191" s="17">
        <f t="shared" si="228"/>
        <v>1.3837108204106462E-2</v>
      </c>
      <c r="W191" s="18">
        <f t="shared" si="229"/>
        <v>0.20016714469433219</v>
      </c>
      <c r="X191" s="19">
        <f t="shared" si="302"/>
        <v>1012.3440900725783</v>
      </c>
      <c r="Y191" s="15">
        <f t="shared" si="230"/>
        <v>5.5246881801451566E-6</v>
      </c>
      <c r="Z191" s="16">
        <f t="shared" si="231"/>
        <v>27.53095703583465</v>
      </c>
      <c r="AA191" s="17">
        <f t="shared" si="232"/>
        <v>1.3826601451249055E-2</v>
      </c>
      <c r="AB191" s="18">
        <f t="shared" si="233"/>
        <v>0.20034265401020354</v>
      </c>
      <c r="AC191" s="19">
        <f t="shared" si="303"/>
        <v>1009.6460911226205</v>
      </c>
      <c r="AD191" s="15">
        <f t="shared" si="234"/>
        <v>5.5192921822452419E-6</v>
      </c>
      <c r="AE191" s="16">
        <f t="shared" si="235"/>
        <v>27.499930047910134</v>
      </c>
      <c r="AF191" s="17">
        <f t="shared" si="236"/>
        <v>1.381309692213155E-2</v>
      </c>
      <c r="AG191" s="18">
        <f t="shared" si="237"/>
        <v>0.20056869200724245</v>
      </c>
      <c r="AH191" s="19">
        <f t="shared" si="304"/>
        <v>1006.348854662851</v>
      </c>
      <c r="AI191" s="15">
        <f t="shared" si="238"/>
        <v>5.5126977093257018E-6</v>
      </c>
      <c r="AJ191" s="16">
        <f t="shared" si="239"/>
        <v>27.462011828622785</v>
      </c>
      <c r="AK191" s="17">
        <f t="shared" si="240"/>
        <v>1.3796592977317576E-2</v>
      </c>
      <c r="AL191" s="18">
        <f t="shared" si="241"/>
        <v>0.20084562756801519</v>
      </c>
      <c r="AM191" s="19">
        <f t="shared" si="305"/>
        <v>1002.4522613837158</v>
      </c>
      <c r="AN191" s="15">
        <f t="shared" si="242"/>
        <v>5.5049045227674319E-6</v>
      </c>
      <c r="AO191" s="16">
        <f t="shared" si="243"/>
        <v>27.41720100591273</v>
      </c>
      <c r="AP191" s="17">
        <f t="shared" si="244"/>
        <v>1.3777089019616636E-2</v>
      </c>
      <c r="AQ191" s="18">
        <f t="shared" si="245"/>
        <v>0.20117389075604447</v>
      </c>
      <c r="AR191" s="19">
        <f t="shared" si="306"/>
        <v>997.95623660050921</v>
      </c>
      <c r="AS191" s="15">
        <f t="shared" si="246"/>
        <v>5.4959124732010187E-6</v>
      </c>
      <c r="AT191" s="16">
        <f t="shared" si="247"/>
        <v>27.365496720905853</v>
      </c>
      <c r="AU191" s="17">
        <f t="shared" si="248"/>
        <v>1.3754584675202866E-2</v>
      </c>
      <c r="AV191" s="18">
        <f t="shared" si="249"/>
        <v>0.2015539880840658</v>
      </c>
      <c r="AW191" s="19">
        <f t="shared" si="307"/>
        <v>992.86053093335659</v>
      </c>
      <c r="AX191" s="15">
        <f t="shared" si="250"/>
        <v>5.4857210618667137E-6</v>
      </c>
      <c r="AY191" s="16">
        <f t="shared" si="251"/>
        <v>27.3068961057336</v>
      </c>
      <c r="AZ191" s="17">
        <f t="shared" si="252"/>
        <v>1.3729078695833461E-2</v>
      </c>
      <c r="BA191" s="18">
        <f t="shared" si="253"/>
        <v>0.20198652306154599</v>
      </c>
      <c r="BB191" s="19">
        <f t="shared" si="308"/>
        <v>987.16390455212172</v>
      </c>
      <c r="BC191" s="15">
        <f t="shared" si="254"/>
        <v>5.4743278091042442E-6</v>
      </c>
      <c r="BD191" s="16">
        <f t="shared" si="255"/>
        <v>27.241384902349399</v>
      </c>
      <c r="BE191" s="17">
        <f t="shared" si="256"/>
        <v>1.3700564875678662E-2</v>
      </c>
      <c r="BF191" s="18">
        <f t="shared" si="257"/>
        <v>0.20247226856386116</v>
      </c>
      <c r="BG191" s="19">
        <f t="shared" si="309"/>
        <v>980.86056804270288</v>
      </c>
      <c r="BH191" s="15">
        <f t="shared" si="258"/>
        <v>5.4617211360854065E-6</v>
      </c>
      <c r="BI191" s="16">
        <f t="shared" si="259"/>
        <v>27.168896532491082</v>
      </c>
      <c r="BJ191" s="17">
        <f t="shared" si="260"/>
        <v>1.3669014236479851E-2</v>
      </c>
      <c r="BK191" s="18">
        <f t="shared" si="261"/>
        <v>0.20301247764714717</v>
      </c>
      <c r="BL191" s="19">
        <f t="shared" si="310"/>
        <v>973.92589121844776</v>
      </c>
      <c r="BM191" s="15">
        <f t="shared" si="262"/>
        <v>5.447851782436896E-6</v>
      </c>
      <c r="BN191" s="16">
        <f t="shared" si="263"/>
        <v>27.089147749012149</v>
      </c>
      <c r="BO191" s="17">
        <f t="shared" si="264"/>
        <v>1.3634303494618699E-2</v>
      </c>
      <c r="BP191" s="18">
        <f t="shared" si="265"/>
        <v>0.20361013388474491</v>
      </c>
      <c r="BQ191" s="19">
        <f t="shared" si="311"/>
        <v>966.26537747914244</v>
      </c>
      <c r="BR191" s="15">
        <f t="shared" si="266"/>
        <v>5.4325307549582853E-6</v>
      </c>
      <c r="BS191" s="16">
        <f t="shared" si="267"/>
        <v>27.001051841010138</v>
      </c>
      <c r="BT191" s="17">
        <f t="shared" si="268"/>
        <v>1.3595959658032283E-2</v>
      </c>
      <c r="BU191" s="18">
        <f t="shared" si="269"/>
        <v>0.20427444947247117</v>
      </c>
      <c r="BV191" s="19">
        <f t="shared" si="312"/>
        <v>957.55602077663218</v>
      </c>
      <c r="BW191" s="15">
        <f t="shared" si="270"/>
        <v>5.415112041553265E-6</v>
      </c>
      <c r="BX191" s="16">
        <f t="shared" si="271"/>
        <v>26.900894238931269</v>
      </c>
      <c r="BY191" s="17">
        <f t="shared" si="272"/>
        <v>1.3552365956416637E-2</v>
      </c>
      <c r="BZ191" s="18">
        <f t="shared" si="273"/>
        <v>0.20503500556564128</v>
      </c>
      <c r="CA191" s="19">
        <f t="shared" si="313"/>
        <v>946.82914542104777</v>
      </c>
      <c r="CB191" s="15">
        <f t="shared" si="274"/>
        <v>5.3936582908420962E-6</v>
      </c>
      <c r="CC191" s="16">
        <f t="shared" si="275"/>
        <v>26.777535172342048</v>
      </c>
      <c r="CD191" s="17">
        <f t="shared" si="276"/>
        <v>1.3498673792977652E-2</v>
      </c>
      <c r="CE191" s="18">
        <f t="shared" si="277"/>
        <v>0.20597956326081024</v>
      </c>
      <c r="CF191" s="19">
        <f t="shared" si="314"/>
        <v>931.58695945326667</v>
      </c>
      <c r="CG191" s="15">
        <f t="shared" si="278"/>
        <v>5.3631739189065338E-6</v>
      </c>
      <c r="CH191" s="16">
        <f t="shared" si="279"/>
        <v>26.602250033712565</v>
      </c>
      <c r="CI191" s="17">
        <f t="shared" si="280"/>
        <v>1.3422380752085416E-2</v>
      </c>
      <c r="CJ191" s="18">
        <f t="shared" si="281"/>
        <v>0.20733678515953144</v>
      </c>
      <c r="CK191" s="19">
        <f t="shared" si="315"/>
        <v>906.44422738864421</v>
      </c>
      <c r="CL191" s="15">
        <f t="shared" si="282"/>
        <v>5.3128884547772885E-6</v>
      </c>
      <c r="CM191" s="16">
        <f t="shared" si="283"/>
        <v>26.313108614969408</v>
      </c>
      <c r="CN191" s="17">
        <f t="shared" si="284"/>
        <v>1.3296531645559391E-2</v>
      </c>
      <c r="CO191" s="18">
        <f t="shared" si="285"/>
        <v>0.20961510404218017</v>
      </c>
      <c r="CP191" s="19">
        <f t="shared" si="316"/>
        <v>862.0944615306978</v>
      </c>
      <c r="CQ191" s="15">
        <f t="shared" si="286"/>
        <v>5.224188923061396E-6</v>
      </c>
      <c r="CR191" s="16">
        <f t="shared" si="287"/>
        <v>25.803086307603024</v>
      </c>
      <c r="CS191" s="17">
        <f t="shared" si="288"/>
        <v>1.3074543900014656E-2</v>
      </c>
      <c r="CT191" s="18">
        <f t="shared" si="289"/>
        <v>0.21375834403091501</v>
      </c>
      <c r="CU191" s="19">
        <f t="shared" si="317"/>
        <v>786.58783528201707</v>
      </c>
      <c r="CV191" s="15">
        <f t="shared" si="290"/>
        <v>5.073175670564035E-6</v>
      </c>
      <c r="CW191" s="16">
        <f t="shared" si="291"/>
        <v>24.934760105743194</v>
      </c>
      <c r="CX191" s="17">
        <f t="shared" si="292"/>
        <v>1.2696604007652625E-2</v>
      </c>
      <c r="CY191" s="18">
        <f t="shared" si="293"/>
        <v>0.22120224845193487</v>
      </c>
      <c r="CZ191" s="20">
        <f t="shared" si="318"/>
        <v>670.62826338960383</v>
      </c>
      <c r="DA191" s="15">
        <f t="shared" si="294"/>
        <v>4.8412565267792082E-6</v>
      </c>
      <c r="DB191" s="16">
        <f t="shared" si="295"/>
        <v>29.767844711394531</v>
      </c>
      <c r="DC191" s="17">
        <f t="shared" si="296"/>
        <v>1.2116181463344708E-2</v>
      </c>
      <c r="DD191" s="18">
        <f t="shared" si="297"/>
        <v>0.18528801979031859</v>
      </c>
    </row>
    <row r="192" spans="2:108" x14ac:dyDescent="0.25">
      <c r="B192">
        <v>173</v>
      </c>
      <c r="C192">
        <f t="shared" si="298"/>
        <v>0.1691273372777285</v>
      </c>
      <c r="D192" s="19">
        <f t="shared" si="215"/>
        <v>1017.1590392416699</v>
      </c>
      <c r="E192" s="15">
        <f t="shared" si="216"/>
        <v>5.5343180784833401E-6</v>
      </c>
      <c r="F192" s="16">
        <f t="shared" si="217"/>
        <v>27.586328951279203</v>
      </c>
      <c r="G192" s="17">
        <f t="shared" si="213"/>
        <v>1.3850702135667158E-2</v>
      </c>
      <c r="H192" s="18">
        <f t="shared" si="218"/>
        <v>0.19994052161638692</v>
      </c>
      <c r="I192" s="19">
        <f t="shared" si="299"/>
        <v>1016.8343720523447</v>
      </c>
      <c r="J192" s="15">
        <f t="shared" si="219"/>
        <v>5.5336687441046901E-6</v>
      </c>
      <c r="K192" s="16">
        <f t="shared" si="220"/>
        <v>27.582595278601964</v>
      </c>
      <c r="L192" s="17">
        <f t="shared" si="221"/>
        <v>1.3849077050708616E-2</v>
      </c>
      <c r="M192" s="18">
        <f t="shared" si="222"/>
        <v>0.19996758623648855</v>
      </c>
      <c r="N192" s="19">
        <f t="shared" si="300"/>
        <v>1015.9282354274341</v>
      </c>
      <c r="O192" s="15">
        <f t="shared" si="223"/>
        <v>5.5318564708548682E-6</v>
      </c>
      <c r="P192" s="16">
        <f t="shared" si="224"/>
        <v>27.572174707415492</v>
      </c>
      <c r="Q192" s="17">
        <f t="shared" si="214"/>
        <v>1.3850702135667158E-2</v>
      </c>
      <c r="R192" s="18">
        <f t="shared" si="225"/>
        <v>0.20004316157610091</v>
      </c>
      <c r="S192" s="19">
        <f t="shared" si="301"/>
        <v>1014.4265918550956</v>
      </c>
      <c r="T192" s="15">
        <f t="shared" si="226"/>
        <v>5.528853183710192E-6</v>
      </c>
      <c r="U192" s="16">
        <f t="shared" si="227"/>
        <v>27.554905806333601</v>
      </c>
      <c r="V192" s="17">
        <f t="shared" si="228"/>
        <v>1.3837025178789686E-2</v>
      </c>
      <c r="W192" s="18">
        <f t="shared" si="229"/>
        <v>0.20016853037952365</v>
      </c>
      <c r="X192" s="19">
        <f t="shared" si="302"/>
        <v>1012.3275057618689</v>
      </c>
      <c r="Y192" s="15">
        <f t="shared" si="230"/>
        <v>5.5246550115237385E-6</v>
      </c>
      <c r="Z192" s="16">
        <f t="shared" si="231"/>
        <v>27.530766316261492</v>
      </c>
      <c r="AA192" s="17">
        <f t="shared" si="232"/>
        <v>1.3826518440354306E-2</v>
      </c>
      <c r="AB192" s="18">
        <f t="shared" si="233"/>
        <v>0.20034404188531821</v>
      </c>
      <c r="AC192" s="19">
        <f t="shared" si="303"/>
        <v>1009.6295164308463</v>
      </c>
      <c r="AD192" s="15">
        <f t="shared" si="234"/>
        <v>5.5192590328616928E-6</v>
      </c>
      <c r="AE192" s="16">
        <f t="shared" si="235"/>
        <v>27.49973943895473</v>
      </c>
      <c r="AF192" s="17">
        <f t="shared" si="236"/>
        <v>1.3813013959383294E-2</v>
      </c>
      <c r="AG192" s="18">
        <f t="shared" si="237"/>
        <v>0.20057008220910075</v>
      </c>
      <c r="AH192" s="19">
        <f t="shared" si="304"/>
        <v>1006.3322950328546</v>
      </c>
      <c r="AI192" s="15">
        <f t="shared" si="238"/>
        <v>5.5126645900657088E-6</v>
      </c>
      <c r="AJ192" s="16">
        <f t="shared" si="239"/>
        <v>27.461821392877827</v>
      </c>
      <c r="AK192" s="17">
        <f t="shared" si="240"/>
        <v>1.3796510089959347E-2</v>
      </c>
      <c r="AL192" s="18">
        <f t="shared" si="241"/>
        <v>0.20084702034477828</v>
      </c>
      <c r="AM192" s="19">
        <f t="shared" si="305"/>
        <v>1002.4357206895089</v>
      </c>
      <c r="AN192" s="15">
        <f t="shared" si="242"/>
        <v>5.5048714413790181E-6</v>
      </c>
      <c r="AO192" s="16">
        <f t="shared" si="243"/>
        <v>27.41701078792935</v>
      </c>
      <c r="AP192" s="17">
        <f t="shared" si="244"/>
        <v>1.3777006227039364E-2</v>
      </c>
      <c r="AQ192" s="18">
        <f t="shared" si="245"/>
        <v>0.20117528649141855</v>
      </c>
      <c r="AR192" s="19">
        <f t="shared" si="306"/>
        <v>997.93971571010297</v>
      </c>
      <c r="AS192" s="15">
        <f t="shared" si="246"/>
        <v>5.4958794314202069E-6</v>
      </c>
      <c r="AT192" s="16">
        <f t="shared" si="247"/>
        <v>27.365306730666184</v>
      </c>
      <c r="AU192" s="17">
        <f t="shared" si="248"/>
        <v>1.3754501981751285E-2</v>
      </c>
      <c r="AV192" s="18">
        <f t="shared" si="249"/>
        <v>0.20155538742122212</v>
      </c>
      <c r="AW192" s="19">
        <f t="shared" si="307"/>
        <v>992.84401872639569</v>
      </c>
      <c r="AX192" s="15">
        <f t="shared" si="250"/>
        <v>5.485688037452792E-6</v>
      </c>
      <c r="AY192" s="16">
        <f t="shared" si="251"/>
        <v>27.30670621535355</v>
      </c>
      <c r="AZ192" s="17">
        <f t="shared" si="252"/>
        <v>1.3728996045845885E-2</v>
      </c>
      <c r="BA192" s="18">
        <f t="shared" si="253"/>
        <v>0.20198792767246196</v>
      </c>
      <c r="BB192" s="19">
        <f t="shared" si="308"/>
        <v>987.14733765901713</v>
      </c>
      <c r="BC192" s="15">
        <f t="shared" si="254"/>
        <v>5.4742946753180351E-6</v>
      </c>
      <c r="BD192" s="16">
        <f t="shared" si="255"/>
        <v>27.241194383078696</v>
      </c>
      <c r="BE192" s="17">
        <f t="shared" si="256"/>
        <v>1.3700481951965765E-2</v>
      </c>
      <c r="BF192" s="18">
        <f t="shared" si="257"/>
        <v>0.20247368461296686</v>
      </c>
      <c r="BG192" s="19">
        <f t="shared" si="309"/>
        <v>980.84367441417032</v>
      </c>
      <c r="BH192" s="15">
        <f t="shared" si="258"/>
        <v>5.4616873488283406E-6</v>
      </c>
      <c r="BI192" s="16">
        <f t="shared" si="259"/>
        <v>27.168702255762959</v>
      </c>
      <c r="BJ192" s="17">
        <f t="shared" si="260"/>
        <v>1.3668929677329661E-2</v>
      </c>
      <c r="BK192" s="18">
        <f t="shared" si="261"/>
        <v>0.20301392933959658</v>
      </c>
      <c r="BL192" s="19">
        <f t="shared" si="310"/>
        <v>973.90765727830535</v>
      </c>
      <c r="BM192" s="15">
        <f t="shared" si="262"/>
        <v>5.4478153145566116E-6</v>
      </c>
      <c r="BN192" s="16">
        <f t="shared" si="263"/>
        <v>27.08893805870051</v>
      </c>
      <c r="BO192" s="17">
        <f t="shared" si="264"/>
        <v>1.363421222669008E-2</v>
      </c>
      <c r="BP192" s="18">
        <f t="shared" si="265"/>
        <v>0.20361170999202291</v>
      </c>
      <c r="BQ192" s="19">
        <f t="shared" si="311"/>
        <v>966.24249308975402</v>
      </c>
      <c r="BR192" s="15">
        <f t="shared" si="266"/>
        <v>5.4324849861795088E-6</v>
      </c>
      <c r="BS192" s="16">
        <f t="shared" si="267"/>
        <v>27.00078867053217</v>
      </c>
      <c r="BT192" s="17">
        <f t="shared" si="268"/>
        <v>1.3595845112805038E-2</v>
      </c>
      <c r="BU192" s="18">
        <f t="shared" si="269"/>
        <v>0.20427644048855445</v>
      </c>
      <c r="BV192" s="19">
        <f t="shared" si="312"/>
        <v>957.51915333406146</v>
      </c>
      <c r="BW192" s="15">
        <f t="shared" si="270"/>
        <v>5.4150383066681231E-6</v>
      </c>
      <c r="BX192" s="16">
        <f t="shared" si="271"/>
        <v>26.900470263341706</v>
      </c>
      <c r="BY192" s="17">
        <f t="shared" si="272"/>
        <v>1.3552181420595487E-2</v>
      </c>
      <c r="BZ192" s="18">
        <f t="shared" si="273"/>
        <v>0.20503823710161498</v>
      </c>
      <c r="CA192" s="19">
        <f t="shared" si="313"/>
        <v>946.75622186478176</v>
      </c>
      <c r="CB192" s="15">
        <f t="shared" si="274"/>
        <v>5.3935124437295643E-6</v>
      </c>
      <c r="CC192" s="16">
        <f t="shared" si="275"/>
        <v>26.776696551444989</v>
      </c>
      <c r="CD192" s="17">
        <f t="shared" si="276"/>
        <v>1.3498308782350437E-2</v>
      </c>
      <c r="CE192" s="18">
        <f t="shared" si="277"/>
        <v>0.20598601434658126</v>
      </c>
      <c r="CF192" s="19">
        <f t="shared" si="314"/>
        <v>931.43628357200794</v>
      </c>
      <c r="CG192" s="15">
        <f t="shared" si="278"/>
        <v>5.362872567144016E-6</v>
      </c>
      <c r="CH192" s="16">
        <f t="shared" si="279"/>
        <v>26.600517261078089</v>
      </c>
      <c r="CI192" s="17">
        <f t="shared" si="280"/>
        <v>1.3421626560974334E-2</v>
      </c>
      <c r="CJ192" s="18">
        <f t="shared" si="281"/>
        <v>0.20735029119416673</v>
      </c>
      <c r="CK192" s="19">
        <f t="shared" si="315"/>
        <v>906.15900533149363</v>
      </c>
      <c r="CL192" s="15">
        <f t="shared" si="282"/>
        <v>5.3123180106629878E-6</v>
      </c>
      <c r="CM192" s="16">
        <f t="shared" si="283"/>
        <v>26.309828561312177</v>
      </c>
      <c r="CN192" s="17">
        <f t="shared" si="284"/>
        <v>1.3295103998756266E-2</v>
      </c>
      <c r="CO192" s="18">
        <f t="shared" si="285"/>
        <v>0.20964123681560445</v>
      </c>
      <c r="CP192" s="19">
        <f t="shared" si="316"/>
        <v>861.63596385380674</v>
      </c>
      <c r="CQ192" s="15">
        <f t="shared" si="286"/>
        <v>5.2232719277076138E-6</v>
      </c>
      <c r="CR192" s="16">
        <f t="shared" si="287"/>
        <v>25.797813584318774</v>
      </c>
      <c r="CS192" s="17">
        <f t="shared" si="288"/>
        <v>1.3072248941661176E-2</v>
      </c>
      <c r="CT192" s="18">
        <f t="shared" si="289"/>
        <v>0.21380203333792125</v>
      </c>
      <c r="CU192" s="19">
        <f t="shared" si="317"/>
        <v>785.9931586796647</v>
      </c>
      <c r="CV192" s="15">
        <f t="shared" si="290"/>
        <v>5.0719863173593293E-6</v>
      </c>
      <c r="CW192" s="16">
        <f t="shared" si="291"/>
        <v>24.927921324816143</v>
      </c>
      <c r="CX192" s="17">
        <f t="shared" si="292"/>
        <v>1.269362742106348E-2</v>
      </c>
      <c r="CY192" s="18">
        <f t="shared" si="293"/>
        <v>0.22126293356474563</v>
      </c>
      <c r="CZ192" s="20">
        <f t="shared" si="318"/>
        <v>670.03616427514407</v>
      </c>
      <c r="DA192" s="15">
        <f t="shared" si="294"/>
        <v>4.8400723285502885E-6</v>
      </c>
      <c r="DB192" s="16">
        <f t="shared" si="295"/>
        <v>29.886738213578013</v>
      </c>
      <c r="DC192" s="17">
        <f t="shared" si="296"/>
        <v>1.211321777808019E-2</v>
      </c>
      <c r="DD192" s="18">
        <f t="shared" si="297"/>
        <v>0.18455091889198419</v>
      </c>
    </row>
    <row r="193" spans="2:108" x14ac:dyDescent="0.25">
      <c r="B193">
        <v>174</v>
      </c>
      <c r="C193">
        <f t="shared" si="298"/>
        <v>0.17010495194407377</v>
      </c>
      <c r="D193" s="19">
        <f t="shared" si="215"/>
        <v>1017.1424633750928</v>
      </c>
      <c r="E193" s="15">
        <f t="shared" si="216"/>
        <v>5.534284926750186E-6</v>
      </c>
      <c r="F193" s="16">
        <f t="shared" si="217"/>
        <v>27.586138328813568</v>
      </c>
      <c r="G193" s="17">
        <f t="shared" si="213"/>
        <v>1.385061916703856E-2</v>
      </c>
      <c r="H193" s="18">
        <f t="shared" si="218"/>
        <v>0.19994190322169741</v>
      </c>
      <c r="I193" s="19">
        <f t="shared" si="299"/>
        <v>1016.817794643185</v>
      </c>
      <c r="J193" s="15">
        <f t="shared" si="219"/>
        <v>5.5336355892863701E-6</v>
      </c>
      <c r="K193" s="16">
        <f t="shared" si="220"/>
        <v>27.582404638396625</v>
      </c>
      <c r="L193" s="17">
        <f t="shared" si="221"/>
        <v>1.3848994074358792E-2</v>
      </c>
      <c r="M193" s="18">
        <f t="shared" si="222"/>
        <v>0.19996896834447372</v>
      </c>
      <c r="N193" s="19">
        <f t="shared" si="300"/>
        <v>1015.9116519218269</v>
      </c>
      <c r="O193" s="15">
        <f t="shared" si="223"/>
        <v>5.5318233038436538E-6</v>
      </c>
      <c r="P193" s="16">
        <f t="shared" si="224"/>
        <v>27.571983997101007</v>
      </c>
      <c r="Q193" s="17">
        <f t="shared" si="214"/>
        <v>1.385061916703856E-2</v>
      </c>
      <c r="R193" s="18">
        <f t="shared" si="225"/>
        <v>0.200044545237656</v>
      </c>
      <c r="S193" s="19">
        <f t="shared" si="301"/>
        <v>1014.4100048503777</v>
      </c>
      <c r="T193" s="15">
        <f t="shared" si="226"/>
        <v>5.5288200097007567E-6</v>
      </c>
      <c r="U193" s="16">
        <f t="shared" si="227"/>
        <v>27.554715055779344</v>
      </c>
      <c r="V193" s="17">
        <f t="shared" si="228"/>
        <v>1.383694215441038E-2</v>
      </c>
      <c r="W193" s="18">
        <f t="shared" si="229"/>
        <v>0.20016991606825377</v>
      </c>
      <c r="X193" s="19">
        <f t="shared" si="302"/>
        <v>1012.310921665517</v>
      </c>
      <c r="Y193" s="15">
        <f t="shared" si="230"/>
        <v>5.5246218433310342E-6</v>
      </c>
      <c r="Z193" s="16">
        <f t="shared" si="231"/>
        <v>27.530575599153444</v>
      </c>
      <c r="AA193" s="17">
        <f t="shared" si="232"/>
        <v>1.3826435430532497E-2</v>
      </c>
      <c r="AB193" s="18">
        <f t="shared" si="233"/>
        <v>0.20034542976172295</v>
      </c>
      <c r="AC193" s="19">
        <f t="shared" si="303"/>
        <v>1009.6129419479607</v>
      </c>
      <c r="AD193" s="15">
        <f t="shared" si="234"/>
        <v>5.5192258838959216E-6</v>
      </c>
      <c r="AE193" s="16">
        <f t="shared" si="235"/>
        <v>27.499548832401548</v>
      </c>
      <c r="AF193" s="17">
        <f t="shared" si="236"/>
        <v>1.3812930997680608E-2</v>
      </c>
      <c r="AG193" s="18">
        <f t="shared" si="237"/>
        <v>0.20057147241271006</v>
      </c>
      <c r="AH193" s="19">
        <f t="shared" si="304"/>
        <v>1006.3157355949617</v>
      </c>
      <c r="AI193" s="15">
        <f t="shared" si="238"/>
        <v>5.5126314711899233E-6</v>
      </c>
      <c r="AJ193" s="16">
        <f t="shared" si="239"/>
        <v>27.46163095934206</v>
      </c>
      <c r="AK193" s="17">
        <f t="shared" si="240"/>
        <v>1.3796427203562674E-2</v>
      </c>
      <c r="AL193" s="18">
        <f t="shared" si="241"/>
        <v>0.20084841312470053</v>
      </c>
      <c r="AM193" s="19">
        <f t="shared" si="305"/>
        <v>1002.4191801448266</v>
      </c>
      <c r="AN193" s="15">
        <f t="shared" si="242"/>
        <v>5.5048383602896535E-6</v>
      </c>
      <c r="AO193" s="16">
        <f t="shared" si="243"/>
        <v>27.416820571665504</v>
      </c>
      <c r="AP193" s="17">
        <f t="shared" si="244"/>
        <v>1.3776923435210522E-2</v>
      </c>
      <c r="AQ193" s="18">
        <f t="shared" si="245"/>
        <v>0.20117668223354243</v>
      </c>
      <c r="AR193" s="19">
        <f t="shared" si="306"/>
        <v>997.92319479030255</v>
      </c>
      <c r="AS193" s="15">
        <f t="shared" si="246"/>
        <v>5.4958463895806051E-6</v>
      </c>
      <c r="AT193" s="16">
        <f t="shared" si="247"/>
        <v>27.365116740088478</v>
      </c>
      <c r="AU193" s="17">
        <f t="shared" si="248"/>
        <v>1.3754419288152572E-2</v>
      </c>
      <c r="AV193" s="18">
        <f t="shared" si="249"/>
        <v>0.20155678678029884</v>
      </c>
      <c r="AW193" s="19">
        <f t="shared" si="307"/>
        <v>992.8275057119439</v>
      </c>
      <c r="AX193" s="15">
        <f t="shared" si="250"/>
        <v>5.4856550114238885E-6</v>
      </c>
      <c r="AY193" s="16">
        <f t="shared" si="251"/>
        <v>27.306516315687354</v>
      </c>
      <c r="AZ193" s="17">
        <f t="shared" si="252"/>
        <v>1.3728913391816502E-2</v>
      </c>
      <c r="BA193" s="18">
        <f t="shared" si="253"/>
        <v>0.20198933237160399</v>
      </c>
      <c r="BB193" s="19">
        <f t="shared" si="308"/>
        <v>987.13076686888553</v>
      </c>
      <c r="BC193" s="15">
        <f t="shared" si="254"/>
        <v>5.474261533737772E-6</v>
      </c>
      <c r="BD193" s="16">
        <f t="shared" si="255"/>
        <v>27.241003818992183</v>
      </c>
      <c r="BE193" s="17">
        <f t="shared" si="256"/>
        <v>1.3700399008746741E-2</v>
      </c>
      <c r="BF193" s="18">
        <f t="shared" si="257"/>
        <v>0.20247510101498373</v>
      </c>
      <c r="BG193" s="19">
        <f t="shared" si="309"/>
        <v>980.82676596336842</v>
      </c>
      <c r="BH193" s="15">
        <f t="shared" si="258"/>
        <v>5.4616535319267369E-6</v>
      </c>
      <c r="BI193" s="16">
        <f t="shared" si="259"/>
        <v>27.168507808578738</v>
      </c>
      <c r="BJ193" s="17">
        <f t="shared" si="260"/>
        <v>1.3668845043988279E-2</v>
      </c>
      <c r="BK193" s="18">
        <f t="shared" si="261"/>
        <v>0.20301538232653263</v>
      </c>
      <c r="BL193" s="19">
        <f t="shared" si="310"/>
        <v>973.88937479335357</v>
      </c>
      <c r="BM193" s="15">
        <f t="shared" si="262"/>
        <v>5.447778749586708E-6</v>
      </c>
      <c r="BN193" s="16">
        <f t="shared" si="263"/>
        <v>27.088727810123565</v>
      </c>
      <c r="BO193" s="17">
        <f t="shared" si="264"/>
        <v>1.3634120715775898E-2</v>
      </c>
      <c r="BP193" s="18">
        <f t="shared" si="265"/>
        <v>0.20361329031992073</v>
      </c>
      <c r="BQ193" s="19">
        <f t="shared" si="311"/>
        <v>966.21947184090516</v>
      </c>
      <c r="BR193" s="15">
        <f t="shared" si="266"/>
        <v>5.4324389436818109E-6</v>
      </c>
      <c r="BS193" s="16">
        <f t="shared" si="267"/>
        <v>27.000523926170409</v>
      </c>
      <c r="BT193" s="17">
        <f t="shared" si="268"/>
        <v>1.3595729882543215E-2</v>
      </c>
      <c r="BU193" s="18">
        <f t="shared" si="269"/>
        <v>0.20427844345101576</v>
      </c>
      <c r="BV193" s="19">
        <f t="shared" si="312"/>
        <v>957.48196180748164</v>
      </c>
      <c r="BW193" s="15">
        <f t="shared" si="270"/>
        <v>5.4149639236149641E-6</v>
      </c>
      <c r="BX193" s="16">
        <f t="shared" si="271"/>
        <v>26.900042560786037</v>
      </c>
      <c r="BY193" s="17">
        <f t="shared" si="272"/>
        <v>1.3551995262608425E-2</v>
      </c>
      <c r="BZ193" s="18">
        <f t="shared" si="273"/>
        <v>0.20504149714768444</v>
      </c>
      <c r="CA193" s="19">
        <f t="shared" si="313"/>
        <v>946.68268283231646</v>
      </c>
      <c r="CB193" s="15">
        <f t="shared" si="274"/>
        <v>5.3933653656646332E-6</v>
      </c>
      <c r="CC193" s="16">
        <f t="shared" si="275"/>
        <v>26.775850852571637</v>
      </c>
      <c r="CD193" s="17">
        <f t="shared" si="276"/>
        <v>1.3497940691026599E-2</v>
      </c>
      <c r="CE193" s="18">
        <f t="shared" si="277"/>
        <v>0.20599252028886553</v>
      </c>
      <c r="CF193" s="19">
        <f t="shared" si="314"/>
        <v>931.28475564979715</v>
      </c>
      <c r="CG193" s="15">
        <f t="shared" si="278"/>
        <v>5.3625695112995949E-6</v>
      </c>
      <c r="CH193" s="16">
        <f t="shared" si="279"/>
        <v>26.598774689972664</v>
      </c>
      <c r="CI193" s="17">
        <f t="shared" si="280"/>
        <v>1.3420868105068472E-2</v>
      </c>
      <c r="CJ193" s="18">
        <f t="shared" si="281"/>
        <v>0.20736387537728598</v>
      </c>
      <c r="CK193" s="19">
        <f t="shared" si="315"/>
        <v>905.87315810254643</v>
      </c>
      <c r="CL193" s="15">
        <f t="shared" si="282"/>
        <v>5.3117463162050931E-6</v>
      </c>
      <c r="CM193" s="16">
        <f t="shared" si="283"/>
        <v>26.306541318179285</v>
      </c>
      <c r="CN193" s="17">
        <f t="shared" si="284"/>
        <v>1.32936732227263E-2</v>
      </c>
      <c r="CO193" s="18">
        <f t="shared" si="285"/>
        <v>0.20966743340708177</v>
      </c>
      <c r="CP193" s="19">
        <f t="shared" si="316"/>
        <v>861.17789439840419</v>
      </c>
      <c r="CQ193" s="15">
        <f t="shared" si="286"/>
        <v>5.2223557887968093E-6</v>
      </c>
      <c r="CR193" s="16">
        <f t="shared" si="287"/>
        <v>25.792545785581648</v>
      </c>
      <c r="CS193" s="17">
        <f t="shared" si="288"/>
        <v>1.306995612672201E-2</v>
      </c>
      <c r="CT193" s="18">
        <f t="shared" si="289"/>
        <v>0.21384569967821102</v>
      </c>
      <c r="CU193" s="19">
        <f t="shared" si="317"/>
        <v>785.4003539694977</v>
      </c>
      <c r="CV193" s="15">
        <f t="shared" si="290"/>
        <v>5.0708007079389961E-6</v>
      </c>
      <c r="CW193" s="16">
        <f t="shared" si="291"/>
        <v>24.921104070649221</v>
      </c>
      <c r="CX193" s="17">
        <f t="shared" si="292"/>
        <v>1.269066020401932E-2</v>
      </c>
      <c r="CY193" s="18">
        <f t="shared" si="293"/>
        <v>0.22132346080509394</v>
      </c>
      <c r="CZ193" s="20">
        <f t="shared" si="318"/>
        <v>669.44641404352944</v>
      </c>
      <c r="DA193" s="15">
        <f t="shared" si="294"/>
        <v>4.8388928280870599E-6</v>
      </c>
      <c r="DB193" s="16">
        <f t="shared" si="295"/>
        <v>30.005160060086183</v>
      </c>
      <c r="DC193" s="17">
        <f t="shared" si="296"/>
        <v>1.2110265849883549E-2</v>
      </c>
      <c r="DD193" s="18">
        <f t="shared" si="297"/>
        <v>0.18382254882009644</v>
      </c>
    </row>
    <row r="194" spans="2:108" x14ac:dyDescent="0.25">
      <c r="B194">
        <v>175</v>
      </c>
      <c r="C194">
        <f t="shared" si="298"/>
        <v>0.17108256661041901</v>
      </c>
      <c r="D194" s="19">
        <f t="shared" si="215"/>
        <v>1017.1258874297592</v>
      </c>
      <c r="E194" s="15">
        <f t="shared" si="216"/>
        <v>5.5342517748595193E-6</v>
      </c>
      <c r="F194" s="16">
        <f t="shared" si="217"/>
        <v>27.58594770544223</v>
      </c>
      <c r="G194" s="17">
        <f t="shared" si="213"/>
        <v>1.3850536198015755E-2</v>
      </c>
      <c r="H194" s="18">
        <f t="shared" si="218"/>
        <v>0.19994328485266658</v>
      </c>
      <c r="I194" s="19">
        <f t="shared" si="299"/>
        <v>1016.8012172173527</v>
      </c>
      <c r="J194" s="15">
        <f t="shared" si="219"/>
        <v>5.5336024344347066E-6</v>
      </c>
      <c r="K194" s="16">
        <f t="shared" si="220"/>
        <v>27.582213997999553</v>
      </c>
      <c r="L194" s="17">
        <f t="shared" si="221"/>
        <v>1.384891109792552E-2</v>
      </c>
      <c r="M194" s="18">
        <f t="shared" si="222"/>
        <v>0.19997035047295442</v>
      </c>
      <c r="N194" s="19">
        <f t="shared" si="300"/>
        <v>1015.8950685183282</v>
      </c>
      <c r="O194" s="15">
        <f t="shared" si="223"/>
        <v>5.5317901370366573E-6</v>
      </c>
      <c r="P194" s="16">
        <f t="shared" si="224"/>
        <v>27.571793287960773</v>
      </c>
      <c r="Q194" s="17">
        <f t="shared" si="214"/>
        <v>1.3850536198015755E-2</v>
      </c>
      <c r="R194" s="18">
        <f t="shared" si="225"/>
        <v>0.20004592890983258</v>
      </c>
      <c r="S194" s="19">
        <f t="shared" si="301"/>
        <v>1014.3934180324038</v>
      </c>
      <c r="T194" s="15">
        <f t="shared" si="226"/>
        <v>5.5287868360648086E-6</v>
      </c>
      <c r="U194" s="16">
        <f t="shared" si="227"/>
        <v>27.554524307372645</v>
      </c>
      <c r="V194" s="17">
        <f t="shared" si="228"/>
        <v>1.3836859130965801E-2</v>
      </c>
      <c r="W194" s="18">
        <f t="shared" si="229"/>
        <v>0.20017130176056816</v>
      </c>
      <c r="X194" s="19">
        <f t="shared" si="302"/>
        <v>1012.2943377831072</v>
      </c>
      <c r="Y194" s="15">
        <f t="shared" si="230"/>
        <v>5.5245886755662154E-6</v>
      </c>
      <c r="Z194" s="16">
        <f t="shared" si="231"/>
        <v>27.530384884505729</v>
      </c>
      <c r="AA194" s="17">
        <f t="shared" si="232"/>
        <v>1.3826352421781556E-2</v>
      </c>
      <c r="AB194" s="18">
        <f t="shared" si="233"/>
        <v>0.20034681763945217</v>
      </c>
      <c r="AC194" s="19">
        <f t="shared" si="303"/>
        <v>1009.596367673774</v>
      </c>
      <c r="AD194" s="15">
        <f t="shared" si="234"/>
        <v>5.5191927353475487E-6</v>
      </c>
      <c r="AE194" s="16">
        <f t="shared" si="235"/>
        <v>27.499358228248401</v>
      </c>
      <c r="AF194" s="17">
        <f t="shared" si="236"/>
        <v>1.3812848037022539E-2</v>
      </c>
      <c r="AG194" s="18">
        <f t="shared" si="237"/>
        <v>0.20057286261808602</v>
      </c>
      <c r="AH194" s="19">
        <f t="shared" si="304"/>
        <v>1006.299176348745</v>
      </c>
      <c r="AI194" s="15">
        <f t="shared" si="238"/>
        <v>5.5125983526974905E-6</v>
      </c>
      <c r="AJ194" s="16">
        <f t="shared" si="239"/>
        <v>27.461440528010566</v>
      </c>
      <c r="AK194" s="17">
        <f t="shared" si="240"/>
        <v>1.3796344318125415E-2</v>
      </c>
      <c r="AL194" s="18">
        <f t="shared" si="241"/>
        <v>0.20084980590781765</v>
      </c>
      <c r="AM194" s="19">
        <f t="shared" si="305"/>
        <v>1002.4026397475678</v>
      </c>
      <c r="AN194" s="15">
        <f t="shared" si="242"/>
        <v>5.5048052794951361E-6</v>
      </c>
      <c r="AO194" s="16">
        <f t="shared" si="243"/>
        <v>27.416630357097027</v>
      </c>
      <c r="AP194" s="17">
        <f t="shared" si="244"/>
        <v>1.3776840644119593E-2</v>
      </c>
      <c r="AQ194" s="18">
        <f t="shared" si="245"/>
        <v>0.20117807798259327</v>
      </c>
      <c r="AR194" s="19">
        <f t="shared" si="306"/>
        <v>997.90667383202981</v>
      </c>
      <c r="AS194" s="15">
        <f t="shared" si="246"/>
        <v>5.4958133476640605E-6</v>
      </c>
      <c r="AT194" s="16">
        <f t="shared" si="247"/>
        <v>27.364926749068342</v>
      </c>
      <c r="AU194" s="17">
        <f t="shared" si="248"/>
        <v>1.3754336594361292E-2</v>
      </c>
      <c r="AV194" s="18">
        <f t="shared" si="249"/>
        <v>0.20155818616206539</v>
      </c>
      <c r="AW194" s="19">
        <f t="shared" si="307"/>
        <v>992.81099185526466</v>
      </c>
      <c r="AX194" s="15">
        <f t="shared" si="250"/>
        <v>5.4856219837105296E-6</v>
      </c>
      <c r="AY194" s="16">
        <f t="shared" si="251"/>
        <v>27.306326406335543</v>
      </c>
      <c r="AZ194" s="17">
        <f t="shared" si="252"/>
        <v>1.3728830733571446E-2</v>
      </c>
      <c r="BA194" s="18">
        <f t="shared" si="253"/>
        <v>0.20199073716193031</v>
      </c>
      <c r="BB194" s="19">
        <f t="shared" si="308"/>
        <v>987.11419206458481</v>
      </c>
      <c r="BC194" s="15">
        <f t="shared" si="254"/>
        <v>5.4742283841291705E-6</v>
      </c>
      <c r="BD194" s="16">
        <f t="shared" si="255"/>
        <v>27.240813208742722</v>
      </c>
      <c r="BE194" s="17">
        <f t="shared" si="256"/>
        <v>1.3700316045435248E-2</v>
      </c>
      <c r="BF194" s="18">
        <f t="shared" si="257"/>
        <v>0.20247651777993925</v>
      </c>
      <c r="BG194" s="19">
        <f t="shared" si="309"/>
        <v>980.80984235036851</v>
      </c>
      <c r="BH194" s="15">
        <f t="shared" si="258"/>
        <v>5.461619684700737E-6</v>
      </c>
      <c r="BI194" s="16">
        <f t="shared" si="259"/>
        <v>27.168313187029238</v>
      </c>
      <c r="BJ194" s="17">
        <f t="shared" si="260"/>
        <v>1.3668760334754223E-2</v>
      </c>
      <c r="BK194" s="18">
        <f t="shared" si="261"/>
        <v>0.20301683663722203</v>
      </c>
      <c r="BL194" s="19">
        <f t="shared" si="310"/>
        <v>973.87104294858625</v>
      </c>
      <c r="BM194" s="15">
        <f t="shared" si="262"/>
        <v>5.4477420858971727E-6</v>
      </c>
      <c r="BN194" s="16">
        <f t="shared" si="263"/>
        <v>27.08851699390874</v>
      </c>
      <c r="BO194" s="17">
        <f t="shared" si="264"/>
        <v>1.3634028957796732E-2</v>
      </c>
      <c r="BP194" s="18">
        <f t="shared" si="265"/>
        <v>0.20361487493908476</v>
      </c>
      <c r="BQ194" s="19">
        <f t="shared" si="311"/>
        <v>966.19631224182558</v>
      </c>
      <c r="BR194" s="15">
        <f t="shared" si="266"/>
        <v>5.4323926244836518E-6</v>
      </c>
      <c r="BS194" s="16">
        <f t="shared" si="267"/>
        <v>27.000257590780993</v>
      </c>
      <c r="BT194" s="17">
        <f t="shared" si="268"/>
        <v>1.3595613959784933E-2</v>
      </c>
      <c r="BU194" s="18">
        <f t="shared" si="269"/>
        <v>0.20428045849026502</v>
      </c>
      <c r="BV194" s="19">
        <f t="shared" si="312"/>
        <v>957.4444445556835</v>
      </c>
      <c r="BW194" s="15">
        <f t="shared" si="270"/>
        <v>5.4148888891113673E-6</v>
      </c>
      <c r="BX194" s="16">
        <f t="shared" si="271"/>
        <v>26.89961111239036</v>
      </c>
      <c r="BY194" s="17">
        <f t="shared" si="272"/>
        <v>1.3551807474240559E-2</v>
      </c>
      <c r="BZ194" s="18">
        <f t="shared" si="273"/>
        <v>0.20504478585043265</v>
      </c>
      <c r="CA194" s="19">
        <f t="shared" si="313"/>
        <v>946.60852885402824</v>
      </c>
      <c r="CB194" s="15">
        <f t="shared" si="274"/>
        <v>5.3932170577080567E-6</v>
      </c>
      <c r="CC194" s="16">
        <f t="shared" si="275"/>
        <v>26.774998081821323</v>
      </c>
      <c r="CD194" s="17">
        <f t="shared" si="276"/>
        <v>1.3497569521660877E-2</v>
      </c>
      <c r="CE194" s="18">
        <f t="shared" si="277"/>
        <v>0.2059990810510941</v>
      </c>
      <c r="CF194" s="19">
        <f t="shared" si="314"/>
        <v>931.13238201922013</v>
      </c>
      <c r="CG194" s="15">
        <f t="shared" si="278"/>
        <v>5.3622647640384409E-6</v>
      </c>
      <c r="CH194" s="16">
        <f t="shared" si="279"/>
        <v>26.597022393221032</v>
      </c>
      <c r="CI194" s="17">
        <f t="shared" si="280"/>
        <v>1.3420105416064868E-2</v>
      </c>
      <c r="CJ194" s="18">
        <f t="shared" si="281"/>
        <v>0.20737753717144689</v>
      </c>
      <c r="CK194" s="19">
        <f t="shared" si="315"/>
        <v>905.58669746201917</v>
      </c>
      <c r="CL194" s="15">
        <f t="shared" si="282"/>
        <v>5.3111733949240392E-6</v>
      </c>
      <c r="CM194" s="16">
        <f t="shared" si="283"/>
        <v>26.30324702081322</v>
      </c>
      <c r="CN194" s="17">
        <f t="shared" si="284"/>
        <v>1.3292239376333928E-2</v>
      </c>
      <c r="CO194" s="18">
        <f t="shared" si="285"/>
        <v>0.20969369278384525</v>
      </c>
      <c r="CP194" s="19">
        <f t="shared" si="316"/>
        <v>860.72025929829283</v>
      </c>
      <c r="CQ194" s="15">
        <f t="shared" si="286"/>
        <v>5.221440518596586E-6</v>
      </c>
      <c r="CR194" s="16">
        <f t="shared" si="287"/>
        <v>25.787282981930367</v>
      </c>
      <c r="CS194" s="17">
        <f t="shared" si="288"/>
        <v>1.3067665485899209E-2</v>
      </c>
      <c r="CT194" s="18">
        <f t="shared" si="289"/>
        <v>0.21388934242761837</v>
      </c>
      <c r="CU194" s="19">
        <f t="shared" si="317"/>
        <v>784.80940846127396</v>
      </c>
      <c r="CV194" s="15">
        <f t="shared" si="290"/>
        <v>5.0696188169225487E-6</v>
      </c>
      <c r="CW194" s="16">
        <f t="shared" si="291"/>
        <v>24.914308197304649</v>
      </c>
      <c r="CX194" s="17">
        <f t="shared" si="292"/>
        <v>1.2687702293000563E-2</v>
      </c>
      <c r="CY194" s="18">
        <f t="shared" si="293"/>
        <v>0.2213838311832679</v>
      </c>
      <c r="CZ194" s="20">
        <f t="shared" si="318"/>
        <v>668.85899053536048</v>
      </c>
      <c r="DA194" s="15">
        <f t="shared" si="294"/>
        <v>4.8377179810707215E-6</v>
      </c>
      <c r="DB194" s="16">
        <f t="shared" si="295"/>
        <v>30.123114700526457</v>
      </c>
      <c r="DC194" s="17">
        <f t="shared" si="296"/>
        <v>1.2107325567838405E-2</v>
      </c>
      <c r="DD194" s="18">
        <f t="shared" si="297"/>
        <v>0.18310274534471047</v>
      </c>
    </row>
    <row r="195" spans="2:108" x14ac:dyDescent="0.25">
      <c r="B195">
        <v>176</v>
      </c>
      <c r="C195">
        <f t="shared" si="298"/>
        <v>0.17206018127676426</v>
      </c>
      <c r="D195" s="19">
        <f t="shared" si="215"/>
        <v>1017.1093114088388</v>
      </c>
      <c r="E195" s="15">
        <f t="shared" si="216"/>
        <v>5.5342186228176785E-6</v>
      </c>
      <c r="F195" s="16">
        <f t="shared" si="217"/>
        <v>27.585757081201645</v>
      </c>
      <c r="G195" s="17">
        <f t="shared" si="213"/>
        <v>1.3850453228614607E-2</v>
      </c>
      <c r="H195" s="18">
        <f t="shared" si="218"/>
        <v>0.19994466650903087</v>
      </c>
      <c r="I195" s="19">
        <f t="shared" si="299"/>
        <v>1016.7846397768875</v>
      </c>
      <c r="J195" s="15">
        <f t="shared" si="219"/>
        <v>5.5335692795537756E-6</v>
      </c>
      <c r="K195" s="16">
        <f t="shared" si="220"/>
        <v>27.582023357434206</v>
      </c>
      <c r="L195" s="17">
        <f t="shared" si="221"/>
        <v>1.3848828121419002E-2</v>
      </c>
      <c r="M195" s="18">
        <f t="shared" si="222"/>
        <v>0.19997173262176102</v>
      </c>
      <c r="N195" s="19">
        <f t="shared" si="300"/>
        <v>1015.8784852171697</v>
      </c>
      <c r="O195" s="15">
        <f t="shared" si="223"/>
        <v>5.5317569704343404E-6</v>
      </c>
      <c r="P195" s="16">
        <f t="shared" si="224"/>
        <v>27.57160257999745</v>
      </c>
      <c r="Q195" s="17">
        <f t="shared" si="214"/>
        <v>1.3850453228614607E-2</v>
      </c>
      <c r="R195" s="18">
        <f t="shared" si="225"/>
        <v>0.20004731259261138</v>
      </c>
      <c r="S195" s="19">
        <f t="shared" si="301"/>
        <v>1014.376831400636</v>
      </c>
      <c r="T195" s="15">
        <f t="shared" si="226"/>
        <v>5.5287536628012722E-6</v>
      </c>
      <c r="U195" s="16">
        <f t="shared" si="227"/>
        <v>27.554333561107313</v>
      </c>
      <c r="V195" s="17">
        <f t="shared" si="228"/>
        <v>1.3836776108453254E-2</v>
      </c>
      <c r="W195" s="18">
        <f t="shared" si="229"/>
        <v>0.20017268745651151</v>
      </c>
      <c r="X195" s="19">
        <f t="shared" si="302"/>
        <v>1012.277754114226</v>
      </c>
      <c r="Y195" s="15">
        <f t="shared" si="230"/>
        <v>5.5245555082284528E-6</v>
      </c>
      <c r="Z195" s="16">
        <f t="shared" si="231"/>
        <v>27.5301941723136</v>
      </c>
      <c r="AA195" s="17">
        <f t="shared" si="232"/>
        <v>1.3826269414099404E-2</v>
      </c>
      <c r="AB195" s="18">
        <f t="shared" si="233"/>
        <v>0.2003482055185401</v>
      </c>
      <c r="AC195" s="19">
        <f t="shared" si="303"/>
        <v>1009.5797936080899</v>
      </c>
      <c r="AD195" s="15">
        <f t="shared" si="234"/>
        <v>5.5191595872161794E-6</v>
      </c>
      <c r="AE195" s="16">
        <f t="shared" si="235"/>
        <v>27.499167626493033</v>
      </c>
      <c r="AF195" s="17">
        <f t="shared" si="236"/>
        <v>1.3812765077408105E-2</v>
      </c>
      <c r="AG195" s="18">
        <f t="shared" si="237"/>
        <v>0.20057425282524477</v>
      </c>
      <c r="AH195" s="19">
        <f t="shared" si="304"/>
        <v>1006.2826172937557</v>
      </c>
      <c r="AI195" s="15">
        <f t="shared" si="238"/>
        <v>5.5125652345875116E-6</v>
      </c>
      <c r="AJ195" s="16">
        <f t="shared" si="239"/>
        <v>27.461250098878189</v>
      </c>
      <c r="AK195" s="17">
        <f t="shared" si="240"/>
        <v>1.379626143364532E-2</v>
      </c>
      <c r="AL195" s="18">
        <f t="shared" si="241"/>
        <v>0.20085119869416712</v>
      </c>
      <c r="AM195" s="19">
        <f t="shared" si="305"/>
        <v>1002.38609949555</v>
      </c>
      <c r="AN195" s="15">
        <f t="shared" si="242"/>
        <v>5.5047721989911009E-6</v>
      </c>
      <c r="AO195" s="16">
        <f t="shared" si="243"/>
        <v>27.416440144198823</v>
      </c>
      <c r="AP195" s="17">
        <f t="shared" si="244"/>
        <v>1.3776757853755652E-2</v>
      </c>
      <c r="AQ195" s="18">
        <f t="shared" si="245"/>
        <v>0.20117947373875517</v>
      </c>
      <c r="AR195" s="19">
        <f t="shared" si="306"/>
        <v>997.8901528259214</v>
      </c>
      <c r="AS195" s="15">
        <f t="shared" si="246"/>
        <v>5.4957803056518427E-6</v>
      </c>
      <c r="AT195" s="16">
        <f t="shared" si="247"/>
        <v>27.364736757498093</v>
      </c>
      <c r="AU195" s="17">
        <f t="shared" si="248"/>
        <v>1.3754253900330573E-2</v>
      </c>
      <c r="AV195" s="18">
        <f t="shared" si="249"/>
        <v>0.20155958556731549</v>
      </c>
      <c r="AW195" s="19">
        <f t="shared" si="307"/>
        <v>992.79447712075898</v>
      </c>
      <c r="AX195" s="15">
        <f t="shared" si="250"/>
        <v>5.4855889542415187E-6</v>
      </c>
      <c r="AY195" s="16">
        <f t="shared" si="251"/>
        <v>27.306136486888725</v>
      </c>
      <c r="AZ195" s="17">
        <f t="shared" si="252"/>
        <v>1.3728748070932528E-2</v>
      </c>
      <c r="BA195" s="18">
        <f t="shared" si="253"/>
        <v>0.20199214204647276</v>
      </c>
      <c r="BB195" s="19">
        <f t="shared" si="308"/>
        <v>987.09761312683838</v>
      </c>
      <c r="BC195" s="15">
        <f t="shared" si="254"/>
        <v>5.4741952262536773E-6</v>
      </c>
      <c r="BD195" s="16">
        <f t="shared" si="255"/>
        <v>27.240622550958641</v>
      </c>
      <c r="BE195" s="17">
        <f t="shared" si="256"/>
        <v>1.3700233061434258E-2</v>
      </c>
      <c r="BF195" s="18">
        <f t="shared" si="257"/>
        <v>0.20247793491804381</v>
      </c>
      <c r="BG195" s="19">
        <f t="shared" si="309"/>
        <v>980.79290323135785</v>
      </c>
      <c r="BH195" s="15">
        <f t="shared" si="258"/>
        <v>5.4615858064627162E-6</v>
      </c>
      <c r="BI195" s="16">
        <f t="shared" si="259"/>
        <v>27.168118387160614</v>
      </c>
      <c r="BJ195" s="17">
        <f t="shared" si="260"/>
        <v>1.3668675547906585E-2</v>
      </c>
      <c r="BK195" s="18">
        <f t="shared" si="261"/>
        <v>0.203018292301267</v>
      </c>
      <c r="BL195" s="19">
        <f t="shared" si="310"/>
        <v>973.85266092561699</v>
      </c>
      <c r="BM195" s="15">
        <f t="shared" si="262"/>
        <v>5.4477053218512347E-6</v>
      </c>
      <c r="BN195" s="16">
        <f t="shared" si="263"/>
        <v>27.088305600644595</v>
      </c>
      <c r="BO195" s="17">
        <f t="shared" si="264"/>
        <v>1.3633936948656243E-2</v>
      </c>
      <c r="BP195" s="18">
        <f t="shared" si="265"/>
        <v>0.20361646392045835</v>
      </c>
      <c r="BQ195" s="19">
        <f t="shared" si="311"/>
        <v>966.17301280851859</v>
      </c>
      <c r="BR195" s="15">
        <f t="shared" si="266"/>
        <v>5.4323460256170381E-6</v>
      </c>
      <c r="BS195" s="16">
        <f t="shared" si="267"/>
        <v>26.999989647297962</v>
      </c>
      <c r="BT195" s="17">
        <f t="shared" si="268"/>
        <v>1.3595497337102216E-2</v>
      </c>
      <c r="BU195" s="18">
        <f t="shared" si="269"/>
        <v>0.20428248573613728</v>
      </c>
      <c r="BV195" s="19">
        <f t="shared" si="312"/>
        <v>957.40659997012074</v>
      </c>
      <c r="BW195" s="15">
        <f t="shared" si="270"/>
        <v>5.4148131999402425E-6</v>
      </c>
      <c r="BX195" s="16">
        <f t="shared" si="271"/>
        <v>26.899175899656388</v>
      </c>
      <c r="BY195" s="17">
        <f t="shared" si="272"/>
        <v>1.3551618047440494E-2</v>
      </c>
      <c r="BZ195" s="18">
        <f t="shared" si="273"/>
        <v>0.20504810335362195</v>
      </c>
      <c r="CA195" s="19">
        <f t="shared" si="313"/>
        <v>946.53376051334214</v>
      </c>
      <c r="CB195" s="15">
        <f t="shared" si="274"/>
        <v>5.3930675210266844E-6</v>
      </c>
      <c r="CC195" s="16">
        <f t="shared" si="275"/>
        <v>26.774138245903433</v>
      </c>
      <c r="CD195" s="17">
        <f t="shared" si="276"/>
        <v>1.3497195277173539E-2</v>
      </c>
      <c r="CE195" s="18">
        <f t="shared" si="277"/>
        <v>0.20600569659208046</v>
      </c>
      <c r="CF195" s="19">
        <f t="shared" si="314"/>
        <v>930.97916901257622</v>
      </c>
      <c r="CG195" s="15">
        <f t="shared" si="278"/>
        <v>5.3619583380251534E-6</v>
      </c>
      <c r="CH195" s="16">
        <f t="shared" si="279"/>
        <v>26.595260443644626</v>
      </c>
      <c r="CI195" s="17">
        <f t="shared" si="280"/>
        <v>1.3419338525659134E-2</v>
      </c>
      <c r="CJ195" s="18">
        <f t="shared" si="281"/>
        <v>0.20739127603911278</v>
      </c>
      <c r="CK195" s="19">
        <f t="shared" si="315"/>
        <v>905.29963501965233</v>
      </c>
      <c r="CL195" s="15">
        <f t="shared" si="282"/>
        <v>5.3105992700393054E-6</v>
      </c>
      <c r="CM195" s="16">
        <f t="shared" si="283"/>
        <v>26.299945802726</v>
      </c>
      <c r="CN195" s="17">
        <f t="shared" si="284"/>
        <v>1.3290802517690397E-2</v>
      </c>
      <c r="CO195" s="18">
        <f t="shared" si="285"/>
        <v>0.20972001392597178</v>
      </c>
      <c r="CP195" s="19">
        <f t="shared" si="316"/>
        <v>860.26306449859851</v>
      </c>
      <c r="CQ195" s="15">
        <f t="shared" si="286"/>
        <v>5.2205261289971976E-6</v>
      </c>
      <c r="CR195" s="16">
        <f t="shared" si="287"/>
        <v>25.782025241733884</v>
      </c>
      <c r="CS195" s="17">
        <f t="shared" si="288"/>
        <v>1.3065377048950432E-2</v>
      </c>
      <c r="CT195" s="18">
        <f t="shared" si="289"/>
        <v>0.21393296097902142</v>
      </c>
      <c r="CU195" s="19">
        <f t="shared" si="317"/>
        <v>784.2203095830788</v>
      </c>
      <c r="CV195" s="15">
        <f t="shared" si="290"/>
        <v>5.0684406191661579E-6</v>
      </c>
      <c r="CW195" s="16">
        <f t="shared" si="291"/>
        <v>24.907533560205405</v>
      </c>
      <c r="CX195" s="17">
        <f t="shared" si="292"/>
        <v>1.2684753625079918E-2</v>
      </c>
      <c r="CY195" s="18">
        <f t="shared" si="293"/>
        <v>0.22144404570078655</v>
      </c>
      <c r="CZ195" s="20">
        <f t="shared" si="318"/>
        <v>668.27387194169887</v>
      </c>
      <c r="DA195" s="15">
        <f t="shared" si="294"/>
        <v>4.836547743883398E-6</v>
      </c>
      <c r="DB195" s="16">
        <f t="shared" si="295"/>
        <v>30.240606514133674</v>
      </c>
      <c r="DC195" s="17">
        <f t="shared" si="296"/>
        <v>1.2104396822782583E-2</v>
      </c>
      <c r="DD195" s="18">
        <f t="shared" si="297"/>
        <v>0.18239134844805907</v>
      </c>
    </row>
    <row r="196" spans="2:108" x14ac:dyDescent="0.25">
      <c r="B196">
        <v>177</v>
      </c>
      <c r="C196">
        <f t="shared" si="298"/>
        <v>0.1730377959431095</v>
      </c>
      <c r="D196" s="19">
        <f t="shared" si="215"/>
        <v>1017.0927353154436</v>
      </c>
      <c r="E196" s="15">
        <f t="shared" si="216"/>
        <v>5.5341854706308883E-6</v>
      </c>
      <c r="F196" s="16">
        <f t="shared" si="217"/>
        <v>27.585566456127601</v>
      </c>
      <c r="G196" s="17">
        <f t="shared" si="213"/>
        <v>1.3850370258850699E-2</v>
      </c>
      <c r="H196" s="18">
        <f t="shared" si="218"/>
        <v>0.19994604819053155</v>
      </c>
      <c r="I196" s="19">
        <f t="shared" si="299"/>
        <v>1016.7680623237993</v>
      </c>
      <c r="J196" s="15">
        <f t="shared" si="219"/>
        <v>5.5335361246475988E-6</v>
      </c>
      <c r="K196" s="16">
        <f t="shared" si="220"/>
        <v>27.581832716723689</v>
      </c>
      <c r="L196" s="17">
        <f t="shared" si="221"/>
        <v>1.38487451448493E-2</v>
      </c>
      <c r="M196" s="18">
        <f t="shared" si="222"/>
        <v>0.19997311479072644</v>
      </c>
      <c r="N196" s="19">
        <f t="shared" si="300"/>
        <v>1015.861902018588</v>
      </c>
      <c r="O196" s="15">
        <f t="shared" si="223"/>
        <v>5.5317238040371766E-6</v>
      </c>
      <c r="P196" s="16">
        <f t="shared" si="224"/>
        <v>27.571411873213762</v>
      </c>
      <c r="Q196" s="17">
        <f t="shared" si="214"/>
        <v>1.3850370258850699E-2</v>
      </c>
      <c r="R196" s="18">
        <f t="shared" si="225"/>
        <v>0.20004869628597263</v>
      </c>
      <c r="S196" s="19">
        <f t="shared" si="301"/>
        <v>1014.3602449545472</v>
      </c>
      <c r="T196" s="15">
        <f t="shared" si="226"/>
        <v>5.5287204899090944E-6</v>
      </c>
      <c r="U196" s="16">
        <f t="shared" si="227"/>
        <v>27.55414281697729</v>
      </c>
      <c r="V196" s="17">
        <f t="shared" si="228"/>
        <v>1.3836693086870104E-2</v>
      </c>
      <c r="W196" s="18">
        <f t="shared" si="229"/>
        <v>0.20017407315612759</v>
      </c>
      <c r="X196" s="19">
        <f t="shared" si="302"/>
        <v>1012.2611706584621</v>
      </c>
      <c r="Y196" s="15">
        <f t="shared" si="230"/>
        <v>5.5245223413169248E-6</v>
      </c>
      <c r="Z196" s="16">
        <f t="shared" si="231"/>
        <v>27.530003462572314</v>
      </c>
      <c r="AA196" s="17">
        <f t="shared" si="232"/>
        <v>1.3826186407483988E-2</v>
      </c>
      <c r="AB196" s="18">
        <f t="shared" si="233"/>
        <v>0.20034959339902089</v>
      </c>
      <c r="AC196" s="19">
        <f t="shared" si="303"/>
        <v>1009.5632197507056</v>
      </c>
      <c r="AD196" s="15">
        <f t="shared" si="234"/>
        <v>5.5191264395014114E-6</v>
      </c>
      <c r="AE196" s="16">
        <f t="shared" si="235"/>
        <v>27.498977027133115</v>
      </c>
      <c r="AF196" s="17">
        <f t="shared" si="236"/>
        <v>1.3812682118836296E-2</v>
      </c>
      <c r="AG196" s="18">
        <f t="shared" si="237"/>
        <v>0.20057564303420297</v>
      </c>
      <c r="AH196" s="19">
        <f t="shared" si="304"/>
        <v>1006.266058429522</v>
      </c>
      <c r="AI196" s="15">
        <f t="shared" si="238"/>
        <v>5.5125321168590449E-6</v>
      </c>
      <c r="AJ196" s="16">
        <f t="shared" si="239"/>
        <v>27.461059671939502</v>
      </c>
      <c r="AK196" s="17">
        <f t="shared" si="240"/>
        <v>1.3796178550120032E-2</v>
      </c>
      <c r="AL196" s="18">
        <f t="shared" si="241"/>
        <v>0.20085259148378837</v>
      </c>
      <c r="AM196" s="19">
        <f t="shared" si="305"/>
        <v>1002.3695593865065</v>
      </c>
      <c r="AN196" s="15">
        <f t="shared" si="242"/>
        <v>5.5047391187730139E-6</v>
      </c>
      <c r="AO196" s="16">
        <f t="shared" si="243"/>
        <v>27.416249932944822</v>
      </c>
      <c r="AP196" s="17">
        <f t="shared" si="244"/>
        <v>1.377667506410735E-2</v>
      </c>
      <c r="AQ196" s="18">
        <f t="shared" si="245"/>
        <v>0.20118086950221928</v>
      </c>
      <c r="AR196" s="19">
        <f t="shared" si="306"/>
        <v>997.8736317623227</v>
      </c>
      <c r="AS196" s="15">
        <f t="shared" si="246"/>
        <v>5.4957472635246461E-6</v>
      </c>
      <c r="AT196" s="16">
        <f t="shared" si="247"/>
        <v>27.364546765266709</v>
      </c>
      <c r="AU196" s="17">
        <f t="shared" si="248"/>
        <v>1.3754171206012097E-2</v>
      </c>
      <c r="AV196" s="18">
        <f t="shared" si="249"/>
        <v>0.20156098499686742</v>
      </c>
      <c r="AW196" s="19">
        <f t="shared" si="307"/>
        <v>992.77796147195454</v>
      </c>
      <c r="AX196" s="15">
        <f t="shared" si="250"/>
        <v>5.4855559229439094E-6</v>
      </c>
      <c r="AY196" s="16">
        <f t="shared" si="251"/>
        <v>27.305946556927477</v>
      </c>
      <c r="AZ196" s="17">
        <f t="shared" si="252"/>
        <v>1.3728665403717191E-2</v>
      </c>
      <c r="BA196" s="18">
        <f t="shared" si="253"/>
        <v>0.20199354702833747</v>
      </c>
      <c r="BB196" s="19">
        <f t="shared" si="308"/>
        <v>987.08102993422654</v>
      </c>
      <c r="BC196" s="15">
        <f t="shared" si="254"/>
        <v>5.4741620598684541E-6</v>
      </c>
      <c r="BD196" s="16">
        <f t="shared" si="255"/>
        <v>27.240431844243602</v>
      </c>
      <c r="BE196" s="17">
        <f t="shared" si="256"/>
        <v>1.3700150056136019E-2</v>
      </c>
      <c r="BF196" s="18">
        <f t="shared" si="257"/>
        <v>0.20247935243969165</v>
      </c>
      <c r="BG196" s="19">
        <f t="shared" si="309"/>
        <v>980.77594825866981</v>
      </c>
      <c r="BH196" s="15">
        <f t="shared" si="258"/>
        <v>5.4615518965173401E-6</v>
      </c>
      <c r="BI196" s="16">
        <f t="shared" si="259"/>
        <v>27.167923404974701</v>
      </c>
      <c r="BJ196" s="17">
        <f t="shared" si="260"/>
        <v>1.366859068170515E-2</v>
      </c>
      <c r="BK196" s="18">
        <f t="shared" si="261"/>
        <v>0.20301974934860267</v>
      </c>
      <c r="BL196" s="19">
        <f t="shared" si="310"/>
        <v>973.83422790281713</v>
      </c>
      <c r="BM196" s="15">
        <f t="shared" si="262"/>
        <v>5.447668455805635E-6</v>
      </c>
      <c r="BN196" s="16">
        <f t="shared" si="263"/>
        <v>27.088093620882397</v>
      </c>
      <c r="BO196" s="17">
        <f t="shared" si="264"/>
        <v>1.3633844684241862E-2</v>
      </c>
      <c r="BP196" s="18">
        <f t="shared" si="265"/>
        <v>0.20361805733527025</v>
      </c>
      <c r="BQ196" s="19">
        <f t="shared" si="311"/>
        <v>966.14957206399492</v>
      </c>
      <c r="BR196" s="15">
        <f t="shared" si="266"/>
        <v>5.43229914412799E-6</v>
      </c>
      <c r="BS196" s="16">
        <f t="shared" si="267"/>
        <v>26.99972007873594</v>
      </c>
      <c r="BT196" s="17">
        <f t="shared" si="268"/>
        <v>1.3595380007102155E-2</v>
      </c>
      <c r="BU196" s="18">
        <f t="shared" si="269"/>
        <v>0.20428452531787239</v>
      </c>
      <c r="BV196" s="19">
        <f t="shared" si="312"/>
        <v>957.36842647485787</v>
      </c>
      <c r="BW196" s="15">
        <f t="shared" si="270"/>
        <v>5.4147368529497165E-6</v>
      </c>
      <c r="BX196" s="16">
        <f t="shared" si="271"/>
        <v>26.898736904460865</v>
      </c>
      <c r="BY196" s="17">
        <f t="shared" si="272"/>
        <v>1.3551426974320062E-2</v>
      </c>
      <c r="BZ196" s="18">
        <f t="shared" si="273"/>
        <v>0.20505144979819825</v>
      </c>
      <c r="CA196" s="19">
        <f t="shared" si="313"/>
        <v>946.45837844571486</v>
      </c>
      <c r="CB196" s="15">
        <f t="shared" si="274"/>
        <v>5.39291675689143E-6</v>
      </c>
      <c r="CC196" s="16">
        <f t="shared" si="275"/>
        <v>26.773271352125718</v>
      </c>
      <c r="CD196" s="17">
        <f t="shared" si="276"/>
        <v>1.3496817960745295E-2</v>
      </c>
      <c r="CE196" s="18">
        <f t="shared" si="277"/>
        <v>0.20601236686610863</v>
      </c>
      <c r="CF196" s="19">
        <f t="shared" si="314"/>
        <v>930.82512296047287</v>
      </c>
      <c r="CG196" s="15">
        <f t="shared" si="278"/>
        <v>5.3616502459209456E-6</v>
      </c>
      <c r="CH196" s="16">
        <f t="shared" si="279"/>
        <v>26.593488914045437</v>
      </c>
      <c r="CI196" s="17">
        <f t="shared" si="280"/>
        <v>1.3418567465538407E-2</v>
      </c>
      <c r="CJ196" s="18">
        <f t="shared" si="281"/>
        <v>0.20740509144277436</v>
      </c>
      <c r="CK196" s="19">
        <f t="shared" si="315"/>
        <v>905.01198223614551</v>
      </c>
      <c r="CL196" s="15">
        <f t="shared" si="282"/>
        <v>5.3100239644722913E-6</v>
      </c>
      <c r="CM196" s="16">
        <f t="shared" si="283"/>
        <v>26.296637795715675</v>
      </c>
      <c r="CN196" s="17">
        <f t="shared" si="284"/>
        <v>1.3289362704160942E-2</v>
      </c>
      <c r="CO196" s="18">
        <f t="shared" si="285"/>
        <v>0.20974639582626117</v>
      </c>
      <c r="CP196" s="19">
        <f t="shared" si="316"/>
        <v>859.80631576056112</v>
      </c>
      <c r="CQ196" s="15">
        <f t="shared" si="286"/>
        <v>5.2196126315211223E-6</v>
      </c>
      <c r="CR196" s="16">
        <f t="shared" si="287"/>
        <v>25.776772631246452</v>
      </c>
      <c r="CS196" s="17">
        <f t="shared" si="288"/>
        <v>1.3063090844712914E-2</v>
      </c>
      <c r="CT196" s="18">
        <f t="shared" si="289"/>
        <v>0.21397655474192265</v>
      </c>
      <c r="CU196" s="19">
        <f t="shared" si="317"/>
        <v>783.63304488049823</v>
      </c>
      <c r="CV196" s="15">
        <f t="shared" si="290"/>
        <v>5.0672660897609963E-6</v>
      </c>
      <c r="CW196" s="16">
        <f t="shared" si="291"/>
        <v>24.900780016125729</v>
      </c>
      <c r="CX196" s="17">
        <f t="shared" si="292"/>
        <v>1.2681814137918216E-2</v>
      </c>
      <c r="CY196" s="18">
        <f t="shared" si="293"/>
        <v>0.22150410535043821</v>
      </c>
      <c r="CZ196" s="20">
        <f t="shared" si="318"/>
        <v>667.69103679617922</v>
      </c>
      <c r="DA196" s="15">
        <f t="shared" si="294"/>
        <v>4.8353820735923589E-6</v>
      </c>
      <c r="DB196" s="16">
        <f t="shared" si="295"/>
        <v>30.357639811353948</v>
      </c>
      <c r="DC196" s="17">
        <f t="shared" si="296"/>
        <v>1.2101479507268618E-2</v>
      </c>
      <c r="DD196" s="18">
        <f t="shared" si="297"/>
        <v>0.18168820218813986</v>
      </c>
    </row>
    <row r="197" spans="2:108" x14ac:dyDescent="0.25">
      <c r="B197">
        <v>178</v>
      </c>
      <c r="C197">
        <f t="shared" si="298"/>
        <v>0.17401541060945475</v>
      </c>
      <c r="D197" s="19">
        <f t="shared" si="215"/>
        <v>1017.0761591526294</v>
      </c>
      <c r="E197" s="15">
        <f t="shared" si="216"/>
        <v>5.5341523183052592E-6</v>
      </c>
      <c r="F197" s="16">
        <f t="shared" si="217"/>
        <v>27.585375830255238</v>
      </c>
      <c r="G197" s="17">
        <f t="shared" si="213"/>
        <v>1.3850287288739316E-2</v>
      </c>
      <c r="H197" s="18">
        <f t="shared" si="218"/>
        <v>0.19994742989691455</v>
      </c>
      <c r="I197" s="19">
        <f t="shared" si="299"/>
        <v>1016.7514848600687</v>
      </c>
      <c r="J197" s="15">
        <f t="shared" si="219"/>
        <v>5.5335029697201378E-6</v>
      </c>
      <c r="K197" s="16">
        <f t="shared" si="220"/>
        <v>27.581642075890791</v>
      </c>
      <c r="L197" s="17">
        <f t="shared" si="221"/>
        <v>1.384866216822633E-2</v>
      </c>
      <c r="M197" s="18">
        <f t="shared" si="222"/>
        <v>0.19997449697968589</v>
      </c>
      <c r="N197" s="19">
        <f t="shared" si="300"/>
        <v>1015.8453189228253</v>
      </c>
      <c r="O197" s="15">
        <f t="shared" si="223"/>
        <v>5.5316906378456512E-6</v>
      </c>
      <c r="P197" s="16">
        <f t="shared" si="224"/>
        <v>27.571221167612492</v>
      </c>
      <c r="Q197" s="17">
        <f t="shared" si="214"/>
        <v>1.3850287288739316E-2</v>
      </c>
      <c r="R197" s="18">
        <f t="shared" si="225"/>
        <v>0.20005007998989627</v>
      </c>
      <c r="S197" s="19">
        <f t="shared" si="301"/>
        <v>1014.3436586936209</v>
      </c>
      <c r="T197" s="15">
        <f t="shared" si="226"/>
        <v>5.528687317387242E-6</v>
      </c>
      <c r="U197" s="16">
        <f t="shared" si="227"/>
        <v>27.553952074976639</v>
      </c>
      <c r="V197" s="17">
        <f t="shared" si="228"/>
        <v>1.3836610066213765E-2</v>
      </c>
      <c r="W197" s="18">
        <f t="shared" si="229"/>
        <v>0.20017545885945931</v>
      </c>
      <c r="X197" s="19">
        <f t="shared" si="302"/>
        <v>1012.2445874154057</v>
      </c>
      <c r="Y197" s="15">
        <f t="shared" si="230"/>
        <v>5.5244891748308115E-6</v>
      </c>
      <c r="Z197" s="16">
        <f t="shared" si="231"/>
        <v>27.529812755277163</v>
      </c>
      <c r="AA197" s="17">
        <f t="shared" si="232"/>
        <v>1.3826103401933253E-2</v>
      </c>
      <c r="AB197" s="18">
        <f t="shared" si="233"/>
        <v>0.20035098128092843</v>
      </c>
      <c r="AC197" s="19">
        <f t="shared" si="303"/>
        <v>1009.5466461014116</v>
      </c>
      <c r="AD197" s="15">
        <f t="shared" si="234"/>
        <v>5.5190932922028238E-6</v>
      </c>
      <c r="AE197" s="16">
        <f t="shared" si="235"/>
        <v>27.498786430166234</v>
      </c>
      <c r="AF197" s="17">
        <f t="shared" si="236"/>
        <v>1.3812599161306057E-2</v>
      </c>
      <c r="AG197" s="18">
        <f t="shared" si="237"/>
        <v>0.20057703324497791</v>
      </c>
      <c r="AH197" s="19">
        <f t="shared" si="304"/>
        <v>1006.2494997555486</v>
      </c>
      <c r="AI197" s="15">
        <f t="shared" si="238"/>
        <v>5.5124989995110976E-6</v>
      </c>
      <c r="AJ197" s="16">
        <f t="shared" si="239"/>
        <v>27.460869247188811</v>
      </c>
      <c r="AK197" s="17">
        <f t="shared" si="240"/>
        <v>1.3796095667547069E-2</v>
      </c>
      <c r="AL197" s="18">
        <f t="shared" si="241"/>
        <v>0.20085398427672271</v>
      </c>
      <c r="AM197" s="19">
        <f t="shared" si="305"/>
        <v>1002.3530194180845</v>
      </c>
      <c r="AN197" s="15">
        <f t="shared" si="242"/>
        <v>5.5047060388361698E-6</v>
      </c>
      <c r="AO197" s="16">
        <f t="shared" si="243"/>
        <v>27.416059723307971</v>
      </c>
      <c r="AP197" s="17">
        <f t="shared" si="244"/>
        <v>1.3776592275162912E-2</v>
      </c>
      <c r="AQ197" s="18">
        <f t="shared" si="245"/>
        <v>0.201182265273184</v>
      </c>
      <c r="AR197" s="19">
        <f t="shared" si="306"/>
        <v>997.85711063128213</v>
      </c>
      <c r="AS197" s="15">
        <f t="shared" si="246"/>
        <v>5.4957142212625645E-6</v>
      </c>
      <c r="AT197" s="16">
        <f t="shared" si="247"/>
        <v>27.364356772259743</v>
      </c>
      <c r="AU197" s="17">
        <f t="shared" si="248"/>
        <v>1.3754088511356047E-2</v>
      </c>
      <c r="AV197" s="18">
        <f t="shared" si="249"/>
        <v>0.20156238445156482</v>
      </c>
      <c r="AW197" s="19">
        <f t="shared" si="307"/>
        <v>992.76144487149486</v>
      </c>
      <c r="AX197" s="15">
        <f t="shared" si="250"/>
        <v>5.4855228897429899E-6</v>
      </c>
      <c r="AY197" s="16">
        <f t="shared" si="251"/>
        <v>27.30575661602219</v>
      </c>
      <c r="AZ197" s="17">
        <f t="shared" si="252"/>
        <v>1.3728582731738451E-2</v>
      </c>
      <c r="BA197" s="18">
        <f t="shared" si="253"/>
        <v>0.20199495211070614</v>
      </c>
      <c r="BB197" s="19">
        <f t="shared" si="308"/>
        <v>987.06444236317873</v>
      </c>
      <c r="BC197" s="15">
        <f t="shared" si="254"/>
        <v>5.4741288847263578E-6</v>
      </c>
      <c r="BD197" s="16">
        <f t="shared" si="255"/>
        <v>27.240241087176557</v>
      </c>
      <c r="BE197" s="17">
        <f t="shared" si="256"/>
        <v>1.3700067028922014E-2</v>
      </c>
      <c r="BF197" s="18">
        <f t="shared" si="257"/>
        <v>0.20248077035546139</v>
      </c>
      <c r="BG197" s="19">
        <f t="shared" si="309"/>
        <v>980.75897708081527</v>
      </c>
      <c r="BH197" s="15">
        <f t="shared" si="258"/>
        <v>5.4615179541616307E-6</v>
      </c>
      <c r="BI197" s="16">
        <f t="shared" si="259"/>
        <v>27.167728236429376</v>
      </c>
      <c r="BJ197" s="17">
        <f t="shared" si="260"/>
        <v>1.3668505734390586E-2</v>
      </c>
      <c r="BK197" s="18">
        <f t="shared" si="261"/>
        <v>0.20302120780949451</v>
      </c>
      <c r="BL197" s="19">
        <f t="shared" si="310"/>
        <v>973.81574305545416</v>
      </c>
      <c r="BM197" s="15">
        <f t="shared" si="262"/>
        <v>5.4476314861109082E-6</v>
      </c>
      <c r="BN197" s="16">
        <f t="shared" si="263"/>
        <v>27.087881045137721</v>
      </c>
      <c r="BO197" s="17">
        <f t="shared" si="264"/>
        <v>1.3633752160425477E-2</v>
      </c>
      <c r="BP197" s="18">
        <f t="shared" si="265"/>
        <v>0.20361965525502246</v>
      </c>
      <c r="BQ197" s="19">
        <f t="shared" si="311"/>
        <v>966.12598853850068</v>
      </c>
      <c r="BR197" s="15">
        <f t="shared" si="266"/>
        <v>5.4322519770770015E-6</v>
      </c>
      <c r="BS197" s="16">
        <f t="shared" si="267"/>
        <v>26.999448868192758</v>
      </c>
      <c r="BT197" s="17">
        <f t="shared" si="268"/>
        <v>1.359526196242807E-2</v>
      </c>
      <c r="BU197" s="18">
        <f t="shared" si="269"/>
        <v>0.20428657736409547</v>
      </c>
      <c r="BV197" s="19">
        <f t="shared" si="312"/>
        <v>957.32992252650808</v>
      </c>
      <c r="BW197" s="15">
        <f t="shared" si="270"/>
        <v>5.4146598450530166E-6</v>
      </c>
      <c r="BX197" s="16">
        <f t="shared" si="271"/>
        <v>26.898294109054842</v>
      </c>
      <c r="BY197" s="17">
        <f t="shared" si="272"/>
        <v>1.355123424715401E-2</v>
      </c>
      <c r="BZ197" s="18">
        <f t="shared" si="273"/>
        <v>0.2050548253222966</v>
      </c>
      <c r="CA197" s="19">
        <f t="shared" si="313"/>
        <v>946.38238333762547</v>
      </c>
      <c r="CB197" s="15">
        <f t="shared" si="274"/>
        <v>5.392764766675251E-6</v>
      </c>
      <c r="CC197" s="16">
        <f t="shared" si="275"/>
        <v>26.772397408382695</v>
      </c>
      <c r="CD197" s="17">
        <f t="shared" si="276"/>
        <v>1.3496437575812231E-2</v>
      </c>
      <c r="CE197" s="18">
        <f t="shared" si="277"/>
        <v>0.20601909182302086</v>
      </c>
      <c r="CF197" s="19">
        <f t="shared" si="314"/>
        <v>930.67025019046514</v>
      </c>
      <c r="CG197" s="15">
        <f t="shared" si="278"/>
        <v>5.36134050038093E-6</v>
      </c>
      <c r="CH197" s="16">
        <f t="shared" si="279"/>
        <v>26.591707877190348</v>
      </c>
      <c r="CI197" s="17">
        <f t="shared" si="280"/>
        <v>1.3417792267374556E-2</v>
      </c>
      <c r="CJ197" s="18">
        <f t="shared" si="281"/>
        <v>0.20741898284506782</v>
      </c>
      <c r="CK197" s="19">
        <f t="shared" si="315"/>
        <v>904.72375042460237</v>
      </c>
      <c r="CL197" s="15">
        <f t="shared" si="282"/>
        <v>5.3094475008492059E-6</v>
      </c>
      <c r="CM197" s="16">
        <f t="shared" si="283"/>
        <v>26.293323129882928</v>
      </c>
      <c r="CN197" s="17">
        <f t="shared" si="284"/>
        <v>1.3287919992372032E-2</v>
      </c>
      <c r="CO197" s="18">
        <f t="shared" si="285"/>
        <v>0.20977283749011449</v>
      </c>
      <c r="CP197" s="19">
        <f t="shared" si="316"/>
        <v>859.3500186662028</v>
      </c>
      <c r="CQ197" s="15">
        <f t="shared" si="286"/>
        <v>5.2187000373324059E-6</v>
      </c>
      <c r="CR197" s="16">
        <f t="shared" si="287"/>
        <v>25.771525214661331</v>
      </c>
      <c r="CS197" s="17">
        <f t="shared" si="288"/>
        <v>1.3060806901126838E-2</v>
      </c>
      <c r="CT197" s="18">
        <f t="shared" si="289"/>
        <v>0.21402012314203972</v>
      </c>
      <c r="CU197" s="19">
        <f t="shared" si="317"/>
        <v>783.04760201576892</v>
      </c>
      <c r="CV197" s="15">
        <f t="shared" si="290"/>
        <v>5.0660952040315389E-6</v>
      </c>
      <c r="CW197" s="16">
        <f t="shared" si="291"/>
        <v>24.894047423181341</v>
      </c>
      <c r="CX197" s="17">
        <f t="shared" si="292"/>
        <v>1.2678883769760181E-2</v>
      </c>
      <c r="CY197" s="18">
        <f t="shared" si="293"/>
        <v>0.2215640111163221</v>
      </c>
      <c r="CZ197" s="20">
        <f t="shared" si="318"/>
        <v>667.11046396734878</v>
      </c>
      <c r="DA197" s="15">
        <f t="shared" si="294"/>
        <v>4.8342209279346979E-6</v>
      </c>
      <c r="DB197" s="16">
        <f t="shared" si="295"/>
        <v>30.474218835383056</v>
      </c>
      <c r="DC197" s="17">
        <f t="shared" si="296"/>
        <v>1.2098573515525405E-2</v>
      </c>
      <c r="DD197" s="18">
        <f t="shared" si="297"/>
        <v>0.18099315456762124</v>
      </c>
    </row>
    <row r="198" spans="2:108" x14ac:dyDescent="0.25">
      <c r="B198">
        <v>179</v>
      </c>
      <c r="C198">
        <f t="shared" si="298"/>
        <v>0.17499302527580002</v>
      </c>
      <c r="D198" s="19">
        <f t="shared" si="215"/>
        <v>1017.059582923397</v>
      </c>
      <c r="E198" s="15">
        <f t="shared" si="216"/>
        <v>5.5341191658467941E-6</v>
      </c>
      <c r="F198" s="16">
        <f t="shared" si="217"/>
        <v>27.585185203619062</v>
      </c>
      <c r="G198" s="17">
        <f t="shared" si="213"/>
        <v>1.3850204318295489E-2</v>
      </c>
      <c r="H198" s="18">
        <f t="shared" si="218"/>
        <v>0.19994881162793038</v>
      </c>
      <c r="I198" s="19">
        <f t="shared" si="299"/>
        <v>1016.7349073876475</v>
      </c>
      <c r="J198" s="15">
        <f t="shared" si="219"/>
        <v>5.5334698147752948E-6</v>
      </c>
      <c r="K198" s="16">
        <f t="shared" si="220"/>
        <v>27.581451434957945</v>
      </c>
      <c r="L198" s="17">
        <f t="shared" si="221"/>
        <v>1.384857919155986E-2</v>
      </c>
      <c r="M198" s="18">
        <f t="shared" si="222"/>
        <v>0.19997587918847717</v>
      </c>
      <c r="N198" s="19">
        <f t="shared" si="300"/>
        <v>1015.8287359301286</v>
      </c>
      <c r="O198" s="15">
        <f t="shared" si="223"/>
        <v>5.5316574718602572E-6</v>
      </c>
      <c r="P198" s="16">
        <f t="shared" si="224"/>
        <v>27.571030463196479</v>
      </c>
      <c r="Q198" s="17">
        <f t="shared" si="214"/>
        <v>1.3850204318295489E-2</v>
      </c>
      <c r="R198" s="18">
        <f t="shared" si="225"/>
        <v>0.20005146370436167</v>
      </c>
      <c r="S198" s="19">
        <f t="shared" si="301"/>
        <v>1014.3270726173513</v>
      </c>
      <c r="T198" s="15">
        <f t="shared" si="226"/>
        <v>5.5286541452347028E-6</v>
      </c>
      <c r="U198" s="16">
        <f t="shared" si="227"/>
        <v>27.553761335099537</v>
      </c>
      <c r="V198" s="17">
        <f t="shared" si="228"/>
        <v>1.3836527046481702E-2</v>
      </c>
      <c r="W198" s="18">
        <f t="shared" si="229"/>
        <v>0.20017684456654872</v>
      </c>
      <c r="X198" s="19">
        <f t="shared" si="302"/>
        <v>1012.228004384649</v>
      </c>
      <c r="Y198" s="15">
        <f t="shared" si="230"/>
        <v>5.5244560087692989E-6</v>
      </c>
      <c r="Z198" s="16">
        <f t="shared" si="231"/>
        <v>27.529622050423463</v>
      </c>
      <c r="AA198" s="17">
        <f t="shared" si="232"/>
        <v>1.3826020397445165E-2</v>
      </c>
      <c r="AB198" s="18">
        <f t="shared" si="233"/>
        <v>0.20035236916429655</v>
      </c>
      <c r="AC198" s="19">
        <f t="shared" si="303"/>
        <v>1009.5300726599918</v>
      </c>
      <c r="AD198" s="15">
        <f t="shared" si="234"/>
        <v>5.5190601453199845E-6</v>
      </c>
      <c r="AE198" s="16">
        <f t="shared" si="235"/>
        <v>27.498595835589903</v>
      </c>
      <c r="AF198" s="17">
        <f t="shared" si="236"/>
        <v>1.381251620481631E-2</v>
      </c>
      <c r="AG198" s="18">
        <f t="shared" si="237"/>
        <v>0.20057842345758736</v>
      </c>
      <c r="AH198" s="19">
        <f t="shared" si="304"/>
        <v>1006.2329412713163</v>
      </c>
      <c r="AI198" s="15">
        <f t="shared" si="238"/>
        <v>5.5124658825426329E-6</v>
      </c>
      <c r="AJ198" s="16">
        <f t="shared" si="239"/>
        <v>27.460678824620139</v>
      </c>
      <c r="AK198" s="17">
        <f t="shared" si="240"/>
        <v>1.3796012785923835E-2</v>
      </c>
      <c r="AL198" s="18">
        <f t="shared" si="241"/>
        <v>0.20085537707301368</v>
      </c>
      <c r="AM198" s="19">
        <f t="shared" si="305"/>
        <v>1002.336479587843</v>
      </c>
      <c r="AN198" s="15">
        <f t="shared" si="242"/>
        <v>5.5046729591756872E-6</v>
      </c>
      <c r="AO198" s="16">
        <f t="shared" si="243"/>
        <v>27.415869515260191</v>
      </c>
      <c r="AP198" s="17">
        <f t="shared" si="244"/>
        <v>1.3776509486910124E-2</v>
      </c>
      <c r="AQ198" s="18">
        <f t="shared" si="245"/>
        <v>0.20118366105185534</v>
      </c>
      <c r="AR198" s="19">
        <f t="shared" si="306"/>
        <v>997.84058942254546</v>
      </c>
      <c r="AS198" s="15">
        <f t="shared" si="246"/>
        <v>5.4956811788450914E-6</v>
      </c>
      <c r="AT198" s="16">
        <f t="shared" si="247"/>
        <v>27.364166778359269</v>
      </c>
      <c r="AU198" s="17">
        <f t="shared" si="248"/>
        <v>1.3754005816311097E-2</v>
      </c>
      <c r="AV198" s="18">
        <f t="shared" si="249"/>
        <v>0.201563783932277</v>
      </c>
      <c r="AW198" s="19">
        <f t="shared" si="307"/>
        <v>992.74492728112841</v>
      </c>
      <c r="AX198" s="15">
        <f t="shared" si="250"/>
        <v>5.4854898545622572E-6</v>
      </c>
      <c r="AY198" s="16">
        <f t="shared" si="251"/>
        <v>27.305566663732975</v>
      </c>
      <c r="AZ198" s="17">
        <f t="shared" si="252"/>
        <v>1.3728500054804844E-2</v>
      </c>
      <c r="BA198" s="18">
        <f t="shared" si="253"/>
        <v>0.20199635729683674</v>
      </c>
      <c r="BB198" s="19">
        <f t="shared" si="308"/>
        <v>987.04785028796573</v>
      </c>
      <c r="BC198" s="15">
        <f t="shared" si="254"/>
        <v>5.4740957005759315E-6</v>
      </c>
      <c r="BD198" s="16">
        <f t="shared" si="255"/>
        <v>27.240050278311607</v>
      </c>
      <c r="BE198" s="17">
        <f t="shared" si="256"/>
        <v>1.3699983979162918E-2</v>
      </c>
      <c r="BF198" s="18">
        <f t="shared" si="257"/>
        <v>0.20248218867611684</v>
      </c>
      <c r="BG198" s="19">
        <f t="shared" si="309"/>
        <v>980.74198934251467</v>
      </c>
      <c r="BH198" s="15">
        <f t="shared" si="258"/>
        <v>5.4614839786850297E-6</v>
      </c>
      <c r="BI198" s="16">
        <f t="shared" si="259"/>
        <v>27.167532877438916</v>
      </c>
      <c r="BJ198" s="17">
        <f t="shared" si="260"/>
        <v>1.3668420704184581E-2</v>
      </c>
      <c r="BK198" s="18">
        <f t="shared" si="261"/>
        <v>0.20302266771453553</v>
      </c>
      <c r="BL198" s="19">
        <f t="shared" si="310"/>
        <v>973.79720555582924</v>
      </c>
      <c r="BM198" s="15">
        <f t="shared" si="262"/>
        <v>5.4475944111116587E-6</v>
      </c>
      <c r="BN198" s="16">
        <f t="shared" si="263"/>
        <v>27.087667863892037</v>
      </c>
      <c r="BO198" s="17">
        <f t="shared" si="264"/>
        <v>1.3633659373064143E-2</v>
      </c>
      <c r="BP198" s="18">
        <f t="shared" si="265"/>
        <v>0.20362125775147843</v>
      </c>
      <c r="BQ198" s="19">
        <f t="shared" si="311"/>
        <v>966.10226076974072</v>
      </c>
      <c r="BR198" s="15">
        <f t="shared" si="266"/>
        <v>5.4322045215394821E-6</v>
      </c>
      <c r="BS198" s="16">
        <f t="shared" si="267"/>
        <v>26.999175998852017</v>
      </c>
      <c r="BT198" s="17">
        <f t="shared" si="268"/>
        <v>1.3595143195760608E-2</v>
      </c>
      <c r="BU198" s="18">
        <f t="shared" si="269"/>
        <v>0.20428864200279742</v>
      </c>
      <c r="BV198" s="19">
        <f t="shared" si="312"/>
        <v>957.29108661416115</v>
      </c>
      <c r="BW198" s="15">
        <f t="shared" si="270"/>
        <v>5.4145821732283231E-6</v>
      </c>
      <c r="BX198" s="16">
        <f t="shared" si="271"/>
        <v>26.897847496062852</v>
      </c>
      <c r="BY198" s="17">
        <f t="shared" si="272"/>
        <v>1.3551039858379656E-2</v>
      </c>
      <c r="BZ198" s="18">
        <f t="shared" si="273"/>
        <v>0.20505823006124727</v>
      </c>
      <c r="CA198" s="19">
        <f t="shared" si="313"/>
        <v>946.30577592557324</v>
      </c>
      <c r="CB198" s="15">
        <f t="shared" si="274"/>
        <v>5.3926115518511469E-6</v>
      </c>
      <c r="CC198" s="16">
        <f t="shared" si="275"/>
        <v>26.771516423144092</v>
      </c>
      <c r="CD198" s="17">
        <f t="shared" si="276"/>
        <v>1.349605412606082E-2</v>
      </c>
      <c r="CE198" s="18">
        <f t="shared" si="277"/>
        <v>0.20602587140830461</v>
      </c>
      <c r="CF198" s="19">
        <f t="shared" si="314"/>
        <v>930.51455702573901</v>
      </c>
      <c r="CG198" s="15">
        <f t="shared" si="278"/>
        <v>5.3610291140514788E-6</v>
      </c>
      <c r="CH198" s="16">
        <f t="shared" si="279"/>
        <v>26.589917405795997</v>
      </c>
      <c r="CI198" s="17">
        <f t="shared" si="280"/>
        <v>1.3417012962817575E-2</v>
      </c>
      <c r="CJ198" s="18">
        <f t="shared" si="281"/>
        <v>0.20743294970888926</v>
      </c>
      <c r="CK198" s="19">
        <f t="shared" si="315"/>
        <v>904.43495075198359</v>
      </c>
      <c r="CL198" s="15">
        <f t="shared" si="282"/>
        <v>5.3088699015039678E-6</v>
      </c>
      <c r="CM198" s="16">
        <f t="shared" si="283"/>
        <v>26.290001933647808</v>
      </c>
      <c r="CN198" s="17">
        <f t="shared" si="284"/>
        <v>1.3286474438218622E-2</v>
      </c>
      <c r="CO198" s="18">
        <f t="shared" si="285"/>
        <v>0.20979933793541156</v>
      </c>
      <c r="CP198" s="19">
        <f t="shared" si="316"/>
        <v>858.8941786228778</v>
      </c>
      <c r="CQ198" s="15">
        <f t="shared" si="286"/>
        <v>5.2177883572457559E-6</v>
      </c>
      <c r="CR198" s="16">
        <f t="shared" si="287"/>
        <v>25.766283054163093</v>
      </c>
      <c r="CS198" s="17">
        <f t="shared" si="288"/>
        <v>1.3058525245258105E-2</v>
      </c>
      <c r="CT198" s="18">
        <f t="shared" si="289"/>
        <v>0.21406366562090659</v>
      </c>
      <c r="CU198" s="19">
        <f t="shared" si="317"/>
        <v>782.46396876690528</v>
      </c>
      <c r="CV198" s="15">
        <f t="shared" si="290"/>
        <v>5.0649279375338116E-6</v>
      </c>
      <c r="CW198" s="16">
        <f t="shared" si="291"/>
        <v>24.887335640819408</v>
      </c>
      <c r="CX198" s="17">
        <f t="shared" si="292"/>
        <v>1.267596245943004E-2</v>
      </c>
      <c r="CY198" s="18">
        <f t="shared" si="293"/>
        <v>0.22162376397389236</v>
      </c>
      <c r="CZ198" s="20">
        <f t="shared" si="318"/>
        <v>666.53213265122952</v>
      </c>
      <c r="DA198" s="15">
        <f t="shared" si="294"/>
        <v>4.8330642653024592E-6</v>
      </c>
      <c r="DB198" s="16">
        <f t="shared" si="295"/>
        <v>30.590347763659764</v>
      </c>
      <c r="DC198" s="17">
        <f t="shared" si="296"/>
        <v>1.2095678743420983E-2</v>
      </c>
      <c r="DD198" s="18">
        <f t="shared" si="297"/>
        <v>0.18030605740783257</v>
      </c>
    </row>
    <row r="199" spans="2:108" x14ac:dyDescent="0.25">
      <c r="B199">
        <v>180</v>
      </c>
      <c r="C199">
        <f t="shared" si="298"/>
        <v>0.17597063994214526</v>
      </c>
      <c r="D199" s="19">
        <f t="shared" si="215"/>
        <v>1017.0430066306936</v>
      </c>
      <c r="E199" s="15">
        <f t="shared" si="216"/>
        <v>5.5340860132613877E-6</v>
      </c>
      <c r="F199" s="16">
        <f t="shared" si="217"/>
        <v>27.584994576252974</v>
      </c>
      <c r="G199" s="17">
        <f t="shared" si="213"/>
        <v>1.3850121347533962E-2</v>
      </c>
      <c r="H199" s="18">
        <f t="shared" si="218"/>
        <v>0.19995019338333395</v>
      </c>
      <c r="I199" s="19">
        <f t="shared" si="299"/>
        <v>1016.7183299084594</v>
      </c>
      <c r="J199" s="15">
        <f t="shared" si="219"/>
        <v>5.5334366598169187E-6</v>
      </c>
      <c r="K199" s="16">
        <f t="shared" si="220"/>
        <v>27.58126079394728</v>
      </c>
      <c r="L199" s="17">
        <f t="shared" si="221"/>
        <v>1.3848496214859517E-2</v>
      </c>
      <c r="M199" s="18">
        <f t="shared" si="222"/>
        <v>0.19997726141694025</v>
      </c>
      <c r="N199" s="19">
        <f t="shared" si="300"/>
        <v>1015.8121530407494</v>
      </c>
      <c r="O199" s="15">
        <f t="shared" si="223"/>
        <v>5.5316243060814994E-6</v>
      </c>
      <c r="P199" s="16">
        <f t="shared" si="224"/>
        <v>27.570839759968617</v>
      </c>
      <c r="Q199" s="17">
        <f t="shared" si="214"/>
        <v>1.3850121347533962E-2</v>
      </c>
      <c r="R199" s="18">
        <f t="shared" si="225"/>
        <v>0.20005284742934787</v>
      </c>
      <c r="S199" s="19">
        <f t="shared" si="301"/>
        <v>1014.3104867252426</v>
      </c>
      <c r="T199" s="15">
        <f t="shared" si="226"/>
        <v>5.5286209734504865E-6</v>
      </c>
      <c r="U199" s="16">
        <f t="shared" si="227"/>
        <v>27.55357059734029</v>
      </c>
      <c r="V199" s="17">
        <f t="shared" si="228"/>
        <v>1.383644402767144E-2</v>
      </c>
      <c r="W199" s="18">
        <f t="shared" si="229"/>
        <v>0.20017823027743692</v>
      </c>
      <c r="X199" s="19">
        <f t="shared" si="302"/>
        <v>1012.2114215657861</v>
      </c>
      <c r="Y199" s="15">
        <f t="shared" si="230"/>
        <v>5.524422843131573E-6</v>
      </c>
      <c r="Z199" s="16">
        <f t="shared" si="231"/>
        <v>27.52943134800654</v>
      </c>
      <c r="AA199" s="17">
        <f t="shared" si="232"/>
        <v>1.3825937394017683E-2</v>
      </c>
      <c r="AB199" s="18">
        <f t="shared" si="233"/>
        <v>0.20035375704915886</v>
      </c>
      <c r="AC199" s="19">
        <f t="shared" si="303"/>
        <v>1009.5134994262228</v>
      </c>
      <c r="AD199" s="15">
        <f t="shared" si="234"/>
        <v>5.5190269988524454E-6</v>
      </c>
      <c r="AE199" s="16">
        <f t="shared" si="235"/>
        <v>27.49840524340156</v>
      </c>
      <c r="AF199" s="17">
        <f t="shared" si="236"/>
        <v>1.3812433249365933E-2</v>
      </c>
      <c r="AG199" s="18">
        <f t="shared" si="237"/>
        <v>0.20057981367204972</v>
      </c>
      <c r="AH199" s="19">
        <f t="shared" si="304"/>
        <v>1006.2163829762808</v>
      </c>
      <c r="AI199" s="15">
        <f t="shared" si="238"/>
        <v>5.5124327659525623E-6</v>
      </c>
      <c r="AJ199" s="16">
        <f t="shared" si="239"/>
        <v>27.460488404227227</v>
      </c>
      <c r="AK199" s="17">
        <f t="shared" si="240"/>
        <v>1.3795929905247604E-2</v>
      </c>
      <c r="AL199" s="18">
        <f t="shared" si="241"/>
        <v>0.20085676987270673</v>
      </c>
      <c r="AM199" s="19">
        <f t="shared" si="305"/>
        <v>1002.3199398932499</v>
      </c>
      <c r="AN199" s="15">
        <f t="shared" si="242"/>
        <v>5.5046398797865007E-6</v>
      </c>
      <c r="AO199" s="16">
        <f t="shared" si="243"/>
        <v>27.415679308772372</v>
      </c>
      <c r="AP199" s="17">
        <f t="shared" si="244"/>
        <v>1.3776426699336305E-2</v>
      </c>
      <c r="AQ199" s="18">
        <f t="shared" si="245"/>
        <v>0.20118505683844681</v>
      </c>
      <c r="AR199" s="19">
        <f t="shared" si="306"/>
        <v>997.82406812554973</v>
      </c>
      <c r="AS199" s="15">
        <f t="shared" si="246"/>
        <v>5.4956481362510992E-6</v>
      </c>
      <c r="AT199" s="16">
        <f t="shared" si="247"/>
        <v>27.363976783443821</v>
      </c>
      <c r="AU199" s="17">
        <f t="shared" si="248"/>
        <v>1.3753923120824374E-2</v>
      </c>
      <c r="AV199" s="18">
        <f t="shared" si="249"/>
        <v>0.20156518343989932</v>
      </c>
      <c r="AW199" s="19">
        <f t="shared" si="307"/>
        <v>992.72840866169827</v>
      </c>
      <c r="AX199" s="15">
        <f t="shared" si="250"/>
        <v>5.4854568173233978E-6</v>
      </c>
      <c r="AY199" s="16">
        <f t="shared" si="251"/>
        <v>27.305376699609528</v>
      </c>
      <c r="AZ199" s="17">
        <f t="shared" si="252"/>
        <v>1.372841737272038E-2</v>
      </c>
      <c r="BA199" s="18">
        <f t="shared" si="253"/>
        <v>0.20199776259006433</v>
      </c>
      <c r="BB199" s="19">
        <f t="shared" si="308"/>
        <v>987.03125358069292</v>
      </c>
      <c r="BC199" s="15">
        <f t="shared" si="254"/>
        <v>5.4740625071613863E-6</v>
      </c>
      <c r="BD199" s="16">
        <f t="shared" si="255"/>
        <v>27.239859416177968</v>
      </c>
      <c r="BE199" s="17">
        <f t="shared" si="256"/>
        <v>1.369990090621857E-2</v>
      </c>
      <c r="BF199" s="18">
        <f t="shared" si="257"/>
        <v>0.20248360741260751</v>
      </c>
      <c r="BG199" s="19">
        <f t="shared" si="309"/>
        <v>980.72498468473145</v>
      </c>
      <c r="BH199" s="15">
        <f t="shared" si="258"/>
        <v>5.4614499693694633E-6</v>
      </c>
      <c r="BI199" s="16">
        <f t="shared" si="259"/>
        <v>27.167337323874413</v>
      </c>
      <c r="BJ199" s="17">
        <f t="shared" si="260"/>
        <v>1.3668335589290013E-2</v>
      </c>
      <c r="BK199" s="18">
        <f t="shared" si="261"/>
        <v>0.20302412909464329</v>
      </c>
      <c r="BL199" s="19">
        <f t="shared" si="310"/>
        <v>973.77861457341555</v>
      </c>
      <c r="BM199" s="15">
        <f t="shared" si="262"/>
        <v>5.4475572291468314E-6</v>
      </c>
      <c r="BN199" s="16">
        <f t="shared" si="263"/>
        <v>27.08745406759428</v>
      </c>
      <c r="BO199" s="17">
        <f t="shared" si="264"/>
        <v>1.3633566318000747E-2</v>
      </c>
      <c r="BP199" s="18">
        <f t="shared" si="265"/>
        <v>0.20362286489665138</v>
      </c>
      <c r="BQ199" s="19">
        <f t="shared" si="311"/>
        <v>966.07838730309629</v>
      </c>
      <c r="BR199" s="15">
        <f t="shared" si="266"/>
        <v>5.4321567746061939E-6</v>
      </c>
      <c r="BS199" s="16">
        <f t="shared" si="267"/>
        <v>26.998901453985606</v>
      </c>
      <c r="BT199" s="17">
        <f t="shared" si="268"/>
        <v>1.3595023699818831E-2</v>
      </c>
      <c r="BU199" s="18">
        <f t="shared" si="269"/>
        <v>0.20429071936131599</v>
      </c>
      <c r="BV199" s="19">
        <f t="shared" si="312"/>
        <v>957.2519172593029</v>
      </c>
      <c r="BW199" s="15">
        <f t="shared" si="270"/>
        <v>5.4145038345186067E-6</v>
      </c>
      <c r="BX199" s="16">
        <f t="shared" si="271"/>
        <v>26.897397048481984</v>
      </c>
      <c r="BY199" s="17">
        <f t="shared" si="272"/>
        <v>1.3550843800596459E-2</v>
      </c>
      <c r="BZ199" s="18">
        <f t="shared" si="273"/>
        <v>0.20506166414758289</v>
      </c>
      <c r="CA199" s="19">
        <f t="shared" si="313"/>
        <v>946.22855699508352</v>
      </c>
      <c r="CB199" s="15">
        <f t="shared" si="274"/>
        <v>5.3924571139901682E-6</v>
      </c>
      <c r="CC199" s="16">
        <f t="shared" si="275"/>
        <v>26.77062840544346</v>
      </c>
      <c r="CD199" s="17">
        <f t="shared" si="276"/>
        <v>1.3495667615422913E-2</v>
      </c>
      <c r="CE199" s="18">
        <f t="shared" si="277"/>
        <v>0.20603270556317868</v>
      </c>
      <c r="CF199" s="19">
        <f t="shared" si="314"/>
        <v>930.35804978383794</v>
      </c>
      <c r="CG199" s="15">
        <f t="shared" si="278"/>
        <v>5.3607160995676766E-6</v>
      </c>
      <c r="CH199" s="16">
        <f t="shared" si="279"/>
        <v>26.588117572514136</v>
      </c>
      <c r="CI199" s="17">
        <f t="shared" si="280"/>
        <v>1.3416229583489208E-2</v>
      </c>
      <c r="CJ199" s="18">
        <f t="shared" si="281"/>
        <v>0.20744699149750487</v>
      </c>
      <c r="CK199" s="19">
        <f t="shared" si="315"/>
        <v>904.14559424056733</v>
      </c>
      <c r="CL199" s="15">
        <f t="shared" si="282"/>
        <v>5.3082911884811353E-6</v>
      </c>
      <c r="CM199" s="16">
        <f t="shared" si="283"/>
        <v>26.286674333766523</v>
      </c>
      <c r="CN199" s="17">
        <f t="shared" si="284"/>
        <v>1.3285026096871483E-2</v>
      </c>
      <c r="CO199" s="18">
        <f t="shared" si="285"/>
        <v>0.20982589619238784</v>
      </c>
      <c r="CP199" s="19">
        <f t="shared" si="316"/>
        <v>858.43880086770503</v>
      </c>
      <c r="CQ199" s="15">
        <f t="shared" si="286"/>
        <v>5.2168776017354105E-6</v>
      </c>
      <c r="CR199" s="16">
        <f t="shared" si="287"/>
        <v>25.761046209978609</v>
      </c>
      <c r="CS199" s="17">
        <f t="shared" si="288"/>
        <v>1.3056245903320522E-2</v>
      </c>
      <c r="CT199" s="18">
        <f t="shared" si="289"/>
        <v>0.21410718163548451</v>
      </c>
      <c r="CU199" s="19">
        <f t="shared" si="317"/>
        <v>781.8821330268072</v>
      </c>
      <c r="CV199" s="15">
        <f t="shared" si="290"/>
        <v>5.0637642660536149E-6</v>
      </c>
      <c r="CW199" s="16">
        <f t="shared" si="291"/>
        <v>24.880644529808283</v>
      </c>
      <c r="CX199" s="17">
        <f t="shared" si="292"/>
        <v>1.267305014632707E-2</v>
      </c>
      <c r="CY199" s="18">
        <f t="shared" si="293"/>
        <v>0.22168336489000515</v>
      </c>
      <c r="CZ199" s="20">
        <f t="shared" si="318"/>
        <v>665.95602236409422</v>
      </c>
      <c r="DA199" s="15">
        <f t="shared" si="294"/>
        <v>4.8319120447281886E-6</v>
      </c>
      <c r="DB199" s="16">
        <f t="shared" si="295"/>
        <v>30.706030709316479</v>
      </c>
      <c r="DC199" s="17">
        <f t="shared" si="296"/>
        <v>1.2092795088426369E-2</v>
      </c>
      <c r="DD199" s="18">
        <f t="shared" si="297"/>
        <v>0.17962676622760332</v>
      </c>
    </row>
    <row r="200" spans="2:108" x14ac:dyDescent="0.25">
      <c r="B200">
        <v>181</v>
      </c>
      <c r="C200">
        <f t="shared" si="298"/>
        <v>0.17694825460849051</v>
      </c>
      <c r="D200" s="19">
        <f t="shared" si="215"/>
        <v>1017.0264302774143</v>
      </c>
      <c r="E200" s="15">
        <f t="shared" si="216"/>
        <v>5.5340528605548292E-6</v>
      </c>
      <c r="F200" s="16">
        <f t="shared" si="217"/>
        <v>27.584803948190263</v>
      </c>
      <c r="G200" s="17">
        <f t="shared" si="213"/>
        <v>1.3850038376469231E-2</v>
      </c>
      <c r="H200" s="18">
        <f t="shared" si="218"/>
        <v>0.19995157516288456</v>
      </c>
      <c r="I200" s="19">
        <f t="shared" si="299"/>
        <v>1016.7017524244004</v>
      </c>
      <c r="J200" s="15">
        <f t="shared" si="219"/>
        <v>5.533403504848801E-6</v>
      </c>
      <c r="K200" s="16">
        <f t="shared" si="220"/>
        <v>27.581070152880606</v>
      </c>
      <c r="L200" s="17">
        <f t="shared" si="221"/>
        <v>1.3848413238134797E-2</v>
      </c>
      <c r="M200" s="18">
        <f t="shared" si="222"/>
        <v>0.19997864366491741</v>
      </c>
      <c r="N200" s="19">
        <f t="shared" si="300"/>
        <v>1015.795570254944</v>
      </c>
      <c r="O200" s="15">
        <f t="shared" si="223"/>
        <v>5.5315911405098877E-6</v>
      </c>
      <c r="P200" s="16">
        <f t="shared" si="224"/>
        <v>27.570649057931853</v>
      </c>
      <c r="Q200" s="17">
        <f t="shared" si="214"/>
        <v>1.3850038376469231E-2</v>
      </c>
      <c r="R200" s="18">
        <f t="shared" si="225"/>
        <v>0.20005423116483359</v>
      </c>
      <c r="S200" s="19">
        <f t="shared" si="301"/>
        <v>1014.2939010168093</v>
      </c>
      <c r="T200" s="15">
        <f t="shared" si="226"/>
        <v>5.5285878020336191E-6</v>
      </c>
      <c r="U200" s="16">
        <f t="shared" si="227"/>
        <v>27.553379861693308</v>
      </c>
      <c r="V200" s="17">
        <f t="shared" si="228"/>
        <v>1.3836361009780539E-2</v>
      </c>
      <c r="W200" s="18">
        <f t="shared" si="229"/>
        <v>0.20017961599216433</v>
      </c>
      <c r="X200" s="19">
        <f t="shared" si="302"/>
        <v>1012.1948389584124</v>
      </c>
      <c r="Y200" s="15">
        <f t="shared" si="230"/>
        <v>5.5243896779168256E-6</v>
      </c>
      <c r="Z200" s="16">
        <f t="shared" si="231"/>
        <v>27.529240648021741</v>
      </c>
      <c r="AA200" s="17">
        <f t="shared" si="232"/>
        <v>1.382585439164879E-2</v>
      </c>
      <c r="AB200" s="18">
        <f t="shared" si="233"/>
        <v>0.2003551449355489</v>
      </c>
      <c r="AC200" s="19">
        <f t="shared" si="303"/>
        <v>1009.4969263998742</v>
      </c>
      <c r="AD200" s="15">
        <f t="shared" si="234"/>
        <v>5.5189938527997483E-6</v>
      </c>
      <c r="AE200" s="16">
        <f t="shared" si="235"/>
        <v>27.498214653598552</v>
      </c>
      <c r="AF200" s="17">
        <f t="shared" si="236"/>
        <v>1.3812350294953778E-2</v>
      </c>
      <c r="AG200" s="18">
        <f t="shared" si="237"/>
        <v>0.20058120388838402</v>
      </c>
      <c r="AH200" s="19">
        <f t="shared" si="304"/>
        <v>1006.199824869872</v>
      </c>
      <c r="AI200" s="15">
        <f t="shared" si="238"/>
        <v>5.5123996497397442E-6</v>
      </c>
      <c r="AJ200" s="16">
        <f t="shared" si="239"/>
        <v>27.460297986003528</v>
      </c>
      <c r="AK200" s="17">
        <f t="shared" si="240"/>
        <v>1.3795847025515524E-2</v>
      </c>
      <c r="AL200" s="18">
        <f t="shared" si="241"/>
        <v>0.20085816267584952</v>
      </c>
      <c r="AM200" s="19">
        <f t="shared" si="305"/>
        <v>1002.3034003316799</v>
      </c>
      <c r="AN200" s="15">
        <f t="shared" si="242"/>
        <v>5.5046068006633597E-6</v>
      </c>
      <c r="AO200" s="16">
        <f t="shared" si="243"/>
        <v>27.415489103814316</v>
      </c>
      <c r="AP200" s="17">
        <f t="shared" si="244"/>
        <v>1.3776343912428319E-2</v>
      </c>
      <c r="AQ200" s="18">
        <f t="shared" si="245"/>
        <v>0.20118645263317994</v>
      </c>
      <c r="AR200" s="19">
        <f t="shared" si="306"/>
        <v>997.80754672941737</v>
      </c>
      <c r="AS200" s="15">
        <f t="shared" si="246"/>
        <v>5.4956150934588352E-6</v>
      </c>
      <c r="AT200" s="16">
        <f t="shared" si="247"/>
        <v>27.3637867873883</v>
      </c>
      <c r="AU200" s="17">
        <f t="shared" si="248"/>
        <v>1.3753840424841438E-2</v>
      </c>
      <c r="AV200" s="18">
        <f t="shared" si="249"/>
        <v>0.20156658297535404</v>
      </c>
      <c r="AW200" s="19">
        <f t="shared" si="307"/>
        <v>992.71188897313118</v>
      </c>
      <c r="AX200" s="15">
        <f t="shared" si="250"/>
        <v>5.4854237779462631E-6</v>
      </c>
      <c r="AY200" s="16">
        <f t="shared" si="251"/>
        <v>27.305186723191007</v>
      </c>
      <c r="AZ200" s="17">
        <f t="shared" si="252"/>
        <v>1.3728334685284465E-2</v>
      </c>
      <c r="BA200" s="18">
        <f t="shared" si="253"/>
        <v>0.2019991679938023</v>
      </c>
      <c r="BB200" s="19">
        <f t="shared" si="308"/>
        <v>987.01465211129346</v>
      </c>
      <c r="BC200" s="15">
        <f t="shared" si="254"/>
        <v>5.4740293042225867E-6</v>
      </c>
      <c r="BD200" s="16">
        <f t="shared" si="255"/>
        <v>27.239668499279873</v>
      </c>
      <c r="BE200" s="17">
        <f t="shared" si="256"/>
        <v>1.3699817809437935E-2</v>
      </c>
      <c r="BF200" s="18">
        <f t="shared" si="257"/>
        <v>0.2024850265760692</v>
      </c>
      <c r="BG200" s="19">
        <f t="shared" si="309"/>
        <v>980.70796274470626</v>
      </c>
      <c r="BH200" s="15">
        <f t="shared" si="258"/>
        <v>5.4614159254894131E-6</v>
      </c>
      <c r="BI200" s="16">
        <f t="shared" si="259"/>
        <v>27.167141571564123</v>
      </c>
      <c r="BJ200" s="17">
        <f t="shared" si="260"/>
        <v>1.3668250387891136E-2</v>
      </c>
      <c r="BK200" s="18">
        <f t="shared" si="261"/>
        <v>0.20302559198105741</v>
      </c>
      <c r="BL200" s="19">
        <f t="shared" si="310"/>
        <v>973.75996927499534</v>
      </c>
      <c r="BM200" s="15">
        <f t="shared" si="262"/>
        <v>5.4475199385499912E-6</v>
      </c>
      <c r="BN200" s="16">
        <f t="shared" si="263"/>
        <v>27.087239646662447</v>
      </c>
      <c r="BO200" s="17">
        <f t="shared" si="264"/>
        <v>1.3633472991064714E-2</v>
      </c>
      <c r="BP200" s="18">
        <f t="shared" si="265"/>
        <v>0.20362447676279216</v>
      </c>
      <c r="BQ200" s="19">
        <f t="shared" si="311"/>
        <v>966.05436669183723</v>
      </c>
      <c r="BR200" s="15">
        <f t="shared" si="266"/>
        <v>5.4321087333836757E-6</v>
      </c>
      <c r="BS200" s="16">
        <f t="shared" si="267"/>
        <v>26.998625216956128</v>
      </c>
      <c r="BT200" s="17">
        <f t="shared" si="268"/>
        <v>1.3594903467361303E-2</v>
      </c>
      <c r="BU200" s="18">
        <f t="shared" si="269"/>
        <v>0.20429280956631765</v>
      </c>
      <c r="BV200" s="19">
        <f t="shared" si="312"/>
        <v>957.21241301572491</v>
      </c>
      <c r="BW200" s="15">
        <f t="shared" si="270"/>
        <v>5.4144248260314497E-6</v>
      </c>
      <c r="BX200" s="16">
        <f t="shared" si="271"/>
        <v>26.896942749680836</v>
      </c>
      <c r="BY200" s="17">
        <f t="shared" si="272"/>
        <v>1.3550646066565586E-2</v>
      </c>
      <c r="BZ200" s="18">
        <f t="shared" si="273"/>
        <v>0.20506512771104624</v>
      </c>
      <c r="CA200" s="19">
        <f t="shared" si="313"/>
        <v>946.15072737972105</v>
      </c>
      <c r="CB200" s="15">
        <f t="shared" si="274"/>
        <v>5.3923014547594425E-6</v>
      </c>
      <c r="CC200" s="16">
        <f t="shared" si="275"/>
        <v>26.769733364866791</v>
      </c>
      <c r="CD200" s="17">
        <f t="shared" si="276"/>
        <v>1.3495278048070826E-2</v>
      </c>
      <c r="CE200" s="18">
        <f t="shared" si="277"/>
        <v>0.20603959422467882</v>
      </c>
      <c r="CF200" s="19">
        <f t="shared" si="314"/>
        <v>930.20073477543042</v>
      </c>
      <c r="CG200" s="15">
        <f t="shared" si="278"/>
        <v>5.3604014695508616E-6</v>
      </c>
      <c r="CH200" s="16">
        <f t="shared" si="279"/>
        <v>26.58630844991745</v>
      </c>
      <c r="CI200" s="17">
        <f t="shared" si="280"/>
        <v>1.3415442160976796E-2</v>
      </c>
      <c r="CJ200" s="18">
        <f t="shared" si="281"/>
        <v>0.20746110767465822</v>
      </c>
      <c r="CK200" s="19">
        <f t="shared" si="315"/>
        <v>903.85569176941567</v>
      </c>
      <c r="CL200" s="15">
        <f t="shared" si="282"/>
        <v>5.3077113835388327E-6</v>
      </c>
      <c r="CM200" s="16">
        <f t="shared" si="283"/>
        <v>26.283340455348281</v>
      </c>
      <c r="CN200" s="17">
        <f t="shared" si="284"/>
        <v>1.3283575022784534E-2</v>
      </c>
      <c r="CO200" s="18">
        <f t="shared" si="285"/>
        <v>0.20985251130351087</v>
      </c>
      <c r="CP200" s="19">
        <f t="shared" si="316"/>
        <v>857.98389047188823</v>
      </c>
      <c r="CQ200" s="15">
        <f t="shared" si="286"/>
        <v>5.2159677809437769E-6</v>
      </c>
      <c r="CR200" s="16">
        <f t="shared" si="287"/>
        <v>25.755814740426715</v>
      </c>
      <c r="CS200" s="17">
        <f t="shared" si="288"/>
        <v>1.3053968900697425E-2</v>
      </c>
      <c r="CT200" s="18">
        <f t="shared" si="289"/>
        <v>0.21415067065778323</v>
      </c>
      <c r="CU200" s="19">
        <f t="shared" si="317"/>
        <v>781.30208280234956</v>
      </c>
      <c r="CV200" s="15">
        <f t="shared" si="290"/>
        <v>5.0626041656046987E-6</v>
      </c>
      <c r="CW200" s="16">
        <f t="shared" si="291"/>
        <v>24.873973952227018</v>
      </c>
      <c r="CX200" s="17">
        <f t="shared" si="292"/>
        <v>1.2670146770421038E-2</v>
      </c>
      <c r="CY200" s="18">
        <f t="shared" si="293"/>
        <v>0.22174281482296779</v>
      </c>
      <c r="CZ200" s="20">
        <f t="shared" si="318"/>
        <v>665.3821129354485</v>
      </c>
      <c r="DA200" s="15">
        <f t="shared" si="294"/>
        <v>4.8307642258708978E-6</v>
      </c>
      <c r="DB200" s="16">
        <f t="shared" si="295"/>
        <v>30.821271722588506</v>
      </c>
      <c r="DC200" s="17">
        <f t="shared" si="296"/>
        <v>1.2089922449580428E-2</v>
      </c>
      <c r="DD200" s="18">
        <f t="shared" si="297"/>
        <v>0.17895514012673497</v>
      </c>
    </row>
    <row r="201" spans="2:108" x14ac:dyDescent="0.25">
      <c r="B201">
        <v>182</v>
      </c>
      <c r="C201">
        <f t="shared" si="298"/>
        <v>0.17792586927483578</v>
      </c>
      <c r="D201" s="19">
        <f t="shared" si="215"/>
        <v>1017.0098538664031</v>
      </c>
      <c r="E201" s="15">
        <f t="shared" si="216"/>
        <v>5.5340197077328066E-6</v>
      </c>
      <c r="F201" s="16">
        <f t="shared" si="217"/>
        <v>27.584613319463635</v>
      </c>
      <c r="G201" s="17">
        <f t="shared" si="213"/>
        <v>1.384995540511553E-2</v>
      </c>
      <c r="H201" s="18">
        <f t="shared" si="218"/>
        <v>0.19995295696634574</v>
      </c>
      <c r="I201" s="19">
        <f t="shared" si="299"/>
        <v>1016.6851749373392</v>
      </c>
      <c r="J201" s="15">
        <f t="shared" si="219"/>
        <v>5.5333703498746794E-6</v>
      </c>
      <c r="K201" s="16">
        <f t="shared" si="220"/>
        <v>27.580879511779401</v>
      </c>
      <c r="L201" s="17">
        <f t="shared" si="221"/>
        <v>1.384833026139505E-2</v>
      </c>
      <c r="M201" s="18">
        <f t="shared" si="222"/>
        <v>0.19998002593225336</v>
      </c>
      <c r="N201" s="19">
        <f t="shared" si="300"/>
        <v>1015.7789875729724</v>
      </c>
      <c r="O201" s="15">
        <f t="shared" si="223"/>
        <v>5.5315579751459457E-6</v>
      </c>
      <c r="P201" s="16">
        <f t="shared" si="224"/>
        <v>27.57045835708918</v>
      </c>
      <c r="Q201" s="17">
        <f t="shared" si="214"/>
        <v>1.384995540511553E-2</v>
      </c>
      <c r="R201" s="18">
        <f t="shared" si="225"/>
        <v>0.20005561491079707</v>
      </c>
      <c r="S201" s="19">
        <f t="shared" si="301"/>
        <v>1014.2773154915756</v>
      </c>
      <c r="T201" s="15">
        <f t="shared" si="226"/>
        <v>5.528554630983151E-6</v>
      </c>
      <c r="U201" s="16">
        <f t="shared" si="227"/>
        <v>27.553189128153118</v>
      </c>
      <c r="V201" s="17">
        <f t="shared" si="228"/>
        <v>1.3836277992806624E-2</v>
      </c>
      <c r="W201" s="18">
        <f t="shared" si="229"/>
        <v>0.20018100171077041</v>
      </c>
      <c r="X201" s="19">
        <f t="shared" si="302"/>
        <v>1012.1782565621259</v>
      </c>
      <c r="Y201" s="15">
        <f t="shared" si="230"/>
        <v>5.5243565131242522E-6</v>
      </c>
      <c r="Z201" s="16">
        <f t="shared" si="231"/>
        <v>27.529049950464447</v>
      </c>
      <c r="AA201" s="17">
        <f t="shared" si="232"/>
        <v>1.3825771390336467E-2</v>
      </c>
      <c r="AB201" s="18">
        <f t="shared" si="233"/>
        <v>0.20035653282349997</v>
      </c>
      <c r="AC201" s="19">
        <f t="shared" si="303"/>
        <v>1009.4803535807081</v>
      </c>
      <c r="AD201" s="15">
        <f t="shared" si="234"/>
        <v>5.5189607071614164E-6</v>
      </c>
      <c r="AE201" s="16">
        <f t="shared" si="235"/>
        <v>27.498024066178143</v>
      </c>
      <c r="AF201" s="17">
        <f t="shared" si="236"/>
        <v>1.3812267341578652E-2</v>
      </c>
      <c r="AG201" s="18">
        <f t="shared" si="237"/>
        <v>0.20058259410660986</v>
      </c>
      <c r="AH201" s="19">
        <f t="shared" si="304"/>
        <v>1006.1832669514937</v>
      </c>
      <c r="AI201" s="15">
        <f t="shared" si="238"/>
        <v>5.5123665339029875E-6</v>
      </c>
      <c r="AJ201" s="16">
        <f t="shared" si="239"/>
        <v>27.460107569942174</v>
      </c>
      <c r="AK201" s="17">
        <f t="shared" si="240"/>
        <v>1.3795764146724605E-2</v>
      </c>
      <c r="AL201" s="18">
        <f t="shared" si="241"/>
        <v>0.20085955548249204</v>
      </c>
      <c r="AM201" s="19">
        <f t="shared" si="305"/>
        <v>1002.2868609004122</v>
      </c>
      <c r="AN201" s="15">
        <f t="shared" si="242"/>
        <v>5.5045737218008244E-6</v>
      </c>
      <c r="AO201" s="16">
        <f t="shared" si="243"/>
        <v>27.415298900354742</v>
      </c>
      <c r="AP201" s="17">
        <f t="shared" si="244"/>
        <v>1.377626112617255E-2</v>
      </c>
      <c r="AQ201" s="18">
        <f t="shared" si="245"/>
        <v>0.20118784843628426</v>
      </c>
      <c r="AR201" s="19">
        <f t="shared" si="306"/>
        <v>997.79102522295011</v>
      </c>
      <c r="AS201" s="15">
        <f t="shared" si="246"/>
        <v>5.4955820504459004E-6</v>
      </c>
      <c r="AT201" s="16">
        <f t="shared" si="247"/>
        <v>27.363596790063923</v>
      </c>
      <c r="AU201" s="17">
        <f t="shared" si="248"/>
        <v>1.3753757728306231E-2</v>
      </c>
      <c r="AV201" s="18">
        <f t="shared" si="249"/>
        <v>0.20156798253959052</v>
      </c>
      <c r="AW201" s="19">
        <f t="shared" si="307"/>
        <v>992.69536817442759</v>
      </c>
      <c r="AX201" s="15">
        <f t="shared" si="250"/>
        <v>5.4853907363488551E-6</v>
      </c>
      <c r="AY201" s="16">
        <f t="shared" si="251"/>
        <v>27.304996734005918</v>
      </c>
      <c r="AZ201" s="17">
        <f t="shared" si="252"/>
        <v>1.372825199229189E-2</v>
      </c>
      <c r="BA201" s="18">
        <f t="shared" si="253"/>
        <v>0.20200057351154285</v>
      </c>
      <c r="BB201" s="19">
        <f t="shared" si="308"/>
        <v>986.99804574752284</v>
      </c>
      <c r="BC201" s="15">
        <f t="shared" si="254"/>
        <v>5.4739960914950466E-6</v>
      </c>
      <c r="BD201" s="16">
        <f t="shared" si="255"/>
        <v>27.239477526096511</v>
      </c>
      <c r="BE201" s="17">
        <f t="shared" si="256"/>
        <v>1.369973468815908E-2</v>
      </c>
      <c r="BF201" s="18">
        <f t="shared" si="257"/>
        <v>0.20248644617782446</v>
      </c>
      <c r="BG201" s="19">
        <f t="shared" si="309"/>
        <v>980.6909231559921</v>
      </c>
      <c r="BH201" s="15">
        <f t="shared" si="258"/>
        <v>5.4613818463119846E-6</v>
      </c>
      <c r="BI201" s="16">
        <f t="shared" si="259"/>
        <v>27.166945616293908</v>
      </c>
      <c r="BJ201" s="17">
        <f t="shared" si="260"/>
        <v>1.3668165098153738E-2</v>
      </c>
      <c r="BK201" s="18">
        <f t="shared" si="261"/>
        <v>0.20302705640533603</v>
      </c>
      <c r="BL201" s="19">
        <f t="shared" si="310"/>
        <v>973.74126882479732</v>
      </c>
      <c r="BM201" s="15">
        <f t="shared" si="262"/>
        <v>5.4474825376495951E-6</v>
      </c>
      <c r="BN201" s="16">
        <f t="shared" si="263"/>
        <v>27.087024591485168</v>
      </c>
      <c r="BO201" s="17">
        <f t="shared" si="264"/>
        <v>1.3633379388072684E-2</v>
      </c>
      <c r="BP201" s="18">
        <f t="shared" si="265"/>
        <v>0.20362609342237767</v>
      </c>
      <c r="BQ201" s="19">
        <f t="shared" si="311"/>
        <v>966.03019749732937</v>
      </c>
      <c r="BR201" s="15">
        <f t="shared" si="266"/>
        <v>5.4320603949946591E-6</v>
      </c>
      <c r="BS201" s="16">
        <f t="shared" si="267"/>
        <v>26.998347271219288</v>
      </c>
      <c r="BT201" s="17">
        <f t="shared" si="268"/>
        <v>1.3594782491187092E-2</v>
      </c>
      <c r="BU201" s="18">
        <f t="shared" si="269"/>
        <v>0.20429491274377942</v>
      </c>
      <c r="BV201" s="19">
        <f t="shared" si="312"/>
        <v>957.17257246942609</v>
      </c>
      <c r="BW201" s="15">
        <f t="shared" si="270"/>
        <v>5.4143451449388524E-6</v>
      </c>
      <c r="BX201" s="16">
        <f t="shared" si="271"/>
        <v>26.896484583398397</v>
      </c>
      <c r="BY201" s="17">
        <f t="shared" si="272"/>
        <v>1.3550446649209416E-2</v>
      </c>
      <c r="BZ201" s="18">
        <f t="shared" si="273"/>
        <v>0.20506862087859867</v>
      </c>
      <c r="CA201" s="19">
        <f t="shared" si="313"/>
        <v>946.07228796011225</v>
      </c>
      <c r="CB201" s="15">
        <f t="shared" si="274"/>
        <v>5.3921445759202251E-6</v>
      </c>
      <c r="CC201" s="16">
        <f t="shared" si="275"/>
        <v>26.768831311541291</v>
      </c>
      <c r="CD201" s="17">
        <f t="shared" si="276"/>
        <v>1.3494885428412437E-2</v>
      </c>
      <c r="CE201" s="18">
        <f t="shared" si="277"/>
        <v>0.2060465373257426</v>
      </c>
      <c r="CF201" s="19">
        <f t="shared" si="314"/>
        <v>930.0426183031193</v>
      </c>
      <c r="CG201" s="15">
        <f t="shared" si="278"/>
        <v>5.3600852366062392E-6</v>
      </c>
      <c r="CH201" s="16">
        <f t="shared" si="279"/>
        <v>26.584490110485874</v>
      </c>
      <c r="CI201" s="17">
        <f t="shared" si="280"/>
        <v>1.3414650726827307E-2</v>
      </c>
      <c r="CJ201" s="18">
        <f t="shared" si="281"/>
        <v>0.20747529770467329</v>
      </c>
      <c r="CK201" s="19">
        <f t="shared" si="315"/>
        <v>903.56525407584536</v>
      </c>
      <c r="CL201" s="15">
        <f t="shared" si="282"/>
        <v>5.3071305081516914E-6</v>
      </c>
      <c r="CM201" s="16">
        <f t="shared" si="283"/>
        <v>26.28000042187222</v>
      </c>
      <c r="CN201" s="17">
        <f t="shared" si="284"/>
        <v>1.3282121269702196E-2</v>
      </c>
      <c r="CO201" s="18">
        <f t="shared" si="285"/>
        <v>0.20987918232335628</v>
      </c>
      <c r="CP201" s="19">
        <f t="shared" si="316"/>
        <v>857.5294523449254</v>
      </c>
      <c r="CQ201" s="15">
        <f t="shared" si="286"/>
        <v>5.215058904689851E-6</v>
      </c>
      <c r="CR201" s="16">
        <f t="shared" si="287"/>
        <v>25.750588701966642</v>
      </c>
      <c r="CS201" s="17">
        <f t="shared" si="288"/>
        <v>1.3051694261962756E-2</v>
      </c>
      <c r="CT201" s="18">
        <f t="shared" si="289"/>
        <v>0.2141941321744911</v>
      </c>
      <c r="CU201" s="19">
        <f t="shared" si="317"/>
        <v>780.72380621345576</v>
      </c>
      <c r="CV201" s="15">
        <f t="shared" si="290"/>
        <v>5.0614476124269121E-6</v>
      </c>
      <c r="CW201" s="16">
        <f t="shared" si="291"/>
        <v>24.867323771454743</v>
      </c>
      <c r="CX201" s="17">
        <f t="shared" si="292"/>
        <v>1.2667252272247565E-2</v>
      </c>
      <c r="CY201" s="18">
        <f t="shared" si="293"/>
        <v>0.22180211472259023</v>
      </c>
      <c r="CZ201" s="20">
        <f t="shared" si="318"/>
        <v>664.8103845012123</v>
      </c>
      <c r="DA201" s="15">
        <f t="shared" si="294"/>
        <v>4.8296207690024256E-6</v>
      </c>
      <c r="DB201" s="16">
        <f t="shared" si="295"/>
        <v>30.936074792183092</v>
      </c>
      <c r="DC201" s="17">
        <f t="shared" si="296"/>
        <v>1.208706072745575E-2</v>
      </c>
      <c r="DD201" s="18">
        <f t="shared" si="297"/>
        <v>0.17829104167389989</v>
      </c>
    </row>
    <row r="202" spans="2:108" x14ac:dyDescent="0.25">
      <c r="B202">
        <v>183</v>
      </c>
      <c r="C202">
        <f t="shared" si="298"/>
        <v>0.17890348394118102</v>
      </c>
      <c r="D202" s="19">
        <f t="shared" si="215"/>
        <v>1016.9932774004542</v>
      </c>
      <c r="E202" s="15">
        <f t="shared" si="216"/>
        <v>5.5339865548009086E-6</v>
      </c>
      <c r="F202" s="16">
        <f t="shared" si="217"/>
        <v>27.584422690105221</v>
      </c>
      <c r="G202" s="17">
        <f t="shared" si="213"/>
        <v>1.3849872433486843E-2</v>
      </c>
      <c r="H202" s="18">
        <f t="shared" si="218"/>
        <v>0.1999543387934852</v>
      </c>
      <c r="I202" s="19">
        <f t="shared" si="299"/>
        <v>1016.6685974491179</v>
      </c>
      <c r="J202" s="15">
        <f t="shared" si="219"/>
        <v>5.5333371948982361E-6</v>
      </c>
      <c r="K202" s="16">
        <f t="shared" si="220"/>
        <v>27.580688870664854</v>
      </c>
      <c r="L202" s="17">
        <f t="shared" si="221"/>
        <v>1.3848247284649494E-2</v>
      </c>
      <c r="M202" s="18">
        <f t="shared" si="222"/>
        <v>0.19998140821879484</v>
      </c>
      <c r="N202" s="19">
        <f t="shared" si="300"/>
        <v>1015.7624049950988</v>
      </c>
      <c r="O202" s="15">
        <f t="shared" si="223"/>
        <v>5.5315248099901976E-6</v>
      </c>
      <c r="P202" s="16">
        <f t="shared" si="224"/>
        <v>27.570267657443637</v>
      </c>
      <c r="Q202" s="17">
        <f t="shared" si="214"/>
        <v>1.3849872433486843E-2</v>
      </c>
      <c r="R202" s="18">
        <f t="shared" si="225"/>
        <v>0.20005699866721635</v>
      </c>
      <c r="S202" s="19">
        <f t="shared" si="301"/>
        <v>1014.2607301490754</v>
      </c>
      <c r="T202" s="15">
        <f t="shared" si="226"/>
        <v>5.5285214602981514E-6</v>
      </c>
      <c r="U202" s="16">
        <f t="shared" si="227"/>
        <v>27.552998396714365</v>
      </c>
      <c r="V202" s="17">
        <f t="shared" si="228"/>
        <v>1.3836194976747365E-2</v>
      </c>
      <c r="W202" s="18">
        <f t="shared" si="229"/>
        <v>0.20018238743329386</v>
      </c>
      <c r="X202" s="19">
        <f t="shared" si="302"/>
        <v>1012.1616743765253</v>
      </c>
      <c r="Y202" s="15">
        <f t="shared" si="230"/>
        <v>5.5243233487530514E-6</v>
      </c>
      <c r="Z202" s="16">
        <f t="shared" si="231"/>
        <v>27.52885925533004</v>
      </c>
      <c r="AA202" s="17">
        <f t="shared" si="232"/>
        <v>1.382568839007871E-2</v>
      </c>
      <c r="AB202" s="18">
        <f t="shared" si="233"/>
        <v>0.20035792071304531</v>
      </c>
      <c r="AC202" s="19">
        <f t="shared" si="303"/>
        <v>1009.4637809684793</v>
      </c>
      <c r="AD202" s="15">
        <f t="shared" si="234"/>
        <v>5.5189275619369592E-6</v>
      </c>
      <c r="AE202" s="16">
        <f t="shared" si="235"/>
        <v>27.497833481137512</v>
      </c>
      <c r="AF202" s="17">
        <f t="shared" si="236"/>
        <v>1.3812184389239326E-2</v>
      </c>
      <c r="AG202" s="18">
        <f t="shared" si="237"/>
        <v>0.20058398432674751</v>
      </c>
      <c r="AH202" s="19">
        <f t="shared" si="304"/>
        <v>1006.1667092205222</v>
      </c>
      <c r="AI202" s="15">
        <f t="shared" si="238"/>
        <v>5.5123334184410446E-6</v>
      </c>
      <c r="AJ202" s="16">
        <f t="shared" si="239"/>
        <v>27.459917156036006</v>
      </c>
      <c r="AK202" s="17">
        <f t="shared" si="240"/>
        <v>1.3795681268871735E-2</v>
      </c>
      <c r="AL202" s="18">
        <f t="shared" si="241"/>
        <v>0.20086094829268639</v>
      </c>
      <c r="AM202" s="19">
        <f t="shared" si="305"/>
        <v>1002.2703215966279</v>
      </c>
      <c r="AN202" s="15">
        <f t="shared" si="242"/>
        <v>5.5045406431932562E-6</v>
      </c>
      <c r="AO202" s="16">
        <f t="shared" si="243"/>
        <v>27.41510869836122</v>
      </c>
      <c r="AP202" s="17">
        <f t="shared" si="244"/>
        <v>1.3776178340554883E-2</v>
      </c>
      <c r="AQ202" s="18">
        <f t="shared" si="245"/>
        <v>0.20118924424799764</v>
      </c>
      <c r="AR202" s="19">
        <f t="shared" si="306"/>
        <v>997.7745035946233</v>
      </c>
      <c r="AS202" s="15">
        <f t="shared" si="246"/>
        <v>5.4955490071892472E-6</v>
      </c>
      <c r="AT202" s="16">
        <f t="shared" si="247"/>
        <v>27.363406791338168</v>
      </c>
      <c r="AU202" s="17">
        <f t="shared" si="248"/>
        <v>1.3753675031161072E-2</v>
      </c>
      <c r="AV202" s="18">
        <f t="shared" si="249"/>
        <v>0.2015693821335858</v>
      </c>
      <c r="AW202" s="19">
        <f t="shared" si="307"/>
        <v>992.67884622365125</v>
      </c>
      <c r="AX202" s="15">
        <f t="shared" si="250"/>
        <v>5.4853576924473023E-6</v>
      </c>
      <c r="AY202" s="16">
        <f t="shared" si="251"/>
        <v>27.304806731571986</v>
      </c>
      <c r="AZ202" s="17">
        <f t="shared" si="252"/>
        <v>1.3728169293532742E-2</v>
      </c>
      <c r="BA202" s="18">
        <f t="shared" si="253"/>
        <v>0.20200197914685827</v>
      </c>
      <c r="BB202" s="19">
        <f t="shared" si="308"/>
        <v>986.98143435495319</v>
      </c>
      <c r="BC202" s="15">
        <f t="shared" si="254"/>
        <v>5.4739628687099068E-6</v>
      </c>
      <c r="BD202" s="16">
        <f t="shared" si="255"/>
        <v>27.239286495081963</v>
      </c>
      <c r="BE202" s="17">
        <f t="shared" si="256"/>
        <v>1.3699651541709134E-2</v>
      </c>
      <c r="BF202" s="18">
        <f t="shared" si="257"/>
        <v>0.20248786622938317</v>
      </c>
      <c r="BG202" s="19">
        <f t="shared" si="309"/>
        <v>980.6738655484902</v>
      </c>
      <c r="BH202" s="15">
        <f t="shared" si="258"/>
        <v>5.4613477310969812E-6</v>
      </c>
      <c r="BI202" s="16">
        <f t="shared" si="259"/>
        <v>27.166749453807636</v>
      </c>
      <c r="BJ202" s="17">
        <f t="shared" si="260"/>
        <v>1.3668079718225335E-2</v>
      </c>
      <c r="BK202" s="18">
        <f t="shared" si="261"/>
        <v>0.20302852239935321</v>
      </c>
      <c r="BL202" s="19">
        <f t="shared" si="310"/>
        <v>973.72251238463389</v>
      </c>
      <c r="BM202" s="15">
        <f t="shared" si="262"/>
        <v>5.4474450247692681E-6</v>
      </c>
      <c r="BN202" s="16">
        <f t="shared" si="263"/>
        <v>27.086808892423289</v>
      </c>
      <c r="BO202" s="17">
        <f t="shared" si="264"/>
        <v>1.3633285504829205E-2</v>
      </c>
      <c r="BP202" s="18">
        <f t="shared" si="265"/>
        <v>0.20362771494809889</v>
      </c>
      <c r="BQ202" s="19">
        <f t="shared" si="311"/>
        <v>966.00587828923642</v>
      </c>
      <c r="BR202" s="15">
        <f t="shared" si="266"/>
        <v>5.4320117565784732E-6</v>
      </c>
      <c r="BS202" s="16">
        <f t="shared" si="267"/>
        <v>26.998067600326216</v>
      </c>
      <c r="BT202" s="17">
        <f t="shared" si="268"/>
        <v>1.3594660764136825E-2</v>
      </c>
      <c r="BU202" s="18">
        <f t="shared" si="269"/>
        <v>0.20429702901897154</v>
      </c>
      <c r="BV202" s="19">
        <f t="shared" si="312"/>
        <v>957.13239423850541</v>
      </c>
      <c r="BW202" s="15">
        <f t="shared" si="270"/>
        <v>5.4142647884770114E-6</v>
      </c>
      <c r="BX202" s="16">
        <f t="shared" si="271"/>
        <v>26.896022533742812</v>
      </c>
      <c r="BY202" s="17">
        <f t="shared" si="272"/>
        <v>1.3550245541611E-2</v>
      </c>
      <c r="BZ202" s="18">
        <f t="shared" si="273"/>
        <v>0.20507214377442945</v>
      </c>
      <c r="CA202" s="19">
        <f t="shared" si="313"/>
        <v>945.99323966297584</v>
      </c>
      <c r="CB202" s="15">
        <f t="shared" si="274"/>
        <v>5.3919864793259527E-6</v>
      </c>
      <c r="CC202" s="16">
        <f t="shared" si="275"/>
        <v>26.767922256124223</v>
      </c>
      <c r="CD202" s="17">
        <f t="shared" si="276"/>
        <v>1.3494489761086331E-2</v>
      </c>
      <c r="CE202" s="18">
        <f t="shared" si="277"/>
        <v>0.20605353479529337</v>
      </c>
      <c r="CF202" s="19">
        <f t="shared" si="314"/>
        <v>929.88370666029107</v>
      </c>
      <c r="CG202" s="15">
        <f t="shared" si="278"/>
        <v>5.3597674133205827E-6</v>
      </c>
      <c r="CH202" s="16">
        <f t="shared" si="279"/>
        <v>26.582662626593347</v>
      </c>
      <c r="CI202" s="17">
        <f t="shared" si="280"/>
        <v>1.3413855312541577E-2</v>
      </c>
      <c r="CJ202" s="18">
        <f t="shared" si="281"/>
        <v>0.20748956105255453</v>
      </c>
      <c r="CK202" s="19">
        <f t="shared" si="315"/>
        <v>903.27429175690213</v>
      </c>
      <c r="CL202" s="15">
        <f t="shared" si="282"/>
        <v>5.3065485835138048E-6</v>
      </c>
      <c r="CM202" s="16">
        <f t="shared" si="283"/>
        <v>26.276654355204371</v>
      </c>
      <c r="CN202" s="17">
        <f t="shared" si="284"/>
        <v>1.328066489066679E-2</v>
      </c>
      <c r="CO202" s="18">
        <f t="shared" si="285"/>
        <v>0.20990590831848316</v>
      </c>
      <c r="CP202" s="19">
        <f t="shared" si="316"/>
        <v>857.07549123871081</v>
      </c>
      <c r="CQ202" s="15">
        <f t="shared" si="286"/>
        <v>5.2141509824774228E-6</v>
      </c>
      <c r="CR202" s="16">
        <f t="shared" si="287"/>
        <v>25.745368149245174</v>
      </c>
      <c r="CS202" s="17">
        <f t="shared" si="288"/>
        <v>1.3049422010901581E-2</v>
      </c>
      <c r="CT202" s="18">
        <f t="shared" si="289"/>
        <v>0.21423756568661506</v>
      </c>
      <c r="CU202" s="19">
        <f t="shared" si="317"/>
        <v>780.14729149215668</v>
      </c>
      <c r="CV202" s="15">
        <f t="shared" si="290"/>
        <v>5.0602945829843138E-6</v>
      </c>
      <c r="CW202" s="16">
        <f t="shared" si="291"/>
        <v>24.860693852159802</v>
      </c>
      <c r="CX202" s="17">
        <f t="shared" si="292"/>
        <v>1.2664366592903405E-2</v>
      </c>
      <c r="CY202" s="18">
        <f t="shared" si="293"/>
        <v>0.22186126553023874</v>
      </c>
      <c r="CZ202" s="20">
        <f>CZ201+((2*$CX202)*(CU201-CZ201))+((2*$CX202*$CY202)*($C$14-CZ201))+((($CX202*$CY202)/$C$5)*($C$14-CZ201))+(((CZ201-$C$14)*$CX202*($D$6^2))/($CW202*($D$4/(2*$C$8))))</f>
        <v>664.24081749709421</v>
      </c>
      <c r="DA202" s="15">
        <f t="shared" si="294"/>
        <v>4.8284816349941885E-6</v>
      </c>
      <c r="DB202" s="16">
        <f t="shared" si="295"/>
        <v>31.050443846609937</v>
      </c>
      <c r="DC202" s="17">
        <f t="shared" si="296"/>
        <v>1.2084209824125485E-2</v>
      </c>
      <c r="DD202" s="18">
        <f t="shared" si="297"/>
        <v>0.17763433679876983</v>
      </c>
    </row>
    <row r="203" spans="2:108" x14ac:dyDescent="0.25">
      <c r="B203">
        <v>184</v>
      </c>
      <c r="C203">
        <f t="shared" si="298"/>
        <v>0.17988109860752627</v>
      </c>
      <c r="D203" s="19">
        <f t="shared" si="215"/>
        <v>1016.9767008823133</v>
      </c>
      <c r="E203" s="15">
        <f t="shared" si="216"/>
        <v>5.5339534017646265E-6</v>
      </c>
      <c r="F203" s="16">
        <f t="shared" si="217"/>
        <v>27.584232060146601</v>
      </c>
      <c r="G203" s="17">
        <f t="shared" si="213"/>
        <v>1.3849789461596915E-2</v>
      </c>
      <c r="H203" s="18">
        <f t="shared" si="218"/>
        <v>0.1999557206440746</v>
      </c>
      <c r="I203" s="19">
        <f t="shared" si="299"/>
        <v>1016.6520199615524</v>
      </c>
      <c r="J203" s="15">
        <f t="shared" si="219"/>
        <v>5.5333040399231049E-6</v>
      </c>
      <c r="K203" s="16">
        <f t="shared" si="220"/>
        <v>27.58049822955785</v>
      </c>
      <c r="L203" s="17">
        <f t="shared" si="221"/>
        <v>1.384816430790722E-2</v>
      </c>
      <c r="M203" s="18">
        <f t="shared" si="222"/>
        <v>0.19998279052439083</v>
      </c>
      <c r="N203" s="19">
        <f t="shared" si="300"/>
        <v>1015.7458225215912</v>
      </c>
      <c r="O203" s="15">
        <f t="shared" si="223"/>
        <v>5.531491645043183E-6</v>
      </c>
      <c r="P203" s="16">
        <f t="shared" si="224"/>
        <v>27.5700769589983</v>
      </c>
      <c r="Q203" s="17">
        <f t="shared" si="214"/>
        <v>1.3849789461596915E-2</v>
      </c>
      <c r="R203" s="18">
        <f t="shared" si="225"/>
        <v>0.20005838243406915</v>
      </c>
      <c r="S203" s="19">
        <f t="shared" si="301"/>
        <v>1014.2441449888521</v>
      </c>
      <c r="T203" s="15">
        <f t="shared" si="226"/>
        <v>5.5284882899777054E-6</v>
      </c>
      <c r="U203" s="16">
        <f t="shared" si="227"/>
        <v>27.552807667371798</v>
      </c>
      <c r="V203" s="17">
        <f t="shared" si="228"/>
        <v>1.3836111961600471E-2</v>
      </c>
      <c r="W203" s="18">
        <f t="shared" si="229"/>
        <v>0.20018377315977262</v>
      </c>
      <c r="X203" s="19">
        <f t="shared" si="302"/>
        <v>1012.1450924012116</v>
      </c>
      <c r="Y203" s="15">
        <f t="shared" si="230"/>
        <v>5.5242901848024237E-6</v>
      </c>
      <c r="Z203" s="16">
        <f t="shared" si="231"/>
        <v>27.52866856261393</v>
      </c>
      <c r="AA203" s="17">
        <f t="shared" si="232"/>
        <v>1.3825605390873519E-2</v>
      </c>
      <c r="AB203" s="18">
        <f t="shared" si="233"/>
        <v>0.20035930860421805</v>
      </c>
      <c r="AC203" s="19">
        <f t="shared" si="303"/>
        <v>1009.4472085629351</v>
      </c>
      <c r="AD203" s="15">
        <f t="shared" si="234"/>
        <v>5.5188944171258701E-6</v>
      </c>
      <c r="AE203" s="16">
        <f t="shared" si="235"/>
        <v>27.497642898473753</v>
      </c>
      <c r="AF203" s="17">
        <f t="shared" si="236"/>
        <v>1.3812101437934536E-2</v>
      </c>
      <c r="AG203" s="18">
        <f t="shared" si="237"/>
        <v>0.20058537454881789</v>
      </c>
      <c r="AH203" s="19">
        <f t="shared" si="304"/>
        <v>1006.1501516763059</v>
      </c>
      <c r="AI203" s="15">
        <f t="shared" si="238"/>
        <v>5.5123003033526127E-6</v>
      </c>
      <c r="AJ203" s="16">
        <f t="shared" si="239"/>
        <v>27.459726744277518</v>
      </c>
      <c r="AK203" s="17">
        <f t="shared" si="240"/>
        <v>1.3795598391953644E-2</v>
      </c>
      <c r="AL203" s="18">
        <f t="shared" si="241"/>
        <v>0.20086234110648721</v>
      </c>
      <c r="AM203" s="19">
        <f t="shared" si="305"/>
        <v>1002.2537824174077</v>
      </c>
      <c r="AN203" s="15">
        <f t="shared" si="242"/>
        <v>5.5045075648348157E-6</v>
      </c>
      <c r="AO203" s="16">
        <f t="shared" si="243"/>
        <v>27.414918497800187</v>
      </c>
      <c r="AP203" s="17">
        <f t="shared" si="244"/>
        <v>1.3776095555560705E-2</v>
      </c>
      <c r="AQ203" s="18">
        <f t="shared" si="245"/>
        <v>0.20119064006856638</v>
      </c>
      <c r="AR203" s="19">
        <f t="shared" si="306"/>
        <v>997.75798183257984</v>
      </c>
      <c r="AS203" s="15">
        <f t="shared" si="246"/>
        <v>5.4955159636651603E-6</v>
      </c>
      <c r="AT203" s="16">
        <f t="shared" si="247"/>
        <v>27.363216791074667</v>
      </c>
      <c r="AU203" s="17">
        <f t="shared" si="248"/>
        <v>1.3753592333346608E-2</v>
      </c>
      <c r="AV203" s="18">
        <f t="shared" si="249"/>
        <v>0.20157078175834525</v>
      </c>
      <c r="AW203" s="19">
        <f t="shared" si="307"/>
        <v>992.66232307791881</v>
      </c>
      <c r="AX203" s="15">
        <f t="shared" si="250"/>
        <v>5.4853246461558385E-6</v>
      </c>
      <c r="AY203" s="16">
        <f t="shared" si="251"/>
        <v>27.304616715396065</v>
      </c>
      <c r="AZ203" s="17">
        <f t="shared" si="252"/>
        <v>1.3728086588792382E-2</v>
      </c>
      <c r="BA203" s="18">
        <f t="shared" si="253"/>
        <v>0.20200338490340145</v>
      </c>
      <c r="BB203" s="19">
        <f t="shared" si="308"/>
        <v>986.96481779696853</v>
      </c>
      <c r="BC203" s="15">
        <f t="shared" si="254"/>
        <v>5.4739296355939372E-6</v>
      </c>
      <c r="BD203" s="16">
        <f t="shared" si="255"/>
        <v>27.239095404665136</v>
      </c>
      <c r="BE203" s="17">
        <f t="shared" si="256"/>
        <v>1.3699568369404291E-2</v>
      </c>
      <c r="BF203" s="18">
        <f t="shared" si="257"/>
        <v>0.20248928674244299</v>
      </c>
      <c r="BG203" s="19">
        <f t="shared" si="309"/>
        <v>980.65678954848738</v>
      </c>
      <c r="BH203" s="15">
        <f t="shared" si="258"/>
        <v>5.4613135790969759E-6</v>
      </c>
      <c r="BI203" s="16">
        <f t="shared" si="259"/>
        <v>27.166553079807606</v>
      </c>
      <c r="BJ203" s="17">
        <f t="shared" si="260"/>
        <v>1.3667994246235344E-2</v>
      </c>
      <c r="BK203" s="18">
        <f t="shared" si="261"/>
        <v>0.20302998999529542</v>
      </c>
      <c r="BL203" s="19">
        <f t="shared" si="310"/>
        <v>973.70369911403714</v>
      </c>
      <c r="BM203" s="15">
        <f t="shared" si="262"/>
        <v>5.4474073982280751E-6</v>
      </c>
      <c r="BN203" s="16">
        <f t="shared" si="263"/>
        <v>27.086592539811427</v>
      </c>
      <c r="BO203" s="17">
        <f t="shared" si="264"/>
        <v>1.3633191337127409E-2</v>
      </c>
      <c r="BP203" s="18">
        <f t="shared" si="265"/>
        <v>0.20362934141284939</v>
      </c>
      <c r="BQ203" s="19">
        <f t="shared" si="311"/>
        <v>965.98140764571656</v>
      </c>
      <c r="BR203" s="15">
        <f t="shared" si="266"/>
        <v>5.4319628152914337E-6</v>
      </c>
      <c r="BS203" s="16">
        <f t="shared" si="267"/>
        <v>26.99778618792574</v>
      </c>
      <c r="BT203" s="17">
        <f t="shared" si="268"/>
        <v>1.3594538279093626E-2</v>
      </c>
      <c r="BU203" s="18">
        <f t="shared" si="269"/>
        <v>0.20429915851644018</v>
      </c>
      <c r="BV203" s="19">
        <f t="shared" si="312"/>
        <v>957.09187697304719</v>
      </c>
      <c r="BW203" s="15">
        <f t="shared" si="270"/>
        <v>5.4141837539460947E-6</v>
      </c>
      <c r="BX203" s="16">
        <f t="shared" si="271"/>
        <v>26.895556585190043</v>
      </c>
      <c r="BY203" s="17">
        <f t="shared" si="272"/>
        <v>1.3550042737013483E-2</v>
      </c>
      <c r="BZ203" s="18">
        <f t="shared" si="273"/>
        <v>0.20507569651996577</v>
      </c>
      <c r="CA203" s="19">
        <f t="shared" si="313"/>
        <v>945.9135834601617</v>
      </c>
      <c r="CB203" s="15">
        <f t="shared" si="274"/>
        <v>5.3918271669203236E-6</v>
      </c>
      <c r="CC203" s="16">
        <f t="shared" si="275"/>
        <v>26.767006209791859</v>
      </c>
      <c r="CD203" s="17">
        <f t="shared" si="276"/>
        <v>1.349409105095699E-2</v>
      </c>
      <c r="CE203" s="18">
        <f t="shared" si="277"/>
        <v>0.20606058655832357</v>
      </c>
      <c r="CF203" s="19">
        <f t="shared" si="314"/>
        <v>929.72400613000354</v>
      </c>
      <c r="CG203" s="15">
        <f t="shared" si="278"/>
        <v>5.3594480122600078E-6</v>
      </c>
      <c r="CH203" s="16">
        <f t="shared" si="279"/>
        <v>26.580826070495039</v>
      </c>
      <c r="CI203" s="17">
        <f t="shared" si="280"/>
        <v>1.3413055949568738E-2</v>
      </c>
      <c r="CJ203" s="18">
        <f t="shared" si="281"/>
        <v>0.20750389718408316</v>
      </c>
      <c r="CK203" s="19">
        <f t="shared" si="315"/>
        <v>902.98281527083793</v>
      </c>
      <c r="CL203" s="15">
        <f t="shared" si="282"/>
        <v>5.3059656305416765E-6</v>
      </c>
      <c r="CM203" s="16">
        <f t="shared" si="283"/>
        <v>26.273302375614634</v>
      </c>
      <c r="CN203" s="17">
        <f t="shared" si="284"/>
        <v>1.3279205938025914E-2</v>
      </c>
      <c r="CO203" s="18">
        <f t="shared" si="285"/>
        <v>0.20993268836730952</v>
      </c>
      <c r="CP203" s="19">
        <f t="shared" si="316"/>
        <v>856.622011751532</v>
      </c>
      <c r="CQ203" s="15">
        <f t="shared" si="286"/>
        <v>5.2132440235030652E-6</v>
      </c>
      <c r="CR203" s="16">
        <f t="shared" si="287"/>
        <v>25.740153135142616</v>
      </c>
      <c r="CS203" s="17">
        <f t="shared" si="288"/>
        <v>1.3047152170530114E-2</v>
      </c>
      <c r="CT203" s="18">
        <f t="shared" si="289"/>
        <v>0.21428097070912938</v>
      </c>
      <c r="CU203" s="19">
        <f t="shared" si="317"/>
        <v>779.57252698163745</v>
      </c>
      <c r="CV203" s="15">
        <f t="shared" si="290"/>
        <v>5.0591450539632749E-6</v>
      </c>
      <c r="CW203" s="16">
        <f t="shared" si="291"/>
        <v>24.85408406028883</v>
      </c>
      <c r="CX203" s="17">
        <f t="shared" si="292"/>
        <v>1.2661489674041692E-2</v>
      </c>
      <c r="CY203" s="18">
        <f t="shared" si="293"/>
        <v>0.2219202681788911</v>
      </c>
      <c r="CZ203" s="20">
        <f t="shared" si="318"/>
        <v>663.67339265215139</v>
      </c>
      <c r="DA203" s="15">
        <f t="shared" si="294"/>
        <v>4.8273467853043035E-6</v>
      </c>
      <c r="DB203" s="16">
        <f t="shared" si="295"/>
        <v>31.164382755474435</v>
      </c>
      <c r="DC203" s="17">
        <f t="shared" si="296"/>
        <v>1.2081369643131107E-2</v>
      </c>
      <c r="DD203" s="18">
        <f t="shared" si="297"/>
        <v>0.17698489468818721</v>
      </c>
    </row>
    <row r="204" spans="2:108" x14ac:dyDescent="0.25">
      <c r="B204">
        <v>185</v>
      </c>
      <c r="C204">
        <f t="shared" si="298"/>
        <v>0.18085871327387151</v>
      </c>
      <c r="D204" s="19">
        <f t="shared" si="215"/>
        <v>1016.9601243146784</v>
      </c>
      <c r="E204" s="15">
        <f t="shared" si="216"/>
        <v>5.5339202486293576E-6</v>
      </c>
      <c r="F204" s="16">
        <f t="shared" si="217"/>
        <v>27.5840414296188</v>
      </c>
      <c r="G204" s="17">
        <f t="shared" si="213"/>
        <v>1.3849706489459251E-2</v>
      </c>
      <c r="H204" s="18">
        <f t="shared" si="218"/>
        <v>0.19995710251788959</v>
      </c>
      <c r="I204" s="19">
        <f t="shared" si="299"/>
        <v>1016.6354424764326</v>
      </c>
      <c r="J204" s="15">
        <f t="shared" si="219"/>
        <v>5.5332708849528653E-6</v>
      </c>
      <c r="K204" s="16">
        <f t="shared" si="220"/>
        <v>27.580307588478973</v>
      </c>
      <c r="L204" s="17">
        <f t="shared" si="221"/>
        <v>1.384808133117719E-2</v>
      </c>
      <c r="M204" s="18">
        <f t="shared" si="222"/>
        <v>0.19998417284889247</v>
      </c>
      <c r="N204" s="19">
        <f t="shared" si="300"/>
        <v>1015.729240152721</v>
      </c>
      <c r="O204" s="15">
        <f t="shared" si="223"/>
        <v>5.5314584803054431E-6</v>
      </c>
      <c r="P204" s="16">
        <f t="shared" si="224"/>
        <v>27.569886261756288</v>
      </c>
      <c r="Q204" s="17">
        <f t="shared" si="214"/>
        <v>1.3849706489459251E-2</v>
      </c>
      <c r="R204" s="18">
        <f t="shared" si="225"/>
        <v>0.20005976621133284</v>
      </c>
      <c r="S204" s="19">
        <f t="shared" si="301"/>
        <v>1014.2275600104584</v>
      </c>
      <c r="T204" s="15">
        <f t="shared" si="226"/>
        <v>5.528455120020917E-6</v>
      </c>
      <c r="U204" s="16">
        <f t="shared" si="227"/>
        <v>27.552616940120274</v>
      </c>
      <c r="V204" s="17">
        <f t="shared" si="228"/>
        <v>1.38360289473637E-2</v>
      </c>
      <c r="W204" s="18">
        <f t="shared" si="229"/>
        <v>0.2001851588902438</v>
      </c>
      <c r="X204" s="19">
        <f t="shared" si="302"/>
        <v>1012.1285106357873</v>
      </c>
      <c r="Y204" s="15">
        <f t="shared" si="230"/>
        <v>5.5242570212715753E-6</v>
      </c>
      <c r="Z204" s="16">
        <f t="shared" si="231"/>
        <v>27.528477872311555</v>
      </c>
      <c r="AA204" s="17">
        <f t="shared" si="232"/>
        <v>1.3825522392718909E-2</v>
      </c>
      <c r="AB204" s="18">
        <f t="shared" si="233"/>
        <v>0.20036069649705102</v>
      </c>
      <c r="AC204" s="19">
        <f t="shared" si="303"/>
        <v>1009.4306363638144</v>
      </c>
      <c r="AD204" s="15">
        <f t="shared" si="234"/>
        <v>5.5188612727276292E-6</v>
      </c>
      <c r="AE204" s="16">
        <f t="shared" si="235"/>
        <v>27.497452318183864</v>
      </c>
      <c r="AF204" s="17">
        <f t="shared" si="236"/>
        <v>1.3812018487662978E-2</v>
      </c>
      <c r="AG204" s="18">
        <f t="shared" si="237"/>
        <v>0.20058676477284251</v>
      </c>
      <c r="AH204" s="19">
        <f t="shared" si="304"/>
        <v>1006.1335943181642</v>
      </c>
      <c r="AI204" s="15">
        <f t="shared" si="238"/>
        <v>5.512267188636329E-6</v>
      </c>
      <c r="AJ204" s="16">
        <f t="shared" si="239"/>
        <v>27.459536334658885</v>
      </c>
      <c r="AK204" s="17">
        <f t="shared" si="240"/>
        <v>1.379551551596693E-2</v>
      </c>
      <c r="AL204" s="18">
        <f t="shared" si="241"/>
        <v>0.20086373392395146</v>
      </c>
      <c r="AM204" s="19">
        <f t="shared" si="305"/>
        <v>1002.2372433597293</v>
      </c>
      <c r="AN204" s="15">
        <f t="shared" si="242"/>
        <v>5.5044744867194583E-6</v>
      </c>
      <c r="AO204" s="16">
        <f t="shared" si="243"/>
        <v>27.414728298636888</v>
      </c>
      <c r="AP204" s="17">
        <f t="shared" si="244"/>
        <v>1.3776012771174892E-2</v>
      </c>
      <c r="AQ204" s="18">
        <f t="shared" si="245"/>
        <v>0.20119203589824552</v>
      </c>
      <c r="AR204" s="19">
        <f t="shared" si="306"/>
        <v>997.74145992462411</v>
      </c>
      <c r="AS204" s="15">
        <f t="shared" si="246"/>
        <v>5.4954829198492485E-6</v>
      </c>
      <c r="AT204" s="16">
        <f t="shared" si="247"/>
        <v>27.363026789133176</v>
      </c>
      <c r="AU204" s="17">
        <f t="shared" si="248"/>
        <v>1.3753509634801793E-2</v>
      </c>
      <c r="AV204" s="18">
        <f t="shared" si="249"/>
        <v>0.20157218141490288</v>
      </c>
      <c r="AW204" s="19">
        <f t="shared" si="307"/>
        <v>992.64579869339002</v>
      </c>
      <c r="AX204" s="15">
        <f t="shared" si="250"/>
        <v>5.4852915973867804E-6</v>
      </c>
      <c r="AY204" s="16">
        <f t="shared" si="251"/>
        <v>27.304426684973983</v>
      </c>
      <c r="AZ204" s="17">
        <f t="shared" si="252"/>
        <v>1.3728003877851362E-2</v>
      </c>
      <c r="BA204" s="18">
        <f t="shared" si="253"/>
        <v>0.20200479078490696</v>
      </c>
      <c r="BB204" s="19">
        <f t="shared" si="308"/>
        <v>986.94819593476041</v>
      </c>
      <c r="BC204" s="15">
        <f t="shared" si="254"/>
        <v>5.4738963918695212E-6</v>
      </c>
      <c r="BD204" s="16">
        <f t="shared" si="255"/>
        <v>27.238904253249743</v>
      </c>
      <c r="BE204" s="17">
        <f t="shared" si="256"/>
        <v>1.3699485170549754E-2</v>
      </c>
      <c r="BF204" s="18">
        <f t="shared" si="257"/>
        <v>0.20249070772888955</v>
      </c>
      <c r="BG204" s="19">
        <f t="shared" si="309"/>
        <v>980.63969477869387</v>
      </c>
      <c r="BH204" s="15">
        <f t="shared" si="258"/>
        <v>5.4612793895573886E-6</v>
      </c>
      <c r="BI204" s="16">
        <f t="shared" si="259"/>
        <v>27.166356489954978</v>
      </c>
      <c r="BJ204" s="17">
        <f t="shared" si="260"/>
        <v>1.3667908680295283E-2</v>
      </c>
      <c r="BK204" s="18">
        <f t="shared" si="261"/>
        <v>0.2030314592256586</v>
      </c>
      <c r="BL204" s="19">
        <f t="shared" si="310"/>
        <v>973.68482817039546</v>
      </c>
      <c r="BM204" s="15">
        <f t="shared" si="262"/>
        <v>5.4473696563407916E-6</v>
      </c>
      <c r="BN204" s="16">
        <f t="shared" si="263"/>
        <v>27.086375523959546</v>
      </c>
      <c r="BO204" s="17">
        <f t="shared" si="264"/>
        <v>1.3633096880749694E-2</v>
      </c>
      <c r="BP204" s="18">
        <f t="shared" si="265"/>
        <v>0.2036309728897133</v>
      </c>
      <c r="BQ204" s="19">
        <f t="shared" si="311"/>
        <v>965.95678415361397</v>
      </c>
      <c r="BR204" s="15">
        <f t="shared" si="266"/>
        <v>5.4319135683072287E-6</v>
      </c>
      <c r="BS204" s="16">
        <f t="shared" si="267"/>
        <v>26.997503017766562</v>
      </c>
      <c r="BT204" s="17">
        <f t="shared" si="268"/>
        <v>1.3594415028984104E-2</v>
      </c>
      <c r="BU204" s="18">
        <f t="shared" si="269"/>
        <v>0.20430130135999128</v>
      </c>
      <c r="BV204" s="19">
        <f t="shared" si="312"/>
        <v>957.05101935499772</v>
      </c>
      <c r="BW204" s="15">
        <f t="shared" si="270"/>
        <v>5.4141020387099961E-6</v>
      </c>
      <c r="BX204" s="16">
        <f t="shared" si="271"/>
        <v>26.895086722582473</v>
      </c>
      <c r="BY204" s="17">
        <f t="shared" si="272"/>
        <v>1.3549838228819503E-2</v>
      </c>
      <c r="BZ204" s="18">
        <f t="shared" si="273"/>
        <v>0.20507927923388336</v>
      </c>
      <c r="CA204" s="19">
        <f t="shared" si="313"/>
        <v>945.83332036769923</v>
      </c>
      <c r="CB204" s="15">
        <f t="shared" si="274"/>
        <v>5.3916666407353988E-6</v>
      </c>
      <c r="CC204" s="16">
        <f t="shared" si="275"/>
        <v>26.766083184228542</v>
      </c>
      <c r="CD204" s="17">
        <f t="shared" si="276"/>
        <v>1.349368930311004E-2</v>
      </c>
      <c r="CE204" s="18">
        <f t="shared" si="277"/>
        <v>0.20606769253597731</v>
      </c>
      <c r="CF204" s="19">
        <f t="shared" si="314"/>
        <v>929.56352298391255</v>
      </c>
      <c r="CG204" s="15">
        <f t="shared" si="278"/>
        <v>5.3591270459678256E-6</v>
      </c>
      <c r="CH204" s="16">
        <f t="shared" si="279"/>
        <v>26.578980514314992</v>
      </c>
      <c r="CI204" s="17">
        <f t="shared" si="280"/>
        <v>1.3412252669300861E-2</v>
      </c>
      <c r="CJ204" s="18">
        <f t="shared" si="281"/>
        <v>0.20751830556591053</v>
      </c>
      <c r="CK204" s="19">
        <f t="shared" si="315"/>
        <v>902.69083493858886</v>
      </c>
      <c r="CL204" s="15">
        <f t="shared" si="282"/>
        <v>5.3053816698771784E-6</v>
      </c>
      <c r="CM204" s="16">
        <f t="shared" si="283"/>
        <v>26.269944601793771</v>
      </c>
      <c r="CN204" s="17">
        <f t="shared" si="284"/>
        <v>1.3277744463439848E-2</v>
      </c>
      <c r="CO204" s="18">
        <f t="shared" si="285"/>
        <v>0.20995952155998762</v>
      </c>
      <c r="CP204" s="19">
        <f t="shared" si="316"/>
        <v>856.16901833196493</v>
      </c>
      <c r="CQ204" s="15">
        <f t="shared" si="286"/>
        <v>5.2123380366639302E-6</v>
      </c>
      <c r="CR204" s="16">
        <f t="shared" si="287"/>
        <v>25.734943710817596</v>
      </c>
      <c r="CS204" s="17">
        <f t="shared" si="288"/>
        <v>1.304488476311519E-2</v>
      </c>
      <c r="CT204" s="18">
        <f t="shared" si="289"/>
        <v>0.21432434677063333</v>
      </c>
      <c r="CU204" s="19">
        <f t="shared" si="317"/>
        <v>778.99950113527268</v>
      </c>
      <c r="CV204" s="15">
        <f t="shared" si="290"/>
        <v>5.0579990022705458E-6</v>
      </c>
      <c r="CW204" s="16">
        <f t="shared" si="291"/>
        <v>24.847494263055637</v>
      </c>
      <c r="CX204" s="17">
        <f t="shared" si="292"/>
        <v>1.2658621457867095E-2</v>
      </c>
      <c r="CY204" s="18">
        <f t="shared" si="293"/>
        <v>0.22197912359319374</v>
      </c>
      <c r="CZ204" s="20">
        <f t="shared" si="318"/>
        <v>663.10809098252912</v>
      </c>
      <c r="DA204" s="15">
        <f t="shared" si="294"/>
        <v>4.8262161819650591E-6</v>
      </c>
      <c r="DB204" s="16">
        <f t="shared" si="295"/>
        <v>31.277895330734538</v>
      </c>
      <c r="DC204" s="17">
        <f t="shared" si="296"/>
        <v>1.2078540089451072E-2</v>
      </c>
      <c r="DD204" s="18">
        <f t="shared" si="297"/>
        <v>0.17634258768620509</v>
      </c>
    </row>
    <row r="205" spans="2:108" x14ac:dyDescent="0.25">
      <c r="B205">
        <v>186</v>
      </c>
      <c r="C205">
        <f t="shared" si="298"/>
        <v>0.18183632794021676</v>
      </c>
      <c r="D205" s="19">
        <f t="shared" si="215"/>
        <v>1016.9435477002014</v>
      </c>
      <c r="E205" s="15">
        <f t="shared" si="216"/>
        <v>5.5338870954004034E-6</v>
      </c>
      <c r="F205" s="16">
        <f t="shared" si="217"/>
        <v>27.583850798552316</v>
      </c>
      <c r="G205" s="17">
        <f t="shared" si="213"/>
        <v>1.3849623517087123E-2</v>
      </c>
      <c r="H205" s="18">
        <f t="shared" si="218"/>
        <v>0.19995848441470968</v>
      </c>
      <c r="I205" s="19">
        <f t="shared" si="299"/>
        <v>1016.6188649955233</v>
      </c>
      <c r="J205" s="15">
        <f t="shared" si="219"/>
        <v>5.533237729991047E-6</v>
      </c>
      <c r="K205" s="16">
        <f t="shared" si="220"/>
        <v>27.580116947448516</v>
      </c>
      <c r="L205" s="17">
        <f t="shared" si="221"/>
        <v>1.3847998354468233E-2</v>
      </c>
      <c r="M205" s="18">
        <f t="shared" si="222"/>
        <v>0.19998555519215303</v>
      </c>
      <c r="N205" s="19">
        <f t="shared" si="300"/>
        <v>1015.7126578887629</v>
      </c>
      <c r="O205" s="15">
        <f t="shared" si="223"/>
        <v>5.531425315777526E-6</v>
      </c>
      <c r="P205" s="16">
        <f t="shared" si="224"/>
        <v>27.569695565720771</v>
      </c>
      <c r="Q205" s="17">
        <f t="shared" si="214"/>
        <v>1.3849623517087123E-2</v>
      </c>
      <c r="R205" s="18">
        <f t="shared" si="225"/>
        <v>0.20006114999898447</v>
      </c>
      <c r="S205" s="19">
        <f t="shared" si="301"/>
        <v>1014.2109752134561</v>
      </c>
      <c r="T205" s="15">
        <f t="shared" si="226"/>
        <v>5.5284219504269119E-6</v>
      </c>
      <c r="U205" s="16">
        <f t="shared" si="227"/>
        <v>27.552426214954743</v>
      </c>
      <c r="V205" s="17">
        <f t="shared" si="228"/>
        <v>1.3835945934034866E-2</v>
      </c>
      <c r="W205" s="18">
        <f t="shared" si="229"/>
        <v>0.20018654462474386</v>
      </c>
      <c r="X205" s="19">
        <f t="shared" si="302"/>
        <v>1012.1119290798562</v>
      </c>
      <c r="Y205" s="15">
        <f t="shared" si="230"/>
        <v>5.5242238581597135E-6</v>
      </c>
      <c r="Z205" s="16">
        <f t="shared" si="231"/>
        <v>27.528287184418346</v>
      </c>
      <c r="AA205" s="17">
        <f t="shared" si="232"/>
        <v>1.3825439395612892E-2</v>
      </c>
      <c r="AB205" s="18">
        <f t="shared" si="233"/>
        <v>0.20036208439157713</v>
      </c>
      <c r="AC205" s="19">
        <f t="shared" si="303"/>
        <v>1009.4140643708486</v>
      </c>
      <c r="AD205" s="15">
        <f t="shared" si="234"/>
        <v>5.5188281287416976E-6</v>
      </c>
      <c r="AE205" s="16">
        <f t="shared" si="235"/>
        <v>27.497261740264758</v>
      </c>
      <c r="AF205" s="17">
        <f t="shared" si="236"/>
        <v>1.3811935538423303E-2</v>
      </c>
      <c r="AG205" s="18">
        <f t="shared" si="237"/>
        <v>0.20058815499884364</v>
      </c>
      <c r="AH205" s="19">
        <f t="shared" si="304"/>
        <v>1006.117037145387</v>
      </c>
      <c r="AI205" s="15">
        <f t="shared" si="238"/>
        <v>5.5122340742907738E-6</v>
      </c>
      <c r="AJ205" s="16">
        <f t="shared" si="239"/>
        <v>27.459345927171952</v>
      </c>
      <c r="AK205" s="17">
        <f t="shared" si="240"/>
        <v>1.3795432640908033E-2</v>
      </c>
      <c r="AL205" s="18">
        <f t="shared" si="241"/>
        <v>0.20086512674513862</v>
      </c>
      <c r="AM205" s="19">
        <f t="shared" si="305"/>
        <v>1002.2207044204647</v>
      </c>
      <c r="AN205" s="15">
        <f t="shared" si="242"/>
        <v>5.5044414088409297E-6</v>
      </c>
      <c r="AO205" s="16">
        <f t="shared" si="243"/>
        <v>27.414538100835344</v>
      </c>
      <c r="AP205" s="17">
        <f t="shared" si="244"/>
        <v>1.377592998738179E-2</v>
      </c>
      <c r="AQ205" s="18">
        <f t="shared" si="245"/>
        <v>0.20119343173729906</v>
      </c>
      <c r="AR205" s="19">
        <f t="shared" si="306"/>
        <v>997.72493785821609</v>
      </c>
      <c r="AS205" s="15">
        <f t="shared" si="246"/>
        <v>5.495449875716432E-6</v>
      </c>
      <c r="AT205" s="16">
        <f t="shared" si="247"/>
        <v>27.362836785369485</v>
      </c>
      <c r="AU205" s="17">
        <f t="shared" si="248"/>
        <v>1.3753426935463867E-2</v>
      </c>
      <c r="AV205" s="18">
        <f t="shared" si="249"/>
        <v>0.20157358110432194</v>
      </c>
      <c r="AW205" s="19">
        <f t="shared" si="307"/>
        <v>992.62927302525804</v>
      </c>
      <c r="AX205" s="15">
        <f t="shared" si="250"/>
        <v>5.485258546050517E-6</v>
      </c>
      <c r="AY205" s="16">
        <f t="shared" si="251"/>
        <v>27.304236639790467</v>
      </c>
      <c r="AZ205" s="17">
        <f t="shared" si="252"/>
        <v>1.3727921160485415E-2</v>
      </c>
      <c r="BA205" s="18">
        <f t="shared" si="253"/>
        <v>0.20200619679519183</v>
      </c>
      <c r="BB205" s="19">
        <f t="shared" si="308"/>
        <v>986.93156862732405</v>
      </c>
      <c r="BC205" s="15">
        <f t="shared" si="254"/>
        <v>5.4738631372546493E-6</v>
      </c>
      <c r="BD205" s="16">
        <f t="shared" si="255"/>
        <v>27.238713039214225</v>
      </c>
      <c r="BE205" s="17">
        <f t="shared" si="256"/>
        <v>1.3699401944439745E-2</v>
      </c>
      <c r="BF205" s="18">
        <f t="shared" si="257"/>
        <v>0.20249212920079696</v>
      </c>
      <c r="BG205" s="19">
        <f t="shared" si="309"/>
        <v>980.62258085828159</v>
      </c>
      <c r="BH205" s="15">
        <f t="shared" si="258"/>
        <v>5.4612451617165638E-6</v>
      </c>
      <c r="BI205" s="16">
        <f t="shared" si="259"/>
        <v>27.166159679870237</v>
      </c>
      <c r="BJ205" s="17">
        <f t="shared" si="260"/>
        <v>1.3667823018498962E-2</v>
      </c>
      <c r="BK205" s="18">
        <f t="shared" si="261"/>
        <v>0.20303293012324464</v>
      </c>
      <c r="BL205" s="19">
        <f t="shared" si="310"/>
        <v>973.66589870908854</v>
      </c>
      <c r="BM205" s="15">
        <f t="shared" si="262"/>
        <v>5.447331797418178E-6</v>
      </c>
      <c r="BN205" s="16">
        <f t="shared" si="263"/>
        <v>27.086157835154516</v>
      </c>
      <c r="BO205" s="17">
        <f t="shared" si="264"/>
        <v>1.3633002131468418E-2</v>
      </c>
      <c r="BP205" s="18">
        <f t="shared" si="265"/>
        <v>0.20363260945195388</v>
      </c>
      <c r="BQ205" s="19">
        <f t="shared" si="311"/>
        <v>965.93200640864518</v>
      </c>
      <c r="BR205" s="15">
        <f t="shared" si="266"/>
        <v>5.4318640128172902E-6</v>
      </c>
      <c r="BS205" s="16">
        <f t="shared" si="267"/>
        <v>26.997218073699418</v>
      </c>
      <c r="BT205" s="17">
        <f t="shared" si="268"/>
        <v>1.3594291006779273E-2</v>
      </c>
      <c r="BU205" s="18">
        <f t="shared" si="269"/>
        <v>0.20430345767267405</v>
      </c>
      <c r="BV205" s="19">
        <f t="shared" si="312"/>
        <v>957.00982009803499</v>
      </c>
      <c r="BW205" s="15">
        <f t="shared" si="270"/>
        <v>5.4140196401960706E-6</v>
      </c>
      <c r="BX205" s="16">
        <f t="shared" si="271"/>
        <v>26.894612931127401</v>
      </c>
      <c r="BY205" s="17">
        <f t="shared" si="272"/>
        <v>1.3549632010590515E-2</v>
      </c>
      <c r="BZ205" s="18">
        <f t="shared" si="273"/>
        <v>0.2050828920321178</v>
      </c>
      <c r="CA205" s="19">
        <f t="shared" si="313"/>
        <v>945.75245144485484</v>
      </c>
      <c r="CB205" s="15">
        <f t="shared" si="274"/>
        <v>5.39150490288971E-6</v>
      </c>
      <c r="CC205" s="16">
        <f t="shared" si="275"/>
        <v>26.765153191615831</v>
      </c>
      <c r="CD205" s="17">
        <f t="shared" si="276"/>
        <v>1.3493284522847517E-2</v>
      </c>
      <c r="CE205" s="18">
        <f t="shared" si="277"/>
        <v>0.20607485264563202</v>
      </c>
      <c r="CF205" s="19">
        <f t="shared" si="314"/>
        <v>929.40226348123565</v>
      </c>
      <c r="CG205" s="15">
        <f t="shared" si="278"/>
        <v>5.3588045269624716E-6</v>
      </c>
      <c r="CH205" s="16">
        <f t="shared" si="279"/>
        <v>26.577126030034208</v>
      </c>
      <c r="CI205" s="17">
        <f t="shared" si="280"/>
        <v>1.341144550306775E-2</v>
      </c>
      <c r="CJ205" s="18">
        <f t="shared" si="281"/>
        <v>0.20753278566564787</v>
      </c>
      <c r="CK205" s="19">
        <f t="shared" si="315"/>
        <v>902.39836094525435</v>
      </c>
      <c r="CL205" s="15">
        <f t="shared" si="282"/>
        <v>5.3047967218905093E-6</v>
      </c>
      <c r="CM205" s="16">
        <f t="shared" si="283"/>
        <v>26.266581150870422</v>
      </c>
      <c r="CN205" s="17">
        <f t="shared" si="284"/>
        <v>1.3276280517888957E-2</v>
      </c>
      <c r="CO205" s="18">
        <f t="shared" si="285"/>
        <v>0.209986406998279</v>
      </c>
      <c r="CP205" s="19">
        <f t="shared" si="316"/>
        <v>855.71651528266943</v>
      </c>
      <c r="CQ205" s="15">
        <f t="shared" si="286"/>
        <v>5.211433030565339E-6</v>
      </c>
      <c r="CR205" s="16">
        <f t="shared" si="287"/>
        <v>25.7297399257507</v>
      </c>
      <c r="CS205" s="17">
        <f t="shared" si="288"/>
        <v>1.3042619810193296E-2</v>
      </c>
      <c r="CT205" s="18">
        <f t="shared" si="289"/>
        <v>0.21436769341301742</v>
      </c>
      <c r="CU205" s="19">
        <f t="shared" si="317"/>
        <v>778.42820251565217</v>
      </c>
      <c r="CV205" s="15">
        <f t="shared" si="290"/>
        <v>5.0568564050313046E-6</v>
      </c>
      <c r="CW205" s="16">
        <f t="shared" si="291"/>
        <v>24.840924328930001</v>
      </c>
      <c r="CX205" s="17">
        <f t="shared" si="292"/>
        <v>1.2655761887130948E-2</v>
      </c>
      <c r="CY205" s="18">
        <f t="shared" si="293"/>
        <v>0.22203783268952054</v>
      </c>
      <c r="CZ205" s="20">
        <f t="shared" si="318"/>
        <v>662.54489378537403</v>
      </c>
      <c r="DA205" s="15">
        <f t="shared" si="294"/>
        <v>4.8250897875707487E-6</v>
      </c>
      <c r="DB205" s="16">
        <f t="shared" si="295"/>
        <v>31.390985327923232</v>
      </c>
      <c r="DC205" s="17">
        <f t="shared" si="296"/>
        <v>1.2075721069470354E-2</v>
      </c>
      <c r="DD205" s="18">
        <f t="shared" si="297"/>
        <v>0.17570729119782311</v>
      </c>
    </row>
    <row r="206" spans="2:108" x14ac:dyDescent="0.25">
      <c r="B206">
        <v>187</v>
      </c>
      <c r="C206">
        <f t="shared" si="298"/>
        <v>0.18281394260656203</v>
      </c>
      <c r="D206" s="19">
        <f t="shared" si="215"/>
        <v>1016.9269710414887</v>
      </c>
      <c r="E206" s="15">
        <f t="shared" si="216"/>
        <v>5.5338539420829784E-6</v>
      </c>
      <c r="F206" s="16">
        <f t="shared" si="217"/>
        <v>27.583660166977118</v>
      </c>
      <c r="G206" s="17">
        <f t="shared" si="213"/>
        <v>1.3849540544493583E-2</v>
      </c>
      <c r="H206" s="18">
        <f t="shared" si="218"/>
        <v>0.19995986633431814</v>
      </c>
      <c r="I206" s="19">
        <f t="shared" si="299"/>
        <v>1016.6022875205643</v>
      </c>
      <c r="J206" s="15">
        <f t="shared" si="219"/>
        <v>5.5332045750411294E-6</v>
      </c>
      <c r="K206" s="16">
        <f t="shared" si="220"/>
        <v>27.579926306486492</v>
      </c>
      <c r="L206" s="17">
        <f t="shared" si="221"/>
        <v>1.3847915377789063E-2</v>
      </c>
      <c r="M206" s="18">
        <f t="shared" si="222"/>
        <v>0.19998693755402772</v>
      </c>
      <c r="N206" s="19">
        <f t="shared" si="300"/>
        <v>1015.6960757299948</v>
      </c>
      <c r="O206" s="15">
        <f t="shared" si="223"/>
        <v>5.5313921514599907E-6</v>
      </c>
      <c r="P206" s="16">
        <f t="shared" si="224"/>
        <v>27.569504870894939</v>
      </c>
      <c r="Q206" s="17">
        <f t="shared" si="214"/>
        <v>1.3849540544493583E-2</v>
      </c>
      <c r="R206" s="18">
        <f t="shared" si="225"/>
        <v>0.20006253379700092</v>
      </c>
      <c r="S206" s="19">
        <f t="shared" si="301"/>
        <v>1014.1943905974159</v>
      </c>
      <c r="T206" s="15">
        <f t="shared" si="226"/>
        <v>5.5283887811948321E-6</v>
      </c>
      <c r="U206" s="16">
        <f t="shared" si="227"/>
        <v>27.552235491870285</v>
      </c>
      <c r="V206" s="17">
        <f t="shared" si="228"/>
        <v>1.3835862921611819E-2</v>
      </c>
      <c r="W206" s="18">
        <f t="shared" si="229"/>
        <v>0.20018793036330831</v>
      </c>
      <c r="X206" s="19">
        <f t="shared" si="302"/>
        <v>1012.0953477330237</v>
      </c>
      <c r="Y206" s="15">
        <f t="shared" si="230"/>
        <v>5.5241906954660479E-6</v>
      </c>
      <c r="Z206" s="16">
        <f t="shared" si="231"/>
        <v>27.52809649892977</v>
      </c>
      <c r="AA206" s="17">
        <f t="shared" si="232"/>
        <v>1.3825356399553493E-2</v>
      </c>
      <c r="AB206" s="18">
        <f t="shared" si="233"/>
        <v>0.20036347228782908</v>
      </c>
      <c r="AC206" s="19">
        <f t="shared" si="303"/>
        <v>1009.3974925837603</v>
      </c>
      <c r="AD206" s="15">
        <f t="shared" si="234"/>
        <v>5.5187949851675206E-6</v>
      </c>
      <c r="AE206" s="16">
        <f t="shared" si="235"/>
        <v>27.49707116471324</v>
      </c>
      <c r="AF206" s="17">
        <f t="shared" si="236"/>
        <v>1.3811852590214125E-2</v>
      </c>
      <c r="AG206" s="18">
        <f t="shared" si="237"/>
        <v>0.20058954522684419</v>
      </c>
      <c r="AH206" s="19">
        <f t="shared" si="304"/>
        <v>1006.1004801572334</v>
      </c>
      <c r="AI206" s="15">
        <f t="shared" si="238"/>
        <v>5.5122009603144674E-6</v>
      </c>
      <c r="AJ206" s="16">
        <f t="shared" si="239"/>
        <v>27.459155521808185</v>
      </c>
      <c r="AK206" s="17">
        <f t="shared" si="240"/>
        <v>1.3795349766773254E-2</v>
      </c>
      <c r="AL206" s="18">
        <f t="shared" si="241"/>
        <v>0.20086651957011081</v>
      </c>
      <c r="AM206" s="19">
        <f t="shared" si="305"/>
        <v>1002.2041655963778</v>
      </c>
      <c r="AN206" s="15">
        <f t="shared" si="242"/>
        <v>5.5044083311927559E-6</v>
      </c>
      <c r="AO206" s="16">
        <f t="shared" si="243"/>
        <v>27.414347904358344</v>
      </c>
      <c r="AP206" s="17">
        <f t="shared" si="244"/>
        <v>1.3775847204165192E-2</v>
      </c>
      <c r="AQ206" s="18">
        <f t="shared" si="245"/>
        <v>0.2011948275860001</v>
      </c>
      <c r="AR206" s="19">
        <f t="shared" si="306"/>
        <v>997.70841562046519</v>
      </c>
      <c r="AS206" s="15">
        <f t="shared" si="246"/>
        <v>5.4954168312409306E-6</v>
      </c>
      <c r="AT206" s="16">
        <f t="shared" si="247"/>
        <v>27.362646779635348</v>
      </c>
      <c r="AU206" s="17">
        <f t="shared" si="248"/>
        <v>1.3753344235268304E-2</v>
      </c>
      <c r="AV206" s="18">
        <f t="shared" si="249"/>
        <v>0.20157498082769554</v>
      </c>
      <c r="AW206" s="19">
        <f t="shared" si="307"/>
        <v>992.61274602773926</v>
      </c>
      <c r="AX206" s="15">
        <f t="shared" si="250"/>
        <v>5.4852254920554791E-6</v>
      </c>
      <c r="AY206" s="16">
        <f t="shared" si="251"/>
        <v>27.304046579318999</v>
      </c>
      <c r="AZ206" s="17">
        <f t="shared" si="252"/>
        <v>1.372783843646537E-2</v>
      </c>
      <c r="BA206" s="18">
        <f t="shared" si="253"/>
        <v>0.20200760293815639</v>
      </c>
      <c r="BB206" s="19">
        <f t="shared" si="308"/>
        <v>986.91493573145533</v>
      </c>
      <c r="BC206" s="15">
        <f t="shared" si="254"/>
        <v>5.4738298714629108E-6</v>
      </c>
      <c r="BD206" s="16">
        <f t="shared" si="255"/>
        <v>27.238521760911738</v>
      </c>
      <c r="BE206" s="17">
        <f t="shared" si="256"/>
        <v>1.3699318690357462E-2</v>
      </c>
      <c r="BF206" s="18">
        <f t="shared" si="257"/>
        <v>0.20249355117042808</v>
      </c>
      <c r="BG206" s="19">
        <f t="shared" si="309"/>
        <v>980.60544740292437</v>
      </c>
      <c r="BH206" s="15">
        <f t="shared" si="258"/>
        <v>5.4612108948058496E-6</v>
      </c>
      <c r="BI206" s="16">
        <f t="shared" si="259"/>
        <v>27.165962645133629</v>
      </c>
      <c r="BJ206" s="17">
        <f t="shared" si="260"/>
        <v>1.3667737258922681E-2</v>
      </c>
      <c r="BK206" s="18">
        <f t="shared" si="261"/>
        <v>0.20303440272115816</v>
      </c>
      <c r="BL206" s="19">
        <f t="shared" si="310"/>
        <v>973.64690988362293</v>
      </c>
      <c r="BM206" s="15">
        <f t="shared" si="262"/>
        <v>5.4472938197672459E-6</v>
      </c>
      <c r="BN206" s="16">
        <f t="shared" si="263"/>
        <v>27.085939463661663</v>
      </c>
      <c r="BO206" s="17">
        <f t="shared" si="264"/>
        <v>1.3632907085046544E-2</v>
      </c>
      <c r="BP206" s="18">
        <f t="shared" si="265"/>
        <v>0.20363425117300177</v>
      </c>
      <c r="BQ206" s="19">
        <f t="shared" si="311"/>
        <v>965.90707301558007</v>
      </c>
      <c r="BR206" s="15">
        <f t="shared" si="266"/>
        <v>5.4318141460311612E-6</v>
      </c>
      <c r="BS206" s="16">
        <f t="shared" si="267"/>
        <v>26.996931339679172</v>
      </c>
      <c r="BT206" s="17">
        <f t="shared" si="268"/>
        <v>1.3594166205495478E-2</v>
      </c>
      <c r="BU206" s="18">
        <f t="shared" si="269"/>
        <v>0.20430562757676543</v>
      </c>
      <c r="BV206" s="19">
        <f t="shared" si="312"/>
        <v>956.96827794743103</v>
      </c>
      <c r="BW206" s="15">
        <f t="shared" si="270"/>
        <v>5.4139365558948629E-6</v>
      </c>
      <c r="BX206" s="16">
        <f t="shared" si="271"/>
        <v>26.894135196395457</v>
      </c>
      <c r="BY206" s="17">
        <f t="shared" si="272"/>
        <v>1.354942407604612E-2</v>
      </c>
      <c r="BZ206" s="18">
        <f t="shared" si="273"/>
        <v>0.20508653502787638</v>
      </c>
      <c r="CA206" s="19">
        <f t="shared" si="313"/>
        <v>945.67097779319818</v>
      </c>
      <c r="CB206" s="15">
        <f t="shared" si="274"/>
        <v>5.3913419555863969E-6</v>
      </c>
      <c r="CC206" s="16">
        <f t="shared" si="275"/>
        <v>26.764216244621778</v>
      </c>
      <c r="CD206" s="17">
        <f t="shared" si="276"/>
        <v>1.3492876715683201E-2</v>
      </c>
      <c r="CE206" s="18">
        <f t="shared" si="277"/>
        <v>0.20608206680097926</v>
      </c>
      <c r="CF206" s="19">
        <f t="shared" si="314"/>
        <v>929.24023386775195</v>
      </c>
      <c r="CG206" s="15">
        <f t="shared" si="278"/>
        <v>5.358480467735505E-6</v>
      </c>
      <c r="CH206" s="16">
        <f t="shared" si="279"/>
        <v>26.575262689479146</v>
      </c>
      <c r="CI206" s="17">
        <f t="shared" si="280"/>
        <v>1.3410634482131948E-2</v>
      </c>
      <c r="CJ206" s="18">
        <f t="shared" si="281"/>
        <v>0.20754733695195327</v>
      </c>
      <c r="CK206" s="19">
        <f t="shared" si="315"/>
        <v>902.1054033415752</v>
      </c>
      <c r="CL206" s="15">
        <f t="shared" si="282"/>
        <v>5.3042108066831511E-6</v>
      </c>
      <c r="CM206" s="16">
        <f t="shared" si="283"/>
        <v>26.263212138428116</v>
      </c>
      <c r="CN206" s="17">
        <f t="shared" si="284"/>
        <v>1.3274814151681089E-2</v>
      </c>
      <c r="CO206" s="18">
        <f t="shared" si="285"/>
        <v>0.21001334379542946</v>
      </c>
      <c r="CP206" s="19">
        <f t="shared" si="316"/>
        <v>855.26450676408774</v>
      </c>
      <c r="CQ206" s="15">
        <f t="shared" si="286"/>
        <v>5.2105290135281755E-6</v>
      </c>
      <c r="CR206" s="16">
        <f t="shared" si="287"/>
        <v>25.724541827787007</v>
      </c>
      <c r="CS206" s="17">
        <f t="shared" si="288"/>
        <v>1.3040357332589054E-2</v>
      </c>
      <c r="CT206" s="18">
        <f t="shared" si="289"/>
        <v>0.21441101019113817</v>
      </c>
      <c r="CU206" s="19">
        <f t="shared" si="317"/>
        <v>777.85861979359822</v>
      </c>
      <c r="CV206" s="15">
        <f t="shared" si="290"/>
        <v>5.0557172395871972E-6</v>
      </c>
      <c r="CW206" s="16">
        <f t="shared" si="291"/>
        <v>24.834374127626379</v>
      </c>
      <c r="CX206" s="17">
        <f t="shared" si="292"/>
        <v>1.2652910905126333E-2</v>
      </c>
      <c r="CY206" s="18">
        <f t="shared" si="293"/>
        <v>0.22209639637603271</v>
      </c>
      <c r="CZ206" s="20">
        <f t="shared" si="318"/>
        <v>661.9837826329142</v>
      </c>
      <c r="DA206" s="15">
        <f t="shared" si="294"/>
        <v>4.8239675652658285E-6</v>
      </c>
      <c r="DB206" s="16">
        <f t="shared" si="295"/>
        <v>31.503656447337136</v>
      </c>
      <c r="DC206" s="17">
        <f t="shared" si="296"/>
        <v>1.207291249095083E-2</v>
      </c>
      <c r="DD206" s="18">
        <f t="shared" si="297"/>
        <v>0.17507888359626303</v>
      </c>
    </row>
    <row r="207" spans="2:108" x14ac:dyDescent="0.25">
      <c r="B207">
        <v>188</v>
      </c>
      <c r="C207">
        <f t="shared" si="298"/>
        <v>0.18379155727290727</v>
      </c>
      <c r="D207" s="19">
        <f t="shared" si="215"/>
        <v>1016.9103943411027</v>
      </c>
      <c r="E207" s="15">
        <f t="shared" si="216"/>
        <v>5.5338207886822061E-6</v>
      </c>
      <c r="F207" s="16">
        <f t="shared" si="217"/>
        <v>27.583469534922678</v>
      </c>
      <c r="G207" s="17">
        <f t="shared" si="213"/>
        <v>1.3849457571691445E-2</v>
      </c>
      <c r="H207" s="18">
        <f t="shared" si="218"/>
        <v>0.19996124827650191</v>
      </c>
      <c r="I207" s="19">
        <f t="shared" si="299"/>
        <v>1016.5857100532713</v>
      </c>
      <c r="J207" s="15">
        <f t="shared" si="219"/>
        <v>5.5331714201065431E-6</v>
      </c>
      <c r="K207" s="16">
        <f t="shared" si="220"/>
        <v>27.579735665612617</v>
      </c>
      <c r="L207" s="17">
        <f t="shared" si="221"/>
        <v>1.3847832401148261E-2</v>
      </c>
      <c r="M207" s="18">
        <f t="shared" si="222"/>
        <v>0.19998831993437396</v>
      </c>
      <c r="N207" s="19">
        <f t="shared" si="300"/>
        <v>1015.6794936766976</v>
      </c>
      <c r="O207" s="15">
        <f t="shared" si="223"/>
        <v>5.5313589873533954E-6</v>
      </c>
      <c r="P207" s="16">
        <f t="shared" si="224"/>
        <v>27.56931417728202</v>
      </c>
      <c r="Q207" s="17">
        <f t="shared" si="214"/>
        <v>1.3849457571691445E-2</v>
      </c>
      <c r="R207" s="18">
        <f t="shared" si="225"/>
        <v>0.2000639176053588</v>
      </c>
      <c r="S207" s="19">
        <f t="shared" si="301"/>
        <v>1014.1778061619171</v>
      </c>
      <c r="T207" s="15">
        <f t="shared" si="226"/>
        <v>5.5283556123238349E-6</v>
      </c>
      <c r="U207" s="16">
        <f t="shared" si="227"/>
        <v>27.552044770862047</v>
      </c>
      <c r="V207" s="17">
        <f t="shared" si="228"/>
        <v>1.3835779910092452E-2</v>
      </c>
      <c r="W207" s="18">
        <f t="shared" si="229"/>
        <v>0.20018931610597218</v>
      </c>
      <c r="X207" s="19">
        <f t="shared" si="302"/>
        <v>1012.0787665948967</v>
      </c>
      <c r="Y207" s="15">
        <f t="shared" si="230"/>
        <v>5.5241575331897942E-6</v>
      </c>
      <c r="Z207" s="16">
        <f t="shared" si="231"/>
        <v>27.527905815841311</v>
      </c>
      <c r="AA207" s="17">
        <f t="shared" si="232"/>
        <v>1.3825273404538747E-2</v>
      </c>
      <c r="AB207" s="18">
        <f t="shared" si="233"/>
        <v>0.20036486018583941</v>
      </c>
      <c r="AC207" s="19">
        <f t="shared" si="303"/>
        <v>1009.3809210022638</v>
      </c>
      <c r="AD207" s="15">
        <f t="shared" si="234"/>
        <v>5.5187618420045281E-6</v>
      </c>
      <c r="AE207" s="16">
        <f t="shared" si="235"/>
        <v>27.496880591526033</v>
      </c>
      <c r="AF207" s="17">
        <f t="shared" si="236"/>
        <v>1.3811769643034015E-2</v>
      </c>
      <c r="AG207" s="18">
        <f t="shared" si="237"/>
        <v>0.20059093545686782</v>
      </c>
      <c r="AH207" s="19">
        <f t="shared" si="304"/>
        <v>1006.083923352931</v>
      </c>
      <c r="AI207" s="15">
        <f t="shared" si="238"/>
        <v>5.5121678467058622E-6</v>
      </c>
      <c r="AJ207" s="16">
        <f t="shared" si="239"/>
        <v>27.458965118558709</v>
      </c>
      <c r="AK207" s="17">
        <f t="shared" si="240"/>
        <v>1.3795266893558717E-2</v>
      </c>
      <c r="AL207" s="18">
        <f t="shared" si="241"/>
        <v>0.20086791239893273</v>
      </c>
      <c r="AM207" s="19">
        <f t="shared" si="305"/>
        <v>1002.1876268841222</v>
      </c>
      <c r="AN207" s="15">
        <f t="shared" si="242"/>
        <v>5.5043752537682446E-6</v>
      </c>
      <c r="AO207" s="16">
        <f t="shared" si="243"/>
        <v>27.414157709167405</v>
      </c>
      <c r="AP207" s="17">
        <f t="shared" si="244"/>
        <v>1.3775764421508354E-2</v>
      </c>
      <c r="AQ207" s="18">
        <f t="shared" si="245"/>
        <v>0.20119622344463103</v>
      </c>
      <c r="AR207" s="19">
        <f t="shared" si="306"/>
        <v>997.69189319812426</v>
      </c>
      <c r="AS207" s="15">
        <f t="shared" si="246"/>
        <v>5.495383786396249E-6</v>
      </c>
      <c r="AT207" s="16">
        <f t="shared" si="247"/>
        <v>27.362456771778426</v>
      </c>
      <c r="AU207" s="17">
        <f t="shared" si="248"/>
        <v>1.3753261534148796E-2</v>
      </c>
      <c r="AV207" s="18">
        <f t="shared" si="249"/>
        <v>0.20157638058614688</v>
      </c>
      <c r="AW207" s="19">
        <f t="shared" si="307"/>
        <v>992.59621765406416</v>
      </c>
      <c r="AX207" s="15">
        <f t="shared" si="250"/>
        <v>5.4851924353081288E-6</v>
      </c>
      <c r="AY207" s="16">
        <f t="shared" si="251"/>
        <v>27.303856503021738</v>
      </c>
      <c r="AZ207" s="17">
        <f t="shared" si="252"/>
        <v>1.372775570555713E-2</v>
      </c>
      <c r="BA207" s="18">
        <f t="shared" si="253"/>
        <v>0.20200900921778511</v>
      </c>
      <c r="BB207" s="19">
        <f t="shared" si="308"/>
        <v>986.89829710174797</v>
      </c>
      <c r="BC207" s="15">
        <f t="shared" si="254"/>
        <v>5.4737965942034964E-6</v>
      </c>
      <c r="BD207" s="16">
        <f t="shared" si="255"/>
        <v>27.238330416670102</v>
      </c>
      <c r="BE207" s="17">
        <f t="shared" si="256"/>
        <v>1.3699235407575103E-2</v>
      </c>
      <c r="BF207" s="18">
        <f t="shared" si="257"/>
        <v>0.20249497365023475</v>
      </c>
      <c r="BG207" s="19">
        <f t="shared" si="309"/>
        <v>980.58829402483786</v>
      </c>
      <c r="BH207" s="15">
        <f t="shared" si="258"/>
        <v>5.4611765880496765E-6</v>
      </c>
      <c r="BI207" s="16">
        <f t="shared" si="259"/>
        <v>27.165765381285635</v>
      </c>
      <c r="BJ207" s="17">
        <f t="shared" si="260"/>
        <v>1.3667651399625428E-2</v>
      </c>
      <c r="BK207" s="18">
        <f t="shared" si="261"/>
        <v>0.20303587705280293</v>
      </c>
      <c r="BL207" s="19">
        <f t="shared" si="310"/>
        <v>973.62786084576612</v>
      </c>
      <c r="BM207" s="15">
        <f t="shared" si="262"/>
        <v>5.4472557216915322E-6</v>
      </c>
      <c r="BN207" s="16">
        <f t="shared" si="263"/>
        <v>27.085720399726309</v>
      </c>
      <c r="BO207" s="17">
        <f t="shared" si="264"/>
        <v>1.3632811737238347E-2</v>
      </c>
      <c r="BP207" s="18">
        <f t="shared" si="265"/>
        <v>0.20363589812644353</v>
      </c>
      <c r="BQ207" s="19">
        <f t="shared" si="311"/>
        <v>965.88198258841794</v>
      </c>
      <c r="BR207" s="15">
        <f t="shared" si="266"/>
        <v>5.4317639651768366E-6</v>
      </c>
      <c r="BS207" s="16">
        <f t="shared" si="267"/>
        <v>26.996642799766803</v>
      </c>
      <c r="BT207" s="17">
        <f t="shared" si="268"/>
        <v>1.3594040618195233E-2</v>
      </c>
      <c r="BU207" s="18">
        <f t="shared" si="269"/>
        <v>0.20430781119375493</v>
      </c>
      <c r="BV207" s="19">
        <f t="shared" si="312"/>
        <v>956.9263916799066</v>
      </c>
      <c r="BW207" s="15">
        <f t="shared" si="270"/>
        <v>5.413852783359814E-6</v>
      </c>
      <c r="BX207" s="16">
        <f t="shared" si="271"/>
        <v>26.893653504318927</v>
      </c>
      <c r="BY207" s="17">
        <f t="shared" si="272"/>
        <v>1.3549214419063335E-2</v>
      </c>
      <c r="BZ207" s="18">
        <f t="shared" si="273"/>
        <v>0.20509020833165081</v>
      </c>
      <c r="CA207" s="19">
        <f t="shared" si="313"/>
        <v>945.58890055567861</v>
      </c>
      <c r="CB207" s="15">
        <f t="shared" si="274"/>
        <v>5.3911778011113573E-6</v>
      </c>
      <c r="CC207" s="16">
        <f t="shared" si="275"/>
        <v>26.763272356390303</v>
      </c>
      <c r="CD207" s="17">
        <f t="shared" si="276"/>
        <v>1.3492465887337997E-2</v>
      </c>
      <c r="CE207" s="18">
        <f t="shared" si="277"/>
        <v>0.2060893349121049</v>
      </c>
      <c r="CF207" s="19">
        <f t="shared" si="314"/>
        <v>929.07744037483803</v>
      </c>
      <c r="CG207" s="15">
        <f t="shared" si="278"/>
        <v>5.3581548807496771E-6</v>
      </c>
      <c r="CH207" s="16">
        <f t="shared" si="279"/>
        <v>26.573390564310635</v>
      </c>
      <c r="CI207" s="17">
        <f t="shared" si="280"/>
        <v>1.3409819637683906E-2</v>
      </c>
      <c r="CJ207" s="18">
        <f t="shared" si="281"/>
        <v>0.20756195889461521</v>
      </c>
      <c r="CK207" s="19">
        <f t="shared" si="315"/>
        <v>901.81197204541104</v>
      </c>
      <c r="CL207" s="15">
        <f t="shared" si="282"/>
        <v>5.3036239440908222E-6</v>
      </c>
      <c r="CM207" s="16">
        <f t="shared" si="283"/>
        <v>26.259837678522224</v>
      </c>
      <c r="CN207" s="17">
        <f t="shared" si="284"/>
        <v>1.3273345414458971E-2</v>
      </c>
      <c r="CO207" s="18">
        <f t="shared" si="285"/>
        <v>0.21004033107604467</v>
      </c>
      <c r="CP207" s="19">
        <f t="shared" si="316"/>
        <v>854.81299679804886</v>
      </c>
      <c r="CQ207" s="15">
        <f t="shared" si="286"/>
        <v>5.2096259935960984E-6</v>
      </c>
      <c r="CR207" s="16">
        <f t="shared" si="287"/>
        <v>25.719349463177561</v>
      </c>
      <c r="CS207" s="17">
        <f t="shared" si="288"/>
        <v>1.3038097350433275E-2</v>
      </c>
      <c r="CT207" s="18">
        <f t="shared" si="289"/>
        <v>0.2144542966725006</v>
      </c>
      <c r="CU207" s="19">
        <f t="shared" si="317"/>
        <v>777.29074174717618</v>
      </c>
      <c r="CV207" s="15">
        <f t="shared" si="290"/>
        <v>5.0545814834943527E-6</v>
      </c>
      <c r="CW207" s="16">
        <f t="shared" si="291"/>
        <v>24.827843530092526</v>
      </c>
      <c r="CX207" s="17">
        <f t="shared" si="292"/>
        <v>1.2650068455683117E-2</v>
      </c>
      <c r="CY207" s="18">
        <f t="shared" si="293"/>
        <v>0.22215481555274022</v>
      </c>
      <c r="CZ207" s="20">
        <f t="shared" si="318"/>
        <v>661.42473936670285</v>
      </c>
      <c r="DA207" s="15">
        <f t="shared" si="294"/>
        <v>4.8228494787334059E-6</v>
      </c>
      <c r="DB207" s="16">
        <f t="shared" si="295"/>
        <v>31.61591233519232</v>
      </c>
      <c r="DC207" s="17">
        <f t="shared" si="296"/>
        <v>1.2070114263002441E-2</v>
      </c>
      <c r="DD207" s="18">
        <f t="shared" si="297"/>
        <v>0.17445724613363267</v>
      </c>
    </row>
    <row r="208" spans="2:108" x14ac:dyDescent="0.25">
      <c r="B208">
        <v>189</v>
      </c>
      <c r="C208">
        <f t="shared" si="298"/>
        <v>0.18476917193925252</v>
      </c>
      <c r="D208" s="19">
        <f t="shared" si="215"/>
        <v>1016.8938176015622</v>
      </c>
      <c r="E208" s="15">
        <f t="shared" si="216"/>
        <v>5.5337876352031249E-6</v>
      </c>
      <c r="F208" s="16">
        <f t="shared" si="217"/>
        <v>27.583278902417966</v>
      </c>
      <c r="G208" s="17">
        <f t="shared" si="213"/>
        <v>1.3849374598693327E-2</v>
      </c>
      <c r="H208" s="18">
        <f t="shared" si="218"/>
        <v>0.19996263024105149</v>
      </c>
      <c r="I208" s="19">
        <f t="shared" si="299"/>
        <v>1016.5691325953356</v>
      </c>
      <c r="J208" s="15">
        <f t="shared" si="219"/>
        <v>5.533138265190672E-6</v>
      </c>
      <c r="K208" s="16">
        <f t="shared" si="220"/>
        <v>27.579545024846361</v>
      </c>
      <c r="L208" s="17">
        <f t="shared" si="221"/>
        <v>1.3847749424554296E-2</v>
      </c>
      <c r="M208" s="18">
        <f t="shared" si="222"/>
        <v>0.19998970233305094</v>
      </c>
      <c r="N208" s="19">
        <f t="shared" si="300"/>
        <v>1015.6629117291546</v>
      </c>
      <c r="O208" s="15">
        <f t="shared" si="223"/>
        <v>5.5313258234583093E-6</v>
      </c>
      <c r="P208" s="16">
        <f t="shared" si="224"/>
        <v>27.569123484885278</v>
      </c>
      <c r="Q208" s="17">
        <f t="shared" si="214"/>
        <v>1.3849374598693327E-2</v>
      </c>
      <c r="R208" s="18">
        <f t="shared" si="225"/>
        <v>0.20006530142403445</v>
      </c>
      <c r="S208" s="19">
        <f t="shared" si="301"/>
        <v>1014.1612219065478</v>
      </c>
      <c r="T208" s="15">
        <f t="shared" si="226"/>
        <v>5.528322443813096E-6</v>
      </c>
      <c r="U208" s="16">
        <f t="shared" si="227"/>
        <v>27.551854051925297</v>
      </c>
      <c r="V208" s="17">
        <f t="shared" si="228"/>
        <v>1.3835696899474701E-2</v>
      </c>
      <c r="W208" s="18">
        <f t="shared" si="229"/>
        <v>0.20019070185276963</v>
      </c>
      <c r="X208" s="19">
        <f t="shared" si="302"/>
        <v>1012.0621856650835</v>
      </c>
      <c r="Y208" s="15">
        <f t="shared" si="230"/>
        <v>5.5241243713301681E-6</v>
      </c>
      <c r="Z208" s="16">
        <f t="shared" si="231"/>
        <v>27.527715135148458</v>
      </c>
      <c r="AA208" s="17">
        <f t="shared" si="232"/>
        <v>1.3825190410566693E-2</v>
      </c>
      <c r="AB208" s="18">
        <f t="shared" si="233"/>
        <v>0.2003662480856406</v>
      </c>
      <c r="AC208" s="19">
        <f t="shared" si="303"/>
        <v>1009.3643496260648</v>
      </c>
      <c r="AD208" s="15">
        <f t="shared" si="234"/>
        <v>5.5187286992521306E-6</v>
      </c>
      <c r="AE208" s="16">
        <f t="shared" si="235"/>
        <v>27.496690020699745</v>
      </c>
      <c r="AF208" s="17">
        <f t="shared" si="236"/>
        <v>1.3811686696881497E-2</v>
      </c>
      <c r="AG208" s="18">
        <f t="shared" si="237"/>
        <v>0.20059232568893892</v>
      </c>
      <c r="AH208" s="19">
        <f t="shared" si="304"/>
        <v>1006.0673667316754</v>
      </c>
      <c r="AI208" s="15">
        <f t="shared" si="238"/>
        <v>5.5121347334633514E-6</v>
      </c>
      <c r="AJ208" s="16">
        <f t="shared" si="239"/>
        <v>27.458774717414265</v>
      </c>
      <c r="AK208" s="17">
        <f t="shared" si="240"/>
        <v>1.3795184021260405E-2</v>
      </c>
      <c r="AL208" s="18">
        <f t="shared" si="241"/>
        <v>0.20086930523167185</v>
      </c>
      <c r="AM208" s="19">
        <f t="shared" si="305"/>
        <v>1002.1710882802378</v>
      </c>
      <c r="AN208" s="15">
        <f t="shared" si="242"/>
        <v>5.5043421765604754E-6</v>
      </c>
      <c r="AO208" s="16">
        <f t="shared" si="243"/>
        <v>27.413967515222733</v>
      </c>
      <c r="AP208" s="17">
        <f t="shared" si="244"/>
        <v>1.3775681639393956E-2</v>
      </c>
      <c r="AQ208" s="18">
        <f t="shared" si="245"/>
        <v>0.20119761931348398</v>
      </c>
      <c r="AR208" s="19">
        <f t="shared" si="306"/>
        <v>997.67537057758375</v>
      </c>
      <c r="AS208" s="15">
        <f t="shared" si="246"/>
        <v>5.4953507411551678E-6</v>
      </c>
      <c r="AT208" s="16">
        <f t="shared" si="247"/>
        <v>27.362266761642211</v>
      </c>
      <c r="AU208" s="17">
        <f t="shared" si="248"/>
        <v>1.3753178832037222E-2</v>
      </c>
      <c r="AV208" s="18">
        <f t="shared" si="249"/>
        <v>0.20157778038083007</v>
      </c>
      <c r="AW208" s="19">
        <f t="shared" si="307"/>
        <v>992.57968785646744</v>
      </c>
      <c r="AX208" s="15">
        <f t="shared" si="250"/>
        <v>5.4851593757129351E-6</v>
      </c>
      <c r="AY208" s="16">
        <f t="shared" si="251"/>
        <v>27.303666410349376</v>
      </c>
      <c r="AZ208" s="17">
        <f t="shared" si="252"/>
        <v>1.3727672967521609E-2</v>
      </c>
      <c r="BA208" s="18">
        <f t="shared" si="253"/>
        <v>0.20201041563814734</v>
      </c>
      <c r="BB208" s="19">
        <f t="shared" si="308"/>
        <v>986.88165259059122</v>
      </c>
      <c r="BC208" s="15">
        <f t="shared" si="254"/>
        <v>5.4737633051811822E-6</v>
      </c>
      <c r="BD208" s="16">
        <f t="shared" si="255"/>
        <v>27.238139004791798</v>
      </c>
      <c r="BE208" s="17">
        <f t="shared" si="256"/>
        <v>1.3699152095353811E-2</v>
      </c>
      <c r="BF208" s="18">
        <f t="shared" si="257"/>
        <v>0.2024963966528579</v>
      </c>
      <c r="BG208" s="19">
        <f t="shared" si="309"/>
        <v>980.5711203328209</v>
      </c>
      <c r="BH208" s="15">
        <f t="shared" si="258"/>
        <v>5.4611422406656426E-6</v>
      </c>
      <c r="BI208" s="16">
        <f t="shared" si="259"/>
        <v>27.165567883827439</v>
      </c>
      <c r="BJ208" s="17">
        <f t="shared" si="260"/>
        <v>1.3667565438649091E-2</v>
      </c>
      <c r="BK208" s="18">
        <f t="shared" si="261"/>
        <v>0.20303735315187849</v>
      </c>
      <c r="BL208" s="19">
        <f t="shared" si="310"/>
        <v>973.60875074568037</v>
      </c>
      <c r="BM208" s="15">
        <f t="shared" si="262"/>
        <v>5.4472175014913612E-6</v>
      </c>
      <c r="BN208" s="16">
        <f t="shared" si="263"/>
        <v>27.085500633575322</v>
      </c>
      <c r="BO208" s="17">
        <f t="shared" si="264"/>
        <v>1.3632716083790058E-2</v>
      </c>
      <c r="BP208" s="18">
        <f t="shared" si="265"/>
        <v>0.20363755038600997</v>
      </c>
      <c r="BQ208" s="19">
        <f t="shared" si="311"/>
        <v>965.85673375055853</v>
      </c>
      <c r="BR208" s="15">
        <f t="shared" si="266"/>
        <v>5.4317134675011172E-6</v>
      </c>
      <c r="BS208" s="16">
        <f t="shared" si="267"/>
        <v>26.996352438131424</v>
      </c>
      <c r="BT208" s="17">
        <f t="shared" si="268"/>
        <v>1.359391423798813E-2</v>
      </c>
      <c r="BU208" s="18">
        <f t="shared" si="269"/>
        <v>0.2043100086443296</v>
      </c>
      <c r="BV208" s="19">
        <f t="shared" si="312"/>
        <v>956.8841601034801</v>
      </c>
      <c r="BW208" s="15">
        <f t="shared" si="270"/>
        <v>5.4137683202069607E-6</v>
      </c>
      <c r="BX208" s="16">
        <f t="shared" si="271"/>
        <v>26.893167841190021</v>
      </c>
      <c r="BY208" s="17">
        <f t="shared" si="272"/>
        <v>1.3549003033675826E-2</v>
      </c>
      <c r="BZ208" s="18">
        <f t="shared" si="273"/>
        <v>0.20509391205123026</v>
      </c>
      <c r="CA208" s="19">
        <f t="shared" si="313"/>
        <v>945.50622091571051</v>
      </c>
      <c r="CB208" s="15">
        <f t="shared" si="274"/>
        <v>5.3910124418314224E-6</v>
      </c>
      <c r="CC208" s="16">
        <f t="shared" si="275"/>
        <v>26.762321540530671</v>
      </c>
      <c r="CD208" s="17">
        <f t="shared" si="276"/>
        <v>1.349205204373536E-2</v>
      </c>
      <c r="CE208" s="18">
        <f t="shared" si="277"/>
        <v>0.20609665688556816</v>
      </c>
      <c r="CF208" s="19">
        <f t="shared" si="314"/>
        <v>928.91388921853809</v>
      </c>
      <c r="CG208" s="15">
        <f t="shared" si="278"/>
        <v>5.357827778437077E-6</v>
      </c>
      <c r="CH208" s="16">
        <f t="shared" si="279"/>
        <v>26.57150972601319</v>
      </c>
      <c r="CI208" s="17">
        <f t="shared" si="280"/>
        <v>1.340900100083733E-2</v>
      </c>
      <c r="CJ208" s="18">
        <f t="shared" si="281"/>
        <v>0.20757665096463335</v>
      </c>
      <c r="CK208" s="19">
        <f t="shared" si="315"/>
        <v>901.51807684321466</v>
      </c>
      <c r="CL208" s="15">
        <f t="shared" si="282"/>
        <v>5.3030361536864305E-6</v>
      </c>
      <c r="CM208" s="16">
        <f t="shared" si="283"/>
        <v>26.256457883696967</v>
      </c>
      <c r="CN208" s="17">
        <f t="shared" si="284"/>
        <v>1.327187435520759E-2</v>
      </c>
      <c r="CO208" s="18">
        <f t="shared" si="285"/>
        <v>0.21006736797596506</v>
      </c>
      <c r="CP208" s="19">
        <f t="shared" si="316"/>
        <v>854.36198927128021</v>
      </c>
      <c r="CQ208" s="15">
        <f t="shared" si="286"/>
        <v>5.2087239785425603E-6</v>
      </c>
      <c r="CR208" s="16">
        <f t="shared" si="287"/>
        <v>25.714162876619721</v>
      </c>
      <c r="CS208" s="17">
        <f t="shared" si="288"/>
        <v>1.3035839883180533E-2</v>
      </c>
      <c r="CT208" s="18">
        <f t="shared" si="289"/>
        <v>0.21449755243694954</v>
      </c>
      <c r="CU208" s="19">
        <f t="shared" si="317"/>
        <v>776.72455726069893</v>
      </c>
      <c r="CV208" s="15">
        <f t="shared" si="290"/>
        <v>5.0534491145213977E-6</v>
      </c>
      <c r="CW208" s="16">
        <f t="shared" si="291"/>
        <v>24.821332408498037</v>
      </c>
      <c r="CX208" s="17">
        <f t="shared" si="292"/>
        <v>1.2647234483162989E-2</v>
      </c>
      <c r="CY208" s="18">
        <f t="shared" si="293"/>
        <v>0.22221309111156437</v>
      </c>
      <c r="CZ208" s="20">
        <f t="shared" si="318"/>
        <v>660.86774609201711</v>
      </c>
      <c r="DA208" s="15">
        <f t="shared" si="294"/>
        <v>4.8217354921840344E-6</v>
      </c>
      <c r="DB208" s="16">
        <f t="shared" si="295"/>
        <v>31.727756584749159</v>
      </c>
      <c r="DC208" s="17">
        <f t="shared" si="296"/>
        <v>1.2067326296055173E-2</v>
      </c>
      <c r="DD208" s="18">
        <f t="shared" si="297"/>
        <v>0.17384226285482915</v>
      </c>
    </row>
    <row r="209" spans="2:108" x14ac:dyDescent="0.25">
      <c r="B209">
        <v>190</v>
      </c>
      <c r="C209">
        <f t="shared" si="298"/>
        <v>0.18574678660559779</v>
      </c>
      <c r="D209" s="19">
        <f t="shared" si="215"/>
        <v>1016.8772408253441</v>
      </c>
      <c r="E209" s="15">
        <f t="shared" si="216"/>
        <v>5.5337544816506888E-6</v>
      </c>
      <c r="F209" s="16">
        <f t="shared" si="217"/>
        <v>27.583088269491455</v>
      </c>
      <c r="G209" s="17">
        <f t="shared" si="213"/>
        <v>1.3849291625511623E-2</v>
      </c>
      <c r="H209" s="18">
        <f t="shared" si="218"/>
        <v>0.199964012227761</v>
      </c>
      <c r="I209" s="19">
        <f t="shared" si="299"/>
        <v>1016.5525551484252</v>
      </c>
      <c r="J209" s="15">
        <f t="shared" si="219"/>
        <v>5.5331051102968509E-6</v>
      </c>
      <c r="K209" s="16">
        <f t="shared" si="220"/>
        <v>27.579354384206887</v>
      </c>
      <c r="L209" s="17">
        <f t="shared" si="221"/>
        <v>1.3847666448015517E-2</v>
      </c>
      <c r="M209" s="18">
        <f t="shared" si="222"/>
        <v>0.19999108474992011</v>
      </c>
      <c r="N209" s="19">
        <f t="shared" si="300"/>
        <v>1015.6463298876522</v>
      </c>
      <c r="O209" s="15">
        <f t="shared" si="223"/>
        <v>5.531292659775305E-6</v>
      </c>
      <c r="P209" s="16">
        <f t="shared" si="224"/>
        <v>27.568932793708001</v>
      </c>
      <c r="Q209" s="17">
        <f t="shared" si="214"/>
        <v>1.3849291625511623E-2</v>
      </c>
      <c r="R209" s="18">
        <f t="shared" si="225"/>
        <v>0.20006668525300403</v>
      </c>
      <c r="S209" s="19">
        <f t="shared" si="301"/>
        <v>1014.1446378309041</v>
      </c>
      <c r="T209" s="15">
        <f t="shared" si="226"/>
        <v>5.5282892756618091E-6</v>
      </c>
      <c r="U209" s="16">
        <f t="shared" si="227"/>
        <v>27.551663335055395</v>
      </c>
      <c r="V209" s="17">
        <f t="shared" si="228"/>
        <v>1.3835613889756548E-2</v>
      </c>
      <c r="W209" s="18">
        <f t="shared" si="229"/>
        <v>0.20019208760373416</v>
      </c>
      <c r="X209" s="19">
        <f t="shared" si="302"/>
        <v>1012.0456049431933</v>
      </c>
      <c r="Y209" s="15">
        <f t="shared" si="230"/>
        <v>5.5240912098863869E-6</v>
      </c>
      <c r="Z209" s="16">
        <f t="shared" si="231"/>
        <v>27.52752445684672</v>
      </c>
      <c r="AA209" s="17">
        <f t="shared" si="232"/>
        <v>1.382510741763537E-2</v>
      </c>
      <c r="AB209" s="18">
        <f t="shared" si="233"/>
        <v>0.20036763598726506</v>
      </c>
      <c r="AC209" s="19">
        <f t="shared" si="303"/>
        <v>1009.3477784548601</v>
      </c>
      <c r="AD209" s="15">
        <f t="shared" si="234"/>
        <v>5.5186955569097208E-6</v>
      </c>
      <c r="AE209" s="16">
        <f t="shared" si="235"/>
        <v>27.496499452230889</v>
      </c>
      <c r="AF209" s="17">
        <f t="shared" si="236"/>
        <v>1.3811603751755054E-2</v>
      </c>
      <c r="AG209" s="18">
        <f t="shared" si="237"/>
        <v>0.20059371592308262</v>
      </c>
      <c r="AH209" s="19">
        <f t="shared" si="304"/>
        <v>1006.0508102926286</v>
      </c>
      <c r="AI209" s="15">
        <f t="shared" si="238"/>
        <v>5.5121016205852579E-6</v>
      </c>
      <c r="AJ209" s="16">
        <f t="shared" si="239"/>
        <v>27.458584318365226</v>
      </c>
      <c r="AK209" s="17">
        <f t="shared" si="240"/>
        <v>1.3795101149874115E-2</v>
      </c>
      <c r="AL209" s="18">
        <f t="shared" si="241"/>
        <v>0.20087069806839838</v>
      </c>
      <c r="AM209" s="19">
        <f t="shared" si="305"/>
        <v>1002.1545497811487</v>
      </c>
      <c r="AN209" s="15">
        <f t="shared" si="242"/>
        <v>5.5043090995622978E-6</v>
      </c>
      <c r="AO209" s="16">
        <f t="shared" si="243"/>
        <v>27.41377732248321</v>
      </c>
      <c r="AP209" s="17">
        <f t="shared" si="244"/>
        <v>1.3775598857804102E-2</v>
      </c>
      <c r="AQ209" s="18">
        <f t="shared" si="245"/>
        <v>0.20119901519286071</v>
      </c>
      <c r="AR209" s="19">
        <f t="shared" si="306"/>
        <v>997.65884774486551</v>
      </c>
      <c r="AS209" s="15">
        <f t="shared" si="246"/>
        <v>5.4953176954897316E-6</v>
      </c>
      <c r="AT209" s="16">
        <f t="shared" si="247"/>
        <v>27.362076749065952</v>
      </c>
      <c r="AU209" s="17">
        <f t="shared" si="248"/>
        <v>1.3753096128863615E-2</v>
      </c>
      <c r="AV209" s="18">
        <f t="shared" si="249"/>
        <v>0.20157918021293045</v>
      </c>
      <c r="AW209" s="19">
        <f t="shared" si="307"/>
        <v>992.56315658617905</v>
      </c>
      <c r="AX209" s="15">
        <f t="shared" si="250"/>
        <v>5.4851263131723588E-6</v>
      </c>
      <c r="AY209" s="16">
        <f t="shared" si="251"/>
        <v>27.30347630074106</v>
      </c>
      <c r="AZ209" s="17">
        <f t="shared" si="252"/>
        <v>1.3727590222114699E-2</v>
      </c>
      <c r="BA209" s="18">
        <f t="shared" si="253"/>
        <v>0.20201182220339822</v>
      </c>
      <c r="BB209" s="19">
        <f t="shared" si="308"/>
        <v>986.86500204816821</v>
      </c>
      <c r="BC209" s="15">
        <f t="shared" si="254"/>
        <v>5.4737300040963371E-6</v>
      </c>
      <c r="BD209" s="16">
        <f t="shared" si="255"/>
        <v>27.237947523553935</v>
      </c>
      <c r="BE209" s="17">
        <f t="shared" si="256"/>
        <v>1.3699068752943697E-2</v>
      </c>
      <c r="BF209" s="18">
        <f t="shared" si="257"/>
        <v>0.20249782019112783</v>
      </c>
      <c r="BG209" s="19">
        <f t="shared" si="309"/>
        <v>980.55392593229715</v>
      </c>
      <c r="BH209" s="15">
        <f t="shared" si="258"/>
        <v>5.4611078518645952E-6</v>
      </c>
      <c r="BI209" s="16">
        <f t="shared" si="259"/>
        <v>27.165370148221417</v>
      </c>
      <c r="BJ209" s="17">
        <f t="shared" si="260"/>
        <v>1.366747937401866E-2</v>
      </c>
      <c r="BK209" s="18">
        <f t="shared" si="261"/>
        <v>0.20303883105237649</v>
      </c>
      <c r="BL209" s="19">
        <f t="shared" si="310"/>
        <v>973.58957873205588</v>
      </c>
      <c r="BM209" s="15">
        <f t="shared" si="262"/>
        <v>5.447179157464112E-6</v>
      </c>
      <c r="BN209" s="16">
        <f t="shared" si="263"/>
        <v>27.085280155418644</v>
      </c>
      <c r="BO209" s="17">
        <f t="shared" si="264"/>
        <v>1.3632620120440539E-2</v>
      </c>
      <c r="BP209" s="18">
        <f t="shared" si="265"/>
        <v>0.20363920802556482</v>
      </c>
      <c r="BQ209" s="19">
        <f t="shared" si="311"/>
        <v>965.83132513496787</v>
      </c>
      <c r="BR209" s="15">
        <f t="shared" si="266"/>
        <v>5.4316626502699357E-6</v>
      </c>
      <c r="BS209" s="16">
        <f t="shared" si="267"/>
        <v>26.996060239052127</v>
      </c>
      <c r="BT209" s="17">
        <f t="shared" si="268"/>
        <v>1.3593787058031633E-2</v>
      </c>
      <c r="BU209" s="18">
        <f t="shared" si="269"/>
        <v>0.20431222004836</v>
      </c>
      <c r="BV209" s="19">
        <f t="shared" si="312"/>
        <v>956.84158205730898</v>
      </c>
      <c r="BW209" s="15">
        <f t="shared" si="270"/>
        <v>5.4136831641146187E-6</v>
      </c>
      <c r="BX209" s="16">
        <f t="shared" si="271"/>
        <v>26.892678193659052</v>
      </c>
      <c r="BY209" s="17">
        <f t="shared" si="272"/>
        <v>1.3548789914073133E-2</v>
      </c>
      <c r="BZ209" s="18">
        <f t="shared" si="273"/>
        <v>0.20509764629171495</v>
      </c>
      <c r="CA209" s="19">
        <f t="shared" si="313"/>
        <v>945.42294009626914</v>
      </c>
      <c r="CB209" s="15">
        <f t="shared" si="274"/>
        <v>5.3908458801925387E-6</v>
      </c>
      <c r="CC209" s="16">
        <f t="shared" si="275"/>
        <v>26.761363811107096</v>
      </c>
      <c r="CD209" s="17">
        <f t="shared" si="276"/>
        <v>1.3491635190996741E-2</v>
      </c>
      <c r="CE209" s="18">
        <f t="shared" si="277"/>
        <v>0.20610403262448018</v>
      </c>
      <c r="CF209" s="19">
        <f t="shared" si="314"/>
        <v>928.74958659866809</v>
      </c>
      <c r="CG209" s="15">
        <f t="shared" si="278"/>
        <v>5.3574991731973369E-6</v>
      </c>
      <c r="CH209" s="16">
        <f t="shared" si="279"/>
        <v>26.569620245884682</v>
      </c>
      <c r="CI209" s="17">
        <f t="shared" si="280"/>
        <v>1.3408178602624703E-2</v>
      </c>
      <c r="CJ209" s="18">
        <f t="shared" si="281"/>
        <v>0.20759141263429629</v>
      </c>
      <c r="CK209" s="19">
        <f t="shared" si="315"/>
        <v>901.22372739150444</v>
      </c>
      <c r="CL209" s="15">
        <f t="shared" si="282"/>
        <v>5.3024474547830089E-6</v>
      </c>
      <c r="CM209" s="16">
        <f t="shared" si="283"/>
        <v>26.253072865002302</v>
      </c>
      <c r="CN209" s="17">
        <f t="shared" si="284"/>
        <v>1.3270401022261551E-2</v>
      </c>
      <c r="CO209" s="18">
        <f t="shared" si="285"/>
        <v>0.21009445364214191</v>
      </c>
      <c r="CP209" s="19">
        <f t="shared" si="316"/>
        <v>853.91148793883053</v>
      </c>
      <c r="CQ209" s="15">
        <f t="shared" si="286"/>
        <v>5.2078229758776612E-6</v>
      </c>
      <c r="CR209" s="16">
        <f t="shared" si="287"/>
        <v>25.70898211129655</v>
      </c>
      <c r="CS209" s="17">
        <f t="shared" si="288"/>
        <v>1.30335849496263E-2</v>
      </c>
      <c r="CT209" s="18">
        <f t="shared" si="289"/>
        <v>0.21454077707636779</v>
      </c>
      <c r="CU209" s="19">
        <f t="shared" si="317"/>
        <v>776.16005532372662</v>
      </c>
      <c r="CV209" s="15">
        <f t="shared" si="290"/>
        <v>5.0523201106474544E-6</v>
      </c>
      <c r="CW209" s="16">
        <f t="shared" si="291"/>
        <v>24.814840636222854</v>
      </c>
      <c r="CX209" s="17">
        <f t="shared" si="292"/>
        <v>1.2644408932454438E-2</v>
      </c>
      <c r="CY209" s="18">
        <f t="shared" si="293"/>
        <v>0.22227122393640125</v>
      </c>
      <c r="CZ209" s="20">
        <f t="shared" si="318"/>
        <v>660.31278517240958</v>
      </c>
      <c r="DA209" s="15">
        <f t="shared" si="294"/>
        <v>4.8206255703448189E-6</v>
      </c>
      <c r="DB209" s="16">
        <f t="shared" si="295"/>
        <v>31.839192737406307</v>
      </c>
      <c r="DC209" s="17">
        <f t="shared" si="296"/>
        <v>1.2064548501831775E-2</v>
      </c>
      <c r="DD209" s="18">
        <f t="shared" si="297"/>
        <v>0.17323382051454975</v>
      </c>
    </row>
    <row r="210" spans="2:108" x14ac:dyDescent="0.25">
      <c r="B210">
        <v>191</v>
      </c>
      <c r="C210">
        <f t="shared" si="298"/>
        <v>0.18672440127194304</v>
      </c>
      <c r="D210" s="19">
        <f t="shared" si="215"/>
        <v>1016.8606640148838</v>
      </c>
      <c r="E210" s="15">
        <f t="shared" si="216"/>
        <v>5.5337213280297685E-6</v>
      </c>
      <c r="F210" s="16">
        <f t="shared" si="217"/>
        <v>27.582897636171161</v>
      </c>
      <c r="G210" s="17">
        <f t="shared" si="213"/>
        <v>1.3849208652158523E-2</v>
      </c>
      <c r="H210" s="18">
        <f t="shared" si="218"/>
        <v>0.19996539423642784</v>
      </c>
      <c r="I210" s="19">
        <f t="shared" si="299"/>
        <v>1016.5359777141848</v>
      </c>
      <c r="J210" s="15">
        <f t="shared" si="219"/>
        <v>5.5330719554283704E-6</v>
      </c>
      <c r="K210" s="16">
        <f t="shared" si="220"/>
        <v>27.579163743713124</v>
      </c>
      <c r="L210" s="17">
        <f t="shared" si="221"/>
        <v>1.3847583471540158E-2</v>
      </c>
      <c r="M210" s="18">
        <f t="shared" si="222"/>
        <v>0.19999246718484448</v>
      </c>
      <c r="N210" s="19">
        <f t="shared" si="300"/>
        <v>1015.6297481524787</v>
      </c>
      <c r="O210" s="15">
        <f t="shared" si="223"/>
        <v>5.5312594963049576E-6</v>
      </c>
      <c r="P210" s="16">
        <f t="shared" si="224"/>
        <v>27.568742103753504</v>
      </c>
      <c r="Q210" s="17">
        <f t="shared" si="214"/>
        <v>1.3849208652158523E-2</v>
      </c>
      <c r="R210" s="18">
        <f t="shared" si="225"/>
        <v>0.20006806909224356</v>
      </c>
      <c r="S210" s="19">
        <f t="shared" si="301"/>
        <v>1014.1280539345905</v>
      </c>
      <c r="T210" s="15">
        <f t="shared" si="226"/>
        <v>5.5282561078691814E-6</v>
      </c>
      <c r="U210" s="16">
        <f t="shared" si="227"/>
        <v>27.55147262024779</v>
      </c>
      <c r="V210" s="17">
        <f t="shared" si="228"/>
        <v>1.3835530880936007E-2</v>
      </c>
      <c r="W210" s="18">
        <f t="shared" si="229"/>
        <v>0.20019347335889859</v>
      </c>
      <c r="X210" s="19">
        <f t="shared" si="302"/>
        <v>1012.029024428837</v>
      </c>
      <c r="Y210" s="15">
        <f t="shared" si="230"/>
        <v>5.5240580488576747E-6</v>
      </c>
      <c r="Z210" s="16">
        <f t="shared" si="231"/>
        <v>27.527333780931627</v>
      </c>
      <c r="AA210" s="17">
        <f t="shared" si="232"/>
        <v>1.3825024425742839E-2</v>
      </c>
      <c r="AB210" s="18">
        <f t="shared" si="233"/>
        <v>0.20036902389074496</v>
      </c>
      <c r="AC210" s="19">
        <f t="shared" si="303"/>
        <v>1009.3312074883369</v>
      </c>
      <c r="AD210" s="15">
        <f t="shared" si="234"/>
        <v>5.5186624149766743E-6</v>
      </c>
      <c r="AE210" s="16">
        <f t="shared" si="235"/>
        <v>27.496308886115873</v>
      </c>
      <c r="AF210" s="17">
        <f t="shared" si="236"/>
        <v>1.3811520807653122E-2</v>
      </c>
      <c r="AG210" s="18">
        <f t="shared" si="237"/>
        <v>0.20059510615932483</v>
      </c>
      <c r="AH210" s="19">
        <f t="shared" si="304"/>
        <v>1006.0342540349187</v>
      </c>
      <c r="AI210" s="15">
        <f t="shared" si="238"/>
        <v>5.5120685080698385E-6</v>
      </c>
      <c r="AJ210" s="16">
        <f t="shared" si="239"/>
        <v>27.458393921401566</v>
      </c>
      <c r="AK210" s="17">
        <f t="shared" si="240"/>
        <v>1.3795018279395489E-2</v>
      </c>
      <c r="AL210" s="18">
        <f t="shared" si="241"/>
        <v>0.20087209090918542</v>
      </c>
      <c r="AM210" s="19">
        <f t="shared" si="305"/>
        <v>1002.1380113831605</v>
      </c>
      <c r="AN210" s="15">
        <f t="shared" si="242"/>
        <v>5.5042760227663222E-6</v>
      </c>
      <c r="AO210" s="16">
        <f t="shared" si="243"/>
        <v>27.413587130906343</v>
      </c>
      <c r="AP210" s="17">
        <f t="shared" si="244"/>
        <v>1.3775516076720297E-2</v>
      </c>
      <c r="AQ210" s="18">
        <f t="shared" si="245"/>
        <v>0.20120041108307316</v>
      </c>
      <c r="AR210" s="19">
        <f t="shared" si="306"/>
        <v>997.64232468561681</v>
      </c>
      <c r="AS210" s="15">
        <f t="shared" si="246"/>
        <v>5.4952846493712345E-6</v>
      </c>
      <c r="AT210" s="16">
        <f t="shared" si="247"/>
        <v>27.361886733884592</v>
      </c>
      <c r="AU210" s="17">
        <f t="shared" si="248"/>
        <v>1.3753013424556138E-2</v>
      </c>
      <c r="AV210" s="18">
        <f t="shared" si="249"/>
        <v>0.20158058008366522</v>
      </c>
      <c r="AW210" s="19">
        <f t="shared" si="307"/>
        <v>992.54662379341482</v>
      </c>
      <c r="AX210" s="15">
        <f t="shared" si="250"/>
        <v>5.4850932475868303E-6</v>
      </c>
      <c r="AY210" s="16">
        <f t="shared" si="251"/>
        <v>27.303286173624272</v>
      </c>
      <c r="AZ210" s="17">
        <f t="shared" si="252"/>
        <v>1.3727507469087208E-2</v>
      </c>
      <c r="BA210" s="18">
        <f t="shared" si="253"/>
        <v>0.20201322891777934</v>
      </c>
      <c r="BB210" s="19">
        <f t="shared" si="308"/>
        <v>986.8483453224552</v>
      </c>
      <c r="BC210" s="15">
        <f t="shared" si="254"/>
        <v>5.4736966906449108E-6</v>
      </c>
      <c r="BD210" s="16">
        <f t="shared" si="255"/>
        <v>27.237755971208234</v>
      </c>
      <c r="BE210" s="17">
        <f t="shared" si="256"/>
        <v>1.3698985379583825E-2</v>
      </c>
      <c r="BF210" s="18">
        <f t="shared" si="257"/>
        <v>0.20249924427806429</v>
      </c>
      <c r="BG210" s="19">
        <f t="shared" si="309"/>
        <v>980.53671042535825</v>
      </c>
      <c r="BH210" s="15">
        <f t="shared" si="258"/>
        <v>5.4610734208507174E-6</v>
      </c>
      <c r="BI210" s="16">
        <f t="shared" si="259"/>
        <v>27.165172169891619</v>
      </c>
      <c r="BJ210" s="17">
        <f t="shared" si="260"/>
        <v>1.366739320374245E-2</v>
      </c>
      <c r="BK210" s="18">
        <f t="shared" si="261"/>
        <v>0.20304031078857712</v>
      </c>
      <c r="BL210" s="19">
        <f t="shared" si="310"/>
        <v>973.57034395224321</v>
      </c>
      <c r="BM210" s="15">
        <f t="shared" si="262"/>
        <v>5.4471406879044861E-6</v>
      </c>
      <c r="BN210" s="16">
        <f t="shared" si="263"/>
        <v>27.085058955450798</v>
      </c>
      <c r="BO210" s="17">
        <f t="shared" si="264"/>
        <v>1.3632523842921952E-2</v>
      </c>
      <c r="BP210" s="18">
        <f t="shared" si="265"/>
        <v>0.20364087111909332</v>
      </c>
      <c r="BQ210" s="19">
        <f t="shared" si="311"/>
        <v>965.80575538433902</v>
      </c>
      <c r="BR210" s="15">
        <f t="shared" si="266"/>
        <v>5.4316115107686784E-6</v>
      </c>
      <c r="BS210" s="16">
        <f t="shared" si="267"/>
        <v>26.995766186919898</v>
      </c>
      <c r="BT210" s="17">
        <f t="shared" si="268"/>
        <v>1.3593659071531899E-2</v>
      </c>
      <c r="BU210" s="18">
        <f t="shared" si="269"/>
        <v>0.20431444552488581</v>
      </c>
      <c r="BV210" s="19">
        <f t="shared" si="312"/>
        <v>956.7986564115256</v>
      </c>
      <c r="BW210" s="15">
        <f t="shared" si="270"/>
        <v>5.4135973128230515E-6</v>
      </c>
      <c r="BX210" s="16">
        <f t="shared" si="271"/>
        <v>26.892184548732544</v>
      </c>
      <c r="BY210" s="17">
        <f t="shared" si="272"/>
        <v>1.3548575054599827E-2</v>
      </c>
      <c r="BZ210" s="18">
        <f t="shared" si="273"/>
        <v>0.20510141115553057</v>
      </c>
      <c r="CA210" s="19">
        <f t="shared" si="313"/>
        <v>945.33905935899566</v>
      </c>
      <c r="CB210" s="15">
        <f t="shared" si="274"/>
        <v>5.3906781187179921E-6</v>
      </c>
      <c r="CC210" s="16">
        <f t="shared" si="275"/>
        <v>26.760399182628447</v>
      </c>
      <c r="CD210" s="17">
        <f t="shared" si="276"/>
        <v>1.3491215335437153E-2</v>
      </c>
      <c r="CE210" s="18">
        <f t="shared" si="277"/>
        <v>0.20611146202858124</v>
      </c>
      <c r="CF210" s="19">
        <f t="shared" si="314"/>
        <v>928.58453869795335</v>
      </c>
      <c r="CG210" s="15">
        <f t="shared" si="278"/>
        <v>5.3571690773959071E-6</v>
      </c>
      <c r="CH210" s="16">
        <f t="shared" si="279"/>
        <v>26.567722195026462</v>
      </c>
      <c r="CI210" s="17">
        <f t="shared" si="280"/>
        <v>1.3407352473992955E-2</v>
      </c>
      <c r="CJ210" s="18">
        <f t="shared" si="281"/>
        <v>0.20760624337725639</v>
      </c>
      <c r="CK210" s="19">
        <f t="shared" si="315"/>
        <v>900.92893321833265</v>
      </c>
      <c r="CL210" s="15">
        <f t="shared" si="282"/>
        <v>5.3018578664366652E-6</v>
      </c>
      <c r="CM210" s="16">
        <f t="shared" si="283"/>
        <v>26.249682732010825</v>
      </c>
      <c r="CN210" s="17">
        <f t="shared" si="284"/>
        <v>1.3268925463312453E-2</v>
      </c>
      <c r="CO210" s="18">
        <f t="shared" si="285"/>
        <v>0.2101215872325129</v>
      </c>
      <c r="CP210" s="19">
        <f t="shared" si="316"/>
        <v>853.461496427405</v>
      </c>
      <c r="CQ210" s="15">
        <f t="shared" si="286"/>
        <v>5.2069229928548109E-6</v>
      </c>
      <c r="CR210" s="16">
        <f t="shared" si="287"/>
        <v>25.703807208915158</v>
      </c>
      <c r="CS210" s="17">
        <f t="shared" si="288"/>
        <v>1.3031332567923645E-2</v>
      </c>
      <c r="CT210" s="18">
        <f t="shared" si="289"/>
        <v>0.21458397019438233</v>
      </c>
      <c r="CU210" s="19">
        <f t="shared" si="317"/>
        <v>775.59722503006321</v>
      </c>
      <c r="CV210" s="15">
        <f t="shared" si="290"/>
        <v>5.0511944500601275E-6</v>
      </c>
      <c r="CW210" s="16">
        <f t="shared" si="291"/>
        <v>24.808368087845729</v>
      </c>
      <c r="CX210" s="17">
        <f t="shared" si="292"/>
        <v>1.2641591748967724E-2</v>
      </c>
      <c r="CY210" s="18">
        <f t="shared" si="293"/>
        <v>0.22232921490318622</v>
      </c>
      <c r="CZ210" s="20">
        <f t="shared" si="318"/>
        <v>659.7598392244048</v>
      </c>
      <c r="DA210" s="15">
        <f t="shared" si="294"/>
        <v>4.8195196784488104E-6</v>
      </c>
      <c r="DB210" s="16">
        <f t="shared" si="295"/>
        <v>31.950224283765635</v>
      </c>
      <c r="DC210" s="17">
        <f t="shared" si="296"/>
        <v>1.2061780793321234E-2</v>
      </c>
      <c r="DD210" s="18">
        <f t="shared" si="297"/>
        <v>0.17263180849727455</v>
      </c>
    </row>
    <row r="211" spans="2:108" x14ac:dyDescent="0.25">
      <c r="B211">
        <v>192</v>
      </c>
      <c r="C211">
        <f t="shared" si="298"/>
        <v>0.18770201593828828</v>
      </c>
      <c r="D211" s="19">
        <f t="shared" si="215"/>
        <v>1016.8440871725765</v>
      </c>
      <c r="E211" s="15">
        <f t="shared" si="216"/>
        <v>5.5336881743451538E-6</v>
      </c>
      <c r="F211" s="16">
        <f t="shared" si="217"/>
        <v>27.582707002484629</v>
      </c>
      <c r="G211" s="17">
        <f t="shared" ref="G211:G246" si="319">($E211*$M$8)/($D$6^2)</f>
        <v>1.3849125678646018E-2</v>
      </c>
      <c r="H211" s="18">
        <f t="shared" si="218"/>
        <v>0.19996677626685289</v>
      </c>
      <c r="I211" s="19">
        <f t="shared" si="299"/>
        <v>1016.5194002942364</v>
      </c>
      <c r="J211" s="15">
        <f t="shared" si="219"/>
        <v>5.5330388005884731E-6</v>
      </c>
      <c r="K211" s="16">
        <f t="shared" si="220"/>
        <v>27.578973103383717</v>
      </c>
      <c r="L211" s="17">
        <f t="shared" si="221"/>
        <v>1.3847500495136333E-2</v>
      </c>
      <c r="M211" s="18">
        <f t="shared" si="222"/>
        <v>0.19999384963768929</v>
      </c>
      <c r="N211" s="19">
        <f t="shared" si="300"/>
        <v>1015.6131665239249</v>
      </c>
      <c r="O211" s="15">
        <f t="shared" si="223"/>
        <v>5.5312263330478508E-6</v>
      </c>
      <c r="P211" s="16">
        <f t="shared" si="224"/>
        <v>27.568551415025134</v>
      </c>
      <c r="Q211" s="17">
        <f t="shared" ref="Q211:Q246" si="320">($E211*$M$8)/($D$6^2)</f>
        <v>1.3849125678646018E-2</v>
      </c>
      <c r="R211" s="18">
        <f t="shared" si="225"/>
        <v>0.20006945294172873</v>
      </c>
      <c r="S211" s="19">
        <f t="shared" si="301"/>
        <v>1014.1114702172194</v>
      </c>
      <c r="T211" s="15">
        <f t="shared" si="226"/>
        <v>5.5282229404344395E-6</v>
      </c>
      <c r="U211" s="16">
        <f t="shared" si="227"/>
        <v>27.551281907498023</v>
      </c>
      <c r="V211" s="17">
        <f t="shared" si="228"/>
        <v>1.3835447873011148E-2</v>
      </c>
      <c r="W211" s="18">
        <f t="shared" si="229"/>
        <v>0.20019485911829513</v>
      </c>
      <c r="X211" s="19">
        <f t="shared" si="302"/>
        <v>1012.0124441216263</v>
      </c>
      <c r="Y211" s="15">
        <f t="shared" si="230"/>
        <v>5.5240248882432539E-6</v>
      </c>
      <c r="Z211" s="16">
        <f t="shared" si="231"/>
        <v>27.5271431073987</v>
      </c>
      <c r="AA211" s="17">
        <f t="shared" si="232"/>
        <v>1.3824941434887153E-2</v>
      </c>
      <c r="AB211" s="18">
        <f t="shared" si="233"/>
        <v>0.20037041179611259</v>
      </c>
      <c r="AC211" s="19">
        <f t="shared" si="303"/>
        <v>1009.3146367261731</v>
      </c>
      <c r="AD211" s="15">
        <f t="shared" si="234"/>
        <v>5.5186292734523467E-6</v>
      </c>
      <c r="AE211" s="16">
        <f t="shared" si="235"/>
        <v>27.496118322350988</v>
      </c>
      <c r="AF211" s="17">
        <f t="shared" si="236"/>
        <v>1.3811437864574087E-2</v>
      </c>
      <c r="AG211" s="18">
        <f t="shared" si="237"/>
        <v>0.20059649639769225</v>
      </c>
      <c r="AH211" s="19">
        <f t="shared" si="304"/>
        <v>1006.0176979576385</v>
      </c>
      <c r="AI211" s="15">
        <f t="shared" si="238"/>
        <v>5.5120353959152772E-6</v>
      </c>
      <c r="AJ211" s="16">
        <f t="shared" si="239"/>
        <v>27.45820352651284</v>
      </c>
      <c r="AK211" s="17">
        <f t="shared" si="240"/>
        <v>1.379493540981998E-2</v>
      </c>
      <c r="AL211" s="18">
        <f t="shared" si="241"/>
        <v>0.20087348375410916</v>
      </c>
      <c r="AM211" s="19">
        <f t="shared" si="305"/>
        <v>1002.1214730824572</v>
      </c>
      <c r="AN211" s="15">
        <f t="shared" si="242"/>
        <v>5.5042429461649151E-6</v>
      </c>
      <c r="AO211" s="16">
        <f t="shared" si="243"/>
        <v>27.413396940448258</v>
      </c>
      <c r="AP211" s="17">
        <f t="shared" si="244"/>
        <v>1.3775433296123437E-2</v>
      </c>
      <c r="AQ211" s="18">
        <f t="shared" si="245"/>
        <v>0.20120180698444334</v>
      </c>
      <c r="AR211" s="19">
        <f t="shared" si="306"/>
        <v>997.62580138510407</v>
      </c>
      <c r="AS211" s="15">
        <f t="shared" si="246"/>
        <v>5.495251602770208E-6</v>
      </c>
      <c r="AT211" s="16">
        <f t="shared" si="247"/>
        <v>27.361696715928694</v>
      </c>
      <c r="AU211" s="17">
        <f t="shared" si="248"/>
        <v>1.3752930719041035E-2</v>
      </c>
      <c r="AV211" s="18">
        <f t="shared" si="249"/>
        <v>0.20158197999428384</v>
      </c>
      <c r="AW211" s="19">
        <f t="shared" si="307"/>
        <v>992.53008942736778</v>
      </c>
      <c r="AX211" s="15">
        <f t="shared" si="250"/>
        <v>5.4850601788547363E-6</v>
      </c>
      <c r="AY211" s="16">
        <f t="shared" si="251"/>
        <v>27.303096028414728</v>
      </c>
      <c r="AZ211" s="17">
        <f t="shared" si="252"/>
        <v>1.3727424708184827E-2</v>
      </c>
      <c r="BA211" s="18">
        <f t="shared" si="253"/>
        <v>0.20201463578561965</v>
      </c>
      <c r="BB211" s="19">
        <f t="shared" si="308"/>
        <v>986.83168225922054</v>
      </c>
      <c r="BC211" s="15">
        <f t="shared" si="254"/>
        <v>5.4736633645184412E-6</v>
      </c>
      <c r="BD211" s="16">
        <f t="shared" si="255"/>
        <v>27.237564345981035</v>
      </c>
      <c r="BE211" s="17">
        <f t="shared" si="256"/>
        <v>1.3698901974502201E-2</v>
      </c>
      <c r="BF211" s="18">
        <f t="shared" si="257"/>
        <v>0.20250066892687646</v>
      </c>
      <c r="BG211" s="19">
        <f t="shared" si="309"/>
        <v>980.51947341080654</v>
      </c>
      <c r="BH211" s="15">
        <f t="shared" si="258"/>
        <v>5.4610389468216138E-6</v>
      </c>
      <c r="BI211" s="16">
        <f t="shared" si="259"/>
        <v>27.164973944224272</v>
      </c>
      <c r="BJ211" s="17">
        <f t="shared" si="260"/>
        <v>1.3667306925812313E-2</v>
      </c>
      <c r="BK211" s="18">
        <f t="shared" si="261"/>
        <v>0.20304179239504533</v>
      </c>
      <c r="BL211" s="19">
        <f t="shared" si="310"/>
        <v>973.55104555238472</v>
      </c>
      <c r="BM211" s="15">
        <f t="shared" si="262"/>
        <v>5.4471020911047703E-6</v>
      </c>
      <c r="BN211" s="16">
        <f t="shared" si="263"/>
        <v>27.084837023852423</v>
      </c>
      <c r="BO211" s="17">
        <f t="shared" si="264"/>
        <v>1.3632427246960413E-2</v>
      </c>
      <c r="BP211" s="18">
        <f t="shared" si="265"/>
        <v>0.20364253974069077</v>
      </c>
      <c r="BQ211" s="19">
        <f t="shared" si="311"/>
        <v>965.78002315124786</v>
      </c>
      <c r="BR211" s="15">
        <f t="shared" si="266"/>
        <v>5.4315600463024957E-6</v>
      </c>
      <c r="BS211" s="16">
        <f t="shared" si="267"/>
        <v>26.995470266239352</v>
      </c>
      <c r="BT211" s="17">
        <f t="shared" si="268"/>
        <v>1.3593530271744545E-2</v>
      </c>
      <c r="BU211" s="18">
        <f t="shared" si="269"/>
        <v>0.20431668519210291</v>
      </c>
      <c r="BV211" s="19">
        <f t="shared" si="312"/>
        <v>956.75538206706676</v>
      </c>
      <c r="BW211" s="15">
        <f t="shared" si="270"/>
        <v>5.413510764134134E-6</v>
      </c>
      <c r="BX211" s="16">
        <f t="shared" si="271"/>
        <v>26.891686893771265</v>
      </c>
      <c r="BY211" s="17">
        <f t="shared" si="272"/>
        <v>1.3548358449754671E-2</v>
      </c>
      <c r="BZ211" s="18">
        <f t="shared" si="273"/>
        <v>0.20510520674244301</v>
      </c>
      <c r="CA211" s="19">
        <f t="shared" si="313"/>
        <v>945.25458000331253</v>
      </c>
      <c r="CB211" s="15">
        <f t="shared" si="274"/>
        <v>5.390509160006626E-6</v>
      </c>
      <c r="CC211" s="16">
        <f t="shared" si="275"/>
        <v>26.759427670038093</v>
      </c>
      <c r="CD211" s="17">
        <f t="shared" si="276"/>
        <v>1.3490792483560702E-2</v>
      </c>
      <c r="CE211" s="18">
        <f t="shared" si="277"/>
        <v>0.20611894499431752</v>
      </c>
      <c r="CF211" s="19">
        <f t="shared" si="314"/>
        <v>928.41875168119736</v>
      </c>
      <c r="CG211" s="15">
        <f t="shared" si="278"/>
        <v>5.3568375033623949E-6</v>
      </c>
      <c r="CH211" s="16">
        <f t="shared" si="279"/>
        <v>26.565815644333767</v>
      </c>
      <c r="CI211" s="17">
        <f t="shared" si="280"/>
        <v>1.3406522645799314E-2</v>
      </c>
      <c r="CJ211" s="18">
        <f t="shared" si="281"/>
        <v>0.20762114266860199</v>
      </c>
      <c r="CK211" s="19">
        <f t="shared" si="315"/>
        <v>900.63370372474924</v>
      </c>
      <c r="CL211" s="15">
        <f t="shared" si="282"/>
        <v>5.3012674074494988E-6</v>
      </c>
      <c r="CM211" s="16">
        <f t="shared" si="283"/>
        <v>26.246287592834616</v>
      </c>
      <c r="CN211" s="17">
        <f t="shared" si="284"/>
        <v>1.3267447725416185E-2</v>
      </c>
      <c r="CO211" s="18">
        <f t="shared" si="285"/>
        <v>0.21014876791587839</v>
      </c>
      <c r="CP211" s="19">
        <f t="shared" si="316"/>
        <v>853.01201823861504</v>
      </c>
      <c r="CQ211" s="15">
        <f t="shared" si="286"/>
        <v>5.2060240364772304E-6</v>
      </c>
      <c r="CR211" s="16">
        <f t="shared" si="287"/>
        <v>25.698638209744072</v>
      </c>
      <c r="CS211" s="17">
        <f t="shared" si="288"/>
        <v>1.302908275559948E-2</v>
      </c>
      <c r="CT211" s="18">
        <f t="shared" si="289"/>
        <v>0.21462713140607809</v>
      </c>
      <c r="CU211" s="19">
        <f t="shared" si="317"/>
        <v>775.0360555767495</v>
      </c>
      <c r="CV211" s="15">
        <f t="shared" si="290"/>
        <v>5.0500721111534996E-6</v>
      </c>
      <c r="CW211" s="16">
        <f t="shared" si="291"/>
        <v>24.801914639132619</v>
      </c>
      <c r="CX211" s="17">
        <f t="shared" si="292"/>
        <v>1.2638782878629858E-2</v>
      </c>
      <c r="CY211" s="18">
        <f t="shared" si="293"/>
        <v>0.22238706487995938</v>
      </c>
      <c r="CZ211" s="20">
        <f t="shared" si="318"/>
        <v>659.20889111233919</v>
      </c>
      <c r="DA211" s="15">
        <f t="shared" si="294"/>
        <v>4.8184177822246787E-6</v>
      </c>
      <c r="DB211" s="16">
        <f t="shared" si="295"/>
        <v>32.060854664668369</v>
      </c>
      <c r="DC211" s="17">
        <f t="shared" si="296"/>
        <v>1.205902308475291E-2</v>
      </c>
      <c r="DD211" s="18">
        <f t="shared" si="297"/>
        <v>0.17203611874010072</v>
      </c>
    </row>
    <row r="212" spans="2:108" x14ac:dyDescent="0.25">
      <c r="B212">
        <v>193</v>
      </c>
      <c r="C212">
        <f t="shared" si="298"/>
        <v>0.18867963060463352</v>
      </c>
      <c r="D212" s="19">
        <f t="shared" ref="D212:D246" si="321">D211+(4*$H$7*(I211-D211))</f>
        <v>1016.8275103007777</v>
      </c>
      <c r="E212" s="15">
        <f t="shared" ref="E212:E246" si="322">IF($D212&gt;=650,((0.00002*$D212)+0.035)/10000,IF($D212&lt;650,((-0.0000000000003*($D212^4))+(0.0000000004*($D212^3))-(0.0000002*($D212^2))-(0.0001*$D212)+0.1409)/10000))</f>
        <v>5.5336550206015568E-6</v>
      </c>
      <c r="F212" s="16">
        <f t="shared" ref="F212:F246" si="323">IF($D212&lt;650,(53.495-(0.029*D212)),IF(D212&lt;700,((0.00000000000000006*(D212^2))-(0.2008*D212) + 164.43),IF(D212&lt;1250,((0.0115*D212)+ 15.889))))</f>
        <v>27.582516368458943</v>
      </c>
      <c r="G212" s="17">
        <f t="shared" si="319"/>
        <v>1.3849042704985897E-2</v>
      </c>
      <c r="H212" s="18">
        <f t="shared" ref="H212:H246" si="324">($C$8*$D$6)/F212</f>
        <v>0.19996815831884024</v>
      </c>
      <c r="I212" s="19">
        <f t="shared" si="299"/>
        <v>1016.5028228901798</v>
      </c>
      <c r="J212" s="15">
        <f t="shared" ref="J212:J246" si="325">IF($I212&gt;=650,((0.00002*$I212)+0.035)/10000,IF($I212&lt;650,((-0.0000000000003*($I212^4))+(0.0000000004*($I212^3))-(0.0000002*($I212^2))-(0.0001*$I212)+0.1409)/10000))</f>
        <v>5.5330056457803607E-6</v>
      </c>
      <c r="K212" s="16">
        <f t="shared" ref="K212:K246" si="326">IF($I212&lt;650,(53.495-(0.029*I212)),IF(I212&lt;700,((0.00000000000000006*(I212^2))-(0.2008*I212) + 164.43),IF(I212&lt;1250,((0.0115*I212)+ 15.889))))</f>
        <v>27.578782463237069</v>
      </c>
      <c r="L212" s="17">
        <f t="shared" ref="L212:L246" si="327">($J212*$M$8)/($D$6^2)</f>
        <v>1.3847417518812057E-2</v>
      </c>
      <c r="M212" s="18">
        <f t="shared" ref="M212:M246" si="328">($C$8*$D$6)/K212</f>
        <v>0.19999523210832135</v>
      </c>
      <c r="N212" s="19">
        <f t="shared" si="300"/>
        <v>1015.5965850022835</v>
      </c>
      <c r="O212" s="15">
        <f t="shared" ref="O212:O246" si="329">IF($N212&gt;=650,((0.00002*$N212)+0.035)/10000,IF($N212&lt;650,((-0.0000000000003*($N212^4))+(0.0000000004*($N212^3))-(0.0000002*($N212^2))-(0.0001*$N212)+0.1409)/10000))</f>
        <v>5.5311931700045673E-6</v>
      </c>
      <c r="P212" s="16">
        <f t="shared" ref="P212:P246" si="330">IF($N212&lt;650,(53.495-(0.029*$N212)),IF($N212&lt;700,((0.00000000000000006*($N212^2))-(0.2008*$N212) + 164.43),IF($N212&lt;1250,((0.0115*$N212)+ 15.889))))</f>
        <v>27.568360727526262</v>
      </c>
      <c r="Q212" s="17">
        <f t="shared" si="320"/>
        <v>1.3849042704985897E-2</v>
      </c>
      <c r="R212" s="18">
        <f t="shared" ref="R212:R246" si="331">($C$8*$D$6)/P212</f>
        <v>0.20007083680143511</v>
      </c>
      <c r="S212" s="19">
        <f t="shared" si="301"/>
        <v>1014.0948866784112</v>
      </c>
      <c r="T212" s="15">
        <f t="shared" ref="T212:T246" si="332">IF($S212&gt;=650,((0.00002*$S212)+0.035)/10000,IF($S212&lt;650,((-0.0000000000003*($S212^4))+(0.0000000004*($S212^3))-(0.0000002*($S212^2))-(0.0001*$S212)+0.1409)/10000))</f>
        <v>5.5281897733568227E-6</v>
      </c>
      <c r="U212" s="16">
        <f t="shared" ref="U212:U246" si="333">IF($S212&lt;650,(53.495-(0.029*$S212)),IF($S212&lt;700,((0.00000000000000006*($S212^2))-(0.2008*$S212) + 164.43),IF($S212&lt;1250,((0.0115*$S212)+ 15.889))))</f>
        <v>27.551091196801728</v>
      </c>
      <c r="V212" s="17">
        <f t="shared" ref="V212:V246" si="334">($T212*$M$8)/($D$6^2)</f>
        <v>1.383536486598006E-2</v>
      </c>
      <c r="W212" s="18">
        <f t="shared" ref="W212:W246" si="335">($C$8*$D$6)/U212</f>
        <v>0.20019624488195523</v>
      </c>
      <c r="X212" s="19">
        <f t="shared" si="302"/>
        <v>1011.9958640211742</v>
      </c>
      <c r="Y212" s="15">
        <f t="shared" ref="Y212:Y246" si="336">IF($X212&gt;=650,((0.00002*$X212)+0.035)/10000,IF($X212&lt;650,((-0.0000000000003*($X212^4))+(0.0000000004*($X212^3))-(0.0000002*($X212^2))-(0.0001*$X212)+0.1409)/10000))</f>
        <v>5.5239917280423487E-6</v>
      </c>
      <c r="Z212" s="16">
        <f t="shared" ref="Z212:Z246" si="337">IF($X212&lt;650,(53.495-(0.029*$X212)),IF($X212&lt;700,((0.00000000000000006*($X212^2))-(0.2008*$X212) + 164.43),IF($X212&lt;1250,((0.0115*$X212)+ 15.889))))</f>
        <v>27.526952436243501</v>
      </c>
      <c r="AA212" s="17">
        <f t="shared" ref="AA212:AA246" si="338">($Y212*$M$8)/($D$6^2)</f>
        <v>1.3824858445066366E-2</v>
      </c>
      <c r="AB212" s="18">
        <f t="shared" ref="AB212:AB246" si="339">($C$8*$D$6)/Z212</f>
        <v>0.20037179970339994</v>
      </c>
      <c r="AC212" s="19">
        <f t="shared" si="303"/>
        <v>1009.2980661680372</v>
      </c>
      <c r="AD212" s="15">
        <f t="shared" ref="AD212:AD246" si="340">IF(AC212&gt;=650,((0.00002*AC212)+0.035)/10000,IF(AC212&lt;650,((-0.0000000000003*(AC212^4))+(0.0000000004*(AC212^3))-(0.0000002*(AC212^2))-(0.0001*AC212)+0.1409)/10000))</f>
        <v>5.5185961323360747E-6</v>
      </c>
      <c r="AE212" s="16">
        <f t="shared" ref="AE212:AE246" si="341">IF(AC212&lt;650,(53.495-(0.029*AC212)),IF(AC212&lt;700,((0.00000000000000006*(AC212^2))-(0.2008*AC212) + 164.43),IF(AC212&lt;1250,((0.0115*AC212)+ 15.889))))</f>
        <v>27.495927760932425</v>
      </c>
      <c r="AF212" s="17">
        <f t="shared" ref="AF212:AF246" si="342">(AD212*$M$8)/($D$6^2)</f>
        <v>1.3811354922516292E-2</v>
      </c>
      <c r="AG212" s="18">
        <f t="shared" ref="AG212:AG246" si="343">($C$8*$D$6)/AE212</f>
        <v>0.2005978866382124</v>
      </c>
      <c r="AH212" s="19">
        <f t="shared" si="304"/>
        <v>1006.0011420598445</v>
      </c>
      <c r="AI212" s="15">
        <f t="shared" ref="AI212:AI246" si="344">IF(AH212&gt;=650,((0.00002*AH212)+0.035)/10000,IF(AH212&lt;650,((-0.0000000000003*(AH212^4))+(0.0000000004*(AH212^3))-(0.0000002*(AH212^2))-(0.0001*AH212)+0.1409)/10000))</f>
        <v>5.5120022841196893E-6</v>
      </c>
      <c r="AJ212" s="16">
        <f t="shared" ref="AJ212:AJ246" si="345">IF(AH212&lt;650,(53.495-(0.029*AH212)),IF(AH212&lt;700,((0.00000000000000006*(AH212^2))-(0.2008*AH212) + 164.43),IF(AH212&lt;1250,((0.0115*AH212)+ 15.889))))</f>
        <v>27.458013133688212</v>
      </c>
      <c r="AK212" s="17">
        <f t="shared" ref="AK212:AK246" si="346">(AI212*$M$8)/($D$6^2)</f>
        <v>1.3794852541142872E-2</v>
      </c>
      <c r="AL212" s="18">
        <f t="shared" ref="AL212:AL246" si="347">($C$8*$D$6)/AJ212</f>
        <v>0.20087487660324863</v>
      </c>
      <c r="AM212" s="19">
        <f t="shared" si="305"/>
        <v>1002.1049348750992</v>
      </c>
      <c r="AN212" s="15">
        <f t="shared" ref="AN212:AN246" si="348">IF(AM212&gt;=650,((0.00002*AM212)+0.035)/10000,IF(AM212&lt;650,((-0.0000000000003*(AM212^4))+(0.0000000004*(AM212^3))-(0.0000002*(AM212^2))-(0.0001*AM212)+0.1409)/10000))</f>
        <v>5.5042098697501983E-6</v>
      </c>
      <c r="AO212" s="16">
        <f t="shared" ref="AO212:AO246" si="349">IF(AM212&lt;650,(53.495-(0.029*AM212)),IF(AM212&lt;700,((0.00000000000000006*(AM212^2))-(0.2008*AM212) + 164.43),IF(AM212&lt;1250,((0.0115*AM212)+ 15.889))))</f>
        <v>27.41320675106364</v>
      </c>
      <c r="AP212" s="17">
        <f t="shared" ref="AP212:AP246" si="350">(AN212*$M$8)/($D$6^2)</f>
        <v>1.3775350515993805E-2</v>
      </c>
      <c r="AQ212" s="18">
        <f t="shared" ref="AQ212:AQ246" si="351">($C$8*$D$6)/AO212</f>
        <v>0.20120320289730395</v>
      </c>
      <c r="AR212" s="19">
        <f t="shared" si="306"/>
        <v>997.60927782820715</v>
      </c>
      <c r="AS212" s="15">
        <f t="shared" ref="AS212:AS246" si="352">IF(AR212&gt;=650,((0.00002*AR212)+0.035)/10000,IF(AR212&lt;650,((-0.0000000000003*(AR212^4))+(0.0000000004*(AR212^3))-(0.0000002*(AR212^2))-(0.0001*AR212)+0.1409)/10000))</f>
        <v>5.495218555656415E-6</v>
      </c>
      <c r="AT212" s="16">
        <f t="shared" ref="AT212:AT246" si="353">IF(AR212&lt;650,(53.495-(0.029*AR212)),IF(AR212&lt;700,((0.00000000000000006*(AR212^2))-(0.2008*AR212) + 164.43),IF(AR212&lt;1250,((0.0115*AR212)+ 15.889))))</f>
        <v>27.361506695024381</v>
      </c>
      <c r="AU212" s="17">
        <f t="shared" ref="AU212:AU246" si="354">(AS212*$M$8)/($D$6^2)</f>
        <v>1.3752848012242637E-2</v>
      </c>
      <c r="AV212" s="18">
        <f t="shared" ref="AV212:AV246" si="355">($C$8*$D$6)/AT212</f>
        <v>0.20158337994606862</v>
      </c>
      <c r="AW212" s="19">
        <f t="shared" si="307"/>
        <v>992.51355343619889</v>
      </c>
      <c r="AX212" s="15">
        <f t="shared" ref="AX212:AX246" si="356">IF(AW212&gt;=650,((0.00002*AW212)+0.035)/10000,IF(AW212&lt;650,((-0.0000000000003*(AW212^4))+(0.0000000004*(AW212^3))-(0.0000002*(AW212^2))-(0.0001*AW212)+0.1409)/10000))</f>
        <v>5.4850271068723981E-6</v>
      </c>
      <c r="AY212" s="16">
        <f t="shared" ref="AY212:AY246" si="357">IF(AW212&lt;650,(53.495-(0.029*AW212)),IF(AW212&lt;700,((0.00000000000000006*(AW212^2))-(0.2008*AW212) + 164.43),IF(AW212&lt;1250,((0.0115*AW212)+ 15.889))))</f>
        <v>27.302905864516287</v>
      </c>
      <c r="AZ212" s="17">
        <f t="shared" ref="AZ212:AZ246" si="358">(AX212*$M$8)/($D$6^2)</f>
        <v>1.3727341939148081E-2</v>
      </c>
      <c r="BA212" s="18">
        <f t="shared" ref="BA212:BA246" si="359">($C$8*$D$6)/AY212</f>
        <v>0.20201604281133603</v>
      </c>
      <c r="BB212" s="19">
        <f t="shared" si="308"/>
        <v>986.81501270202477</v>
      </c>
      <c r="BC212" s="15">
        <f t="shared" ref="BC212:BC246" si="360">IF(BB212&gt;=650,((0.00002*BB212)+0.035)/10000,IF(BB212&lt;650,((-0.0000000000003*(BB212^4))+(0.0000000004*(BB212^3))-(0.0000002*(BB212^2))-(0.0001*BB212)+0.1409)/10000))</f>
        <v>5.4736300254040495E-6</v>
      </c>
      <c r="BD212" s="16">
        <f t="shared" ref="BD212:BD246" si="361">IF(BB212&lt;650,(53.495-(0.029*BB212)),IF(BB212&lt;700,((0.00000000000000006*(BB212^2))-(0.2008*BB212) + 164.43),IF(BB212&lt;1250,((0.0115*BB212)+ 15.889))))</f>
        <v>27.237372646073283</v>
      </c>
      <c r="BE212" s="17">
        <f t="shared" ref="BE212:BE246" si="362">(BC212*$M$8)/($D$6^2)</f>
        <v>1.3698818536915788E-2</v>
      </c>
      <c r="BF212" s="18">
        <f t="shared" ref="BF212:BF246" si="363">($C$8*$D$6)/BD212</f>
        <v>0.20250209415096315</v>
      </c>
      <c r="BG212" s="19">
        <f t="shared" si="309"/>
        <v>980.50221448419973</v>
      </c>
      <c r="BH212" s="15">
        <f t="shared" ref="BH212:BH246" si="364">IF(BG212&gt;=650,((0.00002*BG212)+0.035)/10000,IF(BG212&lt;650,((-0.0000000000003*(BG212^4))+(0.0000000004*(BG212^3))-(0.0000002*(BG212^2))-(0.0001*BG212)+0.1409)/10000))</f>
        <v>5.4610044289683995E-6</v>
      </c>
      <c r="BI212" s="16">
        <f t="shared" ref="BI212:BI246" si="365">IF(BG212&lt;650,(53.495-(0.029*BG212)),IF(BG212&lt;700,((0.00000000000000006*(BG212^2))-(0.2008*BG212) + 164.43),IF(BG212&lt;1250,((0.0115*BG212)+ 15.889))))</f>
        <v>27.164775466568294</v>
      </c>
      <c r="BJ212" s="17">
        <f t="shared" ref="BJ212:BJ246" si="366">(BH212*$M$8)/($D$6^2)</f>
        <v>1.3667220538203859E-2</v>
      </c>
      <c r="BK212" s="18">
        <f t="shared" ref="BK212:BK246" si="367">($C$8*$D$6)/BI212</f>
        <v>0.20304327590662707</v>
      </c>
      <c r="BL212" s="19">
        <f t="shared" si="310"/>
        <v>973.5316826775454</v>
      </c>
      <c r="BM212" s="15">
        <f t="shared" ref="BM212:BM246" si="368">IF(BL212&gt;=650,((0.00002*BL212)+0.035)/10000,IF(BL212&lt;650,((-0.0000000000003*(BL212^4))+(0.0000000004*(BL212^3))-(0.0000002*(BL212^2))-(0.0001*BL212)+0.1409)/10000))</f>
        <v>5.4470633653550913E-6</v>
      </c>
      <c r="BN212" s="16">
        <f t="shared" ref="BN212:BN246" si="369">IF(BL212&lt;650,(53.495-(0.029*BL212)),IF(BL212&lt;700,((0.00000000000000006*(BL212^2))-(0.2008*BL212) + 164.43),IF(BL212&lt;1250,((0.0115*BL212)+ 15.889))))</f>
        <v>27.084614350791771</v>
      </c>
      <c r="BO212" s="17">
        <f t="shared" ref="BO212:BO246" si="370">(BM212*$M$8)/($D$6^2)</f>
        <v>1.3632330328276633E-2</v>
      </c>
      <c r="BP212" s="18">
        <f t="shared" ref="BP212:BP246" si="371">($C$8*$D$6)/BN212</f>
        <v>0.20364421396455146</v>
      </c>
      <c r="BQ212" s="19">
        <f t="shared" si="311"/>
        <v>965.75412709830437</v>
      </c>
      <c r="BR212" s="15">
        <f t="shared" ref="BR212:BR246" si="372">IF(BQ212&gt;=650,((0.00002*BQ212)+0.035)/10000,IF(BQ212&lt;650,((-0.0000000000003*(BQ212^4))+(0.0000000004*(BQ212^3))-(0.0000002*(BQ212^2))-(0.0001*BQ212)+0.1409)/10000))</f>
        <v>5.4315082541966091E-6</v>
      </c>
      <c r="BS212" s="16">
        <f t="shared" ref="BS212:BS246" si="373">IF(BQ212&lt;650,(53.495-(0.029*BQ212)),IF(BQ212&lt;700,((0.00000000000000006*(BQ212^2))-(0.2008*BQ212) + 164.43),IF(BQ212&lt;1250,((0.0115*BQ212)+ 15.889))))</f>
        <v>26.995172461630499</v>
      </c>
      <c r="BT212" s="17">
        <f t="shared" ref="BT212:BT246" si="374">(BR212*$M$8)/($D$6^2)</f>
        <v>1.3593400651975417E-2</v>
      </c>
      <c r="BU212" s="18">
        <f t="shared" ref="BU212:BU246" si="375">($C$8*$D$6)/BS212</f>
        <v>0.20431893916734986</v>
      </c>
      <c r="BV212" s="19">
        <f t="shared" si="312"/>
        <v>956.71175795549732</v>
      </c>
      <c r="BW212" s="15">
        <f t="shared" ref="BW212:BW246" si="376">IF(BV212&gt;=650,((0.00002*BV212)+0.035)/10000,IF(BV212&lt;650,((-0.0000000000003*(BV212^4))+(0.0000000004*(BV212^3))-(0.0000002*(BV212^2))-(0.0001*BV212)+0.1409)/10000))</f>
        <v>5.4134235159109954E-6</v>
      </c>
      <c r="BX212" s="16">
        <f t="shared" ref="BX212:BX246" si="377">IF(BV212&lt;650,(53.495-(0.029*BV212)),IF(BV212&lt;700,((0.00000000000000006*(BV212^2))-(0.2008*BV212) + 164.43),IF(BV212&lt;1250,((0.0115*BV212)+ 15.889))))</f>
        <v>26.891185216488218</v>
      </c>
      <c r="BY212" s="17">
        <f t="shared" ref="BY212:BY246" si="378">(BW212*$M$8)/($D$6^2)</f>
        <v>1.3548140094189736E-2</v>
      </c>
      <c r="BZ212" s="18">
        <f t="shared" ref="BZ212:BZ246" si="379">($C$8*$D$6)/BX212</f>
        <v>0.20510903314957341</v>
      </c>
      <c r="CA212" s="19">
        <f t="shared" si="313"/>
        <v>945.16950336554919</v>
      </c>
      <c r="CB212" s="15">
        <f t="shared" ref="CB212:CB246" si="380">IF(CA212&gt;=650,((0.00002*CA212)+0.035)/10000,IF(CA212&lt;650,((-0.0000000000003*(CA212^4))+(0.0000000004*(CA212^3))-(0.0000002*(CA212^2))-(0.0001*CA212)+0.1409)/10000))</f>
        <v>5.3903390067310988E-6</v>
      </c>
      <c r="CC212" s="16">
        <f t="shared" ref="CC212:CC246" si="381">IF(CA212&lt;650,(53.495-(0.029*CA212)),IF(CA212&lt;700,((0.00000000000000006*(CA212^2))-(0.2008*CA212) + 164.43),IF(CA212&lt;1250,((0.0115*CA212)+ 15.889))))</f>
        <v>26.758449288703815</v>
      </c>
      <c r="CD212" s="17">
        <f t="shared" ref="CD212:CD246" si="382">(CB212*$M$8)/($D$6^2)</f>
        <v>1.3490366642056236E-2</v>
      </c>
      <c r="CE212" s="18">
        <f t="shared" ref="CE212:CE246" si="383">($C$8*$D$6)/CC212</f>
        <v>0.20612648141491677</v>
      </c>
      <c r="CF212" s="19">
        <f t="shared" si="314"/>
        <v>928.25223169448304</v>
      </c>
      <c r="CG212" s="15">
        <f t="shared" ref="CG212:CG246" si="384">IF(CF212&gt;=650,((0.00002*CF212)+0.035)/10000,IF(CF212&lt;650,((-0.0000000000003*(CF212^4))+(0.0000000004*(CF212^3))-(0.0000002*(CF212^2))-(0.0001*CF212)+0.1409)/10000))</f>
        <v>5.3565044633889669E-6</v>
      </c>
      <c r="CH212" s="16">
        <f t="shared" ref="CH212:CH246" si="385">IF(CF212&lt;650,(53.495-(0.029*CF212)),IF(CF212&lt;700,((0.00000000000000006*(CF212^2))-(0.2008*CF212) + 164.43),IF(CF212&lt;1250,((0.0115*CF212)+ 15.889))))</f>
        <v>26.563900664486553</v>
      </c>
      <c r="CI212" s="17">
        <f t="shared" ref="CI212:CI246" si="386">(CG212*$M$8)/($D$6^2)</f>
        <v>1.3405689148807309E-2</v>
      </c>
      <c r="CJ212" s="18">
        <f t="shared" ref="CJ212:CJ246" si="387">($C$8*$D$6)/CH212</f>
        <v>0.20763610998492679</v>
      </c>
      <c r="CK212" s="19">
        <f t="shared" si="315"/>
        <v>900.33804818626106</v>
      </c>
      <c r="CL212" s="15">
        <f t="shared" ref="CL212:CL246" si="388">IF(CK212&gt;=650,((0.00002*CK212)+0.035)/10000,IF(CK212&lt;650,((-0.0000000000003*(CK212^4))+(0.0000000004*(CK212^3))-(0.0000002*(CK212^2))-(0.0001*CK212)+0.1409)/10000))</f>
        <v>5.3006760963725222E-6</v>
      </c>
      <c r="CM212" s="16">
        <f t="shared" ref="CM212:CM246" si="389">IF(CK212&lt;650,(53.495-(0.029*CK212)),IF(CK212&lt;700,((0.00000000000000006*(CK212^2))-(0.2008*CK212) + 164.43),IF(CK212&lt;1250,((0.0115*CK212)+ 15.889))))</f>
        <v>26.242887554142001</v>
      </c>
      <c r="CN212" s="17">
        <f t="shared" ref="CN212:CN246" si="390">(CL212*$M$8)/($D$6^2)</f>
        <v>1.3265967855000251E-2</v>
      </c>
      <c r="CO212" s="18">
        <f t="shared" ref="CO212:CO246" si="391">($C$8*$D$6)/CM212</f>
        <v>0.21017599487177815</v>
      </c>
      <c r="CP212" s="19">
        <f t="shared" si="316"/>
        <v>852.56305675214571</v>
      </c>
      <c r="CQ212" s="15">
        <f t="shared" ref="CQ212:CQ246" si="392">IF(CP212&gt;=650,((0.00002*CP212)+0.035)/10000,IF(CP212&lt;650,((-0.0000000000003*(CP212^4))+(0.0000000004*(CP212^3))-(0.0000002*(CP212^2))-(0.0001*CP212)+0.1409)/10000))</f>
        <v>5.2051261135042926E-6</v>
      </c>
      <c r="CR212" s="16">
        <f t="shared" ref="CR212:CR246" si="393">IF(CP212&lt;650,(53.495-(0.029*CP212)),IF(CP212&lt;700,((0.00000000000000006*(CP212^2))-(0.2008*CP212) + 164.43),IF(CP212&lt;1250,((0.0115*CP212)+ 15.889))))</f>
        <v>25.693475152649675</v>
      </c>
      <c r="CS212" s="17">
        <f t="shared" ref="CS212:CS246" si="394">(CQ212*$M$8)/($D$6^2)</f>
        <v>1.3026835529570444E-2</v>
      </c>
      <c r="CT212" s="18">
        <f t="shared" ref="CT212:CT246" si="395">($C$8*$D$6)/CR212</f>
        <v>0.21467026033771822</v>
      </c>
      <c r="CU212" s="19">
        <f t="shared" si="317"/>
        <v>774.47653626305566</v>
      </c>
      <c r="CV212" s="15">
        <f t="shared" ref="CV212:CV246" si="396">IF(CU212&gt;=650,((0.00002*CU212)+0.035)/10000,IF(CU212&lt;650,((-0.0000000000003*(CU212^4))+(0.0000000004*(CU212^3))-(0.0000002*(CU212^2))-(0.0001*CU212)+0.1409)/10000))</f>
        <v>5.0489530725261119E-6</v>
      </c>
      <c r="CW212" s="16">
        <f t="shared" ref="CW212:CW246" si="397">IF(CU212&lt;650,(53.495-(0.029*CU212)),IF(CU212&lt;700,((0.00000000000000006*(CU212^2))-(0.2008*CU212) + 164.43),IF(CU212&lt;1250,((0.0115*CU212)+ 15.889))))</f>
        <v>24.79548016702514</v>
      </c>
      <c r="CX212" s="17">
        <f t="shared" ref="CX212:CX246" si="398">(CV212*$M$8)/($D$6^2)</f>
        <v>1.2635982267879544E-2</v>
      </c>
      <c r="CY212" s="18">
        <f t="shared" ref="CY212:CY246" si="399">($C$8*$D$6)/CW212</f>
        <v>0.2224447747269313</v>
      </c>
      <c r="CZ212" s="20">
        <f t="shared" si="318"/>
        <v>658.65992394333682</v>
      </c>
      <c r="DA212" s="15">
        <f t="shared" ref="DA212:DA246" si="400">IF(CZ212&gt;=650,((0.00002*CZ212)+0.035)/10000,IF(CZ212&lt;650,((-0.0000000000003*(CZ212^4))+(0.0000000004*(CZ212^3))-(0.0000002*(CZ212^2))-(0.0001*CZ212)+0.1409)/10000))</f>
        <v>4.8173198478866742E-6</v>
      </c>
      <c r="DB212" s="16">
        <f t="shared" ref="DB212:DB246" si="401">IF(CZ212&lt;650,(53.495-(0.029*CZ212)),IF(CZ212&lt;700,((0.00000000000000006*(CZ212^2))-(0.2008*CZ212) + 164.43),IF(CZ212&lt;1250,((0.0115*CZ212)+ 15.889))))</f>
        <v>32.171087272204005</v>
      </c>
      <c r="DC212" s="17">
        <f t="shared" ref="DC212:DC246" si="402">(DA212*$M$8)/($D$6^2)</f>
        <v>1.2056275291571425E-2</v>
      </c>
      <c r="DD212" s="18">
        <f t="shared" ref="DD212:DD246" si="403">($C$8*$D$6)/DB212</f>
        <v>0.17144664565830606</v>
      </c>
    </row>
    <row r="213" spans="2:108" x14ac:dyDescent="0.25">
      <c r="B213">
        <v>194</v>
      </c>
      <c r="C213">
        <f t="shared" ref="C213:C246" si="404">$B213*$M$8</f>
        <v>0.18965724527097877</v>
      </c>
      <c r="D213" s="19">
        <f t="shared" si="321"/>
        <v>1016.8109334018045</v>
      </c>
      <c r="E213" s="15">
        <f t="shared" si="322"/>
        <v>5.5336218668036091E-6</v>
      </c>
      <c r="F213" s="16">
        <f t="shared" si="323"/>
        <v>27.582325734120751</v>
      </c>
      <c r="G213" s="17">
        <f t="shared" si="319"/>
        <v>1.3848959731189754E-2</v>
      </c>
      <c r="H213" s="18">
        <f t="shared" si="324"/>
        <v>0.19996954039219722</v>
      </c>
      <c r="I213" s="19">
        <f t="shared" ref="I213:I246" si="405">I212+(G213*(D212+N212-(2*I212))+((G213/(2*$I$18))*(N212-D212)))</f>
        <v>1016.4862455035926</v>
      </c>
      <c r="J213" s="15">
        <f t="shared" si="325"/>
        <v>5.5329724910071859E-6</v>
      </c>
      <c r="K213" s="16">
        <f t="shared" si="326"/>
        <v>27.578591823291312</v>
      </c>
      <c r="L213" s="17">
        <f t="shared" si="327"/>
        <v>1.3847334542575217E-2</v>
      </c>
      <c r="M213" s="18">
        <f t="shared" si="328"/>
        <v>0.19999661459660956</v>
      </c>
      <c r="N213" s="19">
        <f t="shared" ref="N213:N246" si="406">N212+(L213*(I212+S212-(2*N212))+((L213/(2*N$18))*(S212-I212)))</f>
        <v>1015.5800035878493</v>
      </c>
      <c r="O213" s="15">
        <f t="shared" si="329"/>
        <v>5.5311600071756992E-6</v>
      </c>
      <c r="P213" s="16">
        <f t="shared" si="330"/>
        <v>27.568170041260267</v>
      </c>
      <c r="Q213" s="17">
        <f t="shared" si="320"/>
        <v>1.3848959731189754E-2</v>
      </c>
      <c r="R213" s="18">
        <f t="shared" si="331"/>
        <v>0.20007222067133823</v>
      </c>
      <c r="S213" s="19">
        <f t="shared" ref="S213:S246" si="407">S212+(Q213*(N212+X212-(2*S212))+((Q213/(2*S$18))*(X212-N212)))</f>
        <v>1014.0783033177935</v>
      </c>
      <c r="T213" s="15">
        <f t="shared" si="332"/>
        <v>5.5281566066355875E-6</v>
      </c>
      <c r="U213" s="16">
        <f t="shared" si="333"/>
        <v>27.550900488154625</v>
      </c>
      <c r="V213" s="17">
        <f t="shared" si="334"/>
        <v>1.3835281859840887E-2</v>
      </c>
      <c r="W213" s="18">
        <f t="shared" si="335"/>
        <v>0.20019763064990984</v>
      </c>
      <c r="X213" s="19">
        <f t="shared" ref="X213:X246" si="408">X212+(V213*(S212+AC212-(2*X212))+((V213/(2*X$18))*(AC212-S212)))</f>
        <v>1011.9792841270942</v>
      </c>
      <c r="Y213" s="15">
        <f t="shared" si="336"/>
        <v>5.5239585682541891E-6</v>
      </c>
      <c r="Z213" s="16">
        <f t="shared" si="337"/>
        <v>27.526761767461583</v>
      </c>
      <c r="AA213" s="17">
        <f t="shared" si="338"/>
        <v>1.3824775456278558E-2</v>
      </c>
      <c r="AB213" s="18">
        <f t="shared" si="339"/>
        <v>0.20037318761263906</v>
      </c>
      <c r="AC213" s="19">
        <f t="shared" ref="AC213:AC246" si="409">AC212+(AA213*(X212+AH212-(2*AC212))+((AA213/(2*AC$18))*(AH212-X212)))</f>
        <v>1009.2814958135873</v>
      </c>
      <c r="AD213" s="15">
        <f t="shared" si="340"/>
        <v>5.5185629916271755E-6</v>
      </c>
      <c r="AE213" s="16">
        <f t="shared" si="341"/>
        <v>27.495737201856251</v>
      </c>
      <c r="AF213" s="17">
        <f t="shared" si="342"/>
        <v>1.3811271981478026E-2</v>
      </c>
      <c r="AG213" s="18">
        <f t="shared" si="343"/>
        <v>0.20059927688091364</v>
      </c>
      <c r="AH213" s="19">
        <f t="shared" ref="AH213:AH246" si="410">AH212+(AF213*(AC212+AM212-(2*AH212))+((AF213/(2*AH$18))*(AM212-AC212)))</f>
        <v>1005.9845863405566</v>
      </c>
      <c r="AI213" s="15">
        <f t="shared" si="344"/>
        <v>5.5119691726811139E-6</v>
      </c>
      <c r="AJ213" s="16">
        <f t="shared" si="345"/>
        <v>27.457822742916399</v>
      </c>
      <c r="AK213" s="17">
        <f t="shared" si="346"/>
        <v>1.3794769673359254E-2</v>
      </c>
      <c r="AL213" s="18">
        <f t="shared" si="347"/>
        <v>0.20087626945668616</v>
      </c>
      <c r="AM213" s="19">
        <f t="shared" ref="AM213:AM246" si="411">AM212+(AK213*(AH212+AR212-(2*AM212))+((AK213/(2*AM$18))*(AR212-AH212)))</f>
        <v>1002.0883967570197</v>
      </c>
      <c r="AN213" s="15">
        <f t="shared" si="348"/>
        <v>5.5041767935140403E-6</v>
      </c>
      <c r="AO213" s="16">
        <f t="shared" si="349"/>
        <v>27.413016562705728</v>
      </c>
      <c r="AP213" s="17">
        <f t="shared" si="350"/>
        <v>1.3775267736311051E-2</v>
      </c>
      <c r="AQ213" s="18">
        <f t="shared" si="351"/>
        <v>0.20120459882199826</v>
      </c>
      <c r="AR213" s="19">
        <f t="shared" ref="AR213:AR246" si="412">AR212+(AP213*(AM212+AW212-(2*AR212))+((AP213/(2*AR$18))*(AW212-AM212)))</f>
        <v>997.59275399941328</v>
      </c>
      <c r="AS213" s="15">
        <f t="shared" si="352"/>
        <v>5.4951855079988276E-6</v>
      </c>
      <c r="AT213" s="16">
        <f t="shared" si="353"/>
        <v>27.361316670993254</v>
      </c>
      <c r="AU213" s="17">
        <f t="shared" si="354"/>
        <v>1.3752765304083288E-2</v>
      </c>
      <c r="AV213" s="18">
        <f t="shared" si="355"/>
        <v>0.20158477994033519</v>
      </c>
      <c r="AW213" s="19">
        <f t="shared" ref="AW213:AW246" si="413">AW212+(AU213*(AR212+BB212-(2*AW212))+((AU213/(2*AW$18))*(BB212-AR212)))</f>
        <v>992.49701576702864</v>
      </c>
      <c r="AX213" s="15">
        <f t="shared" si="356"/>
        <v>5.4849940315340569E-6</v>
      </c>
      <c r="AY213" s="16">
        <f t="shared" si="357"/>
        <v>27.302715681320826</v>
      </c>
      <c r="AZ213" s="17">
        <f t="shared" si="358"/>
        <v>1.3727259161712286E-2</v>
      </c>
      <c r="BA213" s="18">
        <f t="shared" si="359"/>
        <v>0.20201744999943427</v>
      </c>
      <c r="BB213" s="19">
        <f t="shared" ref="BB213:BB246" si="414">BB212+(AZ213*(AW212+BG212-(2*BB212))+((AZ213/(2*BB$18))*(BG212-AW212)))</f>
        <v>986.79833649222098</v>
      </c>
      <c r="BC213" s="15">
        <f t="shared" si="360"/>
        <v>5.4735966729844422E-6</v>
      </c>
      <c r="BD213" s="16">
        <f t="shared" si="361"/>
        <v>27.237180869660541</v>
      </c>
      <c r="BE213" s="17">
        <f t="shared" si="362"/>
        <v>1.3698735066030499E-2</v>
      </c>
      <c r="BF213" s="18">
        <f t="shared" si="363"/>
        <v>0.20250351996391253</v>
      </c>
      <c r="BG213" s="19">
        <f t="shared" ref="BG213:BG246" si="415">BG212+(BE213*(BB212+BL212-(2*BG212))+((BE213/(2*BG$18))*(BL212-BB212)))</f>
        <v>980.48493323789501</v>
      </c>
      <c r="BH213" s="15">
        <f t="shared" si="364"/>
        <v>5.4609698664757907E-6</v>
      </c>
      <c r="BI213" s="16">
        <f t="shared" si="365"/>
        <v>27.164576732235794</v>
      </c>
      <c r="BJ213" s="17">
        <f t="shared" si="366"/>
        <v>1.3667134038876679E-2</v>
      </c>
      <c r="BK213" s="18">
        <f t="shared" si="367"/>
        <v>0.20304476135844557</v>
      </c>
      <c r="BL213" s="19">
        <f t="shared" ref="BL213:BL246" si="416">BL212+(BJ213*(BG212+BQ212-(2*BL212))+((BJ213/(2*BL$18))*(BQ212-BG212)))</f>
        <v>973.51225447184288</v>
      </c>
      <c r="BM213" s="15">
        <f t="shared" si="368"/>
        <v>5.4470245089436863E-6</v>
      </c>
      <c r="BN213" s="16">
        <f t="shared" si="369"/>
        <v>27.084390926426192</v>
      </c>
      <c r="BO213" s="17">
        <f t="shared" si="370"/>
        <v>1.3632233082586594E-2</v>
      </c>
      <c r="BP213" s="18">
        <f t="shared" si="371"/>
        <v>0.20364589386495727</v>
      </c>
      <c r="BQ213" s="19">
        <f t="shared" ref="BQ213:BQ246" si="417">BQ212+(BO213*(BL212+BV212-(2*BQ212))+((BO213/(2*BQ$18))*(BV212-BL212)))</f>
        <v>965.72806589829815</v>
      </c>
      <c r="BR213" s="15">
        <f t="shared" si="372"/>
        <v>5.431456131796597E-6</v>
      </c>
      <c r="BS213" s="16">
        <f t="shared" si="373"/>
        <v>26.994872757830429</v>
      </c>
      <c r="BT213" s="17">
        <f t="shared" si="374"/>
        <v>1.3593270205581312E-2</v>
      </c>
      <c r="BU213" s="18">
        <f t="shared" si="375"/>
        <v>0.2043212075670954</v>
      </c>
      <c r="BV213" s="19">
        <f t="shared" ref="BV213:BV246" si="418">BV212+(BT213*(BQ212+CA212-(2*BV212))+((BT213/(2*BV$18))*(CA212-BQ212)))</f>
        <v>956.66778303882847</v>
      </c>
      <c r="BW213" s="15">
        <f t="shared" si="376"/>
        <v>5.4133355660776576E-6</v>
      </c>
      <c r="BX213" s="16">
        <f t="shared" si="377"/>
        <v>26.890679504946526</v>
      </c>
      <c r="BY213" s="17">
        <f t="shared" si="378"/>
        <v>1.3547919982709484E-2</v>
      </c>
      <c r="BZ213" s="18">
        <f t="shared" si="379"/>
        <v>0.20511289047141423</v>
      </c>
      <c r="CA213" s="19">
        <f t="shared" ref="CA213:CA246" si="419">CA212+(BY213*(BV212+CF212-(2*CA212))+((BY213/(2*CA$18))*(CF212-BV212)))</f>
        <v>945.08383081807756</v>
      </c>
      <c r="CB213" s="15">
        <f t="shared" si="380"/>
        <v>5.3901676616361556E-6</v>
      </c>
      <c r="CC213" s="16">
        <f t="shared" si="381"/>
        <v>26.75746405440789</v>
      </c>
      <c r="CD213" s="17">
        <f t="shared" si="382"/>
        <v>1.3489937817793009E-2</v>
      </c>
      <c r="CE213" s="18">
        <f t="shared" si="383"/>
        <v>0.20613407118046315</v>
      </c>
      <c r="CF213" s="19">
        <f t="shared" ref="CF213:CF246" si="420">CF212+(CD213*(CA212+CK212-(2*CF212))+((CD213/(2*CF$18))*(CK212-CA212)))</f>
        <v>928.0849848644043</v>
      </c>
      <c r="CG213" s="15">
        <f t="shared" si="384"/>
        <v>5.3561699697288095E-6</v>
      </c>
      <c r="CH213" s="16">
        <f t="shared" si="385"/>
        <v>26.561977325940649</v>
      </c>
      <c r="CI213" s="17">
        <f t="shared" si="386"/>
        <v>1.3404852013682906E-2</v>
      </c>
      <c r="CJ213" s="18">
        <f t="shared" si="387"/>
        <v>0.20765114480439656</v>
      </c>
      <c r="CK213" s="19">
        <f t="shared" ref="CK213:CK246" si="421">CK212+(CI213*(CF212+CP212-(2*CK212))+((CI213/(2*CK$18))*(CP212-CF212)))</f>
        <v>900.0419757542852</v>
      </c>
      <c r="CL213" s="15">
        <f t="shared" si="388"/>
        <v>5.3000839515085706E-6</v>
      </c>
      <c r="CM213" s="16">
        <f t="shared" si="389"/>
        <v>26.239482721174276</v>
      </c>
      <c r="CN213" s="17">
        <f t="shared" si="390"/>
        <v>1.3264485897871036E-2</v>
      </c>
      <c r="CO213" s="18">
        <f t="shared" si="391"/>
        <v>0.21020326729036842</v>
      </c>
      <c r="CP213" s="19">
        <f t="shared" ref="CP213:CP246" si="422">CP212+(CN213*(CK212+CU212-(2*CP212))+((CN213/(2*CP$18))*(CU212-CK212)))</f>
        <v>852.11461522884224</v>
      </c>
      <c r="CQ213" s="15">
        <f t="shared" si="392"/>
        <v>5.2042292304576854E-6</v>
      </c>
      <c r="CR213" s="16">
        <f t="shared" si="393"/>
        <v>25.688318075131683</v>
      </c>
      <c r="CS213" s="17">
        <f t="shared" si="394"/>
        <v>1.3024590906158321E-2</v>
      </c>
      <c r="CT213" s="18">
        <f t="shared" si="395"/>
        <v>0.21471335662647217</v>
      </c>
      <c r="CU213" s="19">
        <f t="shared" ref="CU213:CU246" si="423">CU212+(CS213*(CP212+CZ212-(2*CU212))+((CS213/(2*CU$18))*(CZ212-CP212)))</f>
        <v>773.91865648947157</v>
      </c>
      <c r="CV213" s="15">
        <f t="shared" si="396"/>
        <v>5.0478373129789439E-6</v>
      </c>
      <c r="CW213" s="16">
        <f t="shared" si="397"/>
        <v>24.789064549628922</v>
      </c>
      <c r="CX213" s="17">
        <f t="shared" si="398"/>
        <v>1.2633189863662133E-2</v>
      </c>
      <c r="CY213" s="18">
        <f t="shared" si="399"/>
        <v>0.22250234529654997</v>
      </c>
      <c r="CZ213" s="20">
        <f t="shared" ref="CZ213:CZ246" si="424">CZ212+((2*$CX213)*(CU212-CZ212))+((2*$CX213*$CY213)*($C$14-CZ212))+((($CX213*$CY213)/$C$5)*($C$14-CZ212))+(((CZ212-$C$14)*$CX213*($D$6^2))/($CW213*($D$4/(2*$C$8))))</f>
        <v>658.11292106241842</v>
      </c>
      <c r="DA213" s="15">
        <f t="shared" si="400"/>
        <v>4.8162258421248366E-6</v>
      </c>
      <c r="DB213" s="16">
        <f t="shared" si="401"/>
        <v>32.280925450692365</v>
      </c>
      <c r="DC213" s="17">
        <f t="shared" si="402"/>
        <v>1.2053537330412159E-2</v>
      </c>
      <c r="DD213" s="18">
        <f t="shared" si="403"/>
        <v>0.17086328607353171</v>
      </c>
    </row>
    <row r="214" spans="2:108" x14ac:dyDescent="0.25">
      <c r="B214">
        <v>195</v>
      </c>
      <c r="C214">
        <f t="shared" si="404"/>
        <v>0.19063485993732404</v>
      </c>
      <c r="D214" s="19">
        <f t="shared" si="321"/>
        <v>1016.7943564779363</v>
      </c>
      <c r="E214" s="15">
        <f t="shared" si="322"/>
        <v>5.5335887129558728E-6</v>
      </c>
      <c r="F214" s="16">
        <f t="shared" si="323"/>
        <v>27.582135099496266</v>
      </c>
      <c r="G214" s="17">
        <f t="shared" si="319"/>
        <v>1.3848876757269004E-2</v>
      </c>
      <c r="H214" s="18">
        <f t="shared" si="324"/>
        <v>0.19997092248673426</v>
      </c>
      <c r="I214" s="19">
        <f t="shared" si="405"/>
        <v>1016.4696681360309</v>
      </c>
      <c r="J214" s="15">
        <f t="shared" si="325"/>
        <v>5.5329393362720623E-6</v>
      </c>
      <c r="K214" s="16">
        <f t="shared" si="326"/>
        <v>27.578401183564353</v>
      </c>
      <c r="L214" s="17">
        <f t="shared" si="327"/>
        <v>1.3847251566433611E-2</v>
      </c>
      <c r="M214" s="18">
        <f t="shared" si="328"/>
        <v>0.19999799710242436</v>
      </c>
      <c r="N214" s="19">
        <f t="shared" si="406"/>
        <v>1015.5634222809188</v>
      </c>
      <c r="O214" s="15">
        <f t="shared" si="329"/>
        <v>5.5311268445618376E-6</v>
      </c>
      <c r="P214" s="16">
        <f t="shared" si="330"/>
        <v>27.567979356230566</v>
      </c>
      <c r="Q214" s="17">
        <f t="shared" si="320"/>
        <v>1.3848876757269004E-2</v>
      </c>
      <c r="R214" s="18">
        <f t="shared" si="331"/>
        <v>0.20007360455141332</v>
      </c>
      <c r="S214" s="19">
        <f t="shared" si="407"/>
        <v>1014.0617201350018</v>
      </c>
      <c r="T214" s="15">
        <f t="shared" si="332"/>
        <v>5.5281234402700036E-6</v>
      </c>
      <c r="U214" s="16">
        <f t="shared" si="333"/>
        <v>27.55070978155252</v>
      </c>
      <c r="V214" s="17">
        <f t="shared" si="334"/>
        <v>1.3835198854591804E-2</v>
      </c>
      <c r="W214" s="18">
        <f t="shared" si="335"/>
        <v>0.20019901642218915</v>
      </c>
      <c r="X214" s="19">
        <f t="shared" si="408"/>
        <v>1011.9627044390012</v>
      </c>
      <c r="Y214" s="15">
        <f t="shared" si="336"/>
        <v>5.5239254088780026E-6</v>
      </c>
      <c r="Z214" s="16">
        <f t="shared" si="337"/>
        <v>27.526571101048511</v>
      </c>
      <c r="AA214" s="17">
        <f t="shared" si="338"/>
        <v>1.3824692468521792E-2</v>
      </c>
      <c r="AB214" s="18">
        <f t="shared" si="339"/>
        <v>0.20037457552386193</v>
      </c>
      <c r="AC214" s="19">
        <f t="shared" si="409"/>
        <v>1009.2649256624715</v>
      </c>
      <c r="AD214" s="15">
        <f t="shared" si="340"/>
        <v>5.5185298513249436E-6</v>
      </c>
      <c r="AE214" s="16">
        <f t="shared" si="341"/>
        <v>27.49554664511842</v>
      </c>
      <c r="AF214" s="17">
        <f t="shared" si="342"/>
        <v>1.3811189041457523E-2</v>
      </c>
      <c r="AG214" s="18">
        <f t="shared" si="343"/>
        <v>0.20060066712582519</v>
      </c>
      <c r="AH214" s="19">
        <f t="shared" si="410"/>
        <v>1005.9680307987562</v>
      </c>
      <c r="AI214" s="15">
        <f t="shared" si="344"/>
        <v>5.5119360615975122E-6</v>
      </c>
      <c r="AJ214" s="16">
        <f t="shared" si="345"/>
        <v>27.457632354185698</v>
      </c>
      <c r="AK214" s="17">
        <f t="shared" si="346"/>
        <v>1.3794686806464028E-2</v>
      </c>
      <c r="AL214" s="18">
        <f t="shared" si="347"/>
        <v>0.20087766231450713</v>
      </c>
      <c r="AM214" s="19">
        <f t="shared" si="411"/>
        <v>1002.0718587240227</v>
      </c>
      <c r="AN214" s="15">
        <f t="shared" si="348"/>
        <v>5.5041437174480453E-6</v>
      </c>
      <c r="AO214" s="16">
        <f t="shared" si="349"/>
        <v>27.412826375326262</v>
      </c>
      <c r="AP214" s="17">
        <f t="shared" si="350"/>
        <v>1.3775184957054164E-2</v>
      </c>
      <c r="AQ214" s="18">
        <f t="shared" si="351"/>
        <v>0.20120599475888062</v>
      </c>
      <c r="AR214" s="19">
        <f t="shared" si="412"/>
        <v>997.57622988281059</v>
      </c>
      <c r="AS214" s="15">
        <f t="shared" si="352"/>
        <v>5.495152459765622E-6</v>
      </c>
      <c r="AT214" s="16">
        <f t="shared" si="353"/>
        <v>27.36112664365232</v>
      </c>
      <c r="AU214" s="17">
        <f t="shared" si="354"/>
        <v>1.3752682594483345E-2</v>
      </c>
      <c r="AV214" s="18">
        <f t="shared" si="355"/>
        <v>0.20158617997843317</v>
      </c>
      <c r="AW214" s="19">
        <f t="shared" si="413"/>
        <v>992.48047636592855</v>
      </c>
      <c r="AX214" s="15">
        <f t="shared" si="356"/>
        <v>5.4849609527318575E-6</v>
      </c>
      <c r="AY214" s="16">
        <f t="shared" si="357"/>
        <v>27.302525478208178</v>
      </c>
      <c r="AZ214" s="17">
        <f t="shared" si="358"/>
        <v>1.372717637560752E-2</v>
      </c>
      <c r="BA214" s="18">
        <f t="shared" si="359"/>
        <v>0.20201885735450953</v>
      </c>
      <c r="BB214" s="19">
        <f t="shared" si="414"/>
        <v>986.78165346895605</v>
      </c>
      <c r="BC214" s="15">
        <f t="shared" si="360"/>
        <v>5.4735633069379129E-6</v>
      </c>
      <c r="BD214" s="16">
        <f t="shared" si="361"/>
        <v>27.236989014892991</v>
      </c>
      <c r="BE214" s="17">
        <f t="shared" si="362"/>
        <v>1.3698651561041201E-2</v>
      </c>
      <c r="BF214" s="18">
        <f t="shared" si="363"/>
        <v>0.20250494637950237</v>
      </c>
      <c r="BG214" s="19">
        <f t="shared" si="415"/>
        <v>980.46762926109488</v>
      </c>
      <c r="BH214" s="15">
        <f t="shared" si="364"/>
        <v>5.4609352585221902E-6</v>
      </c>
      <c r="BI214" s="16">
        <f t="shared" si="365"/>
        <v>27.16437773650259</v>
      </c>
      <c r="BJ214" s="17">
        <f t="shared" si="366"/>
        <v>1.3667047425774567E-2</v>
      </c>
      <c r="BK214" s="18">
        <f t="shared" si="367"/>
        <v>0.2030462487858975</v>
      </c>
      <c r="BL214" s="19">
        <f t="shared" si="416"/>
        <v>973.49276007857634</v>
      </c>
      <c r="BM214" s="15">
        <f t="shared" si="368"/>
        <v>5.4469855201571531E-6</v>
      </c>
      <c r="BN214" s="16">
        <f t="shared" si="369"/>
        <v>27.084166740903626</v>
      </c>
      <c r="BO214" s="17">
        <f t="shared" si="370"/>
        <v>1.3632135505602177E-2</v>
      </c>
      <c r="BP214" s="18">
        <f t="shared" si="371"/>
        <v>0.2036475795162668</v>
      </c>
      <c r="BQ214" s="19">
        <f t="shared" si="417"/>
        <v>965.70183823434013</v>
      </c>
      <c r="BR214" s="15">
        <f t="shared" si="372"/>
        <v>5.4314036764686807E-6</v>
      </c>
      <c r="BS214" s="16">
        <f t="shared" si="373"/>
        <v>26.994571139694912</v>
      </c>
      <c r="BT214" s="17">
        <f t="shared" si="374"/>
        <v>1.359313892597069E-2</v>
      </c>
      <c r="BU214" s="18">
        <f t="shared" si="375"/>
        <v>0.2043234905069263</v>
      </c>
      <c r="BV214" s="19">
        <f t="shared" si="418"/>
        <v>956.62345630933078</v>
      </c>
      <c r="BW214" s="15">
        <f t="shared" si="376"/>
        <v>5.4132469126186619E-6</v>
      </c>
      <c r="BX214" s="16">
        <f t="shared" si="377"/>
        <v>26.890169747557302</v>
      </c>
      <c r="BY214" s="17">
        <f t="shared" si="378"/>
        <v>1.3547698110269839E-2</v>
      </c>
      <c r="BZ214" s="18">
        <f t="shared" si="379"/>
        <v>0.20511677879984519</v>
      </c>
      <c r="CA214" s="19">
        <f t="shared" si="419"/>
        <v>944.99756376845755</v>
      </c>
      <c r="CB214" s="15">
        <f t="shared" si="380"/>
        <v>5.3899951275369163E-6</v>
      </c>
      <c r="CC214" s="16">
        <f t="shared" si="381"/>
        <v>26.756471983337264</v>
      </c>
      <c r="CD214" s="17">
        <f t="shared" si="382"/>
        <v>1.3489506017816405E-2</v>
      </c>
      <c r="CE214" s="18">
        <f t="shared" si="383"/>
        <v>0.20614171417797103</v>
      </c>
      <c r="CF214" s="19">
        <f t="shared" si="420"/>
        <v>927.91701729732688</v>
      </c>
      <c r="CG214" s="15">
        <f t="shared" si="384"/>
        <v>5.3558340345946544E-6</v>
      </c>
      <c r="CH214" s="16">
        <f t="shared" si="385"/>
        <v>26.560045698919261</v>
      </c>
      <c r="CI214" s="17">
        <f t="shared" si="386"/>
        <v>1.3404011270990834E-2</v>
      </c>
      <c r="CJ214" s="18">
        <f t="shared" si="387"/>
        <v>0.20766624660681338</v>
      </c>
      <c r="CK214" s="19">
        <f t="shared" si="421"/>
        <v>899.74549545759623</v>
      </c>
      <c r="CL214" s="15">
        <f t="shared" si="388"/>
        <v>5.2994909909151924E-6</v>
      </c>
      <c r="CM214" s="16">
        <f t="shared" si="389"/>
        <v>26.236073197762355</v>
      </c>
      <c r="CN214" s="17">
        <f t="shared" si="390"/>
        <v>1.3263001899221047E-2</v>
      </c>
      <c r="CO214" s="18">
        <f t="shared" si="391"/>
        <v>0.21023058437229933</v>
      </c>
      <c r="CP214" s="19">
        <f t="shared" si="422"/>
        <v>851.66669681371786</v>
      </c>
      <c r="CQ214" s="15">
        <f t="shared" si="392"/>
        <v>5.2033333936274364E-6</v>
      </c>
      <c r="CR214" s="16">
        <f t="shared" si="393"/>
        <v>25.683167013357753</v>
      </c>
      <c r="CS214" s="17">
        <f t="shared" si="394"/>
        <v>1.3022348901105129E-2</v>
      </c>
      <c r="CT214" s="18">
        <f t="shared" si="395"/>
        <v>0.2147564199201499</v>
      </c>
      <c r="CU214" s="19">
        <f t="shared" si="423"/>
        <v>773.36240575669819</v>
      </c>
      <c r="CV214" s="15">
        <f t="shared" si="396"/>
        <v>5.0467248115133975E-6</v>
      </c>
      <c r="CW214" s="16">
        <f t="shared" si="397"/>
        <v>24.78266766620203</v>
      </c>
      <c r="CX214" s="17">
        <f t="shared" si="398"/>
        <v>1.2630405613424567E-2</v>
      </c>
      <c r="CY214" s="18">
        <f t="shared" si="399"/>
        <v>0.22255977743356775</v>
      </c>
      <c r="CZ214" s="20">
        <f t="shared" si="424"/>
        <v>657.56786604773777</v>
      </c>
      <c r="DA214" s="15">
        <f t="shared" si="400"/>
        <v>4.8151357320954762E-6</v>
      </c>
      <c r="DB214" s="16">
        <f t="shared" si="401"/>
        <v>32.390372497640215</v>
      </c>
      <c r="DC214" s="17">
        <f t="shared" si="402"/>
        <v>1.2050809119077419E-2</v>
      </c>
      <c r="DD214" s="18">
        <f t="shared" si="403"/>
        <v>0.17028593914447382</v>
      </c>
    </row>
    <row r="215" spans="2:108" x14ac:dyDescent="0.25">
      <c r="B215">
        <v>196</v>
      </c>
      <c r="C215">
        <f t="shared" si="404"/>
        <v>0.19161247460366929</v>
      </c>
      <c r="D215" s="19">
        <f t="shared" si="321"/>
        <v>1016.7777795314153</v>
      </c>
      <c r="E215" s="15">
        <f t="shared" si="322"/>
        <v>5.5335555590628313E-6</v>
      </c>
      <c r="F215" s="16">
        <f t="shared" si="323"/>
        <v>27.581944464611276</v>
      </c>
      <c r="G215" s="17">
        <f t="shared" si="319"/>
        <v>1.3848793783234869E-2</v>
      </c>
      <c r="H215" s="18">
        <f t="shared" si="324"/>
        <v>0.19997230460226489</v>
      </c>
      <c r="I215" s="19">
        <f t="shared" si="405"/>
        <v>1016.4530907890298</v>
      </c>
      <c r="J215" s="15">
        <f t="shared" si="325"/>
        <v>5.5329061815780605E-6</v>
      </c>
      <c r="K215" s="16">
        <f t="shared" si="326"/>
        <v>27.578210544073841</v>
      </c>
      <c r="L215" s="17">
        <f t="shared" si="327"/>
        <v>1.3847168590394917E-2</v>
      </c>
      <c r="M215" s="18">
        <f t="shared" si="328"/>
        <v>0.19999937962563813</v>
      </c>
      <c r="N215" s="19">
        <f t="shared" si="406"/>
        <v>1015.54684108179</v>
      </c>
      <c r="O215" s="15">
        <f t="shared" si="329"/>
        <v>5.5310936821635807E-6</v>
      </c>
      <c r="P215" s="16">
        <f t="shared" si="330"/>
        <v>27.567788672440585</v>
      </c>
      <c r="Q215" s="17">
        <f t="shared" si="320"/>
        <v>1.3848793783234869E-2</v>
      </c>
      <c r="R215" s="18">
        <f t="shared" si="331"/>
        <v>0.20007498844163549</v>
      </c>
      <c r="S215" s="19">
        <f t="shared" si="407"/>
        <v>1014.0451371296787</v>
      </c>
      <c r="T215" s="15">
        <f t="shared" si="332"/>
        <v>5.5280902742593578E-6</v>
      </c>
      <c r="U215" s="16">
        <f t="shared" si="333"/>
        <v>27.550519076991304</v>
      </c>
      <c r="V215" s="17">
        <f t="shared" si="334"/>
        <v>1.383511585023102E-2</v>
      </c>
      <c r="W215" s="18">
        <f t="shared" si="335"/>
        <v>0.20020040219882282</v>
      </c>
      <c r="X215" s="19">
        <f t="shared" si="408"/>
        <v>1011.9461249565106</v>
      </c>
      <c r="Y215" s="15">
        <f t="shared" si="336"/>
        <v>5.5238922499130218E-6</v>
      </c>
      <c r="Z215" s="16">
        <f t="shared" si="337"/>
        <v>27.526380436999872</v>
      </c>
      <c r="AA215" s="17">
        <f t="shared" si="338"/>
        <v>1.3824609481794148E-2</v>
      </c>
      <c r="AB215" s="18">
        <f t="shared" si="339"/>
        <v>0.20037596343710032</v>
      </c>
      <c r="AC215" s="19">
        <f t="shared" si="409"/>
        <v>1009.2483557143271</v>
      </c>
      <c r="AD215" s="15">
        <f t="shared" si="340"/>
        <v>5.5184967114286548E-6</v>
      </c>
      <c r="AE215" s="16">
        <f t="shared" si="341"/>
        <v>27.495356090714761</v>
      </c>
      <c r="AF215" s="17">
        <f t="shared" si="342"/>
        <v>1.381110610245297E-2</v>
      </c>
      <c r="AG215" s="18">
        <f t="shared" si="343"/>
        <v>0.20060205737297718</v>
      </c>
      <c r="AH215" s="19">
        <f t="shared" si="410"/>
        <v>1005.951475433386</v>
      </c>
      <c r="AI215" s="15">
        <f t="shared" si="344"/>
        <v>5.5119029508667726E-6</v>
      </c>
      <c r="AJ215" s="16">
        <f t="shared" si="345"/>
        <v>27.457441967483938</v>
      </c>
      <c r="AK215" s="17">
        <f t="shared" si="346"/>
        <v>1.3794603940451908E-2</v>
      </c>
      <c r="AL215" s="18">
        <f t="shared" si="347"/>
        <v>0.20087905517680038</v>
      </c>
      <c r="AM215" s="19">
        <f t="shared" si="411"/>
        <v>1002.0553207717795</v>
      </c>
      <c r="AN215" s="15">
        <f t="shared" si="348"/>
        <v>5.5041106415435592E-6</v>
      </c>
      <c r="AO215" s="16">
        <f t="shared" si="349"/>
        <v>27.412636188875464</v>
      </c>
      <c r="AP215" s="17">
        <f t="shared" si="350"/>
        <v>1.3775102178201484E-2</v>
      </c>
      <c r="AQ215" s="18">
        <f t="shared" si="351"/>
        <v>0.20120739070831645</v>
      </c>
      <c r="AR215" s="19">
        <f t="shared" si="412"/>
        <v>997.55970546208277</v>
      </c>
      <c r="AS215" s="15">
        <f t="shared" si="352"/>
        <v>5.4951194109241663E-6</v>
      </c>
      <c r="AT215" s="16">
        <f t="shared" si="353"/>
        <v>27.360936612813951</v>
      </c>
      <c r="AU215" s="17">
        <f t="shared" si="354"/>
        <v>1.3752599883361135E-2</v>
      </c>
      <c r="AV215" s="18">
        <f t="shared" si="355"/>
        <v>0.20158758006174637</v>
      </c>
      <c r="AW215" s="19">
        <f t="shared" si="413"/>
        <v>992.46393517791284</v>
      </c>
      <c r="AX215" s="15">
        <f t="shared" si="356"/>
        <v>5.4849278703558261E-6</v>
      </c>
      <c r="AY215" s="16">
        <f t="shared" si="357"/>
        <v>27.302335254545994</v>
      </c>
      <c r="AZ215" s="17">
        <f t="shared" si="358"/>
        <v>1.3727093580558545E-2</v>
      </c>
      <c r="BA215" s="18">
        <f t="shared" si="359"/>
        <v>0.20202026488124736</v>
      </c>
      <c r="BB215" s="19">
        <f t="shared" si="414"/>
        <v>986.76496346917179</v>
      </c>
      <c r="BC215" s="15">
        <f t="shared" si="360"/>
        <v>5.4735299269383436E-6</v>
      </c>
      <c r="BD215" s="16">
        <f t="shared" si="361"/>
        <v>27.236797079895474</v>
      </c>
      <c r="BE215" s="17">
        <f t="shared" si="362"/>
        <v>1.3698568021131717E-2</v>
      </c>
      <c r="BF215" s="18">
        <f t="shared" si="363"/>
        <v>0.20250637341169953</v>
      </c>
      <c r="BG215" s="19">
        <f t="shared" si="415"/>
        <v>980.45030213989298</v>
      </c>
      <c r="BH215" s="15">
        <f t="shared" si="364"/>
        <v>5.4609006042797866E-6</v>
      </c>
      <c r="BI215" s="16">
        <f t="shared" si="365"/>
        <v>27.164178474608768</v>
      </c>
      <c r="BJ215" s="17">
        <f t="shared" si="366"/>
        <v>1.3666960696825768E-2</v>
      </c>
      <c r="BK215" s="18">
        <f t="shared" si="367"/>
        <v>0.20304773822464878</v>
      </c>
      <c r="BL215" s="19">
        <f t="shared" si="416"/>
        <v>973.47319864035455</v>
      </c>
      <c r="BM215" s="15">
        <f t="shared" si="368"/>
        <v>5.4469463972807092E-6</v>
      </c>
      <c r="BN215" s="16">
        <f t="shared" si="369"/>
        <v>27.083941784364079</v>
      </c>
      <c r="BO215" s="17">
        <f t="shared" si="370"/>
        <v>1.3632037593031807E-2</v>
      </c>
      <c r="BP215" s="18">
        <f t="shared" si="371"/>
        <v>0.20364927099290414</v>
      </c>
      <c r="BQ215" s="19">
        <f t="shared" si="417"/>
        <v>965.67544279999834</v>
      </c>
      <c r="BR215" s="15">
        <f t="shared" si="372"/>
        <v>5.4313508855999973E-6</v>
      </c>
      <c r="BS215" s="16">
        <f t="shared" si="373"/>
        <v>26.994267592199982</v>
      </c>
      <c r="BT215" s="17">
        <f t="shared" si="374"/>
        <v>1.3593006806604357E-2</v>
      </c>
      <c r="BU215" s="18">
        <f t="shared" si="375"/>
        <v>0.20432578810153548</v>
      </c>
      <c r="BV215" s="19">
        <f t="shared" si="418"/>
        <v>956.57877678934153</v>
      </c>
      <c r="BW215" s="15">
        <f t="shared" si="376"/>
        <v>5.4131575535786834E-6</v>
      </c>
      <c r="BX215" s="16">
        <f t="shared" si="377"/>
        <v>26.889655933077428</v>
      </c>
      <c r="BY215" s="17">
        <f t="shared" si="378"/>
        <v>1.3547474471977222E-2</v>
      </c>
      <c r="BZ215" s="18">
        <f t="shared" si="379"/>
        <v>0.20512069822415002</v>
      </c>
      <c r="CA215" s="19">
        <f t="shared" si="419"/>
        <v>944.910703658594</v>
      </c>
      <c r="CB215" s="15">
        <f t="shared" si="380"/>
        <v>5.3898214073171883E-6</v>
      </c>
      <c r="CC215" s="16">
        <f t="shared" si="381"/>
        <v>26.755473092073828</v>
      </c>
      <c r="CD215" s="17">
        <f t="shared" si="382"/>
        <v>1.3489071249343711E-2</v>
      </c>
      <c r="CE215" s="18">
        <f t="shared" si="383"/>
        <v>0.20614941029145831</v>
      </c>
      <c r="CF215" s="19">
        <f t="shared" si="420"/>
        <v>927.74833507867936</v>
      </c>
      <c r="CG215" s="15">
        <f t="shared" si="384"/>
        <v>5.355496670157359E-6</v>
      </c>
      <c r="CH215" s="16">
        <f t="shared" si="385"/>
        <v>26.558105853404811</v>
      </c>
      <c r="CI215" s="17">
        <f t="shared" si="386"/>
        <v>1.3403166951191019E-2</v>
      </c>
      <c r="CJ215" s="18">
        <f t="shared" si="387"/>
        <v>0.20768141487367722</v>
      </c>
      <c r="CK215" s="19">
        <f t="shared" si="421"/>
        <v>899.44861620376651</v>
      </c>
      <c r="CL215" s="15">
        <f t="shared" si="388"/>
        <v>5.2988972324075333E-6</v>
      </c>
      <c r="CM215" s="16">
        <f t="shared" si="389"/>
        <v>26.232659086343315</v>
      </c>
      <c r="CN215" s="17">
        <f t="shared" si="390"/>
        <v>1.3261515903636138E-2</v>
      </c>
      <c r="CO215" s="18">
        <f t="shared" si="391"/>
        <v>0.21025794532859335</v>
      </c>
      <c r="CP215" s="19">
        <f t="shared" si="422"/>
        <v>851.21930453888524</v>
      </c>
      <c r="CQ215" s="15">
        <f t="shared" si="392"/>
        <v>5.2024386090777713E-6</v>
      </c>
      <c r="CR215" s="16">
        <f t="shared" si="393"/>
        <v>25.678022002197181</v>
      </c>
      <c r="CS215" s="17">
        <f t="shared" si="394"/>
        <v>1.3020109529587761E-2</v>
      </c>
      <c r="CT215" s="18">
        <f t="shared" si="395"/>
        <v>0.21479944987694327</v>
      </c>
      <c r="CU215" s="19">
        <f t="shared" si="423"/>
        <v>772.80777366463906</v>
      </c>
      <c r="CV215" s="15">
        <f t="shared" si="396"/>
        <v>5.0456155473292783E-6</v>
      </c>
      <c r="CW215" s="16">
        <f t="shared" si="397"/>
        <v>24.776289397143348</v>
      </c>
      <c r="CX215" s="17">
        <f t="shared" si="398"/>
        <v>1.2627629465110339E-2</v>
      </c>
      <c r="CY215" s="18">
        <f t="shared" si="399"/>
        <v>0.22261707197510938</v>
      </c>
      <c r="CZ215" s="20">
        <f t="shared" si="424"/>
        <v>657.02474270594405</v>
      </c>
      <c r="DA215" s="15">
        <f t="shared" si="400"/>
        <v>4.8140494854118882E-6</v>
      </c>
      <c r="DB215" s="16">
        <f t="shared" si="401"/>
        <v>32.499431664672329</v>
      </c>
      <c r="DC215" s="17">
        <f t="shared" si="402"/>
        <v>1.2048090576513208E-2</v>
      </c>
      <c r="DD215" s="18">
        <f t="shared" si="403"/>
        <v>0.16971450629998611</v>
      </c>
    </row>
    <row r="216" spans="2:108" x14ac:dyDescent="0.25">
      <c r="B216">
        <v>197</v>
      </c>
      <c r="C216">
        <f t="shared" si="404"/>
        <v>0.19259008927001453</v>
      </c>
      <c r="D216" s="19">
        <f t="shared" si="321"/>
        <v>1016.7612025644478</v>
      </c>
      <c r="E216" s="15">
        <f t="shared" si="322"/>
        <v>5.5335224051288959E-6</v>
      </c>
      <c r="F216" s="16">
        <f t="shared" si="323"/>
        <v>27.581753829491149</v>
      </c>
      <c r="G216" s="17">
        <f t="shared" si="319"/>
        <v>1.3848710809098391E-2</v>
      </c>
      <c r="H216" s="18">
        <f t="shared" si="324"/>
        <v>0.19997368673860566</v>
      </c>
      <c r="I216" s="19">
        <f t="shared" si="405"/>
        <v>1016.4365134641034</v>
      </c>
      <c r="J216" s="15">
        <f t="shared" si="325"/>
        <v>5.5328730269282077E-6</v>
      </c>
      <c r="K216" s="16">
        <f t="shared" si="326"/>
        <v>27.578019904837188</v>
      </c>
      <c r="L216" s="17">
        <f t="shared" si="327"/>
        <v>1.3847085614466716E-2</v>
      </c>
      <c r="M216" s="18">
        <f t="shared" si="328"/>
        <v>0.20000076216612486</v>
      </c>
      <c r="N216" s="19">
        <f t="shared" si="406"/>
        <v>1015.5302599907626</v>
      </c>
      <c r="O216" s="15">
        <f t="shared" si="329"/>
        <v>5.5310605199815264E-6</v>
      </c>
      <c r="P216" s="16">
        <f t="shared" si="330"/>
        <v>27.56759798989377</v>
      </c>
      <c r="Q216" s="17">
        <f t="shared" si="320"/>
        <v>1.3848710809098391E-2</v>
      </c>
      <c r="R216" s="18">
        <f t="shared" si="331"/>
        <v>0.20007637234197981</v>
      </c>
      <c r="S216" s="19">
        <f t="shared" si="407"/>
        <v>1014.0285543014739</v>
      </c>
      <c r="T216" s="15">
        <f t="shared" si="332"/>
        <v>5.528057108602948E-6</v>
      </c>
      <c r="U216" s="16">
        <f t="shared" si="333"/>
        <v>27.55032837446695</v>
      </c>
      <c r="V216" s="17">
        <f t="shared" si="334"/>
        <v>1.3835032846756776E-2</v>
      </c>
      <c r="W216" s="18">
        <f t="shared" si="335"/>
        <v>0.20020178797983992</v>
      </c>
      <c r="X216" s="19">
        <f t="shared" si="408"/>
        <v>1011.9295456792386</v>
      </c>
      <c r="Y216" s="15">
        <f t="shared" si="336"/>
        <v>5.5238590913584784E-6</v>
      </c>
      <c r="Z216" s="16">
        <f t="shared" si="337"/>
        <v>27.526189775311245</v>
      </c>
      <c r="AA216" s="17">
        <f t="shared" si="338"/>
        <v>1.3824526496093703E-2</v>
      </c>
      <c r="AB216" s="18">
        <f t="shared" si="339"/>
        <v>0.20037735135238613</v>
      </c>
      <c r="AC216" s="19">
        <f t="shared" si="409"/>
        <v>1009.231785968781</v>
      </c>
      <c r="AD216" s="15">
        <f t="shared" si="340"/>
        <v>5.5184635719375628E-6</v>
      </c>
      <c r="AE216" s="16">
        <f t="shared" si="341"/>
        <v>27.495165538640983</v>
      </c>
      <c r="AF216" s="17">
        <f t="shared" si="342"/>
        <v>1.3811023164462503E-2</v>
      </c>
      <c r="AG216" s="18">
        <f t="shared" si="343"/>
        <v>0.20060344762240059</v>
      </c>
      <c r="AH216" s="19">
        <f t="shared" si="410"/>
        <v>1005.9349202433483</v>
      </c>
      <c r="AI216" s="15">
        <f t="shared" si="344"/>
        <v>5.5118698404866971E-6</v>
      </c>
      <c r="AJ216" s="16">
        <f t="shared" si="345"/>
        <v>27.457251582798506</v>
      </c>
      <c r="AK216" s="17">
        <f t="shared" si="346"/>
        <v>1.3794521075317392E-2</v>
      </c>
      <c r="AL216" s="18">
        <f t="shared" si="347"/>
        <v>0.20088044804365793</v>
      </c>
      <c r="AM216" s="19">
        <f t="shared" si="411"/>
        <v>1002.0387828958264</v>
      </c>
      <c r="AN216" s="15">
        <f t="shared" si="348"/>
        <v>5.5040775657916533E-6</v>
      </c>
      <c r="AO216" s="16">
        <f t="shared" si="349"/>
        <v>27.412446003302001</v>
      </c>
      <c r="AP216" s="17">
        <f t="shared" si="350"/>
        <v>1.3775019399730665E-2</v>
      </c>
      <c r="AQ216" s="18">
        <f t="shared" si="351"/>
        <v>0.20120878667068268</v>
      </c>
      <c r="AR216" s="19">
        <f t="shared" si="412"/>
        <v>997.54318072050239</v>
      </c>
      <c r="AS216" s="15">
        <f t="shared" si="352"/>
        <v>5.4950863614410053E-6</v>
      </c>
      <c r="AT216" s="16">
        <f t="shared" si="353"/>
        <v>27.360746578285777</v>
      </c>
      <c r="AU216" s="17">
        <f t="shared" si="354"/>
        <v>1.3752517170632935E-2</v>
      </c>
      <c r="AV216" s="18">
        <f t="shared" si="355"/>
        <v>0.20158898019169361</v>
      </c>
      <c r="AW216" s="19">
        <f t="shared" si="413"/>
        <v>992.44739214693016</v>
      </c>
      <c r="AX216" s="15">
        <f t="shared" si="356"/>
        <v>5.4848947842938606E-6</v>
      </c>
      <c r="AY216" s="16">
        <f t="shared" si="357"/>
        <v>27.302145009689696</v>
      </c>
      <c r="AZ216" s="17">
        <f t="shared" si="358"/>
        <v>1.3727010776284805E-2</v>
      </c>
      <c r="BA216" s="18">
        <f t="shared" si="359"/>
        <v>0.20202167258442411</v>
      </c>
      <c r="BB216" s="19">
        <f t="shared" si="414"/>
        <v>986.7482663276071</v>
      </c>
      <c r="BC216" s="15">
        <f t="shared" si="360"/>
        <v>5.4734965326552146E-6</v>
      </c>
      <c r="BD216" s="16">
        <f t="shared" si="361"/>
        <v>27.236605062767481</v>
      </c>
      <c r="BE216" s="17">
        <f t="shared" si="362"/>
        <v>1.3698484445474862E-2</v>
      </c>
      <c r="BF216" s="18">
        <f t="shared" si="363"/>
        <v>0.20250780107466021</v>
      </c>
      <c r="BG216" s="19">
        <f t="shared" si="415"/>
        <v>980.43295145732031</v>
      </c>
      <c r="BH216" s="15">
        <f t="shared" si="364"/>
        <v>5.4608659029146413E-6</v>
      </c>
      <c r="BI216" s="16">
        <f t="shared" si="365"/>
        <v>27.163978941759183</v>
      </c>
      <c r="BJ216" s="17">
        <f t="shared" si="366"/>
        <v>1.3666873849943185E-2</v>
      </c>
      <c r="BK216" s="18">
        <f t="shared" si="367"/>
        <v>0.20304922971063089</v>
      </c>
      <c r="BL216" s="19">
        <f t="shared" si="416"/>
        <v>973.45356929922343</v>
      </c>
      <c r="BM216" s="15">
        <f t="shared" si="368"/>
        <v>5.4469071385984471E-6</v>
      </c>
      <c r="BN216" s="16">
        <f t="shared" si="369"/>
        <v>27.08371604694107</v>
      </c>
      <c r="BO216" s="17">
        <f t="shared" si="370"/>
        <v>1.363193934058109E-2</v>
      </c>
      <c r="BP216" s="18">
        <f t="shared" si="371"/>
        <v>0.20365096836934804</v>
      </c>
      <c r="BQ216" s="19">
        <f t="shared" si="417"/>
        <v>965.64887829942995</v>
      </c>
      <c r="BR216" s="15">
        <f t="shared" si="372"/>
        <v>5.4312977565988598E-6</v>
      </c>
      <c r="BS216" s="16">
        <f t="shared" si="373"/>
        <v>26.993962100443444</v>
      </c>
      <c r="BT216" s="17">
        <f t="shared" si="374"/>
        <v>1.3592873840996113E-2</v>
      </c>
      <c r="BU216" s="18">
        <f t="shared" si="375"/>
        <v>0.20432810046471067</v>
      </c>
      <c r="BV216" s="19">
        <f t="shared" si="418"/>
        <v>956.53374353106824</v>
      </c>
      <c r="BW216" s="15">
        <f t="shared" si="376"/>
        <v>5.4130674870621369E-6</v>
      </c>
      <c r="BX216" s="16">
        <f t="shared" si="377"/>
        <v>26.889138050607286</v>
      </c>
      <c r="BY216" s="17">
        <f t="shared" si="378"/>
        <v>1.3547249063087564E-2</v>
      </c>
      <c r="BZ216" s="18">
        <f t="shared" si="379"/>
        <v>0.20512464883103348</v>
      </c>
      <c r="CA216" s="19">
        <f t="shared" si="419"/>
        <v>944.82325196390286</v>
      </c>
      <c r="CB216" s="15">
        <f t="shared" si="380"/>
        <v>5.3896465039278059E-6</v>
      </c>
      <c r="CC216" s="16">
        <f t="shared" si="381"/>
        <v>26.754467397584882</v>
      </c>
      <c r="CD216" s="17">
        <f t="shared" si="382"/>
        <v>1.3488633519759955E-2</v>
      </c>
      <c r="CE216" s="18">
        <f t="shared" si="383"/>
        <v>0.20615715940201798</v>
      </c>
      <c r="CF216" s="19">
        <f t="shared" si="420"/>
        <v>927.57894427227143</v>
      </c>
      <c r="CG216" s="15">
        <f t="shared" si="384"/>
        <v>5.3551578885445436E-6</v>
      </c>
      <c r="CH216" s="16">
        <f t="shared" si="385"/>
        <v>26.556157859131119</v>
      </c>
      <c r="CI216" s="17">
        <f t="shared" si="386"/>
        <v>1.3402319084635175E-2</v>
      </c>
      <c r="CJ216" s="18">
        <f t="shared" si="387"/>
        <v>0.20769664908824517</v>
      </c>
      <c r="CK216" s="19">
        <f t="shared" si="421"/>
        <v>899.15134678059997</v>
      </c>
      <c r="CL216" s="15">
        <f t="shared" si="388"/>
        <v>5.2983026935612009E-6</v>
      </c>
      <c r="CM216" s="16">
        <f t="shared" si="389"/>
        <v>26.229240487976899</v>
      </c>
      <c r="CN216" s="17">
        <f t="shared" si="390"/>
        <v>1.3260027955102669E-2</v>
      </c>
      <c r="CO216" s="18">
        <f t="shared" si="391"/>
        <v>0.21028534938052371</v>
      </c>
      <c r="CP216" s="19">
        <f t="shared" si="422"/>
        <v>850.77244132641295</v>
      </c>
      <c r="CQ216" s="15">
        <f t="shared" si="392"/>
        <v>5.201544882652827E-6</v>
      </c>
      <c r="CR216" s="16">
        <f t="shared" si="393"/>
        <v>25.67288307525375</v>
      </c>
      <c r="CS216" s="17">
        <f t="shared" si="394"/>
        <v>1.3017872806232303E-2</v>
      </c>
      <c r="CT216" s="18">
        <f t="shared" si="395"/>
        <v>0.21484244616517359</v>
      </c>
      <c r="CU216" s="19">
        <f t="shared" si="423"/>
        <v>772.25474991139311</v>
      </c>
      <c r="CV216" s="15">
        <f t="shared" si="396"/>
        <v>5.0445094998227862E-6</v>
      </c>
      <c r="CW216" s="16">
        <f t="shared" si="397"/>
        <v>24.769929623981021</v>
      </c>
      <c r="CX216" s="17">
        <f t="shared" si="398"/>
        <v>1.2624861367154443E-2</v>
      </c>
      <c r="CY216" s="18">
        <f t="shared" si="399"/>
        <v>0.22267422975073956</v>
      </c>
      <c r="CZ216" s="20">
        <f t="shared" si="424"/>
        <v>656.48353506766273</v>
      </c>
      <c r="DA216" s="15">
        <f t="shared" si="400"/>
        <v>4.8129670701353259E-6</v>
      </c>
      <c r="DB216" s="16">
        <f t="shared" si="401"/>
        <v>32.608106158439199</v>
      </c>
      <c r="DC216" s="17">
        <f t="shared" si="402"/>
        <v>1.2045381622786634E-2</v>
      </c>
      <c r="DD216" s="18">
        <f t="shared" si="403"/>
        <v>0.1691488911744885</v>
      </c>
    </row>
    <row r="217" spans="2:108" x14ac:dyDescent="0.25">
      <c r="B217">
        <v>198</v>
      </c>
      <c r="C217">
        <f t="shared" si="404"/>
        <v>0.1935677039363598</v>
      </c>
      <c r="D217" s="19">
        <f t="shared" si="321"/>
        <v>1016.7446255792047</v>
      </c>
      <c r="E217" s="15">
        <f t="shared" si="322"/>
        <v>5.5334892511584101E-6</v>
      </c>
      <c r="F217" s="16">
        <f t="shared" si="323"/>
        <v>27.581563194160854</v>
      </c>
      <c r="G217" s="17">
        <f t="shared" si="319"/>
        <v>1.3848627834870437E-2</v>
      </c>
      <c r="H217" s="18">
        <f t="shared" si="324"/>
        <v>0.19997506889557601</v>
      </c>
      <c r="I217" s="19">
        <f t="shared" si="405"/>
        <v>1016.4199361627452</v>
      </c>
      <c r="J217" s="15">
        <f t="shared" si="325"/>
        <v>5.5328398723254906E-6</v>
      </c>
      <c r="K217" s="16">
        <f t="shared" si="326"/>
        <v>27.577829265871571</v>
      </c>
      <c r="L217" s="17">
        <f t="shared" si="327"/>
        <v>1.3847002638656482E-2</v>
      </c>
      <c r="M217" s="18">
        <f t="shared" si="328"/>
        <v>0.20000214472376035</v>
      </c>
      <c r="N217" s="19">
        <f t="shared" si="406"/>
        <v>1015.5136790081375</v>
      </c>
      <c r="O217" s="15">
        <f t="shared" si="329"/>
        <v>5.5310273580162762E-6</v>
      </c>
      <c r="P217" s="16">
        <f t="shared" si="330"/>
        <v>27.56740730859358</v>
      </c>
      <c r="Q217" s="17">
        <f t="shared" si="320"/>
        <v>1.3848627834870437E-2</v>
      </c>
      <c r="R217" s="18">
        <f t="shared" si="331"/>
        <v>0.20007775625242116</v>
      </c>
      <c r="S217" s="19">
        <f t="shared" si="407"/>
        <v>1014.0119716500442</v>
      </c>
      <c r="T217" s="15">
        <f t="shared" si="332"/>
        <v>5.5280239433000898E-6</v>
      </c>
      <c r="U217" s="16">
        <f t="shared" si="333"/>
        <v>27.550137673975506</v>
      </c>
      <c r="V217" s="17">
        <f t="shared" si="334"/>
        <v>1.3834949844167367E-2</v>
      </c>
      <c r="W217" s="18">
        <f t="shared" si="335"/>
        <v>0.20020317376526892</v>
      </c>
      <c r="X217" s="19">
        <f t="shared" si="408"/>
        <v>1011.9129666068018</v>
      </c>
      <c r="Y217" s="15">
        <f t="shared" si="336"/>
        <v>5.5238259332136042E-6</v>
      </c>
      <c r="Z217" s="16">
        <f t="shared" si="337"/>
        <v>27.52599911597822</v>
      </c>
      <c r="AA217" s="17">
        <f t="shared" si="338"/>
        <v>1.3824443511418533E-2</v>
      </c>
      <c r="AB217" s="18">
        <f t="shared" si="339"/>
        <v>0.20037873926975114</v>
      </c>
      <c r="AC217" s="19">
        <f t="shared" si="409"/>
        <v>1009.2152164254485</v>
      </c>
      <c r="AD217" s="15">
        <f t="shared" si="340"/>
        <v>5.5184304328508969E-6</v>
      </c>
      <c r="AE217" s="16">
        <f t="shared" si="341"/>
        <v>27.494974988892658</v>
      </c>
      <c r="AF217" s="17">
        <f t="shared" si="342"/>
        <v>1.3810940227484188E-2</v>
      </c>
      <c r="AG217" s="18">
        <f t="shared" si="343"/>
        <v>0.20060483787412742</v>
      </c>
      <c r="AH217" s="19">
        <f t="shared" si="410"/>
        <v>1005.9183652275042</v>
      </c>
      <c r="AI217" s="15">
        <f t="shared" si="344"/>
        <v>5.5118367304550087E-6</v>
      </c>
      <c r="AJ217" s="16">
        <f t="shared" si="345"/>
        <v>27.457061200116296</v>
      </c>
      <c r="AK217" s="17">
        <f t="shared" si="346"/>
        <v>1.3794438211054784E-2</v>
      </c>
      <c r="AL217" s="18">
        <f t="shared" si="347"/>
        <v>0.20088184091517552</v>
      </c>
      <c r="AM217" s="19">
        <f t="shared" si="411"/>
        <v>1002.0222450915617</v>
      </c>
      <c r="AN217" s="15">
        <f t="shared" si="348"/>
        <v>5.5040444901831238E-6</v>
      </c>
      <c r="AO217" s="16">
        <f t="shared" si="349"/>
        <v>27.412255818552957</v>
      </c>
      <c r="AP217" s="17">
        <f t="shared" si="350"/>
        <v>1.3774936621618673E-2</v>
      </c>
      <c r="AQ217" s="18">
        <f t="shared" si="351"/>
        <v>0.20121018264636784</v>
      </c>
      <c r="AR217" s="19">
        <f t="shared" si="412"/>
        <v>997.52665564092547</v>
      </c>
      <c r="AS217" s="15">
        <f t="shared" si="352"/>
        <v>5.4950533112818518E-6</v>
      </c>
      <c r="AT217" s="16">
        <f t="shared" si="353"/>
        <v>27.360556539870643</v>
      </c>
      <c r="AU217" s="17">
        <f t="shared" si="354"/>
        <v>1.3752434456212933E-2</v>
      </c>
      <c r="AV217" s="18">
        <f t="shared" si="355"/>
        <v>0.20159038036972904</v>
      </c>
      <c r="AW217" s="19">
        <f t="shared" si="413"/>
        <v>992.43084721585581</v>
      </c>
      <c r="AX217" s="15">
        <f t="shared" si="356"/>
        <v>5.4848616944317123E-6</v>
      </c>
      <c r="AY217" s="16">
        <f t="shared" si="357"/>
        <v>27.301954742982339</v>
      </c>
      <c r="AZ217" s="17">
        <f t="shared" si="358"/>
        <v>1.3726927962500374E-2</v>
      </c>
      <c r="BA217" s="18">
        <f t="shared" si="359"/>
        <v>0.2020230804689078</v>
      </c>
      <c r="BB217" s="19">
        <f t="shared" si="414"/>
        <v>986.73156187680047</v>
      </c>
      <c r="BC217" s="15">
        <f t="shared" si="360"/>
        <v>5.4734631237536013E-6</v>
      </c>
      <c r="BD217" s="16">
        <f t="shared" si="361"/>
        <v>27.236412961583206</v>
      </c>
      <c r="BE217" s="17">
        <f t="shared" si="362"/>
        <v>1.3698400833232422E-2</v>
      </c>
      <c r="BF217" s="18">
        <f t="shared" si="363"/>
        <v>0.2025092293827295</v>
      </c>
      <c r="BG217" s="19">
        <f t="shared" si="415"/>
        <v>980.41557679339292</v>
      </c>
      <c r="BH217" s="15">
        <f t="shared" si="364"/>
        <v>5.4608311535867864E-6</v>
      </c>
      <c r="BI217" s="16">
        <f t="shared" si="365"/>
        <v>27.163779133124017</v>
      </c>
      <c r="BJ217" s="17">
        <f t="shared" si="366"/>
        <v>1.3666786883024641E-2</v>
      </c>
      <c r="BK217" s="18">
        <f t="shared" si="367"/>
        <v>0.2030507232800367</v>
      </c>
      <c r="BL217" s="19">
        <f t="shared" si="416"/>
        <v>973.43387119679164</v>
      </c>
      <c r="BM217" s="15">
        <f t="shared" si="368"/>
        <v>5.4468677423935836E-6</v>
      </c>
      <c r="BN217" s="16">
        <f t="shared" si="369"/>
        <v>27.083489518763102</v>
      </c>
      <c r="BO217" s="17">
        <f t="shared" si="370"/>
        <v>1.3631840743953448E-2</v>
      </c>
      <c r="BP217" s="18">
        <f t="shared" si="371"/>
        <v>0.203652671720121</v>
      </c>
      <c r="BQ217" s="19">
        <f t="shared" si="417"/>
        <v>965.62214344750805</v>
      </c>
      <c r="BR217" s="15">
        <f t="shared" si="372"/>
        <v>5.4312442868950162E-6</v>
      </c>
      <c r="BS217" s="16">
        <f t="shared" si="373"/>
        <v>26.993654649646341</v>
      </c>
      <c r="BT217" s="17">
        <f t="shared" si="374"/>
        <v>1.3592740022713407E-2</v>
      </c>
      <c r="BU217" s="18">
        <f t="shared" si="375"/>
        <v>0.20433042770932328</v>
      </c>
      <c r="BV217" s="19">
        <f t="shared" si="418"/>
        <v>956.48835561638634</v>
      </c>
      <c r="BW217" s="15">
        <f t="shared" si="376"/>
        <v>5.4129767112327735E-6</v>
      </c>
      <c r="BX217" s="16">
        <f t="shared" si="377"/>
        <v>26.888616089588442</v>
      </c>
      <c r="BY217" s="17">
        <f t="shared" si="378"/>
        <v>1.3547021879005297E-2</v>
      </c>
      <c r="BZ217" s="18">
        <f t="shared" si="379"/>
        <v>0.20512863070463894</v>
      </c>
      <c r="CA217" s="19">
        <f t="shared" si="419"/>
        <v>944.73521019248824</v>
      </c>
      <c r="CB217" s="15">
        <f t="shared" si="380"/>
        <v>5.389470420384977E-6</v>
      </c>
      <c r="CC217" s="16">
        <f t="shared" si="381"/>
        <v>26.753454917213613</v>
      </c>
      <c r="CD217" s="17">
        <f t="shared" si="382"/>
        <v>1.3488192836613788E-2</v>
      </c>
      <c r="CE217" s="18">
        <f t="shared" si="383"/>
        <v>0.20616496138788998</v>
      </c>
      <c r="CF217" s="19">
        <f t="shared" si="420"/>
        <v>927.40885091964049</v>
      </c>
      <c r="CG217" s="15">
        <f t="shared" si="384"/>
        <v>5.3548177018392814E-6</v>
      </c>
      <c r="CH217" s="16">
        <f t="shared" si="385"/>
        <v>26.554201785575863</v>
      </c>
      <c r="CI217" s="17">
        <f t="shared" si="386"/>
        <v>1.3401467701563533E-2</v>
      </c>
      <c r="CJ217" s="18">
        <f t="shared" si="387"/>
        <v>0.20771194873558826</v>
      </c>
      <c r="CK217" s="19">
        <f t="shared" si="421"/>
        <v>898.853695857557</v>
      </c>
      <c r="CL217" s="15">
        <f t="shared" si="388"/>
        <v>5.2977073917151147E-6</v>
      </c>
      <c r="CM217" s="16">
        <f t="shared" si="389"/>
        <v>26.225817502361906</v>
      </c>
      <c r="CN217" s="17">
        <f t="shared" si="390"/>
        <v>1.3258538097014641E-2</v>
      </c>
      <c r="CO217" s="18">
        <f t="shared" si="391"/>
        <v>0.21031279575949391</v>
      </c>
      <c r="CP217" s="19">
        <f t="shared" si="422"/>
        <v>850.32610999110977</v>
      </c>
      <c r="CQ217" s="15">
        <f t="shared" si="392"/>
        <v>5.2006522199822199E-6</v>
      </c>
      <c r="CR217" s="16">
        <f t="shared" si="393"/>
        <v>25.667750264897762</v>
      </c>
      <c r="CS217" s="17">
        <f t="shared" si="394"/>
        <v>1.3015638745127957E-2</v>
      </c>
      <c r="CT217" s="18">
        <f t="shared" si="395"/>
        <v>0.21488540846304549</v>
      </c>
      <c r="CU217" s="19">
        <f t="shared" si="423"/>
        <v>771.70332429225004</v>
      </c>
      <c r="CV217" s="15">
        <f t="shared" si="396"/>
        <v>5.0434066485845004E-6</v>
      </c>
      <c r="CW217" s="16">
        <f t="shared" si="397"/>
        <v>24.763588229360877</v>
      </c>
      <c r="CX217" s="17">
        <f t="shared" si="398"/>
        <v>1.2622101268478359E-2</v>
      </c>
      <c r="CY217" s="18">
        <f t="shared" si="399"/>
        <v>0.22273125158253176</v>
      </c>
      <c r="CZ217" s="20">
        <f t="shared" si="424"/>
        <v>655.94422738309368</v>
      </c>
      <c r="DA217" s="15">
        <f t="shared" si="400"/>
        <v>4.8118884547661873E-6</v>
      </c>
      <c r="DB217" s="16">
        <f t="shared" si="401"/>
        <v>32.716399141500602</v>
      </c>
      <c r="DC217" s="17">
        <f t="shared" si="402"/>
        <v>1.2042682179063843E-2</v>
      </c>
      <c r="DD217" s="18">
        <f t="shared" si="403"/>
        <v>0.16858899954559653</v>
      </c>
    </row>
    <row r="218" spans="2:108" x14ac:dyDescent="0.25">
      <c r="B218">
        <v>199</v>
      </c>
      <c r="C218">
        <f t="shared" si="404"/>
        <v>0.19454531860270505</v>
      </c>
      <c r="D218" s="19">
        <f t="shared" si="321"/>
        <v>1016.7280485778224</v>
      </c>
      <c r="E218" s="15">
        <f t="shared" si="322"/>
        <v>5.5334560971556448E-6</v>
      </c>
      <c r="F218" s="16">
        <f t="shared" si="323"/>
        <v>27.581372558644958</v>
      </c>
      <c r="G218" s="17">
        <f t="shared" si="319"/>
        <v>1.3848544860561696E-2</v>
      </c>
      <c r="H218" s="18">
        <f t="shared" si="324"/>
        <v>0.19997645107299825</v>
      </c>
      <c r="I218" s="19">
        <f t="shared" si="405"/>
        <v>1016.4033588864288</v>
      </c>
      <c r="J218" s="15">
        <f t="shared" si="325"/>
        <v>5.5328067177728577E-6</v>
      </c>
      <c r="K218" s="16">
        <f t="shared" si="326"/>
        <v>27.577638627193931</v>
      </c>
      <c r="L218" s="17">
        <f t="shared" si="327"/>
        <v>1.3846919662971592E-2</v>
      </c>
      <c r="M218" s="18">
        <f t="shared" si="328"/>
        <v>0.20000352729842205</v>
      </c>
      <c r="N218" s="19">
        <f t="shared" si="406"/>
        <v>1015.4970981342169</v>
      </c>
      <c r="O218" s="15">
        <f t="shared" si="329"/>
        <v>5.5309941962684347E-6</v>
      </c>
      <c r="P218" s="16">
        <f t="shared" si="330"/>
        <v>27.567216628543491</v>
      </c>
      <c r="Q218" s="17">
        <f t="shared" si="320"/>
        <v>1.3848544860561696E-2</v>
      </c>
      <c r="R218" s="18">
        <f t="shared" si="331"/>
        <v>0.20007914017293435</v>
      </c>
      <c r="S218" s="19">
        <f t="shared" si="407"/>
        <v>1013.995389175053</v>
      </c>
      <c r="T218" s="15">
        <f t="shared" si="332"/>
        <v>5.5279907783501063E-6</v>
      </c>
      <c r="U218" s="16">
        <f t="shared" si="333"/>
        <v>27.549946975513109</v>
      </c>
      <c r="V218" s="17">
        <f t="shared" si="334"/>
        <v>1.3834866842461097E-2</v>
      </c>
      <c r="W218" s="18">
        <f t="shared" si="335"/>
        <v>0.20020455955513769</v>
      </c>
      <c r="X218" s="19">
        <f t="shared" si="408"/>
        <v>1011.8963877388175</v>
      </c>
      <c r="Y218" s="15">
        <f t="shared" si="336"/>
        <v>5.5237927754776361E-6</v>
      </c>
      <c r="Z218" s="16">
        <f t="shared" si="337"/>
        <v>27.525808458996401</v>
      </c>
      <c r="AA218" s="17">
        <f t="shared" si="338"/>
        <v>1.382436052776673E-2</v>
      </c>
      <c r="AB218" s="18">
        <f t="shared" si="339"/>
        <v>0.20038012718922701</v>
      </c>
      <c r="AC218" s="19">
        <f t="shared" si="409"/>
        <v>1009.1986470839338</v>
      </c>
      <c r="AD218" s="15">
        <f t="shared" si="340"/>
        <v>5.5183972941678676E-6</v>
      </c>
      <c r="AE218" s="16">
        <f t="shared" si="341"/>
        <v>27.494784441465235</v>
      </c>
      <c r="AF218" s="17">
        <f t="shared" si="342"/>
        <v>1.3810857291516054E-2</v>
      </c>
      <c r="AG218" s="18">
        <f t="shared" si="343"/>
        <v>0.20060622812819059</v>
      </c>
      <c r="AH218" s="19">
        <f t="shared" si="410"/>
        <v>1005.9018103846727</v>
      </c>
      <c r="AI218" s="15">
        <f t="shared" si="344"/>
        <v>5.5118036207693451E-6</v>
      </c>
      <c r="AJ218" s="16">
        <f t="shared" si="345"/>
        <v>27.456870819423735</v>
      </c>
      <c r="AK218" s="17">
        <f t="shared" si="346"/>
        <v>1.3794355347658169E-2</v>
      </c>
      <c r="AL218" s="18">
        <f t="shared" si="347"/>
        <v>0.2008832337914522</v>
      </c>
      <c r="AM218" s="19">
        <f t="shared" si="411"/>
        <v>1002.0057073542425</v>
      </c>
      <c r="AN218" s="15">
        <f t="shared" si="348"/>
        <v>5.5040114147084857E-6</v>
      </c>
      <c r="AO218" s="16">
        <f t="shared" si="349"/>
        <v>27.412065634573786</v>
      </c>
      <c r="AP218" s="17">
        <f t="shared" si="350"/>
        <v>1.3774853843841771E-2</v>
      </c>
      <c r="AQ218" s="18">
        <f t="shared" si="351"/>
        <v>0.20121157863577249</v>
      </c>
      <c r="AR218" s="19">
        <f t="shared" si="412"/>
        <v>997.51013020578489</v>
      </c>
      <c r="AS218" s="15">
        <f t="shared" si="352"/>
        <v>5.4950202604115709E-6</v>
      </c>
      <c r="AT218" s="16">
        <f t="shared" si="353"/>
        <v>27.360366497366527</v>
      </c>
      <c r="AU218" s="17">
        <f t="shared" si="354"/>
        <v>1.3752351740013194E-2</v>
      </c>
      <c r="AV218" s="18">
        <f t="shared" si="355"/>
        <v>0.20159178059734276</v>
      </c>
      <c r="AW218" s="19">
        <f t="shared" si="413"/>
        <v>992.41430032648373</v>
      </c>
      <c r="AX218" s="15">
        <f t="shared" si="356"/>
        <v>5.4848286006529675E-6</v>
      </c>
      <c r="AY218" s="16">
        <f t="shared" si="357"/>
        <v>27.301764453754561</v>
      </c>
      <c r="AZ218" s="17">
        <f t="shared" si="358"/>
        <v>1.3726845138913901E-2</v>
      </c>
      <c r="BA218" s="18">
        <f t="shared" si="359"/>
        <v>0.20202448853965871</v>
      </c>
      <c r="BB218" s="19">
        <f t="shared" si="414"/>
        <v>986.71484994709294</v>
      </c>
      <c r="BC218" s="15">
        <f t="shared" si="360"/>
        <v>5.4734296998941858E-6</v>
      </c>
      <c r="BD218" s="16">
        <f t="shared" si="361"/>
        <v>27.236220774391569</v>
      </c>
      <c r="BE218" s="17">
        <f t="shared" si="362"/>
        <v>1.3698317183555186E-2</v>
      </c>
      <c r="BF218" s="18">
        <f t="shared" si="363"/>
        <v>0.20251065835044119</v>
      </c>
      <c r="BG218" s="19">
        <f t="shared" si="415"/>
        <v>980.39817772515926</v>
      </c>
      <c r="BH218" s="15">
        <f t="shared" si="364"/>
        <v>5.460796355450319E-6</v>
      </c>
      <c r="BI218" s="16">
        <f t="shared" si="365"/>
        <v>27.163579043839331</v>
      </c>
      <c r="BJ218" s="17">
        <f t="shared" si="366"/>
        <v>1.3666699793953099E-2</v>
      </c>
      <c r="BK218" s="18">
        <f t="shared" si="367"/>
        <v>0.20305221896931647</v>
      </c>
      <c r="BL218" s="19">
        <f t="shared" si="416"/>
        <v>973.41410347435612</v>
      </c>
      <c r="BM218" s="15">
        <f t="shared" si="368"/>
        <v>5.4468282069487135E-6</v>
      </c>
      <c r="BN218" s="16">
        <f t="shared" si="369"/>
        <v>27.083262189955093</v>
      </c>
      <c r="BO218" s="17">
        <f t="shared" si="370"/>
        <v>1.3631741798850742E-2</v>
      </c>
      <c r="BP218" s="18">
        <f t="shared" si="371"/>
        <v>0.20365438111977846</v>
      </c>
      <c r="BQ218" s="19">
        <f t="shared" si="417"/>
        <v>965.5952369699437</v>
      </c>
      <c r="BR218" s="15">
        <f t="shared" si="372"/>
        <v>5.4311904739398883E-6</v>
      </c>
      <c r="BS218" s="16">
        <f t="shared" si="373"/>
        <v>26.99334522515435</v>
      </c>
      <c r="BT218" s="17">
        <f t="shared" si="374"/>
        <v>1.3592605345377925E-2</v>
      </c>
      <c r="BU218" s="18">
        <f t="shared" si="375"/>
        <v>0.20433276994731805</v>
      </c>
      <c r="BV218" s="19">
        <f t="shared" si="418"/>
        <v>956.44261215663323</v>
      </c>
      <c r="BW218" s="15">
        <f t="shared" si="376"/>
        <v>5.4128852243132676E-6</v>
      </c>
      <c r="BX218" s="16">
        <f t="shared" si="377"/>
        <v>26.888090039801281</v>
      </c>
      <c r="BY218" s="17">
        <f t="shared" si="378"/>
        <v>1.3546792915282321E-2</v>
      </c>
      <c r="BZ218" s="18">
        <f t="shared" si="379"/>
        <v>0.20513264392656594</v>
      </c>
      <c r="CA218" s="19">
        <f t="shared" si="419"/>
        <v>944.64657988433044</v>
      </c>
      <c r="CB218" s="15">
        <f t="shared" si="380"/>
        <v>5.3892931597686617E-6</v>
      </c>
      <c r="CC218" s="16">
        <f t="shared" si="381"/>
        <v>26.752435668669797</v>
      </c>
      <c r="CD218" s="17">
        <f t="shared" si="382"/>
        <v>1.3487749207613404E-2</v>
      </c>
      <c r="CE218" s="18">
        <f t="shared" si="383"/>
        <v>0.20617281612453089</v>
      </c>
      <c r="CF218" s="19">
        <f t="shared" si="420"/>
        <v>927.23806103942502</v>
      </c>
      <c r="CG218" s="15">
        <f t="shared" si="384"/>
        <v>5.3544761220788509E-6</v>
      </c>
      <c r="CH218" s="16">
        <f t="shared" si="385"/>
        <v>26.552237701953388</v>
      </c>
      <c r="CI218" s="17">
        <f t="shared" si="386"/>
        <v>1.3400612832101711E-2</v>
      </c>
      <c r="CJ218" s="18">
        <f t="shared" si="387"/>
        <v>0.20772731330264599</v>
      </c>
      <c r="CK218" s="19">
        <f t="shared" si="421"/>
        <v>898.55567198717233</v>
      </c>
      <c r="CL218" s="15">
        <f t="shared" si="388"/>
        <v>5.2971113439743452E-6</v>
      </c>
      <c r="CM218" s="16">
        <f t="shared" si="389"/>
        <v>26.222390227852479</v>
      </c>
      <c r="CN218" s="17">
        <f t="shared" si="390"/>
        <v>1.3257046372180803E-2</v>
      </c>
      <c r="CO218" s="18">
        <f t="shared" si="391"/>
        <v>0.21034028370691782</v>
      </c>
      <c r="CP218" s="19">
        <f t="shared" si="422"/>
        <v>849.88031324323811</v>
      </c>
      <c r="CQ218" s="15">
        <f t="shared" si="392"/>
        <v>5.1997606264864771E-6</v>
      </c>
      <c r="CR218" s="16">
        <f t="shared" si="393"/>
        <v>25.662623602297238</v>
      </c>
      <c r="CS218" s="17">
        <f t="shared" si="394"/>
        <v>1.3013407359840648E-2</v>
      </c>
      <c r="CT218" s="18">
        <f t="shared" si="395"/>
        <v>0.21492833645840709</v>
      </c>
      <c r="CU218" s="19">
        <f t="shared" si="423"/>
        <v>771.15348669868786</v>
      </c>
      <c r="CV218" s="15">
        <f t="shared" si="396"/>
        <v>5.042306973397376E-6</v>
      </c>
      <c r="CW218" s="16">
        <f t="shared" si="397"/>
        <v>24.75726509703491</v>
      </c>
      <c r="CX218" s="17">
        <f t="shared" si="398"/>
        <v>1.2619349118485019E-2</v>
      </c>
      <c r="CY218" s="18">
        <f t="shared" si="399"/>
        <v>0.22278813828513663</v>
      </c>
      <c r="CZ218" s="20">
        <f t="shared" si="424"/>
        <v>655.40680411772223</v>
      </c>
      <c r="DA218" s="15">
        <f t="shared" si="400"/>
        <v>4.8108136082354455E-6</v>
      </c>
      <c r="DB218" s="16">
        <f t="shared" si="401"/>
        <v>32.824313733187154</v>
      </c>
      <c r="DC218" s="17">
        <f t="shared" si="402"/>
        <v>1.2039992167588581E-2</v>
      </c>
      <c r="DD218" s="18">
        <f t="shared" si="403"/>
        <v>0.16803473927387566</v>
      </c>
    </row>
    <row r="219" spans="2:108" x14ac:dyDescent="0.25">
      <c r="B219">
        <v>200</v>
      </c>
      <c r="C219">
        <f t="shared" si="404"/>
        <v>0.19552293326905029</v>
      </c>
      <c r="D219" s="19">
        <f t="shared" si="321"/>
        <v>1016.7114715624033</v>
      </c>
      <c r="E219" s="15">
        <f t="shared" si="322"/>
        <v>5.5334229431248071E-6</v>
      </c>
      <c r="F219" s="16">
        <f t="shared" si="323"/>
        <v>27.581181922967637</v>
      </c>
      <c r="G219" s="17">
        <f t="shared" si="319"/>
        <v>1.3848461886182701E-2</v>
      </c>
      <c r="H219" s="18">
        <f t="shared" si="324"/>
        <v>0.19997783327069757</v>
      </c>
      <c r="I219" s="19">
        <f t="shared" si="405"/>
        <v>1016.3867816366079</v>
      </c>
      <c r="J219" s="15">
        <f t="shared" si="325"/>
        <v>5.5327735632732161E-6</v>
      </c>
      <c r="K219" s="16">
        <f t="shared" si="326"/>
        <v>27.577447988820992</v>
      </c>
      <c r="L219" s="17">
        <f t="shared" si="327"/>
        <v>1.3846836687419322E-2</v>
      </c>
      <c r="M219" s="18">
        <f t="shared" si="328"/>
        <v>0.20000490988998895</v>
      </c>
      <c r="N219" s="19">
        <f t="shared" si="406"/>
        <v>1015.480517369304</v>
      </c>
      <c r="O219" s="15">
        <f t="shared" si="329"/>
        <v>5.5309610347386085E-6</v>
      </c>
      <c r="P219" s="16">
        <f t="shared" si="330"/>
        <v>27.567025949746995</v>
      </c>
      <c r="Q219" s="17">
        <f t="shared" si="320"/>
        <v>1.3848461886182701E-2</v>
      </c>
      <c r="R219" s="18">
        <f t="shared" si="331"/>
        <v>0.20008052410349406</v>
      </c>
      <c r="S219" s="19">
        <f t="shared" si="407"/>
        <v>1013.9788068761704</v>
      </c>
      <c r="T219" s="15">
        <f t="shared" si="332"/>
        <v>5.5279576137523412E-6</v>
      </c>
      <c r="U219" s="16">
        <f t="shared" si="333"/>
        <v>27.549756279075957</v>
      </c>
      <c r="V219" s="17">
        <f t="shared" si="334"/>
        <v>1.3834783841636319E-2</v>
      </c>
      <c r="W219" s="18">
        <f t="shared" si="335"/>
        <v>0.20020594534947367</v>
      </c>
      <c r="X219" s="19">
        <f t="shared" si="408"/>
        <v>1011.8798090749031</v>
      </c>
      <c r="Y219" s="15">
        <f t="shared" si="336"/>
        <v>5.5237596181498065E-6</v>
      </c>
      <c r="Z219" s="16">
        <f t="shared" si="337"/>
        <v>27.525617804361385</v>
      </c>
      <c r="AA219" s="17">
        <f t="shared" si="338"/>
        <v>1.3824277545136375E-2</v>
      </c>
      <c r="AB219" s="18">
        <f t="shared" si="339"/>
        <v>0.20038151511084554</v>
      </c>
      <c r="AC219" s="19">
        <f t="shared" si="409"/>
        <v>1009.1820779438292</v>
      </c>
      <c r="AD219" s="15">
        <f t="shared" si="340"/>
        <v>5.5183641558876593E-6</v>
      </c>
      <c r="AE219" s="16">
        <f t="shared" si="341"/>
        <v>27.494593896354033</v>
      </c>
      <c r="AF219" s="17">
        <f t="shared" si="342"/>
        <v>1.3810774356556055E-2</v>
      </c>
      <c r="AG219" s="18">
        <f t="shared" si="343"/>
        <v>0.20060761838462393</v>
      </c>
      <c r="AH219" s="19">
        <f t="shared" si="410"/>
        <v>1005.8852557136295</v>
      </c>
      <c r="AI219" s="15">
        <f t="shared" si="344"/>
        <v>5.5117705114272593E-6</v>
      </c>
      <c r="AJ219" s="16">
        <f t="shared" si="345"/>
        <v>27.456680440706737</v>
      </c>
      <c r="AK219" s="17">
        <f t="shared" si="346"/>
        <v>1.3794272485121424E-2</v>
      </c>
      <c r="AL219" s="18">
        <f t="shared" si="347"/>
        <v>0.20088462667259085</v>
      </c>
      <c r="AM219" s="19">
        <f t="shared" si="411"/>
        <v>1001.9891696789824</v>
      </c>
      <c r="AN219" s="15">
        <f t="shared" si="348"/>
        <v>5.5039783393579651E-6</v>
      </c>
      <c r="AO219" s="16">
        <f t="shared" si="349"/>
        <v>27.411875451308298</v>
      </c>
      <c r="AP219" s="17">
        <f t="shared" si="350"/>
        <v>1.3774771066375495E-2</v>
      </c>
      <c r="AQ219" s="18">
        <f t="shared" si="351"/>
        <v>0.20121297463930923</v>
      </c>
      <c r="AR219" s="19">
        <f t="shared" si="412"/>
        <v>997.49360439708482</v>
      </c>
      <c r="AS219" s="15">
        <f t="shared" si="352"/>
        <v>5.4949872087941706E-6</v>
      </c>
      <c r="AT219" s="16">
        <f t="shared" si="353"/>
        <v>27.360176450566474</v>
      </c>
      <c r="AU219" s="17">
        <f t="shared" si="354"/>
        <v>1.3752269021943648E-2</v>
      </c>
      <c r="AV219" s="18">
        <f t="shared" si="355"/>
        <v>0.20159318087606129</v>
      </c>
      <c r="AW219" s="19">
        <f t="shared" si="413"/>
        <v>992.39775141951907</v>
      </c>
      <c r="AX219" s="15">
        <f t="shared" si="356"/>
        <v>5.484795502839039E-6</v>
      </c>
      <c r="AY219" s="16">
        <f t="shared" si="357"/>
        <v>27.301574141324469</v>
      </c>
      <c r="AZ219" s="17">
        <f t="shared" si="358"/>
        <v>1.3726762305228603E-2</v>
      </c>
      <c r="BA219" s="18">
        <f t="shared" si="359"/>
        <v>0.20202589680173008</v>
      </c>
      <c r="BB219" s="19">
        <f t="shared" si="414"/>
        <v>986.69813036663186</v>
      </c>
      <c r="BC219" s="15">
        <f t="shared" si="360"/>
        <v>5.4733962607332641E-6</v>
      </c>
      <c r="BD219" s="16">
        <f t="shared" si="361"/>
        <v>27.236028499216268</v>
      </c>
      <c r="BE219" s="17">
        <f t="shared" si="362"/>
        <v>1.3698233495582968E-2</v>
      </c>
      <c r="BF219" s="18">
        <f t="shared" si="363"/>
        <v>0.20251208799251752</v>
      </c>
      <c r="BG219" s="19">
        <f t="shared" si="415"/>
        <v>980.38075382674833</v>
      </c>
      <c r="BH219" s="15">
        <f t="shared" si="364"/>
        <v>5.4607615076534975E-6</v>
      </c>
      <c r="BI219" s="16">
        <f t="shared" si="365"/>
        <v>27.163378669007606</v>
      </c>
      <c r="BJ219" s="17">
        <f t="shared" si="366"/>
        <v>1.3666612580596904E-2</v>
      </c>
      <c r="BK219" s="18">
        <f t="shared" si="367"/>
        <v>0.20305371681517367</v>
      </c>
      <c r="BL219" s="19">
        <f t="shared" si="416"/>
        <v>973.39426527302601</v>
      </c>
      <c r="BM219" s="15">
        <f t="shared" si="368"/>
        <v>5.4467885305460523E-6</v>
      </c>
      <c r="BN219" s="16">
        <f t="shared" si="369"/>
        <v>27.083034050639796</v>
      </c>
      <c r="BO219" s="17">
        <f t="shared" si="370"/>
        <v>1.3631642500973878E-2</v>
      </c>
      <c r="BP219" s="18">
        <f t="shared" si="371"/>
        <v>0.20365609664289816</v>
      </c>
      <c r="BQ219" s="19">
        <f t="shared" si="417"/>
        <v>965.56815760340362</v>
      </c>
      <c r="BR219" s="15">
        <f t="shared" si="372"/>
        <v>5.4311363152068083E-6</v>
      </c>
      <c r="BS219" s="16">
        <f t="shared" si="373"/>
        <v>26.99303381243914</v>
      </c>
      <c r="BT219" s="17">
        <f t="shared" si="374"/>
        <v>1.3592469802666195E-2</v>
      </c>
      <c r="BU219" s="18">
        <f t="shared" si="375"/>
        <v>0.20433512728970268</v>
      </c>
      <c r="BV219" s="19">
        <f t="shared" si="418"/>
        <v>956.3965122923978</v>
      </c>
      <c r="BW219" s="15">
        <f t="shared" si="376"/>
        <v>5.412793024584796E-6</v>
      </c>
      <c r="BX219" s="16">
        <f t="shared" si="377"/>
        <v>26.887559891362574</v>
      </c>
      <c r="BY219" s="17">
        <f t="shared" si="378"/>
        <v>1.3546562167616946E-2</v>
      </c>
      <c r="BZ219" s="18">
        <f t="shared" si="379"/>
        <v>0.20513668857588868</v>
      </c>
      <c r="CA219" s="19">
        <f t="shared" si="419"/>
        <v>944.55736261048355</v>
      </c>
      <c r="CB219" s="15">
        <f t="shared" si="380"/>
        <v>5.3891147252209678E-6</v>
      </c>
      <c r="CC219" s="16">
        <f t="shared" si="381"/>
        <v>26.751409670020561</v>
      </c>
      <c r="CD219" s="17">
        <f t="shared" si="382"/>
        <v>1.3487302640622534E-2</v>
      </c>
      <c r="CE219" s="18">
        <f t="shared" si="383"/>
        <v>0.20618072348468358</v>
      </c>
      <c r="CF219" s="19">
        <f t="shared" si="420"/>
        <v>927.06658062676399</v>
      </c>
      <c r="CG219" s="15">
        <f t="shared" si="384"/>
        <v>5.3541331612535284E-6</v>
      </c>
      <c r="CH219" s="16">
        <f t="shared" si="385"/>
        <v>26.550265677207783</v>
      </c>
      <c r="CI219" s="17">
        <f t="shared" si="386"/>
        <v>1.3399754506257701E-2</v>
      </c>
      <c r="CJ219" s="18">
        <f t="shared" si="387"/>
        <v>0.20774274227827852</v>
      </c>
      <c r="CK219" s="19">
        <f t="shared" si="421"/>
        <v>898.25728360646372</v>
      </c>
      <c r="CL219" s="15">
        <f t="shared" si="388"/>
        <v>5.2965145672129272E-6</v>
      </c>
      <c r="CM219" s="16">
        <f t="shared" si="389"/>
        <v>26.218958761474333</v>
      </c>
      <c r="CN219" s="17">
        <f t="shared" si="390"/>
        <v>1.3255552822831692E-2</v>
      </c>
      <c r="CO219" s="18">
        <f t="shared" si="391"/>
        <v>0.21036781247410025</v>
      </c>
      <c r="CP219" s="19">
        <f t="shared" si="422"/>
        <v>849.43505369115803</v>
      </c>
      <c r="CQ219" s="15">
        <f t="shared" si="392"/>
        <v>5.1988701073823172E-6</v>
      </c>
      <c r="CR219" s="16">
        <f t="shared" si="393"/>
        <v>25.657503117448314</v>
      </c>
      <c r="CS219" s="17">
        <f t="shared" si="394"/>
        <v>1.3011178663426215E-2</v>
      </c>
      <c r="CT219" s="18">
        <f t="shared" si="395"/>
        <v>0.2149712298485161</v>
      </c>
      <c r="CU219" s="19">
        <f t="shared" si="423"/>
        <v>770.60522711737383</v>
      </c>
      <c r="CV219" s="15">
        <f t="shared" si="396"/>
        <v>5.0412104542347477E-6</v>
      </c>
      <c r="CW219" s="16">
        <f t="shared" si="397"/>
        <v>24.7509601118498</v>
      </c>
      <c r="CX219" s="17">
        <f t="shared" si="398"/>
        <v>1.2616604867053814E-2</v>
      </c>
      <c r="CY219" s="18">
        <f t="shared" si="399"/>
        <v>0.22284489066585067</v>
      </c>
      <c r="CZ219" s="20">
        <f t="shared" si="424"/>
        <v>654.87124994813894</v>
      </c>
      <c r="DA219" s="15">
        <f t="shared" si="400"/>
        <v>4.8097424998962786E-6</v>
      </c>
      <c r="DB219" s="16">
        <f t="shared" si="401"/>
        <v>32.931853010439426</v>
      </c>
      <c r="DC219" s="17">
        <f t="shared" si="402"/>
        <v>1.203731151166125E-2</v>
      </c>
      <c r="DD219" s="18">
        <f t="shared" si="403"/>
        <v>0.16748602024464102</v>
      </c>
    </row>
    <row r="220" spans="2:108" x14ac:dyDescent="0.25">
      <c r="B220">
        <v>201</v>
      </c>
      <c r="C220">
        <f t="shared" si="404"/>
        <v>0.19650054793539554</v>
      </c>
      <c r="D220" s="19">
        <f t="shared" si="321"/>
        <v>1016.6948945350168</v>
      </c>
      <c r="E220" s="15">
        <f t="shared" si="322"/>
        <v>5.5333897890700339E-6</v>
      </c>
      <c r="F220" s="16">
        <f t="shared" si="323"/>
        <v>27.580991287152692</v>
      </c>
      <c r="G220" s="17">
        <f t="shared" si="319"/>
        <v>1.38483789117438E-2</v>
      </c>
      <c r="H220" s="18">
        <f t="shared" si="324"/>
        <v>0.19997921548850184</v>
      </c>
      <c r="I220" s="19">
        <f t="shared" si="405"/>
        <v>1016.3702044147168</v>
      </c>
      <c r="J220" s="15">
        <f t="shared" si="325"/>
        <v>5.5327404088294337E-6</v>
      </c>
      <c r="K220" s="16">
        <f t="shared" si="326"/>
        <v>27.577257350769244</v>
      </c>
      <c r="L220" s="17">
        <f t="shared" si="327"/>
        <v>1.3846753712006853E-2</v>
      </c>
      <c r="M220" s="18">
        <f t="shared" si="328"/>
        <v>0.20000629249834181</v>
      </c>
      <c r="N220" s="19">
        <f t="shared" si="406"/>
        <v>1015.4639367137031</v>
      </c>
      <c r="O220" s="15">
        <f t="shared" si="329"/>
        <v>5.5309278734274065E-6</v>
      </c>
      <c r="P220" s="16">
        <f t="shared" si="330"/>
        <v>27.566835272207584</v>
      </c>
      <c r="Q220" s="17">
        <f t="shared" si="320"/>
        <v>1.38483789117438E-2</v>
      </c>
      <c r="R220" s="18">
        <f t="shared" si="331"/>
        <v>0.20008190804407497</v>
      </c>
      <c r="S220" s="19">
        <f t="shared" si="407"/>
        <v>1013.962224753073</v>
      </c>
      <c r="T220" s="15">
        <f t="shared" si="332"/>
        <v>5.5279244495061472E-6</v>
      </c>
      <c r="U220" s="16">
        <f t="shared" si="333"/>
        <v>27.549565584660339</v>
      </c>
      <c r="V220" s="17">
        <f t="shared" si="334"/>
        <v>1.3834700841691416E-2</v>
      </c>
      <c r="W220" s="18">
        <f t="shared" si="335"/>
        <v>0.20020733114830358</v>
      </c>
      <c r="X220" s="19">
        <f t="shared" si="408"/>
        <v>1011.8632306146766</v>
      </c>
      <c r="Y220" s="15">
        <f t="shared" si="336"/>
        <v>5.523726461229354E-6</v>
      </c>
      <c r="Z220" s="16">
        <f t="shared" si="337"/>
        <v>27.525427152068779</v>
      </c>
      <c r="AA220" s="17">
        <f t="shared" si="338"/>
        <v>1.3824194563525558E-2</v>
      </c>
      <c r="AB220" s="18">
        <f t="shared" si="339"/>
        <v>0.20038290303463835</v>
      </c>
      <c r="AC220" s="19">
        <f t="shared" si="409"/>
        <v>1009.1655090047149</v>
      </c>
      <c r="AD220" s="15">
        <f t="shared" si="340"/>
        <v>5.5183310180094298E-6</v>
      </c>
      <c r="AE220" s="16">
        <f t="shared" si="341"/>
        <v>27.494403353554219</v>
      </c>
      <c r="AF220" s="17">
        <f t="shared" si="342"/>
        <v>1.3810691422602087E-2</v>
      </c>
      <c r="AG220" s="18">
        <f t="shared" si="343"/>
        <v>0.2006090086434624</v>
      </c>
      <c r="AH220" s="19">
        <f t="shared" si="410"/>
        <v>1005.8687012131057</v>
      </c>
      <c r="AI220" s="15">
        <f t="shared" si="344"/>
        <v>5.5117374024262118E-6</v>
      </c>
      <c r="AJ220" s="16">
        <f t="shared" si="345"/>
        <v>27.456490063950717</v>
      </c>
      <c r="AK220" s="17">
        <f t="shared" si="346"/>
        <v>1.3794189623438192E-2</v>
      </c>
      <c r="AL220" s="18">
        <f t="shared" si="347"/>
        <v>0.20088601955869795</v>
      </c>
      <c r="AM220" s="19">
        <f t="shared" si="411"/>
        <v>1001.9726320607481</v>
      </c>
      <c r="AN220" s="15">
        <f t="shared" si="348"/>
        <v>5.5039452641214965E-6</v>
      </c>
      <c r="AO220" s="16">
        <f t="shared" si="349"/>
        <v>27.411685268698601</v>
      </c>
      <c r="AP220" s="17">
        <f t="shared" si="350"/>
        <v>1.3774688289194658E-2</v>
      </c>
      <c r="AQ220" s="18">
        <f t="shared" si="351"/>
        <v>0.20121437065740322</v>
      </c>
      <c r="AR220" s="19">
        <f t="shared" si="412"/>
        <v>997.4770781963947</v>
      </c>
      <c r="AS220" s="15">
        <f t="shared" si="352"/>
        <v>5.4949541563927896E-6</v>
      </c>
      <c r="AT220" s="16">
        <f t="shared" si="353"/>
        <v>27.359986399258538</v>
      </c>
      <c r="AU220" s="17">
        <f t="shared" si="354"/>
        <v>1.3752186301912037E-2</v>
      </c>
      <c r="AV220" s="18">
        <f t="shared" si="355"/>
        <v>0.20159458120744805</v>
      </c>
      <c r="AW220" s="19">
        <f t="shared" si="413"/>
        <v>992.38120043457059</v>
      </c>
      <c r="AX220" s="15">
        <f t="shared" si="356"/>
        <v>5.4847624008691417E-6</v>
      </c>
      <c r="AY220" s="16">
        <f t="shared" si="357"/>
        <v>27.301383804997563</v>
      </c>
      <c r="AZ220" s="17">
        <f t="shared" si="358"/>
        <v>1.3726679461142186E-2</v>
      </c>
      <c r="BA220" s="18">
        <f t="shared" si="359"/>
        <v>0.20202730526026874</v>
      </c>
      <c r="BB220" s="19">
        <f t="shared" si="414"/>
        <v>986.68140296137449</v>
      </c>
      <c r="BC220" s="15">
        <f t="shared" si="360"/>
        <v>5.4733628059227488E-6</v>
      </c>
      <c r="BD220" s="16">
        <f t="shared" si="361"/>
        <v>27.235836134055806</v>
      </c>
      <c r="BE220" s="17">
        <f t="shared" si="362"/>
        <v>1.3698149768444613E-2</v>
      </c>
      <c r="BF220" s="18">
        <f t="shared" si="363"/>
        <v>0.20251351832386885</v>
      </c>
      <c r="BG220" s="19">
        <f t="shared" si="415"/>
        <v>980.36330466941854</v>
      </c>
      <c r="BH220" s="15">
        <f t="shared" si="364"/>
        <v>5.4607266093388373E-6</v>
      </c>
      <c r="BI220" s="16">
        <f t="shared" si="365"/>
        <v>27.163178003698313</v>
      </c>
      <c r="BJ220" s="17">
        <f t="shared" si="366"/>
        <v>1.3666525240810044E-2</v>
      </c>
      <c r="BK220" s="18">
        <f t="shared" si="367"/>
        <v>0.2030552168545609</v>
      </c>
      <c r="BL220" s="19">
        <f t="shared" si="416"/>
        <v>973.3743557338455</v>
      </c>
      <c r="BM220" s="15">
        <f t="shared" si="368"/>
        <v>5.4467487114676919E-6</v>
      </c>
      <c r="BN220" s="16">
        <f t="shared" si="369"/>
        <v>27.082805090939225</v>
      </c>
      <c r="BO220" s="17">
        <f t="shared" si="370"/>
        <v>1.3631542846023463E-2</v>
      </c>
      <c r="BP220" s="18">
        <f t="shared" si="371"/>
        <v>0.2036578183640696</v>
      </c>
      <c r="BQ220" s="19">
        <f t="shared" si="417"/>
        <v>965.54090409562332</v>
      </c>
      <c r="BR220" s="15">
        <f t="shared" si="372"/>
        <v>5.431081808191247E-6</v>
      </c>
      <c r="BS220" s="16">
        <f t="shared" si="373"/>
        <v>26.992720397099667</v>
      </c>
      <c r="BT220" s="17">
        <f t="shared" si="374"/>
        <v>1.3592333388310144E-2</v>
      </c>
      <c r="BU220" s="18">
        <f t="shared" si="375"/>
        <v>0.20433749984653812</v>
      </c>
      <c r="BV220" s="19">
        <f t="shared" si="418"/>
        <v>956.35005519330593</v>
      </c>
      <c r="BW220" s="15">
        <f t="shared" si="376"/>
        <v>5.4127001103866126E-6</v>
      </c>
      <c r="BX220" s="16">
        <f t="shared" si="377"/>
        <v>26.887025634723017</v>
      </c>
      <c r="BY220" s="17">
        <f t="shared" si="378"/>
        <v>1.3546329631852835E-2</v>
      </c>
      <c r="BZ220" s="18">
        <f t="shared" si="379"/>
        <v>0.20514076472917459</v>
      </c>
      <c r="CA220" s="19">
        <f t="shared" si="419"/>
        <v>944.46755997228456</v>
      </c>
      <c r="CB220" s="15">
        <f t="shared" si="380"/>
        <v>5.3889351199445699E-6</v>
      </c>
      <c r="CC220" s="16">
        <f t="shared" si="381"/>
        <v>26.750376939681274</v>
      </c>
      <c r="CD220" s="17">
        <f t="shared" si="382"/>
        <v>1.3486853143656495E-2</v>
      </c>
      <c r="CE220" s="18">
        <f t="shared" si="383"/>
        <v>0.20618868333844562</v>
      </c>
      <c r="CF220" s="19">
        <f t="shared" si="420"/>
        <v>926.89441565272182</v>
      </c>
      <c r="CG220" s="15">
        <f t="shared" si="384"/>
        <v>5.3537888313054444E-6</v>
      </c>
      <c r="CH220" s="16">
        <f t="shared" si="385"/>
        <v>26.548285780006299</v>
      </c>
      <c r="CI220" s="17">
        <f t="shared" si="386"/>
        <v>1.3398892753918991E-2</v>
      </c>
      <c r="CJ220" s="18">
        <f t="shared" si="387"/>
        <v>0.20775823515331659</v>
      </c>
      <c r="CK220" s="19">
        <f t="shared" si="421"/>
        <v>897.95853903833176</v>
      </c>
      <c r="CL220" s="15">
        <f t="shared" si="388"/>
        <v>5.295917078076664E-6</v>
      </c>
      <c r="CM220" s="16">
        <f t="shared" si="389"/>
        <v>26.215523198940815</v>
      </c>
      <c r="CN220" s="17">
        <f t="shared" si="390"/>
        <v>1.3254057490626654E-2</v>
      </c>
      <c r="CO220" s="18">
        <f t="shared" si="391"/>
        <v>0.21039538132211863</v>
      </c>
      <c r="CP220" s="19">
        <f t="shared" si="422"/>
        <v>848.99033384390486</v>
      </c>
      <c r="CQ220" s="15">
        <f t="shared" si="392"/>
        <v>5.1979806676878097E-6</v>
      </c>
      <c r="CR220" s="16">
        <f t="shared" si="393"/>
        <v>25.652388839204903</v>
      </c>
      <c r="CS220" s="17">
        <f t="shared" si="394"/>
        <v>1.3008952668443353E-2</v>
      </c>
      <c r="CT220" s="18">
        <f t="shared" si="395"/>
        <v>0.21501408833981159</v>
      </c>
      <c r="CU220" s="19">
        <f t="shared" si="423"/>
        <v>770.05853562916946</v>
      </c>
      <c r="CV220" s="15">
        <f t="shared" si="396"/>
        <v>5.0401170712583391E-6</v>
      </c>
      <c r="CW220" s="16">
        <f t="shared" si="397"/>
        <v>24.744673159735449</v>
      </c>
      <c r="CX220" s="17">
        <f t="shared" si="398"/>
        <v>1.2613868464535622E-2</v>
      </c>
      <c r="CY220" s="18">
        <f t="shared" si="399"/>
        <v>0.22290150952468546</v>
      </c>
      <c r="CZ220" s="20">
        <f t="shared" si="424"/>
        <v>654.33754975796558</v>
      </c>
      <c r="DA220" s="15">
        <f t="shared" si="400"/>
        <v>4.8086750995159309E-6</v>
      </c>
      <c r="DB220" s="16">
        <f t="shared" si="401"/>
        <v>33.03902000862621</v>
      </c>
      <c r="DC220" s="17">
        <f t="shared" si="402"/>
        <v>1.2034640135618524E-2</v>
      </c>
      <c r="DD220" s="18">
        <f t="shared" si="403"/>
        <v>0.16694275431171737</v>
      </c>
    </row>
    <row r="221" spans="2:108" x14ac:dyDescent="0.25">
      <c r="B221">
        <v>202</v>
      </c>
      <c r="C221">
        <f t="shared" si="404"/>
        <v>0.19747816260174078</v>
      </c>
      <c r="D221" s="19">
        <f t="shared" si="321"/>
        <v>1016.6783174976999</v>
      </c>
      <c r="E221" s="15">
        <f t="shared" si="322"/>
        <v>5.5333566349954004E-6</v>
      </c>
      <c r="F221" s="16">
        <f t="shared" si="323"/>
        <v>27.580800651223548</v>
      </c>
      <c r="G221" s="17">
        <f t="shared" si="319"/>
        <v>1.3848295937255199E-2</v>
      </c>
      <c r="H221" s="18">
        <f t="shared" si="324"/>
        <v>0.19998059772624166</v>
      </c>
      <c r="I221" s="19">
        <f t="shared" si="405"/>
        <v>1016.3536272221706</v>
      </c>
      <c r="J221" s="15">
        <f t="shared" si="325"/>
        <v>5.5327072544443423E-6</v>
      </c>
      <c r="K221" s="16">
        <f t="shared" si="326"/>
        <v>27.577066713054961</v>
      </c>
      <c r="L221" s="17">
        <f t="shared" si="327"/>
        <v>1.3846670736741267E-2</v>
      </c>
      <c r="M221" s="18">
        <f t="shared" si="328"/>
        <v>0.20000767512336284</v>
      </c>
      <c r="N221" s="19">
        <f t="shared" si="406"/>
        <v>1015.4473561677192</v>
      </c>
      <c r="O221" s="15">
        <f t="shared" si="329"/>
        <v>5.5308947123354396E-6</v>
      </c>
      <c r="P221" s="16">
        <f t="shared" si="330"/>
        <v>27.566644595928771</v>
      </c>
      <c r="Q221" s="17">
        <f t="shared" si="320"/>
        <v>1.3848295937255199E-2</v>
      </c>
      <c r="R221" s="18">
        <f t="shared" si="331"/>
        <v>0.20008329199465158</v>
      </c>
      <c r="S221" s="19">
        <f t="shared" si="407"/>
        <v>1013.9456428054435</v>
      </c>
      <c r="T221" s="15">
        <f t="shared" si="332"/>
        <v>5.5278912856108875E-6</v>
      </c>
      <c r="U221" s="16">
        <f t="shared" si="333"/>
        <v>27.549374892262598</v>
      </c>
      <c r="V221" s="17">
        <f t="shared" si="334"/>
        <v>1.3834617842624797E-2</v>
      </c>
      <c r="W221" s="18">
        <f t="shared" si="335"/>
        <v>0.20020871695165379</v>
      </c>
      <c r="X221" s="19">
        <f t="shared" si="408"/>
        <v>1011.8466523577558</v>
      </c>
      <c r="Y221" s="15">
        <f t="shared" si="336"/>
        <v>5.523693304715512E-6</v>
      </c>
      <c r="Z221" s="16">
        <f t="shared" si="337"/>
        <v>27.52523650211419</v>
      </c>
      <c r="AA221" s="17">
        <f t="shared" si="338"/>
        <v>1.3824111582932364E-2</v>
      </c>
      <c r="AB221" s="18">
        <f t="shared" si="339"/>
        <v>0.20038429096063715</v>
      </c>
      <c r="AC221" s="19">
        <f t="shared" si="409"/>
        <v>1009.1489402661585</v>
      </c>
      <c r="AD221" s="15">
        <f t="shared" si="340"/>
        <v>5.518297880532318E-6</v>
      </c>
      <c r="AE221" s="16">
        <f t="shared" si="341"/>
        <v>27.494212813060823</v>
      </c>
      <c r="AF221" s="17">
        <f t="shared" si="342"/>
        <v>1.3810608489651993E-2</v>
      </c>
      <c r="AG221" s="18">
        <f t="shared" si="343"/>
        <v>0.20061039890474197</v>
      </c>
      <c r="AH221" s="19">
        <f t="shared" si="410"/>
        <v>1005.8521468817872</v>
      </c>
      <c r="AI221" s="15">
        <f t="shared" si="344"/>
        <v>5.5117042937635751E-6</v>
      </c>
      <c r="AJ221" s="16">
        <f t="shared" si="345"/>
        <v>27.45629968914055</v>
      </c>
      <c r="AK221" s="17">
        <f t="shared" si="346"/>
        <v>1.3794106762601899E-2</v>
      </c>
      <c r="AL221" s="18">
        <f t="shared" si="347"/>
        <v>0.20088741244988401</v>
      </c>
      <c r="AM221" s="19">
        <f t="shared" si="411"/>
        <v>1001.9560944943565</v>
      </c>
      <c r="AN221" s="15">
        <f t="shared" si="348"/>
        <v>5.5039121889887133E-6</v>
      </c>
      <c r="AO221" s="16">
        <f t="shared" si="349"/>
        <v>27.4114950866851</v>
      </c>
      <c r="AP221" s="17">
        <f t="shared" si="350"/>
        <v>1.3774605512273315E-2</v>
      </c>
      <c r="AQ221" s="18">
        <f t="shared" si="351"/>
        <v>0.2012157666904921</v>
      </c>
      <c r="AR221" s="19">
        <f t="shared" si="412"/>
        <v>997.46055158484319</v>
      </c>
      <c r="AS221" s="15">
        <f t="shared" si="352"/>
        <v>5.4949211031696866E-6</v>
      </c>
      <c r="AT221" s="16">
        <f t="shared" si="353"/>
        <v>27.359796343225696</v>
      </c>
      <c r="AU221" s="17">
        <f t="shared" si="354"/>
        <v>1.3752103579823908E-2</v>
      </c>
      <c r="AV221" s="18">
        <f t="shared" si="355"/>
        <v>0.20159598159310393</v>
      </c>
      <c r="AW221" s="19">
        <f t="shared" si="413"/>
        <v>992.36464731014337</v>
      </c>
      <c r="AX221" s="15">
        <f t="shared" si="356"/>
        <v>5.4847292946202872E-6</v>
      </c>
      <c r="AY221" s="16">
        <f t="shared" si="357"/>
        <v>27.301193444066648</v>
      </c>
      <c r="AZ221" s="17">
        <f t="shared" si="358"/>
        <v>1.3726596606346848E-2</v>
      </c>
      <c r="BA221" s="18">
        <f t="shared" si="359"/>
        <v>0.20202871392051572</v>
      </c>
      <c r="BB221" s="19">
        <f t="shared" si="414"/>
        <v>986.66466755509271</v>
      </c>
      <c r="BC221" s="15">
        <f t="shared" si="360"/>
        <v>5.4733293351101854E-6</v>
      </c>
      <c r="BD221" s="16">
        <f t="shared" si="361"/>
        <v>27.235643676883566</v>
      </c>
      <c r="BE221" s="17">
        <f t="shared" si="362"/>
        <v>1.3698066001258035E-2</v>
      </c>
      <c r="BF221" s="18">
        <f t="shared" si="363"/>
        <v>0.20251494935959319</v>
      </c>
      <c r="BG221" s="19">
        <f t="shared" si="415"/>
        <v>980.34582982160691</v>
      </c>
      <c r="BH221" s="15">
        <f t="shared" si="364"/>
        <v>5.4606916596432144E-6</v>
      </c>
      <c r="BI221" s="16">
        <f t="shared" si="365"/>
        <v>27.162977042948476</v>
      </c>
      <c r="BJ221" s="17">
        <f t="shared" si="366"/>
        <v>1.366643777243238E-2</v>
      </c>
      <c r="BK221" s="18">
        <f t="shared" si="367"/>
        <v>0.2030567191246756</v>
      </c>
      <c r="BL221" s="19">
        <f t="shared" si="416"/>
        <v>973.35437399791613</v>
      </c>
      <c r="BM221" s="15">
        <f t="shared" si="368"/>
        <v>5.4467087479958324E-6</v>
      </c>
      <c r="BN221" s="16">
        <f t="shared" si="369"/>
        <v>27.082575300976035</v>
      </c>
      <c r="BO221" s="17">
        <f t="shared" si="370"/>
        <v>1.3631442829700371E-2</v>
      </c>
      <c r="BP221" s="18">
        <f t="shared" si="371"/>
        <v>0.20365954635788353</v>
      </c>
      <c r="BQ221" s="19">
        <f t="shared" si="417"/>
        <v>965.51347520551542</v>
      </c>
      <c r="BR221" s="15">
        <f t="shared" si="372"/>
        <v>5.431026950411032E-6</v>
      </c>
      <c r="BS221" s="16">
        <f t="shared" si="373"/>
        <v>26.992404964863425</v>
      </c>
      <c r="BT221" s="17">
        <f t="shared" si="374"/>
        <v>1.3592196096097662E-2</v>
      </c>
      <c r="BU221" s="18">
        <f t="shared" si="375"/>
        <v>0.20433988772692926</v>
      </c>
      <c r="BV221" s="19">
        <f t="shared" si="418"/>
        <v>956.30324005780199</v>
      </c>
      <c r="BW221" s="15">
        <f t="shared" si="376"/>
        <v>5.4126064801156042E-6</v>
      </c>
      <c r="BX221" s="16">
        <f t="shared" si="377"/>
        <v>26.886487260664722</v>
      </c>
      <c r="BY221" s="17">
        <f t="shared" si="378"/>
        <v>1.3546095303977886E-2</v>
      </c>
      <c r="BZ221" s="18">
        <f t="shared" si="379"/>
        <v>0.20514487246050289</v>
      </c>
      <c r="CA221" s="19">
        <f t="shared" si="419"/>
        <v>944.37717360057229</v>
      </c>
      <c r="CB221" s="15">
        <f t="shared" si="380"/>
        <v>5.3887543472011454E-6</v>
      </c>
      <c r="CC221" s="16">
        <f t="shared" si="381"/>
        <v>26.749337496406582</v>
      </c>
      <c r="CD221" s="17">
        <f t="shared" si="382"/>
        <v>1.3486400724878261E-2</v>
      </c>
      <c r="CE221" s="18">
        <f t="shared" si="383"/>
        <v>0.20619669555333664</v>
      </c>
      <c r="CF221" s="19">
        <f t="shared" si="420"/>
        <v>926.72157206373811</v>
      </c>
      <c r="CG221" s="15">
        <f t="shared" si="384"/>
        <v>5.3534431441274768E-6</v>
      </c>
      <c r="CH221" s="16">
        <f t="shared" si="385"/>
        <v>26.546298078732988</v>
      </c>
      <c r="CI221" s="17">
        <f t="shared" si="386"/>
        <v>1.3398027604849811E-2</v>
      </c>
      <c r="CJ221" s="18">
        <f t="shared" si="387"/>
        <v>0.2077737914206097</v>
      </c>
      <c r="CK221" s="19">
        <f t="shared" si="421"/>
        <v>897.65944649295034</v>
      </c>
      <c r="CL221" s="15">
        <f t="shared" si="388"/>
        <v>5.2953188929859009E-6</v>
      </c>
      <c r="CM221" s="16">
        <f t="shared" si="389"/>
        <v>26.212083634668929</v>
      </c>
      <c r="CN221" s="17">
        <f t="shared" si="390"/>
        <v>1.3252560416660782E-2</v>
      </c>
      <c r="CO221" s="18">
        <f t="shared" si="391"/>
        <v>0.21042298952170518</v>
      </c>
      <c r="CP221" s="19">
        <f t="shared" si="422"/>
        <v>848.54615611370104</v>
      </c>
      <c r="CQ221" s="15">
        <f t="shared" si="392"/>
        <v>5.1970923122274028E-6</v>
      </c>
      <c r="CR221" s="16">
        <f t="shared" si="393"/>
        <v>25.647280795307559</v>
      </c>
      <c r="CS221" s="17">
        <f t="shared" si="394"/>
        <v>1.3006729386966178E-2</v>
      </c>
      <c r="CT221" s="18">
        <f t="shared" si="395"/>
        <v>0.21505691164769178</v>
      </c>
      <c r="CU221" s="19">
        <f t="shared" si="423"/>
        <v>769.51340240813897</v>
      </c>
      <c r="CV221" s="15">
        <f t="shared" si="396"/>
        <v>5.0390268048162778E-6</v>
      </c>
      <c r="CW221" s="16">
        <f t="shared" si="397"/>
        <v>24.738404127693599</v>
      </c>
      <c r="CX221" s="17">
        <f t="shared" si="398"/>
        <v>1.2611139861747825E-2</v>
      </c>
      <c r="CY221" s="18">
        <f t="shared" si="399"/>
        <v>0.22295799565443636</v>
      </c>
      <c r="CZ221" s="20">
        <f t="shared" si="424"/>
        <v>653.80568863388351</v>
      </c>
      <c r="DA221" s="15">
        <f t="shared" si="400"/>
        <v>4.8076113772677679E-6</v>
      </c>
      <c r="DB221" s="16">
        <f t="shared" si="401"/>
        <v>33.145817722341832</v>
      </c>
      <c r="DC221" s="17">
        <f t="shared" si="402"/>
        <v>1.2031977964813475E-2</v>
      </c>
      <c r="DD221" s="18">
        <f t="shared" si="403"/>
        <v>0.16640485524308579</v>
      </c>
    </row>
    <row r="222" spans="2:108" x14ac:dyDescent="0.25">
      <c r="B222">
        <v>203</v>
      </c>
      <c r="C222">
        <f t="shared" si="404"/>
        <v>0.19845577726808605</v>
      </c>
      <c r="D222" s="19">
        <f t="shared" si="321"/>
        <v>1016.6617404524578</v>
      </c>
      <c r="E222" s="15">
        <f t="shared" si="322"/>
        <v>5.5333234809049163E-6</v>
      </c>
      <c r="F222" s="16">
        <f t="shared" si="323"/>
        <v>27.580610015203263</v>
      </c>
      <c r="G222" s="17">
        <f t="shared" si="319"/>
        <v>1.3848212962726925E-2</v>
      </c>
      <c r="H222" s="18">
        <f t="shared" si="324"/>
        <v>0.19998197998375022</v>
      </c>
      <c r="I222" s="19">
        <f t="shared" si="405"/>
        <v>1016.3370500603659</v>
      </c>
      <c r="J222" s="15">
        <f t="shared" si="325"/>
        <v>5.5326741001207327E-6</v>
      </c>
      <c r="K222" s="16">
        <f t="shared" si="326"/>
        <v>27.576876075694209</v>
      </c>
      <c r="L222" s="17">
        <f t="shared" si="327"/>
        <v>1.3846587761629553E-2</v>
      </c>
      <c r="M222" s="18">
        <f t="shared" si="328"/>
        <v>0.20000905776493583</v>
      </c>
      <c r="N222" s="19">
        <f t="shared" si="406"/>
        <v>1015.4307757316583</v>
      </c>
      <c r="O222" s="15">
        <f t="shared" si="329"/>
        <v>5.5308615514633175E-6</v>
      </c>
      <c r="P222" s="16">
        <f t="shared" si="330"/>
        <v>27.566453920914071</v>
      </c>
      <c r="Q222" s="17">
        <f t="shared" si="320"/>
        <v>1.3848212962726925E-2</v>
      </c>
      <c r="R222" s="18">
        <f t="shared" si="331"/>
        <v>0.20008467595519838</v>
      </c>
      <c r="S222" s="19">
        <f t="shared" si="407"/>
        <v>1013.9290610329709</v>
      </c>
      <c r="T222" s="15">
        <f t="shared" si="332"/>
        <v>5.5278581220659428E-6</v>
      </c>
      <c r="U222" s="16">
        <f t="shared" si="333"/>
        <v>27.549184201879164</v>
      </c>
      <c r="V222" s="17">
        <f t="shared" si="334"/>
        <v>1.3834534844434905E-2</v>
      </c>
      <c r="W222" s="18">
        <f t="shared" si="335"/>
        <v>0.20021010275955003</v>
      </c>
      <c r="X222" s="19">
        <f t="shared" si="408"/>
        <v>1011.8300743037588</v>
      </c>
      <c r="Y222" s="15">
        <f t="shared" si="336"/>
        <v>5.5236601486075175E-6</v>
      </c>
      <c r="Z222" s="16">
        <f t="shared" si="337"/>
        <v>27.525045854493225</v>
      </c>
      <c r="AA222" s="17">
        <f t="shared" si="338"/>
        <v>1.382402860335488E-2</v>
      </c>
      <c r="AB222" s="18">
        <f t="shared" si="339"/>
        <v>0.20038567888887357</v>
      </c>
      <c r="AC222" s="19">
        <f t="shared" si="409"/>
        <v>1009.1323717277153</v>
      </c>
      <c r="AD222" s="15">
        <f t="shared" si="340"/>
        <v>5.5182647434554308E-6</v>
      </c>
      <c r="AE222" s="16">
        <f t="shared" si="341"/>
        <v>27.494022274868726</v>
      </c>
      <c r="AF222" s="17">
        <f t="shared" si="342"/>
        <v>1.3810525557703542E-2</v>
      </c>
      <c r="AG222" s="18">
        <f t="shared" si="343"/>
        <v>0.20061178916849973</v>
      </c>
      <c r="AH222" s="19">
        <f t="shared" si="410"/>
        <v>1005.8355927183128</v>
      </c>
      <c r="AI222" s="15">
        <f t="shared" si="344"/>
        <v>5.5116711854366261E-6</v>
      </c>
      <c r="AJ222" s="16">
        <f t="shared" si="345"/>
        <v>27.456109316260594</v>
      </c>
      <c r="AK222" s="17">
        <f t="shared" si="346"/>
        <v>1.379402390260573E-2</v>
      </c>
      <c r="AL222" s="18">
        <f t="shared" si="347"/>
        <v>0.20088880534626327</v>
      </c>
      <c r="AM222" s="19">
        <f t="shared" si="411"/>
        <v>1001.9395569744722</v>
      </c>
      <c r="AN222" s="15">
        <f t="shared" si="348"/>
        <v>5.5038791139489453E-6</v>
      </c>
      <c r="AO222" s="16">
        <f t="shared" si="349"/>
        <v>27.411304905206428</v>
      </c>
      <c r="AP222" s="17">
        <f t="shared" si="350"/>
        <v>1.3774522735584757E-2</v>
      </c>
      <c r="AQ222" s="18">
        <f t="shared" si="351"/>
        <v>0.20121716273902659</v>
      </c>
      <c r="AR222" s="19">
        <f t="shared" si="412"/>
        <v>997.44402454311228</v>
      </c>
      <c r="AS222" s="15">
        <f t="shared" si="352"/>
        <v>5.4948880490862253E-6</v>
      </c>
      <c r="AT222" s="16">
        <f t="shared" si="353"/>
        <v>27.359606282245792</v>
      </c>
      <c r="AU222" s="17">
        <f t="shared" si="354"/>
        <v>1.3752020855582565E-2</v>
      </c>
      <c r="AV222" s="18">
        <f t="shared" si="355"/>
        <v>0.20159738203466773</v>
      </c>
      <c r="AW222" s="19">
        <f t="shared" si="413"/>
        <v>992.34809198363189</v>
      </c>
      <c r="AX222" s="15">
        <f t="shared" si="356"/>
        <v>5.4846961839672646E-6</v>
      </c>
      <c r="AY222" s="16">
        <f t="shared" si="357"/>
        <v>27.301003057811766</v>
      </c>
      <c r="AZ222" s="17">
        <f t="shared" si="358"/>
        <v>1.3726513740529233E-2</v>
      </c>
      <c r="BA222" s="18">
        <f t="shared" si="359"/>
        <v>0.2020301227878068</v>
      </c>
      <c r="BB222" s="19">
        <f t="shared" si="414"/>
        <v>986.64792396937821</v>
      </c>
      <c r="BC222" s="15">
        <f t="shared" si="360"/>
        <v>5.4732958479387569E-6</v>
      </c>
      <c r="BD222" s="16">
        <f t="shared" si="361"/>
        <v>27.235451125647849</v>
      </c>
      <c r="BE222" s="17">
        <f t="shared" si="362"/>
        <v>1.3697982193130235E-2</v>
      </c>
      <c r="BF222" s="18">
        <f t="shared" si="363"/>
        <v>0.20251638111497594</v>
      </c>
      <c r="BG222" s="19">
        <f t="shared" si="415"/>
        <v>980.32832884897857</v>
      </c>
      <c r="BH222" s="15">
        <f t="shared" si="364"/>
        <v>5.4606566576979576E-6</v>
      </c>
      <c r="BI222" s="16">
        <f t="shared" si="365"/>
        <v>27.162775781763251</v>
      </c>
      <c r="BJ222" s="17">
        <f t="shared" si="366"/>
        <v>1.3666350173289892E-2</v>
      </c>
      <c r="BK222" s="18">
        <f t="shared" si="367"/>
        <v>0.20305822366295576</v>
      </c>
      <c r="BL222" s="19">
        <f t="shared" si="416"/>
        <v>973.33431920651697</v>
      </c>
      <c r="BM222" s="15">
        <f t="shared" si="368"/>
        <v>5.4466686384130343E-6</v>
      </c>
      <c r="BN222" s="16">
        <f t="shared" si="369"/>
        <v>27.082344670874946</v>
      </c>
      <c r="BO222" s="17">
        <f t="shared" si="370"/>
        <v>1.3631342447706375E-2</v>
      </c>
      <c r="BP222" s="18">
        <f t="shared" si="371"/>
        <v>0.20366128069892139</v>
      </c>
      <c r="BQ222" s="19">
        <f t="shared" si="417"/>
        <v>965.48586970327392</v>
      </c>
      <c r="BR222" s="15">
        <f t="shared" si="372"/>
        <v>5.4309717394065481E-6</v>
      </c>
      <c r="BS222" s="16">
        <f t="shared" si="373"/>
        <v>26.992087501587648</v>
      </c>
      <c r="BT222" s="17">
        <f t="shared" si="374"/>
        <v>1.3592057919873082E-2</v>
      </c>
      <c r="BU222" s="18">
        <f t="shared" si="375"/>
        <v>0.20434229103901566</v>
      </c>
      <c r="BV222" s="19">
        <f t="shared" si="418"/>
        <v>956.25606611292721</v>
      </c>
      <c r="BW222" s="15">
        <f t="shared" si="376"/>
        <v>5.4125121322258552E-6</v>
      </c>
      <c r="BX222" s="16">
        <f t="shared" si="377"/>
        <v>26.885944760298663</v>
      </c>
      <c r="BY222" s="17">
        <f t="shared" si="378"/>
        <v>1.3545859180123148E-2</v>
      </c>
      <c r="BZ222" s="18">
        <f t="shared" si="379"/>
        <v>0.20514901184148418</v>
      </c>
      <c r="CA222" s="19">
        <f t="shared" si="419"/>
        <v>944.28620515491775</v>
      </c>
      <c r="CB222" s="15">
        <f t="shared" si="380"/>
        <v>5.3885724103098362E-6</v>
      </c>
      <c r="CC222" s="16">
        <f t="shared" si="381"/>
        <v>26.748291359281552</v>
      </c>
      <c r="CD222" s="17">
        <f t="shared" si="382"/>
        <v>1.3485945392594631E-2</v>
      </c>
      <c r="CE222" s="18">
        <f t="shared" si="383"/>
        <v>0.20620475999436502</v>
      </c>
      <c r="CF222" s="19">
        <f t="shared" si="420"/>
        <v>926.54805578110188</v>
      </c>
      <c r="CG222" s="15">
        <f t="shared" si="384"/>
        <v>5.3530961115622042E-6</v>
      </c>
      <c r="CH222" s="16">
        <f t="shared" si="385"/>
        <v>26.544302641482673</v>
      </c>
      <c r="CI222" s="17">
        <f t="shared" si="386"/>
        <v>1.3397159088688505E-2</v>
      </c>
      <c r="CJ222" s="18">
        <f t="shared" si="387"/>
        <v>0.20778941057507158</v>
      </c>
      <c r="CK222" s="19">
        <f t="shared" si="421"/>
        <v>897.36001406914761</v>
      </c>
      <c r="CL222" s="15">
        <f t="shared" si="388"/>
        <v>5.2947200281382956E-6</v>
      </c>
      <c r="CM222" s="16">
        <f t="shared" si="389"/>
        <v>26.208640161795195</v>
      </c>
      <c r="CN222" s="17">
        <f t="shared" si="390"/>
        <v>1.3251061641471846E-2</v>
      </c>
      <c r="CO222" s="18">
        <f t="shared" si="391"/>
        <v>0.21045063635313005</v>
      </c>
      <c r="CP222" s="19">
        <f t="shared" si="422"/>
        <v>848.1025228184044</v>
      </c>
      <c r="CQ222" s="15">
        <f t="shared" si="392"/>
        <v>5.1962050456368094E-6</v>
      </c>
      <c r="CR222" s="16">
        <f t="shared" si="393"/>
        <v>25.642179012411649</v>
      </c>
      <c r="CS222" s="17">
        <f t="shared" si="394"/>
        <v>1.3004508830596458E-2</v>
      </c>
      <c r="CT222" s="18">
        <f t="shared" si="395"/>
        <v>0.21509969949629701</v>
      </c>
      <c r="CU222" s="19">
        <f t="shared" si="423"/>
        <v>768.96981772056347</v>
      </c>
      <c r="CV222" s="15">
        <f t="shared" si="396"/>
        <v>5.0379396354411275E-6</v>
      </c>
      <c r="CW222" s="16">
        <f t="shared" si="397"/>
        <v>24.732152903786478</v>
      </c>
      <c r="CX222" s="17">
        <f t="shared" si="398"/>
        <v>1.2608419009969396E-2</v>
      </c>
      <c r="CY222" s="18">
        <f t="shared" si="399"/>
        <v>0.22301434984075166</v>
      </c>
      <c r="CZ222" s="20">
        <f t="shared" si="424"/>
        <v>653.27565186176093</v>
      </c>
      <c r="DA222" s="15">
        <f t="shared" si="400"/>
        <v>4.8065513037235219E-6</v>
      </c>
      <c r="DB222" s="16">
        <f t="shared" si="401"/>
        <v>33.252249106184024</v>
      </c>
      <c r="DC222" s="17">
        <f t="shared" si="402"/>
        <v>1.2029324925596172E-2</v>
      </c>
      <c r="DD222" s="18">
        <f t="shared" si="403"/>
        <v>0.16587223866833845</v>
      </c>
    </row>
    <row r="223" spans="2:108" x14ac:dyDescent="0.25">
      <c r="B223">
        <v>204</v>
      </c>
      <c r="C223">
        <f t="shared" si="404"/>
        <v>0.1994333919344313</v>
      </c>
      <c r="D223" s="19">
        <f t="shared" si="321"/>
        <v>1016.6451634012647</v>
      </c>
      <c r="E223" s="15">
        <f t="shared" si="322"/>
        <v>5.5332903268025297E-6</v>
      </c>
      <c r="F223" s="16">
        <f t="shared" si="323"/>
        <v>27.580419379114545</v>
      </c>
      <c r="G223" s="17">
        <f t="shared" si="319"/>
        <v>1.3848129988168863E-2</v>
      </c>
      <c r="H223" s="18">
        <f t="shared" si="324"/>
        <v>0.19998336226086336</v>
      </c>
      <c r="I223" s="19">
        <f t="shared" si="405"/>
        <v>1016.3204729306804</v>
      </c>
      <c r="J223" s="15">
        <f t="shared" si="325"/>
        <v>5.5326409458613613E-6</v>
      </c>
      <c r="K223" s="16">
        <f t="shared" si="326"/>
        <v>27.576685438702825</v>
      </c>
      <c r="L223" s="17">
        <f t="shared" si="327"/>
        <v>1.3846504786678607E-2</v>
      </c>
      <c r="M223" s="18">
        <f t="shared" si="328"/>
        <v>0.20001044042294622</v>
      </c>
      <c r="N223" s="19">
        <f t="shared" si="406"/>
        <v>1015.4141954058266</v>
      </c>
      <c r="O223" s="15">
        <f t="shared" si="329"/>
        <v>5.5308283908116544E-6</v>
      </c>
      <c r="P223" s="16">
        <f t="shared" si="330"/>
        <v>27.566263247167004</v>
      </c>
      <c r="Q223" s="17">
        <f t="shared" si="320"/>
        <v>1.3848129988168863E-2</v>
      </c>
      <c r="R223" s="18">
        <f t="shared" si="331"/>
        <v>0.2000860599256899</v>
      </c>
      <c r="S223" s="19">
        <f t="shared" si="407"/>
        <v>1013.9124794353503</v>
      </c>
      <c r="T223" s="15">
        <f t="shared" si="332"/>
        <v>5.5278249588707015E-6</v>
      </c>
      <c r="U223" s="16">
        <f t="shared" si="333"/>
        <v>27.548993513506527</v>
      </c>
      <c r="V223" s="17">
        <f t="shared" si="334"/>
        <v>1.3834451847120215E-2</v>
      </c>
      <c r="W223" s="18">
        <f t="shared" si="335"/>
        <v>0.20021148857201762</v>
      </c>
      <c r="X223" s="19">
        <f t="shared" si="408"/>
        <v>1011.8134964523033</v>
      </c>
      <c r="Y223" s="15">
        <f t="shared" si="336"/>
        <v>5.5236269929046071E-6</v>
      </c>
      <c r="Z223" s="16">
        <f t="shared" si="337"/>
        <v>27.524855209201487</v>
      </c>
      <c r="AA223" s="17">
        <f t="shared" si="338"/>
        <v>1.3823945624791197E-2</v>
      </c>
      <c r="AB223" s="18">
        <f t="shared" si="339"/>
        <v>0.20038706681937934</v>
      </c>
      <c r="AC223" s="19">
        <f t="shared" si="409"/>
        <v>1009.1158033889268</v>
      </c>
      <c r="AD223" s="15">
        <f t="shared" si="340"/>
        <v>5.5182316067778545E-6</v>
      </c>
      <c r="AE223" s="16">
        <f t="shared" si="341"/>
        <v>27.493831738972659</v>
      </c>
      <c r="AF223" s="17">
        <f t="shared" si="342"/>
        <v>1.3810442626754439E-2</v>
      </c>
      <c r="AG223" s="18">
        <f t="shared" si="343"/>
        <v>0.20061317943477378</v>
      </c>
      <c r="AH223" s="19">
        <f t="shared" si="410"/>
        <v>1005.8190387212736</v>
      </c>
      <c r="AI223" s="15">
        <f t="shared" si="344"/>
        <v>5.5116380774425474E-6</v>
      </c>
      <c r="AJ223" s="16">
        <f t="shared" si="345"/>
        <v>27.455918945294645</v>
      </c>
      <c r="AK223" s="17">
        <f t="shared" si="346"/>
        <v>1.3793941043442634E-2</v>
      </c>
      <c r="AL223" s="18">
        <f t="shared" si="347"/>
        <v>0.20089019824795409</v>
      </c>
      <c r="AM223" s="19">
        <f t="shared" si="411"/>
        <v>1001.9230194956037</v>
      </c>
      <c r="AN223" s="15">
        <f t="shared" si="348"/>
        <v>5.5038460389912082E-6</v>
      </c>
      <c r="AO223" s="16">
        <f t="shared" si="349"/>
        <v>27.411114724199443</v>
      </c>
      <c r="AP223" s="17">
        <f t="shared" si="350"/>
        <v>1.3774439959101501E-2</v>
      </c>
      <c r="AQ223" s="18">
        <f t="shared" si="351"/>
        <v>0.20121855880347045</v>
      </c>
      <c r="AR223" s="19">
        <f t="shared" si="412"/>
        <v>997.42749705143126</v>
      </c>
      <c r="AS223" s="15">
        <f t="shared" si="352"/>
        <v>5.4948549941028625E-6</v>
      </c>
      <c r="AT223" s="16">
        <f t="shared" si="353"/>
        <v>27.359416216091461</v>
      </c>
      <c r="AU223" s="17">
        <f t="shared" si="354"/>
        <v>1.3751938129089047E-2</v>
      </c>
      <c r="AV223" s="18">
        <f t="shared" si="355"/>
        <v>0.20159878253381669</v>
      </c>
      <c r="AW223" s="19">
        <f t="shared" si="413"/>
        <v>992.3315343913132</v>
      </c>
      <c r="AX223" s="15">
        <f t="shared" si="356"/>
        <v>5.4846630687826267E-6</v>
      </c>
      <c r="AY223" s="16">
        <f t="shared" si="357"/>
        <v>27.300812645500102</v>
      </c>
      <c r="AZ223" s="17">
        <f t="shared" si="358"/>
        <v>1.372643086337037E-2</v>
      </c>
      <c r="BA223" s="18">
        <f t="shared" si="359"/>
        <v>0.20203153186757322</v>
      </c>
      <c r="BB223" s="19">
        <f t="shared" si="414"/>
        <v>986.63117202364765</v>
      </c>
      <c r="BC223" s="15">
        <f t="shared" si="360"/>
        <v>5.4732623440472962E-6</v>
      </c>
      <c r="BD223" s="16">
        <f t="shared" si="361"/>
        <v>27.235258478271945</v>
      </c>
      <c r="BE223" s="17">
        <f t="shared" si="362"/>
        <v>1.3697898343157315E-2</v>
      </c>
      <c r="BF223" s="18">
        <f t="shared" si="363"/>
        <v>0.20251781360548932</v>
      </c>
      <c r="BG223" s="19">
        <f t="shared" si="415"/>
        <v>980.31080131447686</v>
      </c>
      <c r="BH223" s="15">
        <f t="shared" si="364"/>
        <v>5.4606216026289542E-6</v>
      </c>
      <c r="BI223" s="16">
        <f t="shared" si="365"/>
        <v>27.162574215116486</v>
      </c>
      <c r="BJ223" s="17">
        <f t="shared" si="366"/>
        <v>1.3666262441194951E-2</v>
      </c>
      <c r="BK223" s="18">
        <f t="shared" si="367"/>
        <v>0.20305973050707582</v>
      </c>
      <c r="BL223" s="19">
        <f t="shared" si="416"/>
        <v>973.3141905012244</v>
      </c>
      <c r="BM223" s="15">
        <f t="shared" si="368"/>
        <v>5.4466283810024496E-6</v>
      </c>
      <c r="BN223" s="16">
        <f t="shared" si="369"/>
        <v>27.08211319076408</v>
      </c>
      <c r="BO223" s="17">
        <f t="shared" si="370"/>
        <v>1.3631241695744733E-2</v>
      </c>
      <c r="BP223" s="18">
        <f t="shared" si="371"/>
        <v>0.20366302146174528</v>
      </c>
      <c r="BQ223" s="19">
        <f t="shared" si="417"/>
        <v>965.45808637047367</v>
      </c>
      <c r="BR223" s="15">
        <f t="shared" si="372"/>
        <v>5.4309161727409478E-6</v>
      </c>
      <c r="BS223" s="16">
        <f t="shared" si="373"/>
        <v>26.991767993260446</v>
      </c>
      <c r="BT223" s="17">
        <f t="shared" si="374"/>
        <v>1.3591918853537719E-2</v>
      </c>
      <c r="BU223" s="18">
        <f t="shared" si="375"/>
        <v>0.2043447098899632</v>
      </c>
      <c r="BV223" s="19">
        <f t="shared" si="418"/>
        <v>956.20853261409388</v>
      </c>
      <c r="BW223" s="15">
        <f t="shared" si="376"/>
        <v>5.4124170652281877E-6</v>
      </c>
      <c r="BX223" s="16">
        <f t="shared" si="377"/>
        <v>26.885398125062078</v>
      </c>
      <c r="BY223" s="17">
        <f t="shared" si="378"/>
        <v>1.3545621256561663E-2</v>
      </c>
      <c r="BZ223" s="18">
        <f t="shared" si="379"/>
        <v>0.20515318294127974</v>
      </c>
      <c r="CA223" s="19">
        <f t="shared" si="419"/>
        <v>944.19465632286392</v>
      </c>
      <c r="CB223" s="15">
        <f t="shared" si="380"/>
        <v>5.3883893126457281E-6</v>
      </c>
      <c r="CC223" s="16">
        <f t="shared" si="381"/>
        <v>26.747238547712932</v>
      </c>
      <c r="CD223" s="17">
        <f t="shared" si="382"/>
        <v>1.3485487155252409E-2</v>
      </c>
      <c r="CE223" s="18">
        <f t="shared" si="383"/>
        <v>0.20621287652409348</v>
      </c>
      <c r="CF223" s="19">
        <f t="shared" si="420"/>
        <v>926.37387270044906</v>
      </c>
      <c r="CG223" s="15">
        <f t="shared" si="384"/>
        <v>5.3527477454008985E-6</v>
      </c>
      <c r="CH223" s="16">
        <f t="shared" si="385"/>
        <v>26.542299536055161</v>
      </c>
      <c r="CI223" s="17">
        <f t="shared" si="386"/>
        <v>1.3396287234945013E-2</v>
      </c>
      <c r="CJ223" s="18">
        <f t="shared" si="387"/>
        <v>0.20780509211372414</v>
      </c>
      <c r="CK223" s="19">
        <f t="shared" si="421"/>
        <v>897.06024975577679</v>
      </c>
      <c r="CL223" s="15">
        <f t="shared" si="388"/>
        <v>5.2941204995115535E-6</v>
      </c>
      <c r="CM223" s="16">
        <f t="shared" si="389"/>
        <v>26.205192872191432</v>
      </c>
      <c r="CN223" s="17">
        <f t="shared" si="390"/>
        <v>1.3249561205047149E-2</v>
      </c>
      <c r="CO223" s="18">
        <f t="shared" si="391"/>
        <v>0.21047832110608508</v>
      </c>
      <c r="CP223" s="19">
        <f t="shared" si="422"/>
        <v>847.65943618389429</v>
      </c>
      <c r="CQ223" s="15">
        <f t="shared" si="392"/>
        <v>5.1953188723677892E-6</v>
      </c>
      <c r="CR223" s="16">
        <f t="shared" si="393"/>
        <v>25.637083516114785</v>
      </c>
      <c r="CS223" s="17">
        <f t="shared" si="394"/>
        <v>1.3002291010475581E-2</v>
      </c>
      <c r="CT223" s="18">
        <f t="shared" si="395"/>
        <v>0.21514245161829837</v>
      </c>
      <c r="CU223" s="19">
        <f t="shared" si="423"/>
        <v>768.42777192395931</v>
      </c>
      <c r="CV223" s="15">
        <f t="shared" si="396"/>
        <v>5.0368555438479191E-6</v>
      </c>
      <c r="CW223" s="16">
        <f t="shared" si="397"/>
        <v>24.725919377125532</v>
      </c>
      <c r="CX223" s="17">
        <f t="shared" si="398"/>
        <v>1.260570586093597E-2</v>
      </c>
      <c r="CY223" s="18">
        <f t="shared" si="399"/>
        <v>0.22307057286220147</v>
      </c>
      <c r="CZ223" s="20">
        <f t="shared" si="424"/>
        <v>652.74742492287794</v>
      </c>
      <c r="DA223" s="15">
        <f t="shared" si="400"/>
        <v>4.8054948498457567E-6</v>
      </c>
      <c r="DB223" s="16">
        <f t="shared" si="401"/>
        <v>33.35831707551165</v>
      </c>
      <c r="DC223" s="17">
        <f t="shared" si="402"/>
        <v>1.2026680945294806E-2</v>
      </c>
      <c r="DD223" s="18">
        <f t="shared" si="403"/>
        <v>0.16534482202787806</v>
      </c>
    </row>
    <row r="224" spans="2:108" x14ac:dyDescent="0.25">
      <c r="B224">
        <v>205</v>
      </c>
      <c r="C224">
        <f t="shared" si="404"/>
        <v>0.20041100660077654</v>
      </c>
      <c r="D224" s="19">
        <f t="shared" si="321"/>
        <v>1016.628586346064</v>
      </c>
      <c r="E224" s="15">
        <f t="shared" si="322"/>
        <v>5.5332571726921285E-6</v>
      </c>
      <c r="F224" s="16">
        <f t="shared" si="323"/>
        <v>27.580228742979735</v>
      </c>
      <c r="G224" s="17">
        <f t="shared" si="319"/>
        <v>1.3848047013590744E-2</v>
      </c>
      <c r="H224" s="18">
        <f t="shared" si="324"/>
        <v>0.19998474455741946</v>
      </c>
      <c r="I224" s="19">
        <f t="shared" si="405"/>
        <v>1016.3038958344738</v>
      </c>
      <c r="J224" s="15">
        <f t="shared" si="325"/>
        <v>5.5326077916689478E-6</v>
      </c>
      <c r="K224" s="16">
        <f t="shared" si="326"/>
        <v>27.576494802096448</v>
      </c>
      <c r="L224" s="17">
        <f t="shared" si="327"/>
        <v>1.3846421811895236E-2</v>
      </c>
      <c r="M224" s="18">
        <f t="shared" si="328"/>
        <v>0.20001182309728086</v>
      </c>
      <c r="N224" s="19">
        <f t="shared" si="406"/>
        <v>1015.3976151905314</v>
      </c>
      <c r="O224" s="15">
        <f t="shared" si="329"/>
        <v>5.5307952303810635E-6</v>
      </c>
      <c r="P224" s="16">
        <f t="shared" si="330"/>
        <v>27.566072574691113</v>
      </c>
      <c r="Q224" s="17">
        <f t="shared" si="320"/>
        <v>1.3848047013590744E-2</v>
      </c>
      <c r="R224" s="18">
        <f t="shared" si="331"/>
        <v>0.20008744390610037</v>
      </c>
      <c r="S224" s="19">
        <f t="shared" si="407"/>
        <v>1013.8958980122821</v>
      </c>
      <c r="T224" s="15">
        <f t="shared" si="332"/>
        <v>5.5277917960245641E-6</v>
      </c>
      <c r="U224" s="16">
        <f t="shared" si="333"/>
        <v>27.548802827141245</v>
      </c>
      <c r="V224" s="17">
        <f t="shared" si="334"/>
        <v>1.3834368850679225E-2</v>
      </c>
      <c r="W224" s="18">
        <f t="shared" si="335"/>
        <v>0.20021287438908139</v>
      </c>
      <c r="X224" s="19">
        <f t="shared" si="408"/>
        <v>1011.796918803007</v>
      </c>
      <c r="Y224" s="15">
        <f t="shared" si="336"/>
        <v>5.5235938376060143E-6</v>
      </c>
      <c r="Z224" s="16">
        <f t="shared" si="337"/>
        <v>27.524664566234577</v>
      </c>
      <c r="AA224" s="17">
        <f t="shared" si="338"/>
        <v>1.38238626472394E-2</v>
      </c>
      <c r="AB224" s="18">
        <f t="shared" si="339"/>
        <v>0.2003884547521862</v>
      </c>
      <c r="AC224" s="19">
        <f t="shared" si="409"/>
        <v>1009.0992352493215</v>
      </c>
      <c r="AD224" s="15">
        <f t="shared" si="340"/>
        <v>5.5181984704986438E-6</v>
      </c>
      <c r="AE224" s="16">
        <f t="shared" si="341"/>
        <v>27.493641205367197</v>
      </c>
      <c r="AF224" s="17">
        <f t="shared" si="342"/>
        <v>1.3810359696802325E-2</v>
      </c>
      <c r="AG224" s="18">
        <f t="shared" si="343"/>
        <v>0.20061456970360339</v>
      </c>
      <c r="AH224" s="19">
        <f t="shared" si="410"/>
        <v>1005.8024848892118</v>
      </c>
      <c r="AI224" s="15">
        <f t="shared" si="344"/>
        <v>5.5116049697784237E-6</v>
      </c>
      <c r="AJ224" s="16">
        <f t="shared" si="345"/>
        <v>27.455728576225937</v>
      </c>
      <c r="AK224" s="17">
        <f t="shared" si="346"/>
        <v>1.3793858185105314E-2</v>
      </c>
      <c r="AL224" s="18">
        <f t="shared" si="347"/>
        <v>0.20089159115507899</v>
      </c>
      <c r="AM224" s="19">
        <f t="shared" si="411"/>
        <v>1001.9064820521013</v>
      </c>
      <c r="AN224" s="15">
        <f t="shared" si="348"/>
        <v>5.5038129641042034E-6</v>
      </c>
      <c r="AO224" s="16">
        <f t="shared" si="349"/>
        <v>27.410924543599165</v>
      </c>
      <c r="AP224" s="17">
        <f t="shared" si="350"/>
        <v>1.3774357182795264E-2</v>
      </c>
      <c r="AQ224" s="18">
        <f t="shared" si="351"/>
        <v>0.20121995488430089</v>
      </c>
      <c r="AR224" s="19">
        <f t="shared" si="412"/>
        <v>997.41096908957115</v>
      </c>
      <c r="AS224" s="15">
        <f t="shared" si="352"/>
        <v>5.4948219381791424E-6</v>
      </c>
      <c r="AT224" s="16">
        <f t="shared" si="353"/>
        <v>27.359226144530069</v>
      </c>
      <c r="AU224" s="17">
        <f t="shared" si="354"/>
        <v>1.3751855400242098E-2</v>
      </c>
      <c r="AV224" s="18">
        <f t="shared" si="355"/>
        <v>0.20160018309226699</v>
      </c>
      <c r="AW224" s="19">
        <f t="shared" si="413"/>
        <v>992.31497446834021</v>
      </c>
      <c r="AX224" s="15">
        <f t="shared" si="356"/>
        <v>5.484629948936681E-6</v>
      </c>
      <c r="AY224" s="16">
        <f t="shared" si="357"/>
        <v>27.30062220638591</v>
      </c>
      <c r="AZ224" s="17">
        <f t="shared" si="358"/>
        <v>1.3726347974545682E-2</v>
      </c>
      <c r="BA224" s="18">
        <f t="shared" si="359"/>
        <v>0.20203294116534223</v>
      </c>
      <c r="BB224" s="19">
        <f t="shared" si="414"/>
        <v>986.61441153514897</v>
      </c>
      <c r="BC224" s="15">
        <f t="shared" si="360"/>
        <v>5.4732288230702991E-6</v>
      </c>
      <c r="BD224" s="16">
        <f t="shared" si="361"/>
        <v>27.235065732654213</v>
      </c>
      <c r="BE224" s="17">
        <f t="shared" si="362"/>
        <v>1.3697814450424534E-2</v>
      </c>
      <c r="BF224" s="18">
        <f t="shared" si="363"/>
        <v>0.20251924684679182</v>
      </c>
      <c r="BG224" s="19">
        <f t="shared" si="415"/>
        <v>980.29324677837383</v>
      </c>
      <c r="BH224" s="15">
        <f t="shared" si="364"/>
        <v>5.4605864935567479E-6</v>
      </c>
      <c r="BI224" s="16">
        <f t="shared" si="365"/>
        <v>27.162372337951297</v>
      </c>
      <c r="BJ224" s="17">
        <f t="shared" si="366"/>
        <v>1.3666174573946539E-2</v>
      </c>
      <c r="BK224" s="18">
        <f t="shared" si="367"/>
        <v>0.20306123969494236</v>
      </c>
      <c r="BL224" s="19">
        <f t="shared" si="416"/>
        <v>973.29398702403057</v>
      </c>
      <c r="BM224" s="15">
        <f t="shared" si="368"/>
        <v>5.4465879740480618E-6</v>
      </c>
      <c r="BN224" s="16">
        <f t="shared" si="369"/>
        <v>27.081880850776351</v>
      </c>
      <c r="BO224" s="17">
        <f t="shared" si="370"/>
        <v>1.3631140569520779E-2</v>
      </c>
      <c r="BP224" s="18">
        <f t="shared" si="371"/>
        <v>0.2036647687208876</v>
      </c>
      <c r="BQ224" s="19">
        <f t="shared" si="417"/>
        <v>965.43012400016585</v>
      </c>
      <c r="BR224" s="15">
        <f t="shared" si="372"/>
        <v>5.4308602480003326E-6</v>
      </c>
      <c r="BS224" s="16">
        <f t="shared" si="373"/>
        <v>26.991446426001907</v>
      </c>
      <c r="BT224" s="17">
        <f t="shared" si="374"/>
        <v>1.3591778891050328E-2</v>
      </c>
      <c r="BU224" s="18">
        <f t="shared" si="375"/>
        <v>0.20434714438595572</v>
      </c>
      <c r="BV224" s="19">
        <f t="shared" si="418"/>
        <v>956.16063884485698</v>
      </c>
      <c r="BW224" s="15">
        <f t="shared" si="376"/>
        <v>5.412321277689715E-6</v>
      </c>
      <c r="BX224" s="16">
        <f t="shared" si="377"/>
        <v>26.884847346715855</v>
      </c>
      <c r="BY224" s="17">
        <f t="shared" si="378"/>
        <v>1.3545381529707355E-2</v>
      </c>
      <c r="BZ224" s="18">
        <f t="shared" si="379"/>
        <v>0.20515738582662127</v>
      </c>
      <c r="CA224" s="19">
        <f t="shared" si="419"/>
        <v>944.10252881917734</v>
      </c>
      <c r="CB224" s="15">
        <f t="shared" si="380"/>
        <v>5.3882050576383549E-6</v>
      </c>
      <c r="CC224" s="16">
        <f t="shared" si="381"/>
        <v>26.746179081420539</v>
      </c>
      <c r="CD224" s="17">
        <f t="shared" si="382"/>
        <v>1.3485026021434665E-2</v>
      </c>
      <c r="CE224" s="18">
        <f t="shared" si="383"/>
        <v>0.2062210450027038</v>
      </c>
      <c r="CF224" s="19">
        <f t="shared" si="420"/>
        <v>926.19902869128259</v>
      </c>
      <c r="CG224" s="15">
        <f t="shared" si="384"/>
        <v>5.3523980573825656E-6</v>
      </c>
      <c r="CH224" s="16">
        <f t="shared" si="385"/>
        <v>26.540288829949748</v>
      </c>
      <c r="CI224" s="17">
        <f t="shared" si="386"/>
        <v>1.3395412072998474E-2</v>
      </c>
      <c r="CJ224" s="18">
        <f t="shared" si="387"/>
        <v>0.2078208355357391</v>
      </c>
      <c r="CK224" s="19">
        <f t="shared" si="421"/>
        <v>896.76016143307663</v>
      </c>
      <c r="CL224" s="15">
        <f t="shared" si="388"/>
        <v>5.2935203228661531E-6</v>
      </c>
      <c r="CM224" s="16">
        <f t="shared" si="389"/>
        <v>26.201741856480382</v>
      </c>
      <c r="CN224" s="17">
        <f t="shared" si="390"/>
        <v>1.3248059146830341E-2</v>
      </c>
      <c r="CO224" s="18">
        <f t="shared" si="391"/>
        <v>0.2105060430795688</v>
      </c>
      <c r="CP224" s="19">
        <f t="shared" si="422"/>
        <v>847.21689834639756</v>
      </c>
      <c r="CQ224" s="15">
        <f t="shared" si="392"/>
        <v>5.1944337966927958E-6</v>
      </c>
      <c r="CR224" s="16">
        <f t="shared" si="393"/>
        <v>25.631994330983574</v>
      </c>
      <c r="CS224" s="17">
        <f t="shared" si="394"/>
        <v>1.3000075937296192E-2</v>
      </c>
      <c r="CT224" s="18">
        <f t="shared" si="395"/>
        <v>0.21518516775469143</v>
      </c>
      <c r="CU224" s="19">
        <f t="shared" si="423"/>
        <v>767.88725546610249</v>
      </c>
      <c r="CV224" s="15">
        <f t="shared" si="396"/>
        <v>5.0357745109322057E-6</v>
      </c>
      <c r="CW224" s="16">
        <f t="shared" si="397"/>
        <v>24.719703437860176</v>
      </c>
      <c r="CX224" s="17">
        <f t="shared" si="398"/>
        <v>1.260300036683497E-2</v>
      </c>
      <c r="CY224" s="18">
        <f t="shared" si="399"/>
        <v>0.22312666549034668</v>
      </c>
      <c r="CZ224" s="20">
        <f t="shared" si="424"/>
        <v>652.22099349024279</v>
      </c>
      <c r="DA224" s="15">
        <f t="shared" si="400"/>
        <v>4.8044419869804861E-6</v>
      </c>
      <c r="DB224" s="16">
        <f t="shared" si="401"/>
        <v>33.464024507184774</v>
      </c>
      <c r="DC224" s="17">
        <f t="shared" si="402"/>
        <v>1.2024045952197235E-2</v>
      </c>
      <c r="DD224" s="18">
        <f t="shared" si="403"/>
        <v>0.16482252452378485</v>
      </c>
    </row>
    <row r="225" spans="2:108" x14ac:dyDescent="0.25">
      <c r="B225">
        <v>206</v>
      </c>
      <c r="C225">
        <f t="shared" si="404"/>
        <v>0.20138862126712181</v>
      </c>
      <c r="D225" s="19">
        <f t="shared" si="321"/>
        <v>1016.6120092887699</v>
      </c>
      <c r="E225" s="15">
        <f t="shared" si="322"/>
        <v>5.5332240185775396E-6</v>
      </c>
      <c r="F225" s="16">
        <f t="shared" si="323"/>
        <v>27.580038106820851</v>
      </c>
      <c r="G225" s="17">
        <f t="shared" si="319"/>
        <v>1.3847964039002146E-2</v>
      </c>
      <c r="H225" s="18">
        <f t="shared" si="324"/>
        <v>0.19998612687325926</v>
      </c>
      <c r="I225" s="19">
        <f t="shared" si="405"/>
        <v>1016.2873187730881</v>
      </c>
      <c r="J225" s="15">
        <f t="shared" si="325"/>
        <v>5.5325746375461766E-6</v>
      </c>
      <c r="K225" s="16">
        <f t="shared" si="326"/>
        <v>27.576304165890512</v>
      </c>
      <c r="L225" s="17">
        <f t="shared" si="327"/>
        <v>1.3846338837286159E-2</v>
      </c>
      <c r="M225" s="18">
        <f t="shared" si="328"/>
        <v>0.20001320578782808</v>
      </c>
      <c r="N225" s="19">
        <f t="shared" si="406"/>
        <v>1015.3810350860799</v>
      </c>
      <c r="O225" s="15">
        <f t="shared" si="329"/>
        <v>5.5307620701721598E-6</v>
      </c>
      <c r="P225" s="16">
        <f t="shared" si="330"/>
        <v>27.565881903489917</v>
      </c>
      <c r="Q225" s="17">
        <f t="shared" si="320"/>
        <v>1.3847964039002146E-2</v>
      </c>
      <c r="R225" s="18">
        <f t="shared" si="331"/>
        <v>0.20008882789640431</v>
      </c>
      <c r="S225" s="19">
        <f t="shared" si="407"/>
        <v>1013.879316763473</v>
      </c>
      <c r="T225" s="15">
        <f t="shared" si="332"/>
        <v>5.5277586335269468E-6</v>
      </c>
      <c r="U225" s="16">
        <f t="shared" si="333"/>
        <v>27.548612142779938</v>
      </c>
      <c r="V225" s="17">
        <f t="shared" si="334"/>
        <v>1.3834285855110475E-2</v>
      </c>
      <c r="W225" s="18">
        <f t="shared" si="335"/>
        <v>0.20021426021076563</v>
      </c>
      <c r="X225" s="19">
        <f t="shared" si="408"/>
        <v>1011.7803413554871</v>
      </c>
      <c r="Y225" s="15">
        <f t="shared" si="336"/>
        <v>5.5235606827109751E-6</v>
      </c>
      <c r="Z225" s="16">
        <f t="shared" si="337"/>
        <v>27.524473925588101</v>
      </c>
      <c r="AA225" s="17">
        <f t="shared" si="338"/>
        <v>1.3823779670697572E-2</v>
      </c>
      <c r="AB225" s="18">
        <f t="shared" si="339"/>
        <v>0.20038984268732579</v>
      </c>
      <c r="AC225" s="19">
        <f t="shared" si="409"/>
        <v>1009.082667308414</v>
      </c>
      <c r="AD225" s="15">
        <f t="shared" si="340"/>
        <v>5.5181653346168286E-6</v>
      </c>
      <c r="AE225" s="16">
        <f t="shared" si="341"/>
        <v>27.493450674046763</v>
      </c>
      <c r="AF225" s="17">
        <f t="shared" si="342"/>
        <v>1.381027676784477E-2</v>
      </c>
      <c r="AG225" s="18">
        <f t="shared" si="343"/>
        <v>0.20061595997502901</v>
      </c>
      <c r="AH225" s="19">
        <f t="shared" si="410"/>
        <v>1005.7859312206192</v>
      </c>
      <c r="AI225" s="15">
        <f t="shared" si="344"/>
        <v>5.5115718624412395E-6</v>
      </c>
      <c r="AJ225" s="16">
        <f t="shared" si="345"/>
        <v>27.455538209037122</v>
      </c>
      <c r="AK225" s="17">
        <f t="shared" si="346"/>
        <v>1.3793775327586221E-2</v>
      </c>
      <c r="AL225" s="18">
        <f t="shared" si="347"/>
        <v>0.20089298406776471</v>
      </c>
      <c r="AM225" s="19">
        <f t="shared" si="411"/>
        <v>1001.8899446381533</v>
      </c>
      <c r="AN225" s="15">
        <f t="shared" si="348"/>
        <v>5.5037798892763072E-6</v>
      </c>
      <c r="AO225" s="16">
        <f t="shared" si="349"/>
        <v>27.410734363338761</v>
      </c>
      <c r="AP225" s="17">
        <f t="shared" si="350"/>
        <v>1.3774274406636958E-2</v>
      </c>
      <c r="AQ225" s="18">
        <f t="shared" si="351"/>
        <v>0.20122135098200886</v>
      </c>
      <c r="AR225" s="19">
        <f t="shared" si="412"/>
        <v>997.39444063683857</v>
      </c>
      <c r="AS225" s="15">
        <f t="shared" si="352"/>
        <v>5.4947888812736781E-6</v>
      </c>
      <c r="AT225" s="16">
        <f t="shared" si="353"/>
        <v>27.359036067323643</v>
      </c>
      <c r="AU225" s="17">
        <f t="shared" si="354"/>
        <v>1.3751772668938149E-2</v>
      </c>
      <c r="AV225" s="18">
        <f t="shared" si="355"/>
        <v>0.20160158371177431</v>
      </c>
      <c r="AW225" s="19">
        <f t="shared" si="413"/>
        <v>992.29841214873488</v>
      </c>
      <c r="AX225" s="15">
        <f t="shared" si="356"/>
        <v>5.4845968242974707E-6</v>
      </c>
      <c r="AY225" s="16">
        <f t="shared" si="357"/>
        <v>27.300431739710451</v>
      </c>
      <c r="AZ225" s="17">
        <f t="shared" si="358"/>
        <v>1.3726265073724922E-2</v>
      </c>
      <c r="BA225" s="18">
        <f t="shared" si="359"/>
        <v>0.20203435068673747</v>
      </c>
      <c r="BB225" s="19">
        <f t="shared" si="414"/>
        <v>986.59764231896736</v>
      </c>
      <c r="BC225" s="15">
        <f t="shared" si="360"/>
        <v>5.4731952846379359E-6</v>
      </c>
      <c r="BD225" s="16">
        <f t="shared" si="361"/>
        <v>27.234872886668121</v>
      </c>
      <c r="BE225" s="17">
        <f t="shared" si="362"/>
        <v>1.369773051400632E-2</v>
      </c>
      <c r="BF225" s="18">
        <f t="shared" si="363"/>
        <v>0.20252068085472802</v>
      </c>
      <c r="BG225" s="19">
        <f t="shared" si="415"/>
        <v>980.27566479832126</v>
      </c>
      <c r="BH225" s="15">
        <f t="shared" si="364"/>
        <v>5.460551329596643E-6</v>
      </c>
      <c r="BI225" s="16">
        <f t="shared" si="365"/>
        <v>27.162170145180696</v>
      </c>
      <c r="BJ225" s="17">
        <f t="shared" si="366"/>
        <v>1.3666086569330538E-2</v>
      </c>
      <c r="BK225" s="18">
        <f t="shared" si="367"/>
        <v>0.2030627512646894</v>
      </c>
      <c r="BL225" s="19">
        <f t="shared" si="416"/>
        <v>973.27370791746046</v>
      </c>
      <c r="BM225" s="15">
        <f t="shared" si="368"/>
        <v>5.4465474158349212E-6</v>
      </c>
      <c r="BN225" s="16">
        <f t="shared" si="369"/>
        <v>27.081647641050793</v>
      </c>
      <c r="BO225" s="17">
        <f t="shared" si="370"/>
        <v>1.3631039064742523E-2</v>
      </c>
      <c r="BP225" s="18">
        <f t="shared" si="371"/>
        <v>0.20366652255084094</v>
      </c>
      <c r="BQ225" s="19">
        <f t="shared" si="417"/>
        <v>965.40198139696884</v>
      </c>
      <c r="BR225" s="15">
        <f t="shared" si="372"/>
        <v>5.4308039627939387E-6</v>
      </c>
      <c r="BS225" s="16">
        <f t="shared" si="373"/>
        <v>26.991122786065141</v>
      </c>
      <c r="BT225" s="17">
        <f t="shared" si="374"/>
        <v>1.3591638026427561E-2</v>
      </c>
      <c r="BU225" s="18">
        <f t="shared" si="375"/>
        <v>0.2043495946321871</v>
      </c>
      <c r="BV225" s="19">
        <f t="shared" si="418"/>
        <v>956.11238411668194</v>
      </c>
      <c r="BW225" s="15">
        <f t="shared" si="376"/>
        <v>5.4122247682333649E-6</v>
      </c>
      <c r="BX225" s="16">
        <f t="shared" si="377"/>
        <v>26.88429241734184</v>
      </c>
      <c r="BY225" s="17">
        <f t="shared" si="378"/>
        <v>1.3545139996113835E-2</v>
      </c>
      <c r="BZ225" s="18">
        <f t="shared" si="379"/>
        <v>0.20516162056183113</v>
      </c>
      <c r="CA225" s="19">
        <f t="shared" si="419"/>
        <v>944.0098243851096</v>
      </c>
      <c r="CB225" s="15">
        <f t="shared" si="380"/>
        <v>5.3880196487702198E-6</v>
      </c>
      <c r="CC225" s="16">
        <f t="shared" si="381"/>
        <v>26.745112980428758</v>
      </c>
      <c r="CD225" s="17">
        <f t="shared" si="382"/>
        <v>1.3484561999857042E-2</v>
      </c>
      <c r="CE225" s="18">
        <f t="shared" si="383"/>
        <v>0.20622926528806076</v>
      </c>
      <c r="CF225" s="19">
        <f t="shared" si="420"/>
        <v>926.02352959651535</v>
      </c>
      <c r="CG225" s="15">
        <f t="shared" si="384"/>
        <v>5.3520470591930315E-6</v>
      </c>
      <c r="CH225" s="16">
        <f t="shared" si="385"/>
        <v>26.538270590359925</v>
      </c>
      <c r="CI225" s="17">
        <f t="shared" si="386"/>
        <v>1.3394533632094923E-2</v>
      </c>
      <c r="CJ225" s="18">
        <f t="shared" si="387"/>
        <v>0.20783664034247812</v>
      </c>
      <c r="CK225" s="19">
        <f t="shared" si="421"/>
        <v>896.45975687402154</v>
      </c>
      <c r="CL225" s="15">
        <f t="shared" si="388"/>
        <v>5.2929195137480433E-6</v>
      </c>
      <c r="CM225" s="16">
        <f t="shared" si="389"/>
        <v>26.198287204051248</v>
      </c>
      <c r="CN225" s="17">
        <f t="shared" si="390"/>
        <v>1.3246555505728163E-2</v>
      </c>
      <c r="CO225" s="18">
        <f t="shared" si="391"/>
        <v>0.21053380158177193</v>
      </c>
      <c r="CP225" s="19">
        <f t="shared" si="422"/>
        <v>846.77491135475577</v>
      </c>
      <c r="CQ225" s="15">
        <f t="shared" si="392"/>
        <v>5.1935498227095121E-6</v>
      </c>
      <c r="CR225" s="16">
        <f t="shared" si="393"/>
        <v>25.626911480579693</v>
      </c>
      <c r="CS225" s="17">
        <f t="shared" si="394"/>
        <v>1.2997863621313535E-2</v>
      </c>
      <c r="CT225" s="18">
        <f t="shared" si="395"/>
        <v>0.21522784765459507</v>
      </c>
      <c r="CU225" s="19">
        <f t="shared" si="423"/>
        <v>767.34825888405885</v>
      </c>
      <c r="CV225" s="15">
        <f t="shared" si="396"/>
        <v>5.0346965177681185E-6</v>
      </c>
      <c r="CW225" s="16">
        <f t="shared" si="397"/>
        <v>24.713504977166679</v>
      </c>
      <c r="CX225" s="17">
        <f t="shared" si="398"/>
        <v>1.2600302480300744E-2</v>
      </c>
      <c r="CY225" s="18">
        <f t="shared" si="399"/>
        <v>0.22318262848980752</v>
      </c>
      <c r="CZ225" s="20">
        <f t="shared" si="424"/>
        <v>651.69634342500069</v>
      </c>
      <c r="DA225" s="15">
        <f t="shared" si="400"/>
        <v>4.8033926868500022E-6</v>
      </c>
      <c r="DB225" s="16">
        <f t="shared" si="401"/>
        <v>33.569374240285356</v>
      </c>
      <c r="DC225" s="17">
        <f t="shared" si="402"/>
        <v>1.2021419875533018E-2</v>
      </c>
      <c r="DD225" s="18">
        <f t="shared" si="403"/>
        <v>0.16430526707229781</v>
      </c>
    </row>
    <row r="226" spans="2:108" x14ac:dyDescent="0.25">
      <c r="B226">
        <v>207</v>
      </c>
      <c r="C226">
        <f t="shared" si="404"/>
        <v>0.20236623593346706</v>
      </c>
      <c r="D226" s="19">
        <f t="shared" si="321"/>
        <v>1016.5954322312668</v>
      </c>
      <c r="E226" s="15">
        <f t="shared" si="322"/>
        <v>5.5331908644625339E-6</v>
      </c>
      <c r="F226" s="16">
        <f t="shared" si="323"/>
        <v>27.579847470659566</v>
      </c>
      <c r="G226" s="17">
        <f t="shared" si="319"/>
        <v>1.3847881064412502E-2</v>
      </c>
      <c r="H226" s="18">
        <f t="shared" si="324"/>
        <v>0.19998750920822606</v>
      </c>
      <c r="I226" s="19">
        <f t="shared" si="405"/>
        <v>1016.2707417478476</v>
      </c>
      <c r="J226" s="15">
        <f t="shared" si="325"/>
        <v>5.5325414834956953E-6</v>
      </c>
      <c r="K226" s="16">
        <f t="shared" si="326"/>
        <v>27.576113530100248</v>
      </c>
      <c r="L226" s="17">
        <f t="shared" si="327"/>
        <v>1.3846255862858E-2</v>
      </c>
      <c r="M226" s="18">
        <f t="shared" si="328"/>
        <v>0.2000145884944777</v>
      </c>
      <c r="N226" s="19">
        <f t="shared" si="406"/>
        <v>1015.36445509278</v>
      </c>
      <c r="O226" s="15">
        <f t="shared" si="329"/>
        <v>5.5307289101855607E-6</v>
      </c>
      <c r="P226" s="16">
        <f t="shared" si="330"/>
        <v>27.565691233566969</v>
      </c>
      <c r="Q226" s="17">
        <f t="shared" si="320"/>
        <v>1.3847881064412502E-2</v>
      </c>
      <c r="R226" s="18">
        <f t="shared" si="331"/>
        <v>0.20009021189657591</v>
      </c>
      <c r="S226" s="19">
        <f t="shared" si="407"/>
        <v>1013.8627356886346</v>
      </c>
      <c r="T226" s="15">
        <f t="shared" si="332"/>
        <v>5.5277254713772695E-6</v>
      </c>
      <c r="U226" s="16">
        <f t="shared" si="333"/>
        <v>27.548421460419299</v>
      </c>
      <c r="V226" s="17">
        <f t="shared" si="334"/>
        <v>1.3834202860412511E-2</v>
      </c>
      <c r="W226" s="18">
        <f t="shared" si="335"/>
        <v>0.20021564603709421</v>
      </c>
      <c r="X226" s="19">
        <f t="shared" si="408"/>
        <v>1011.7637641093602</v>
      </c>
      <c r="Y226" s="15">
        <f t="shared" si="336"/>
        <v>5.5235275282187205E-6</v>
      </c>
      <c r="Z226" s="16">
        <f t="shared" si="337"/>
        <v>27.524283287257639</v>
      </c>
      <c r="AA226" s="17">
        <f t="shared" si="338"/>
        <v>1.3823696695163791E-2</v>
      </c>
      <c r="AB226" s="18">
        <f t="shared" si="339"/>
        <v>0.20039123062483002</v>
      </c>
      <c r="AC226" s="19">
        <f t="shared" si="409"/>
        <v>1009.0660995657043</v>
      </c>
      <c r="AD226" s="15">
        <f t="shared" si="340"/>
        <v>5.5181321991314089E-6</v>
      </c>
      <c r="AE226" s="16">
        <f t="shared" si="341"/>
        <v>27.4932601450056</v>
      </c>
      <c r="AF226" s="17">
        <f t="shared" si="342"/>
        <v>1.3810193839879272E-2</v>
      </c>
      <c r="AG226" s="18">
        <f t="shared" si="343"/>
        <v>0.20061735024909236</v>
      </c>
      <c r="AH226" s="19">
        <f t="shared" si="410"/>
        <v>1005.7693777139364</v>
      </c>
      <c r="AI226" s="15">
        <f t="shared" si="344"/>
        <v>5.5115387554278734E-6</v>
      </c>
      <c r="AJ226" s="16">
        <f t="shared" si="345"/>
        <v>27.455347843710268</v>
      </c>
      <c r="AK226" s="17">
        <f t="shared" si="346"/>
        <v>1.3793692470877549E-2</v>
      </c>
      <c r="AL226" s="18">
        <f t="shared" si="347"/>
        <v>0.20089437698614232</v>
      </c>
      <c r="AM226" s="19">
        <f t="shared" si="411"/>
        <v>1001.8734072477836</v>
      </c>
      <c r="AN226" s="15">
        <f t="shared" si="348"/>
        <v>5.5037468144955678E-6</v>
      </c>
      <c r="AO226" s="16">
        <f t="shared" si="349"/>
        <v>27.410544183349508</v>
      </c>
      <c r="AP226" s="17">
        <f t="shared" si="350"/>
        <v>1.3774191630596672E-2</v>
      </c>
      <c r="AQ226" s="18">
        <f t="shared" si="351"/>
        <v>0.20122274709709914</v>
      </c>
      <c r="AR226" s="19">
        <f t="shared" si="412"/>
        <v>997.3779116720699</v>
      </c>
      <c r="AS226" s="15">
        <f t="shared" si="352"/>
        <v>5.49475582334414E-6</v>
      </c>
      <c r="AT226" s="16">
        <f t="shared" si="353"/>
        <v>27.358845984228804</v>
      </c>
      <c r="AU226" s="17">
        <f t="shared" si="354"/>
        <v>1.3751689935071254E-2</v>
      </c>
      <c r="AV226" s="18">
        <f t="shared" si="355"/>
        <v>0.20160298439413418</v>
      </c>
      <c r="AW226" s="19">
        <f t="shared" si="413"/>
        <v>992.2818473653823</v>
      </c>
      <c r="AX226" s="15">
        <f t="shared" si="356"/>
        <v>5.4845636947307656E-6</v>
      </c>
      <c r="AY226" s="16">
        <f t="shared" si="357"/>
        <v>27.300241244701894</v>
      </c>
      <c r="AZ226" s="17">
        <f t="shared" si="358"/>
        <v>1.3726182160572151E-2</v>
      </c>
      <c r="BA226" s="18">
        <f t="shared" si="359"/>
        <v>0.20203576043747989</v>
      </c>
      <c r="BB226" s="19">
        <f t="shared" si="414"/>
        <v>986.58086418803271</v>
      </c>
      <c r="BC226" s="15">
        <f t="shared" si="360"/>
        <v>5.4731617283760662E-6</v>
      </c>
      <c r="BD226" s="16">
        <f t="shared" si="361"/>
        <v>27.234679938162376</v>
      </c>
      <c r="BE226" s="17">
        <f t="shared" si="362"/>
        <v>1.3697646532966318E-2</v>
      </c>
      <c r="BF226" s="18">
        <f t="shared" si="363"/>
        <v>0.20252211564532743</v>
      </c>
      <c r="BG226" s="19">
        <f t="shared" si="415"/>
        <v>980.25805492940162</v>
      </c>
      <c r="BH226" s="15">
        <f t="shared" si="364"/>
        <v>5.4605161098588037E-6</v>
      </c>
      <c r="BI226" s="16">
        <f t="shared" si="365"/>
        <v>27.161967631688118</v>
      </c>
      <c r="BJ226" s="17">
        <f t="shared" si="366"/>
        <v>1.366599842511996E-2</v>
      </c>
      <c r="BK226" s="18">
        <f t="shared" si="367"/>
        <v>0.20306426525467455</v>
      </c>
      <c r="BL226" s="19">
        <f t="shared" si="416"/>
        <v>973.25335232468763</v>
      </c>
      <c r="BM226" s="15">
        <f t="shared" si="368"/>
        <v>5.4465067046493762E-6</v>
      </c>
      <c r="BN226" s="16">
        <f t="shared" si="369"/>
        <v>27.081413551733906</v>
      </c>
      <c r="BO226" s="17">
        <f t="shared" si="370"/>
        <v>1.3630937177121216E-2</v>
      </c>
      <c r="BP226" s="18">
        <f t="shared" si="371"/>
        <v>0.20366828302604825</v>
      </c>
      <c r="BQ226" s="19">
        <f t="shared" si="417"/>
        <v>965.37365737715504</v>
      </c>
      <c r="BR226" s="15">
        <f t="shared" si="372"/>
        <v>5.4307473147543106E-6</v>
      </c>
      <c r="BS226" s="16">
        <f t="shared" si="373"/>
        <v>26.990797059837284</v>
      </c>
      <c r="BT226" s="17">
        <f t="shared" si="374"/>
        <v>1.3591496253744397E-2</v>
      </c>
      <c r="BU226" s="18">
        <f t="shared" si="375"/>
        <v>0.20435206073285378</v>
      </c>
      <c r="BV226" s="19">
        <f t="shared" si="418"/>
        <v>956.06376776871025</v>
      </c>
      <c r="BW226" s="15">
        <f t="shared" si="376"/>
        <v>5.4121275355374211E-6</v>
      </c>
      <c r="BX226" s="16">
        <f t="shared" si="377"/>
        <v>26.883733329340167</v>
      </c>
      <c r="BY226" s="17">
        <f t="shared" si="378"/>
        <v>1.3544896652473251E-2</v>
      </c>
      <c r="BZ226" s="18">
        <f t="shared" si="379"/>
        <v>0.20516588720884232</v>
      </c>
      <c r="CA226" s="19">
        <f t="shared" si="419"/>
        <v>943.91654478766952</v>
      </c>
      <c r="CB226" s="15">
        <f t="shared" si="380"/>
        <v>5.387833089575339E-6</v>
      </c>
      <c r="CC226" s="16">
        <f t="shared" si="381"/>
        <v>26.744040265058199</v>
      </c>
      <c r="CD226" s="17">
        <f t="shared" si="382"/>
        <v>1.3484095099364097E-2</v>
      </c>
      <c r="CE226" s="18">
        <f t="shared" si="383"/>
        <v>0.20623753723577476</v>
      </c>
      <c r="CF226" s="19">
        <f t="shared" si="420"/>
        <v>925.84738123203442</v>
      </c>
      <c r="CG226" s="15">
        <f t="shared" si="384"/>
        <v>5.3516947624640692E-6</v>
      </c>
      <c r="CH226" s="16">
        <f t="shared" si="385"/>
        <v>26.536244884168397</v>
      </c>
      <c r="CI226" s="17">
        <f t="shared" si="386"/>
        <v>1.3393651941345128E-2</v>
      </c>
      <c r="CJ226" s="18">
        <f t="shared" si="387"/>
        <v>0.20785250603753053</v>
      </c>
      <c r="CK226" s="19">
        <f t="shared" si="421"/>
        <v>896.15904374566094</v>
      </c>
      <c r="CL226" s="15">
        <f t="shared" si="388"/>
        <v>5.2923180874913225E-6</v>
      </c>
      <c r="CM226" s="16">
        <f t="shared" si="389"/>
        <v>26.1948290030751</v>
      </c>
      <c r="CN226" s="17">
        <f t="shared" si="390"/>
        <v>1.3245050320117168E-2</v>
      </c>
      <c r="CO226" s="18">
        <f t="shared" si="391"/>
        <v>0.21056159592996396</v>
      </c>
      <c r="CP226" s="19">
        <f t="shared" si="422"/>
        <v>846.33347717263439</v>
      </c>
      <c r="CQ226" s="15">
        <f t="shared" si="392"/>
        <v>5.1926669543452697E-6</v>
      </c>
      <c r="CR226" s="16">
        <f t="shared" si="393"/>
        <v>25.621834987485293</v>
      </c>
      <c r="CS226" s="17">
        <f t="shared" si="394"/>
        <v>1.2995654072356515E-2</v>
      </c>
      <c r="CT226" s="18">
        <f t="shared" si="395"/>
        <v>0.21527049107505558</v>
      </c>
      <c r="CU226" s="19">
        <f t="shared" si="423"/>
        <v>766.81077280322029</v>
      </c>
      <c r="CV226" s="15">
        <f t="shared" si="396"/>
        <v>5.033621545606441E-6</v>
      </c>
      <c r="CW226" s="16">
        <f t="shared" si="397"/>
        <v>24.707323887237031</v>
      </c>
      <c r="CX226" s="17">
        <f t="shared" si="398"/>
        <v>1.2597612154409753E-2</v>
      </c>
      <c r="CY226" s="18">
        <f t="shared" si="399"/>
        <v>0.22323846261833261</v>
      </c>
      <c r="CZ226" s="20">
        <f t="shared" si="424"/>
        <v>651.17346077292882</v>
      </c>
      <c r="DA226" s="15">
        <f t="shared" si="400"/>
        <v>4.8023469215458577E-6</v>
      </c>
      <c r="DB226" s="16">
        <f t="shared" si="401"/>
        <v>33.674369076821336</v>
      </c>
      <c r="DC226" s="17">
        <f t="shared" si="402"/>
        <v>1.2018802645455868E-2</v>
      </c>
      <c r="DD226" s="18">
        <f t="shared" si="403"/>
        <v>0.16379297225783815</v>
      </c>
    </row>
    <row r="227" spans="2:108" x14ac:dyDescent="0.25">
      <c r="B227">
        <v>208</v>
      </c>
      <c r="C227">
        <f t="shared" si="404"/>
        <v>0.2033438505998123</v>
      </c>
      <c r="D227" s="19">
        <f t="shared" si="321"/>
        <v>1016.5788551754109</v>
      </c>
      <c r="E227" s="15">
        <f t="shared" si="322"/>
        <v>5.5331577103508223E-6</v>
      </c>
      <c r="F227" s="16">
        <f t="shared" si="323"/>
        <v>27.579656834517223</v>
      </c>
      <c r="G227" s="17">
        <f t="shared" si="319"/>
        <v>1.3847798089831102E-2</v>
      </c>
      <c r="H227" s="18">
        <f t="shared" si="324"/>
        <v>0.19998889156216546</v>
      </c>
      <c r="I227" s="19">
        <f t="shared" si="405"/>
        <v>1016.2541647600593</v>
      </c>
      <c r="J227" s="15">
        <f t="shared" si="325"/>
        <v>5.5325083295201197E-6</v>
      </c>
      <c r="K227" s="16">
        <f t="shared" si="326"/>
        <v>27.575922894740682</v>
      </c>
      <c r="L227" s="17">
        <f t="shared" si="327"/>
        <v>1.3846172888617309E-2</v>
      </c>
      <c r="M227" s="18">
        <f t="shared" si="328"/>
        <v>0.200015971217121</v>
      </c>
      <c r="N227" s="19">
        <f t="shared" si="406"/>
        <v>1015.3478752109395</v>
      </c>
      <c r="O227" s="15">
        <f t="shared" si="329"/>
        <v>5.5306957504218795E-6</v>
      </c>
      <c r="P227" s="16">
        <f t="shared" si="330"/>
        <v>27.565500564925806</v>
      </c>
      <c r="Q227" s="17">
        <f t="shared" si="320"/>
        <v>1.3847798089831102E-2</v>
      </c>
      <c r="R227" s="18">
        <f t="shared" si="331"/>
        <v>0.20009159590658954</v>
      </c>
      <c r="S227" s="19">
        <f t="shared" si="407"/>
        <v>1013.8461547874844</v>
      </c>
      <c r="T227" s="15">
        <f t="shared" si="332"/>
        <v>5.5276923095749689E-6</v>
      </c>
      <c r="U227" s="16">
        <f t="shared" si="333"/>
        <v>27.54823078005607</v>
      </c>
      <c r="V227" s="17">
        <f t="shared" si="334"/>
        <v>1.3834119866583923E-2</v>
      </c>
      <c r="W227" s="18">
        <f t="shared" si="335"/>
        <v>0.20021703186809059</v>
      </c>
      <c r="X227" s="19">
        <f t="shared" si="408"/>
        <v>1011.7471870642426</v>
      </c>
      <c r="Y227" s="15">
        <f t="shared" si="336"/>
        <v>5.5234943741284854E-6</v>
      </c>
      <c r="Z227" s="16">
        <f t="shared" si="337"/>
        <v>27.524092651238789</v>
      </c>
      <c r="AA227" s="17">
        <f t="shared" si="338"/>
        <v>1.3823613720636141E-2</v>
      </c>
      <c r="AB227" s="18">
        <f t="shared" si="339"/>
        <v>0.20039261856473062</v>
      </c>
      <c r="AC227" s="19">
        <f t="shared" si="409"/>
        <v>1009.0495320206783</v>
      </c>
      <c r="AD227" s="15">
        <f t="shared" si="340"/>
        <v>5.518099064041357E-6</v>
      </c>
      <c r="AE227" s="16">
        <f t="shared" si="341"/>
        <v>27.493069618237797</v>
      </c>
      <c r="AF227" s="17">
        <f t="shared" si="342"/>
        <v>1.3810110912903259E-2</v>
      </c>
      <c r="AG227" s="18">
        <f t="shared" si="343"/>
        <v>0.20061874052583623</v>
      </c>
      <c r="AH227" s="19">
        <f t="shared" si="410"/>
        <v>1005.7528243675513</v>
      </c>
      <c r="AI227" s="15">
        <f t="shared" si="344"/>
        <v>5.5115056487351033E-6</v>
      </c>
      <c r="AJ227" s="16">
        <f t="shared" si="345"/>
        <v>27.455157480226838</v>
      </c>
      <c r="AK227" s="17">
        <f t="shared" si="346"/>
        <v>1.379360961497123E-2</v>
      </c>
      <c r="AL227" s="18">
        <f t="shared" si="347"/>
        <v>0.20089576991034724</v>
      </c>
      <c r="AM227" s="19">
        <f t="shared" si="411"/>
        <v>1001.856869874848</v>
      </c>
      <c r="AN227" s="15">
        <f t="shared" si="348"/>
        <v>5.5037137397496965E-6</v>
      </c>
      <c r="AO227" s="16">
        <f t="shared" si="349"/>
        <v>27.410354003560752</v>
      </c>
      <c r="AP227" s="17">
        <f t="shared" si="350"/>
        <v>1.3774108854643649E-2</v>
      </c>
      <c r="AQ227" s="18">
        <f t="shared" si="351"/>
        <v>0.20122414323009075</v>
      </c>
      <c r="AR227" s="19">
        <f t="shared" si="412"/>
        <v>997.36138217362566</v>
      </c>
      <c r="AS227" s="15">
        <f t="shared" si="352"/>
        <v>5.4947227643472523E-6</v>
      </c>
      <c r="AT227" s="16">
        <f t="shared" si="353"/>
        <v>27.358655894996694</v>
      </c>
      <c r="AU227" s="17">
        <f t="shared" si="354"/>
        <v>1.3751607198533113E-2</v>
      </c>
      <c r="AV227" s="18">
        <f t="shared" si="355"/>
        <v>0.20160438514118262</v>
      </c>
      <c r="AW227" s="19">
        <f t="shared" si="413"/>
        <v>992.26528005002467</v>
      </c>
      <c r="AX227" s="15">
        <f t="shared" si="356"/>
        <v>5.4845305601000495E-6</v>
      </c>
      <c r="AY227" s="16">
        <f t="shared" si="357"/>
        <v>27.300050720575285</v>
      </c>
      <c r="AZ227" s="17">
        <f t="shared" si="358"/>
        <v>1.3726099234745714E-2</v>
      </c>
      <c r="BA227" s="18">
        <f t="shared" si="359"/>
        <v>0.20203717042338781</v>
      </c>
      <c r="BB227" s="19">
        <f t="shared" si="414"/>
        <v>986.56407695312657</v>
      </c>
      <c r="BC227" s="15">
        <f t="shared" si="360"/>
        <v>5.4731281539062534E-6</v>
      </c>
      <c r="BD227" s="16">
        <f t="shared" si="361"/>
        <v>27.234486884960955</v>
      </c>
      <c r="BE227" s="17">
        <f t="shared" si="362"/>
        <v>1.3697562506357411E-2</v>
      </c>
      <c r="BF227" s="18">
        <f t="shared" si="363"/>
        <v>0.20252355123480445</v>
      </c>
      <c r="BG227" s="19">
        <f t="shared" si="415"/>
        <v>980.24041672418002</v>
      </c>
      <c r="BH227" s="15">
        <f t="shared" si="364"/>
        <v>5.4604808334483607E-6</v>
      </c>
      <c r="BI227" s="16">
        <f t="shared" si="365"/>
        <v>27.161764792328071</v>
      </c>
      <c r="BJ227" s="17">
        <f t="shared" si="366"/>
        <v>1.3665910139075223E-2</v>
      </c>
      <c r="BK227" s="18">
        <f t="shared" si="367"/>
        <v>0.20306578170347409</v>
      </c>
      <c r="BL227" s="19">
        <f t="shared" si="416"/>
        <v>973.23291938964894</v>
      </c>
      <c r="BM227" s="15">
        <f t="shared" si="368"/>
        <v>5.4464658387792985E-6</v>
      </c>
      <c r="BN227" s="16">
        <f t="shared" si="369"/>
        <v>27.08117857298096</v>
      </c>
      <c r="BO227" s="17">
        <f t="shared" si="370"/>
        <v>1.3630834902371927E-2</v>
      </c>
      <c r="BP227" s="18">
        <f t="shared" si="371"/>
        <v>0.20367005022089288</v>
      </c>
      <c r="BQ227" s="19">
        <f t="shared" si="417"/>
        <v>965.34515076873379</v>
      </c>
      <c r="BR227" s="15">
        <f t="shared" si="372"/>
        <v>5.4306903015374676E-6</v>
      </c>
      <c r="BS227" s="16">
        <f t="shared" si="373"/>
        <v>26.990469233840436</v>
      </c>
      <c r="BT227" s="17">
        <f t="shared" si="374"/>
        <v>1.3591353567134576E-2</v>
      </c>
      <c r="BU227" s="18">
        <f t="shared" si="375"/>
        <v>0.20435454279114768</v>
      </c>
      <c r="BV227" s="19">
        <f t="shared" si="418"/>
        <v>956.01478916752217</v>
      </c>
      <c r="BW227" s="15">
        <f t="shared" si="376"/>
        <v>5.4120295783350451E-6</v>
      </c>
      <c r="BX227" s="16">
        <f t="shared" si="377"/>
        <v>26.883170075426506</v>
      </c>
      <c r="BY227" s="17">
        <f t="shared" si="378"/>
        <v>1.3544651495615095E-2</v>
      </c>
      <c r="BZ227" s="18">
        <f t="shared" si="379"/>
        <v>0.20517018582721941</v>
      </c>
      <c r="CA227" s="19">
        <f t="shared" si="419"/>
        <v>943.8226918189057</v>
      </c>
      <c r="CB227" s="15">
        <f t="shared" si="380"/>
        <v>5.3876453836378114E-6</v>
      </c>
      <c r="CC227" s="16">
        <f t="shared" si="381"/>
        <v>26.742960955917415</v>
      </c>
      <c r="CD227" s="17">
        <f t="shared" si="382"/>
        <v>1.3483625328925729E-2</v>
      </c>
      <c r="CE227" s="18">
        <f t="shared" si="383"/>
        <v>0.20624586069926404</v>
      </c>
      <c r="CF227" s="19">
        <f t="shared" si="420"/>
        <v>925.67058938628645</v>
      </c>
      <c r="CG227" s="15">
        <f t="shared" si="384"/>
        <v>5.3513411787725728E-6</v>
      </c>
      <c r="CH227" s="16">
        <f t="shared" si="385"/>
        <v>26.534211777942293</v>
      </c>
      <c r="CI227" s="17">
        <f t="shared" si="386"/>
        <v>1.3392767029722504E-2</v>
      </c>
      <c r="CJ227" s="18">
        <f t="shared" si="387"/>
        <v>0.20786843212674971</v>
      </c>
      <c r="CK227" s="19">
        <f t="shared" si="421"/>
        <v>895.85802961044715</v>
      </c>
      <c r="CL227" s="15">
        <f t="shared" si="388"/>
        <v>5.2917160592208948E-6</v>
      </c>
      <c r="CM227" s="16">
        <f t="shared" si="389"/>
        <v>26.191367340520141</v>
      </c>
      <c r="CN227" s="17">
        <f t="shared" si="390"/>
        <v>1.3243543627850352E-2</v>
      </c>
      <c r="CO227" s="18">
        <f t="shared" si="391"/>
        <v>0.21058942545038062</v>
      </c>
      <c r="CP227" s="19">
        <f t="shared" si="422"/>
        <v>845.89259768067745</v>
      </c>
      <c r="CQ227" s="15">
        <f t="shared" si="392"/>
        <v>5.191785195361355E-6</v>
      </c>
      <c r="CR227" s="16">
        <f t="shared" si="393"/>
        <v>25.616764873327789</v>
      </c>
      <c r="CS227" s="17">
        <f t="shared" si="394"/>
        <v>1.299344729983848E-2</v>
      </c>
      <c r="CT227" s="18">
        <f t="shared" si="395"/>
        <v>0.21531309778085508</v>
      </c>
      <c r="CU227" s="19">
        <f t="shared" si="423"/>
        <v>766.27478793634737</v>
      </c>
      <c r="CV227" s="15">
        <f t="shared" si="396"/>
        <v>5.0325495758726951E-6</v>
      </c>
      <c r="CW227" s="16">
        <f t="shared" si="397"/>
        <v>24.701160061267991</v>
      </c>
      <c r="CX227" s="17">
        <f t="shared" si="398"/>
        <v>1.2594929342675767E-2</v>
      </c>
      <c r="CY227" s="18">
        <f t="shared" si="399"/>
        <v>0.22329416862686671</v>
      </c>
      <c r="CZ227" s="20">
        <f t="shared" si="424"/>
        <v>650.65233176101742</v>
      </c>
      <c r="DA227" s="15">
        <f t="shared" si="400"/>
        <v>4.8013046635220355E-6</v>
      </c>
      <c r="DB227" s="16">
        <f t="shared" si="401"/>
        <v>33.779011782413107</v>
      </c>
      <c r="DC227" s="17">
        <f t="shared" si="402"/>
        <v>1.2016194193026545E-2</v>
      </c>
      <c r="DD227" s="18">
        <f t="shared" si="403"/>
        <v>0.16328556428852325</v>
      </c>
    </row>
    <row r="228" spans="2:108" x14ac:dyDescent="0.25">
      <c r="B228">
        <v>209</v>
      </c>
      <c r="C228">
        <f t="shared" si="404"/>
        <v>0.20432146526615755</v>
      </c>
      <c r="D228" s="19">
        <f t="shared" si="321"/>
        <v>1016.5622781230302</v>
      </c>
      <c r="E228" s="15">
        <f t="shared" si="322"/>
        <v>5.5331245562460607E-6</v>
      </c>
      <c r="F228" s="16">
        <f t="shared" si="323"/>
        <v>27.579466198414845</v>
      </c>
      <c r="G228" s="17">
        <f t="shared" si="319"/>
        <v>1.3847715115267098E-2</v>
      </c>
      <c r="H228" s="18">
        <f t="shared" si="324"/>
        <v>0.19999027393492538</v>
      </c>
      <c r="I228" s="19">
        <f t="shared" si="405"/>
        <v>1016.2375878110133</v>
      </c>
      <c r="J228" s="15">
        <f t="shared" si="325"/>
        <v>5.5324751756220273E-6</v>
      </c>
      <c r="K228" s="16">
        <f t="shared" si="326"/>
        <v>27.575732259826651</v>
      </c>
      <c r="L228" s="17">
        <f t="shared" si="327"/>
        <v>1.3846089914570533E-2</v>
      </c>
      <c r="M228" s="18">
        <f t="shared" si="328"/>
        <v>0.2000173539556506</v>
      </c>
      <c r="N228" s="19">
        <f t="shared" si="406"/>
        <v>1015.3312954408667</v>
      </c>
      <c r="O228" s="15">
        <f t="shared" si="329"/>
        <v>5.5306625908817336E-6</v>
      </c>
      <c r="P228" s="16">
        <f t="shared" si="330"/>
        <v>27.565309897569968</v>
      </c>
      <c r="Q228" s="17">
        <f t="shared" si="320"/>
        <v>1.3847715115267098E-2</v>
      </c>
      <c r="R228" s="18">
        <f t="shared" si="331"/>
        <v>0.2000929799264195</v>
      </c>
      <c r="S228" s="19">
        <f t="shared" si="407"/>
        <v>1013.8295740597445</v>
      </c>
      <c r="T228" s="15">
        <f t="shared" si="332"/>
        <v>5.5276591481194893E-6</v>
      </c>
      <c r="U228" s="16">
        <f t="shared" si="333"/>
        <v>27.548040101687061</v>
      </c>
      <c r="V228" s="17">
        <f t="shared" si="334"/>
        <v>1.3834036873623326E-2</v>
      </c>
      <c r="W228" s="18">
        <f t="shared" si="335"/>
        <v>0.20021841770377774</v>
      </c>
      <c r="X228" s="19">
        <f t="shared" si="408"/>
        <v>1011.7306102197493</v>
      </c>
      <c r="Y228" s="15">
        <f t="shared" si="336"/>
        <v>5.5234612204394992E-6</v>
      </c>
      <c r="Z228" s="16">
        <f t="shared" si="337"/>
        <v>27.523902017527117</v>
      </c>
      <c r="AA228" s="17">
        <f t="shared" si="338"/>
        <v>1.3823530747112695E-2</v>
      </c>
      <c r="AB228" s="18">
        <f t="shared" si="339"/>
        <v>0.2003940065070596</v>
      </c>
      <c r="AC228" s="19">
        <f t="shared" si="409"/>
        <v>1009.0329646728061</v>
      </c>
      <c r="AD228" s="15">
        <f t="shared" si="340"/>
        <v>5.5180659293456124E-6</v>
      </c>
      <c r="AE228" s="16">
        <f t="shared" si="341"/>
        <v>27.492879093737269</v>
      </c>
      <c r="AF228" s="17">
        <f t="shared" si="342"/>
        <v>1.3810027986914076E-2</v>
      </c>
      <c r="AG228" s="18">
        <f t="shared" si="343"/>
        <v>0.20062013080530477</v>
      </c>
      <c r="AH228" s="19">
        <f t="shared" si="410"/>
        <v>1005.7362711797978</v>
      </c>
      <c r="AI228" s="15">
        <f t="shared" si="344"/>
        <v>5.5114725423595962E-6</v>
      </c>
      <c r="AJ228" s="16">
        <f t="shared" si="345"/>
        <v>27.454967118567673</v>
      </c>
      <c r="AK228" s="17">
        <f t="shared" si="346"/>
        <v>1.3793526759858921E-2</v>
      </c>
      <c r="AL228" s="18">
        <f t="shared" si="347"/>
        <v>0.20089716284051956</v>
      </c>
      <c r="AM228" s="19">
        <f t="shared" si="411"/>
        <v>1001.8403325130317</v>
      </c>
      <c r="AN228" s="15">
        <f t="shared" si="348"/>
        <v>5.503680665026064E-6</v>
      </c>
      <c r="AO228" s="16">
        <f t="shared" si="349"/>
        <v>27.410163823899865</v>
      </c>
      <c r="AP228" s="17">
        <f t="shared" si="350"/>
        <v>1.3774026078746284E-2</v>
      </c>
      <c r="AQ228" s="18">
        <f t="shared" si="351"/>
        <v>0.20122553938151719</v>
      </c>
      <c r="AR228" s="19">
        <f t="shared" si="412"/>
        <v>997.34485211938454</v>
      </c>
      <c r="AS228" s="15">
        <f t="shared" si="352"/>
        <v>5.4946897042387701E-6</v>
      </c>
      <c r="AT228" s="16">
        <f t="shared" si="353"/>
        <v>27.358465799372922</v>
      </c>
      <c r="AU228" s="17">
        <f t="shared" si="354"/>
        <v>1.3751524459212988E-2</v>
      </c>
      <c r="AV228" s="18">
        <f t="shared" si="355"/>
        <v>0.20160578595479658</v>
      </c>
      <c r="AW228" s="19">
        <f t="shared" si="413"/>
        <v>992.24871013325492</v>
      </c>
      <c r="AX228" s="15">
        <f t="shared" si="356"/>
        <v>5.4844974202665106E-6</v>
      </c>
      <c r="AY228" s="16">
        <f t="shared" si="357"/>
        <v>27.299860166532433</v>
      </c>
      <c r="AZ228" s="17">
        <f t="shared" si="358"/>
        <v>1.3726016295898206E-2</v>
      </c>
      <c r="BA228" s="18">
        <f t="shared" si="359"/>
        <v>0.20203858065037783</v>
      </c>
      <c r="BB228" s="19">
        <f t="shared" si="414"/>
        <v>986.54728042289025</v>
      </c>
      <c r="BC228" s="15">
        <f t="shared" si="360"/>
        <v>5.4730945608457818E-6</v>
      </c>
      <c r="BD228" s="16">
        <f t="shared" si="361"/>
        <v>27.234293724863235</v>
      </c>
      <c r="BE228" s="17">
        <f t="shared" si="362"/>
        <v>1.3697478433221784E-2</v>
      </c>
      <c r="BF228" s="18">
        <f t="shared" si="363"/>
        <v>0.20252498763955731</v>
      </c>
      <c r="BG228" s="19">
        <f t="shared" si="415"/>
        <v>980.22274973275557</v>
      </c>
      <c r="BH228" s="15">
        <f t="shared" si="364"/>
        <v>5.4604454994655118E-6</v>
      </c>
      <c r="BI228" s="16">
        <f t="shared" si="365"/>
        <v>27.161561621926687</v>
      </c>
      <c r="BJ228" s="17">
        <f t="shared" si="366"/>
        <v>1.36658217089444E-2</v>
      </c>
      <c r="BK228" s="18">
        <f t="shared" si="367"/>
        <v>0.20306730064987893</v>
      </c>
      <c r="BL228" s="19">
        <f t="shared" si="416"/>
        <v>973.21240825715813</v>
      </c>
      <c r="BM228" s="15">
        <f t="shared" si="368"/>
        <v>5.446424816514317E-6</v>
      </c>
      <c r="BN228" s="16">
        <f t="shared" si="369"/>
        <v>27.080942694957315</v>
      </c>
      <c r="BO228" s="17">
        <f t="shared" si="370"/>
        <v>1.3630732236214122E-2</v>
      </c>
      <c r="BP228" s="18">
        <f t="shared" si="371"/>
        <v>0.20367182420968871</v>
      </c>
      <c r="BQ228" s="19">
        <f t="shared" si="417"/>
        <v>965.31646041152942</v>
      </c>
      <c r="BR228" s="15">
        <f t="shared" si="372"/>
        <v>5.4306329208230595E-6</v>
      </c>
      <c r="BS228" s="16">
        <f t="shared" si="373"/>
        <v>26.990139294732586</v>
      </c>
      <c r="BT228" s="17">
        <f t="shared" si="374"/>
        <v>1.3591209960790971E-2</v>
      </c>
      <c r="BU228" s="18">
        <f t="shared" si="375"/>
        <v>0.20435704090924914</v>
      </c>
      <c r="BV228" s="19">
        <f t="shared" si="418"/>
        <v>955.96544770689616</v>
      </c>
      <c r="BW228" s="15">
        <f t="shared" si="376"/>
        <v>5.4119308954137923E-6</v>
      </c>
      <c r="BX228" s="16">
        <f t="shared" si="377"/>
        <v>26.882602648629305</v>
      </c>
      <c r="BY228" s="17">
        <f t="shared" si="378"/>
        <v>1.3544404522504992E-2</v>
      </c>
      <c r="BZ228" s="18">
        <f t="shared" si="379"/>
        <v>0.20517451647417895</v>
      </c>
      <c r="CA228" s="19">
        <f t="shared" si="419"/>
        <v>943.72826729520011</v>
      </c>
      <c r="CB228" s="15">
        <f t="shared" si="380"/>
        <v>5.3874565345904003E-6</v>
      </c>
      <c r="CC228" s="16">
        <f t="shared" si="381"/>
        <v>26.7418750738948</v>
      </c>
      <c r="CD228" s="17">
        <f t="shared" si="382"/>
        <v>1.3483152697633635E-2</v>
      </c>
      <c r="CE228" s="18">
        <f t="shared" si="383"/>
        <v>0.20625423552981548</v>
      </c>
      <c r="CF228" s="19">
        <f t="shared" si="420"/>
        <v>925.49315981988332</v>
      </c>
      <c r="CG228" s="15">
        <f t="shared" si="384"/>
        <v>5.3509863196397667E-6</v>
      </c>
      <c r="CH228" s="16">
        <f t="shared" si="385"/>
        <v>26.532171337928659</v>
      </c>
      <c r="CI228" s="17">
        <f t="shared" si="386"/>
        <v>1.3391878926061146E-2</v>
      </c>
      <c r="CJ228" s="18">
        <f t="shared" si="387"/>
        <v>0.20788441811828731</v>
      </c>
      <c r="CK228" s="19">
        <f t="shared" si="421"/>
        <v>895.55672192755264</v>
      </c>
      <c r="CL228" s="15">
        <f t="shared" si="388"/>
        <v>5.2911134438551058E-6</v>
      </c>
      <c r="CM228" s="16">
        <f t="shared" si="389"/>
        <v>26.187902302166854</v>
      </c>
      <c r="CN228" s="17">
        <f t="shared" si="390"/>
        <v>1.3242035466263765E-2</v>
      </c>
      <c r="CO228" s="18">
        <f t="shared" si="391"/>
        <v>0.21061728947811231</v>
      </c>
      <c r="CP228" s="19">
        <f t="shared" si="422"/>
        <v>845.45227467860684</v>
      </c>
      <c r="CQ228" s="15">
        <f t="shared" si="392"/>
        <v>5.1909045493572141E-6</v>
      </c>
      <c r="CR228" s="16">
        <f t="shared" si="393"/>
        <v>25.611701158803978</v>
      </c>
      <c r="CS228" s="17">
        <f t="shared" si="394"/>
        <v>1.2991243312767745E-2</v>
      </c>
      <c r="CT228" s="18">
        <f t="shared" si="395"/>
        <v>0.21535566754432528</v>
      </c>
      <c r="CU228" s="19">
        <f t="shared" si="423"/>
        <v>765.74029508261913</v>
      </c>
      <c r="CV228" s="15">
        <f t="shared" si="396"/>
        <v>5.0314805901652385E-6</v>
      </c>
      <c r="CW228" s="16">
        <f t="shared" si="397"/>
        <v>24.695013393450118</v>
      </c>
      <c r="CX228" s="17">
        <f t="shared" si="398"/>
        <v>1.2592253999045115E-2</v>
      </c>
      <c r="CY228" s="18">
        <f t="shared" si="399"/>
        <v>0.2233497472596194</v>
      </c>
      <c r="CZ228" s="20">
        <f t="shared" si="424"/>
        <v>650.13294279413344</v>
      </c>
      <c r="DA228" s="15">
        <f t="shared" si="400"/>
        <v>4.8002658855882672E-6</v>
      </c>
      <c r="DB228" s="16">
        <f t="shared" si="401"/>
        <v>33.883305086963361</v>
      </c>
      <c r="DC228" s="17">
        <f t="shared" si="402"/>
        <v>1.2013594450196138E-2</v>
      </c>
      <c r="DD228" s="18">
        <f t="shared" si="403"/>
        <v>0.16278296895311262</v>
      </c>
    </row>
    <row r="229" spans="2:108" x14ac:dyDescent="0.25">
      <c r="B229">
        <v>210</v>
      </c>
      <c r="C229">
        <f t="shared" si="404"/>
        <v>0.20529907993250279</v>
      </c>
      <c r="D229" s="19">
        <f t="shared" si="321"/>
        <v>1016.5457010759252</v>
      </c>
      <c r="E229" s="15">
        <f t="shared" si="322"/>
        <v>5.5330914021518505E-6</v>
      </c>
      <c r="F229" s="16">
        <f t="shared" si="323"/>
        <v>27.579275562373141</v>
      </c>
      <c r="G229" s="17">
        <f t="shared" si="319"/>
        <v>1.3847632140729498E-2</v>
      </c>
      <c r="H229" s="18">
        <f t="shared" si="324"/>
        <v>0.19999165632635607</v>
      </c>
      <c r="I229" s="19">
        <f t="shared" si="405"/>
        <v>1016.2210109019829</v>
      </c>
      <c r="J229" s="15">
        <f t="shared" si="325"/>
        <v>5.5324420218039669E-6</v>
      </c>
      <c r="K229" s="16">
        <f t="shared" si="326"/>
        <v>27.575541625372804</v>
      </c>
      <c r="L229" s="17">
        <f t="shared" si="327"/>
        <v>1.3846006940724053E-2</v>
      </c>
      <c r="M229" s="18">
        <f t="shared" si="328"/>
        <v>0.20001873670996054</v>
      </c>
      <c r="N229" s="19">
        <f t="shared" si="406"/>
        <v>1015.3147157828697</v>
      </c>
      <c r="O229" s="15">
        <f t="shared" si="329"/>
        <v>5.5306294315657398E-6</v>
      </c>
      <c r="P229" s="16">
        <f t="shared" si="330"/>
        <v>27.565119231503001</v>
      </c>
      <c r="Q229" s="17">
        <f t="shared" si="320"/>
        <v>1.3847632140729498E-2</v>
      </c>
      <c r="R229" s="18">
        <f t="shared" si="331"/>
        <v>0.20009436395604002</v>
      </c>
      <c r="S229" s="19">
        <f t="shared" si="407"/>
        <v>1013.8129935051423</v>
      </c>
      <c r="T229" s="15">
        <f t="shared" si="332"/>
        <v>5.5276259870102853E-6</v>
      </c>
      <c r="U229" s="16">
        <f t="shared" si="333"/>
        <v>27.547849425309138</v>
      </c>
      <c r="V229" s="17">
        <f t="shared" si="334"/>
        <v>1.3833953881529347E-2</v>
      </c>
      <c r="W229" s="18">
        <f t="shared" si="335"/>
        <v>0.20021980354417826</v>
      </c>
      <c r="X229" s="19">
        <f t="shared" si="408"/>
        <v>1011.7140335754949</v>
      </c>
      <c r="Y229" s="15">
        <f t="shared" si="336"/>
        <v>5.5234280671509902E-6</v>
      </c>
      <c r="Z229" s="16">
        <f t="shared" si="337"/>
        <v>27.52371138611819</v>
      </c>
      <c r="AA229" s="17">
        <f t="shared" si="338"/>
        <v>1.3823447774591519E-2</v>
      </c>
      <c r="AB229" s="18">
        <f t="shared" si="339"/>
        <v>0.20039539445184892</v>
      </c>
      <c r="AC229" s="19">
        <f t="shared" si="409"/>
        <v>1009.016397521543</v>
      </c>
      <c r="AD229" s="15">
        <f t="shared" si="340"/>
        <v>5.518032795043086E-6</v>
      </c>
      <c r="AE229" s="16">
        <f t="shared" si="341"/>
        <v>27.492688571497744</v>
      </c>
      <c r="AF229" s="17">
        <f t="shared" si="342"/>
        <v>1.3809945061908996E-2</v>
      </c>
      <c r="AG229" s="18">
        <f t="shared" si="343"/>
        <v>0.20062152108754347</v>
      </c>
      <c r="AH229" s="19">
        <f t="shared" si="410"/>
        <v>1005.7197181489548</v>
      </c>
      <c r="AI229" s="15">
        <f t="shared" si="344"/>
        <v>5.5114394362979106E-6</v>
      </c>
      <c r="AJ229" s="16">
        <f t="shared" si="345"/>
        <v>27.454776758712981</v>
      </c>
      <c r="AK229" s="17">
        <f t="shared" si="346"/>
        <v>1.3793443905532013E-2</v>
      </c>
      <c r="AL229" s="18">
        <f t="shared" si="347"/>
        <v>0.20089855577680393</v>
      </c>
      <c r="AM229" s="19">
        <f t="shared" si="411"/>
        <v>1001.823795155846</v>
      </c>
      <c r="AN229" s="15">
        <f t="shared" si="348"/>
        <v>5.5036475903116931E-6</v>
      </c>
      <c r="AO229" s="16">
        <f t="shared" si="349"/>
        <v>27.409973644292229</v>
      </c>
      <c r="AP229" s="17">
        <f t="shared" si="350"/>
        <v>1.3773943302872096E-2</v>
      </c>
      <c r="AQ229" s="18">
        <f t="shared" si="351"/>
        <v>0.20122693555192664</v>
      </c>
      <c r="AR229" s="19">
        <f t="shared" si="412"/>
        <v>997.32832148673788</v>
      </c>
      <c r="AS229" s="15">
        <f t="shared" si="352"/>
        <v>5.4946566429734765E-6</v>
      </c>
      <c r="AT229" s="16">
        <f t="shared" si="353"/>
        <v>27.358275697097483</v>
      </c>
      <c r="AU229" s="17">
        <f t="shared" si="354"/>
        <v>1.375144171699772E-2</v>
      </c>
      <c r="AV229" s="18">
        <f t="shared" si="355"/>
        <v>0.20160718683689441</v>
      </c>
      <c r="AW229" s="19">
        <f t="shared" si="413"/>
        <v>992.23213754451149</v>
      </c>
      <c r="AX229" s="15">
        <f t="shared" si="356"/>
        <v>5.4844642750890239E-6</v>
      </c>
      <c r="AY229" s="16">
        <f t="shared" si="357"/>
        <v>27.299669581761883</v>
      </c>
      <c r="AZ229" s="17">
        <f t="shared" si="358"/>
        <v>1.3725933343676435E-2</v>
      </c>
      <c r="BA229" s="18">
        <f t="shared" si="359"/>
        <v>0.20203999112446508</v>
      </c>
      <c r="BB229" s="19">
        <f t="shared" si="414"/>
        <v>986.53047440383295</v>
      </c>
      <c r="BC229" s="15">
        <f t="shared" si="360"/>
        <v>5.4730609488076658E-6</v>
      </c>
      <c r="BD229" s="16">
        <f t="shared" si="361"/>
        <v>27.234100455644079</v>
      </c>
      <c r="BE229" s="17">
        <f t="shared" si="362"/>
        <v>1.3697394312590929E-2</v>
      </c>
      <c r="BF229" s="18">
        <f t="shared" si="363"/>
        <v>0.20252642487616751</v>
      </c>
      <c r="BG229" s="19">
        <f t="shared" si="415"/>
        <v>980.20505350281405</v>
      </c>
      <c r="BH229" s="15">
        <f t="shared" si="364"/>
        <v>5.4604101070056283E-6</v>
      </c>
      <c r="BI229" s="16">
        <f t="shared" si="365"/>
        <v>27.161358115282361</v>
      </c>
      <c r="BJ229" s="17">
        <f t="shared" si="366"/>
        <v>1.3665733132463477E-2</v>
      </c>
      <c r="BK229" s="18">
        <f t="shared" si="367"/>
        <v>0.20306882213288993</v>
      </c>
      <c r="BL229" s="19">
        <f t="shared" si="416"/>
        <v>973.19181807301743</v>
      </c>
      <c r="BM229" s="15">
        <f t="shared" si="368"/>
        <v>5.4463836361460348E-6</v>
      </c>
      <c r="BN229" s="16">
        <f t="shared" si="369"/>
        <v>27.0807059078397</v>
      </c>
      <c r="BO229" s="17">
        <f t="shared" si="370"/>
        <v>1.3630629174372206E-2</v>
      </c>
      <c r="BP229" s="18">
        <f t="shared" si="371"/>
        <v>0.20367360506667073</v>
      </c>
      <c r="BQ229" s="19">
        <f t="shared" si="417"/>
        <v>965.2875851572561</v>
      </c>
      <c r="BR229" s="15">
        <f t="shared" si="372"/>
        <v>5.4305751703145123E-6</v>
      </c>
      <c r="BS229" s="16">
        <f t="shared" si="373"/>
        <v>26.989807229308447</v>
      </c>
      <c r="BT229" s="17">
        <f t="shared" si="374"/>
        <v>1.3591065428965963E-2</v>
      </c>
      <c r="BU229" s="18">
        <f t="shared" si="375"/>
        <v>0.20435955518832083</v>
      </c>
      <c r="BV229" s="19">
        <f t="shared" si="418"/>
        <v>955.91574280756709</v>
      </c>
      <c r="BW229" s="15">
        <f t="shared" si="376"/>
        <v>5.4118314856151341E-6</v>
      </c>
      <c r="BX229" s="16">
        <f t="shared" si="377"/>
        <v>26.882031042287021</v>
      </c>
      <c r="BY229" s="17">
        <f t="shared" si="378"/>
        <v>1.3544155730243496E-2</v>
      </c>
      <c r="BZ229" s="18">
        <f t="shared" si="379"/>
        <v>0.20517887920461056</v>
      </c>
      <c r="CA229" s="19">
        <f t="shared" si="419"/>
        <v>943.63327305657185</v>
      </c>
      <c r="CB229" s="15">
        <f t="shared" si="380"/>
        <v>5.3872665461131438E-6</v>
      </c>
      <c r="CC229" s="16">
        <f t="shared" si="381"/>
        <v>26.740782640150577</v>
      </c>
      <c r="CD229" s="17">
        <f t="shared" si="382"/>
        <v>1.348267721469782E-2</v>
      </c>
      <c r="CE229" s="18">
        <f t="shared" si="383"/>
        <v>0.20626266157664491</v>
      </c>
      <c r="CF229" s="19">
        <f t="shared" si="420"/>
        <v>925.31509826522802</v>
      </c>
      <c r="CG229" s="15">
        <f t="shared" si="384"/>
        <v>5.3506301965304568E-6</v>
      </c>
      <c r="CH229" s="16">
        <f t="shared" si="385"/>
        <v>26.53012363005012</v>
      </c>
      <c r="CI229" s="17">
        <f t="shared" si="386"/>
        <v>1.339098765905395E-2</v>
      </c>
      <c r="CJ229" s="18">
        <f t="shared" si="387"/>
        <v>0.20790046352262626</v>
      </c>
      <c r="CK229" s="19">
        <f t="shared" si="421"/>
        <v>895.25512805417566</v>
      </c>
      <c r="CL229" s="15">
        <f t="shared" si="388"/>
        <v>5.290510256108352E-6</v>
      </c>
      <c r="CM229" s="16">
        <f t="shared" si="389"/>
        <v>26.184433972623019</v>
      </c>
      <c r="CN229" s="17">
        <f t="shared" si="390"/>
        <v>1.3240525872183032E-2</v>
      </c>
      <c r="CO229" s="18">
        <f t="shared" si="391"/>
        <v>0.21064518735699345</v>
      </c>
      <c r="CP229" s="19">
        <f t="shared" si="422"/>
        <v>845.01250988726895</v>
      </c>
      <c r="CQ229" s="15">
        <f t="shared" si="392"/>
        <v>5.1900250197745385E-6</v>
      </c>
      <c r="CR229" s="16">
        <f t="shared" si="393"/>
        <v>25.606643863703592</v>
      </c>
      <c r="CS229" s="17">
        <f t="shared" si="394"/>
        <v>1.2989042119757805E-2</v>
      </c>
      <c r="CT229" s="18">
        <f t="shared" si="395"/>
        <v>0.21539820014516547</v>
      </c>
      <c r="CU229" s="19">
        <f t="shared" si="423"/>
        <v>765.2072851266895</v>
      </c>
      <c r="CV229" s="15">
        <f t="shared" si="396"/>
        <v>5.03041457025338E-6</v>
      </c>
      <c r="CW229" s="16">
        <f t="shared" si="397"/>
        <v>24.688883778956928</v>
      </c>
      <c r="CX229" s="17">
        <f t="shared" si="398"/>
        <v>1.2589586077891967E-2</v>
      </c>
      <c r="CY229" s="18">
        <f t="shared" si="399"/>
        <v>0.22340519925413282</v>
      </c>
      <c r="CZ229" s="20">
        <f t="shared" si="424"/>
        <v>649.61528045176419</v>
      </c>
      <c r="DA229" s="15">
        <f t="shared" si="400"/>
        <v>4.7768328859513708E-6</v>
      </c>
      <c r="DB229" s="16">
        <f t="shared" si="401"/>
        <v>34.65615686689884</v>
      </c>
      <c r="DC229" s="17">
        <f t="shared" si="402"/>
        <v>1.1954948833245115E-2</v>
      </c>
      <c r="DD229" s="18">
        <f t="shared" si="403"/>
        <v>0.15915281723774002</v>
      </c>
    </row>
    <row r="230" spans="2:108" x14ac:dyDescent="0.25">
      <c r="B230">
        <v>211</v>
      </c>
      <c r="C230">
        <f t="shared" si="404"/>
        <v>0.20627669459884806</v>
      </c>
      <c r="D230" s="19">
        <f t="shared" si="321"/>
        <v>1016.5291240358696</v>
      </c>
      <c r="E230" s="15">
        <f t="shared" si="322"/>
        <v>5.5330582480717401E-6</v>
      </c>
      <c r="F230" s="16">
        <f t="shared" si="323"/>
        <v>27.579084926412499</v>
      </c>
      <c r="G230" s="17">
        <f t="shared" si="319"/>
        <v>1.3847549166227189E-2</v>
      </c>
      <c r="H230" s="18">
        <f t="shared" si="324"/>
        <v>0.19999303873631008</v>
      </c>
      <c r="I230" s="19">
        <f t="shared" si="405"/>
        <v>1016.2044340342251</v>
      </c>
      <c r="J230" s="15">
        <f t="shared" si="325"/>
        <v>5.5324088680684506E-6</v>
      </c>
      <c r="K230" s="16">
        <f t="shared" si="326"/>
        <v>27.575350991393588</v>
      </c>
      <c r="L230" s="17">
        <f t="shared" si="327"/>
        <v>1.3845923967084155E-2</v>
      </c>
      <c r="M230" s="18">
        <f t="shared" si="328"/>
        <v>0.20002011947994627</v>
      </c>
      <c r="N230" s="19">
        <f t="shared" si="406"/>
        <v>1015.2981362372566</v>
      </c>
      <c r="O230" s="15">
        <f t="shared" si="329"/>
        <v>5.5305962724745139E-6</v>
      </c>
      <c r="P230" s="16">
        <f t="shared" si="330"/>
        <v>27.564928566728447</v>
      </c>
      <c r="Q230" s="17">
        <f t="shared" si="320"/>
        <v>1.3847549166227189E-2</v>
      </c>
      <c r="R230" s="18">
        <f t="shared" si="331"/>
        <v>0.20009574799542548</v>
      </c>
      <c r="S230" s="19">
        <f t="shared" si="407"/>
        <v>1013.7964131234104</v>
      </c>
      <c r="T230" s="15">
        <f t="shared" si="332"/>
        <v>5.5275928262468214E-6</v>
      </c>
      <c r="U230" s="16">
        <f t="shared" si="333"/>
        <v>27.547658750919219</v>
      </c>
      <c r="V230" s="17">
        <f t="shared" si="334"/>
        <v>1.3833870890300649E-2</v>
      </c>
      <c r="W230" s="18">
        <f t="shared" si="335"/>
        <v>0.20022118938931435</v>
      </c>
      <c r="X230" s="19">
        <f t="shared" si="408"/>
        <v>1011.6974571310924</v>
      </c>
      <c r="Y230" s="15">
        <f t="shared" si="336"/>
        <v>5.523394914262185E-6</v>
      </c>
      <c r="Z230" s="16">
        <f t="shared" si="337"/>
        <v>27.52352075700756</v>
      </c>
      <c r="AA230" s="17">
        <f t="shared" si="338"/>
        <v>1.3823364803070681E-2</v>
      </c>
      <c r="AB230" s="18">
        <f t="shared" si="339"/>
        <v>0.20039678239913067</v>
      </c>
      <c r="AC230" s="19">
        <f t="shared" si="409"/>
        <v>1008.9998305663281</v>
      </c>
      <c r="AD230" s="15">
        <f t="shared" si="340"/>
        <v>5.5179996611326571E-6</v>
      </c>
      <c r="AE230" s="16">
        <f t="shared" si="341"/>
        <v>27.492498051512772</v>
      </c>
      <c r="AF230" s="17">
        <f t="shared" si="342"/>
        <v>1.3809862137885218E-2</v>
      </c>
      <c r="AG230" s="18">
        <f t="shared" si="343"/>
        <v>0.20062291137259908</v>
      </c>
      <c r="AH230" s="19">
        <f t="shared" si="410"/>
        <v>1005.7031652732448</v>
      </c>
      <c r="AI230" s="15">
        <f t="shared" si="344"/>
        <v>5.5114063305464897E-6</v>
      </c>
      <c r="AJ230" s="16">
        <f t="shared" si="345"/>
        <v>27.454586400642313</v>
      </c>
      <c r="AK230" s="17">
        <f t="shared" si="346"/>
        <v>1.3793361051981602E-2</v>
      </c>
      <c r="AL230" s="18">
        <f t="shared" si="347"/>
        <v>0.20089994871934982</v>
      </c>
      <c r="AM230" s="19">
        <f t="shared" si="411"/>
        <v>1001.807257796625</v>
      </c>
      <c r="AN230" s="15">
        <f t="shared" si="348"/>
        <v>5.5036145155932504E-6</v>
      </c>
      <c r="AO230" s="16">
        <f t="shared" si="349"/>
        <v>27.409783464661189</v>
      </c>
      <c r="AP230" s="17">
        <f t="shared" si="350"/>
        <v>1.377386052698772E-2</v>
      </c>
      <c r="AQ230" s="18">
        <f t="shared" si="351"/>
        <v>0.20122833174188223</v>
      </c>
      <c r="AR230" s="19">
        <f t="shared" si="412"/>
        <v>997.31179025258371</v>
      </c>
      <c r="AS230" s="15">
        <f t="shared" si="352"/>
        <v>5.4946235805051673E-6</v>
      </c>
      <c r="AT230" s="16">
        <f t="shared" si="353"/>
        <v>27.358085587904711</v>
      </c>
      <c r="AU230" s="17">
        <f t="shared" si="354"/>
        <v>1.3751358971771674E-2</v>
      </c>
      <c r="AV230" s="18">
        <f t="shared" si="355"/>
        <v>0.20160858778943633</v>
      </c>
      <c r="AW230" s="19">
        <f t="shared" si="413"/>
        <v>992.21556221207254</v>
      </c>
      <c r="AX230" s="15">
        <f t="shared" si="356"/>
        <v>5.4844311244241452E-6</v>
      </c>
      <c r="AY230" s="16">
        <f t="shared" si="357"/>
        <v>27.299478965438833</v>
      </c>
      <c r="AZ230" s="17">
        <f t="shared" si="358"/>
        <v>1.3725850377721402E-2</v>
      </c>
      <c r="BA230" s="18">
        <f t="shared" si="359"/>
        <v>0.20204140185176378</v>
      </c>
      <c r="BB230" s="19">
        <f t="shared" si="414"/>
        <v>986.51365870034078</v>
      </c>
      <c r="BC230" s="15">
        <f t="shared" si="360"/>
        <v>5.473027317400682E-6</v>
      </c>
      <c r="BD230" s="16">
        <f t="shared" si="361"/>
        <v>27.233907075053921</v>
      </c>
      <c r="BE230" s="17">
        <f t="shared" si="362"/>
        <v>1.3697310143485733E-2</v>
      </c>
      <c r="BF230" s="18">
        <f t="shared" si="363"/>
        <v>0.20252786296139919</v>
      </c>
      <c r="BG230" s="19">
        <f t="shared" si="415"/>
        <v>980.1873275796803</v>
      </c>
      <c r="BH230" s="15">
        <f t="shared" si="364"/>
        <v>5.4603746551593611E-6</v>
      </c>
      <c r="BI230" s="16">
        <f t="shared" si="365"/>
        <v>27.161154267166324</v>
      </c>
      <c r="BJ230" s="17">
        <f t="shared" si="366"/>
        <v>1.3665644407356637E-2</v>
      </c>
      <c r="BK230" s="18">
        <f t="shared" si="367"/>
        <v>0.20307034619171344</v>
      </c>
      <c r="BL230" s="19">
        <f t="shared" si="416"/>
        <v>973.17114798412854</v>
      </c>
      <c r="BM230" s="15">
        <f t="shared" si="368"/>
        <v>5.4463422959682582E-6</v>
      </c>
      <c r="BN230" s="16">
        <f t="shared" si="369"/>
        <v>27.080468201817478</v>
      </c>
      <c r="BO230" s="17">
        <f t="shared" si="370"/>
        <v>1.3630525712576102E-2</v>
      </c>
      <c r="BP230" s="18">
        <f t="shared" si="371"/>
        <v>0.20367539286598541</v>
      </c>
      <c r="BQ230" s="19">
        <f t="shared" si="417"/>
        <v>965.25852386958798</v>
      </c>
      <c r="BR230" s="15">
        <f t="shared" si="372"/>
        <v>5.4305170477391765E-6</v>
      </c>
      <c r="BS230" s="16">
        <f t="shared" si="373"/>
        <v>26.989473024500263</v>
      </c>
      <c r="BT230" s="17">
        <f t="shared" si="374"/>
        <v>1.3590919965971801E-2</v>
      </c>
      <c r="BU230" s="18">
        <f t="shared" si="375"/>
        <v>0.20436208572850145</v>
      </c>
      <c r="BV230" s="19">
        <f t="shared" si="418"/>
        <v>955.86567391698088</v>
      </c>
      <c r="BW230" s="15">
        <f t="shared" si="376"/>
        <v>5.4117313478339621E-6</v>
      </c>
      <c r="BX230" s="16">
        <f t="shared" si="377"/>
        <v>26.881455250045278</v>
      </c>
      <c r="BY230" s="17">
        <f t="shared" si="378"/>
        <v>1.3543905116064863E-2</v>
      </c>
      <c r="BZ230" s="18">
        <f t="shared" si="379"/>
        <v>0.20518327407109813</v>
      </c>
      <c r="CA230" s="19">
        <f t="shared" si="419"/>
        <v>943.5377109659911</v>
      </c>
      <c r="CB230" s="15">
        <f t="shared" si="380"/>
        <v>5.3870754219319829E-6</v>
      </c>
      <c r="CC230" s="16">
        <f t="shared" si="381"/>
        <v>26.739683676108896</v>
      </c>
      <c r="CD230" s="17">
        <f t="shared" si="382"/>
        <v>1.3482198889443174E-2</v>
      </c>
      <c r="CE230" s="18">
        <f t="shared" si="383"/>
        <v>0.20627113868695632</v>
      </c>
      <c r="CF230" s="19">
        <f t="shared" si="420"/>
        <v>925.13641042615961</v>
      </c>
      <c r="CG230" s="15">
        <f t="shared" si="384"/>
        <v>5.3502728208523196E-6</v>
      </c>
      <c r="CH230" s="16">
        <f t="shared" si="385"/>
        <v>26.528068719900837</v>
      </c>
      <c r="CI230" s="17">
        <f t="shared" si="386"/>
        <v>1.3390093257250836E-2</v>
      </c>
      <c r="CJ230" s="18">
        <f t="shared" si="387"/>
        <v>0.20791656785261139</v>
      </c>
      <c r="CK230" s="19">
        <f t="shared" si="421"/>
        <v>894.95325524683381</v>
      </c>
      <c r="CL230" s="15">
        <f t="shared" si="388"/>
        <v>5.2899065104936678E-6</v>
      </c>
      <c r="CM230" s="16">
        <f t="shared" si="389"/>
        <v>26.180962435338586</v>
      </c>
      <c r="CN230" s="17">
        <f t="shared" si="390"/>
        <v>1.3239014881929832E-2</v>
      </c>
      <c r="CO230" s="18">
        <f t="shared" si="391"/>
        <v>0.21067311843949288</v>
      </c>
      <c r="CP230" s="19">
        <f t="shared" si="422"/>
        <v>844.57330495063002</v>
      </c>
      <c r="CQ230" s="15">
        <f t="shared" si="392"/>
        <v>5.18914660990126E-6</v>
      </c>
      <c r="CR230" s="16">
        <f t="shared" si="393"/>
        <v>25.601593006932244</v>
      </c>
      <c r="CS230" s="17">
        <f t="shared" si="394"/>
        <v>1.2986843729037346E-2</v>
      </c>
      <c r="CT230" s="18">
        <f t="shared" si="395"/>
        <v>0.21544069537026514</v>
      </c>
      <c r="CU230" s="19">
        <f t="shared" si="423"/>
        <v>764.67574903775107</v>
      </c>
      <c r="CV230" s="15">
        <f t="shared" si="396"/>
        <v>5.0293514980755034E-6</v>
      </c>
      <c r="CW230" s="16">
        <f t="shared" si="397"/>
        <v>24.682771113934137</v>
      </c>
      <c r="CX230" s="17">
        <f t="shared" si="398"/>
        <v>1.2586925534013627E-2</v>
      </c>
      <c r="CY230" s="18">
        <f t="shared" si="399"/>
        <v>0.22346052534134914</v>
      </c>
      <c r="CZ230" s="20">
        <f t="shared" si="424"/>
        <v>649.0993314848381</v>
      </c>
      <c r="DA230" s="15">
        <f t="shared" si="400"/>
        <v>4.7862395892601894E-6</v>
      </c>
      <c r="DB230" s="16">
        <f t="shared" si="401"/>
        <v>34.671119386939694</v>
      </c>
      <c r="DC230" s="17">
        <f t="shared" si="402"/>
        <v>1.1978490928903766E-2</v>
      </c>
      <c r="DD230" s="18">
        <f t="shared" si="403"/>
        <v>0.15908413392841558</v>
      </c>
    </row>
    <row r="231" spans="2:108" x14ac:dyDescent="0.25">
      <c r="B231">
        <v>212</v>
      </c>
      <c r="C231">
        <f t="shared" si="404"/>
        <v>0.20725430926519331</v>
      </c>
      <c r="D231" s="19">
        <f t="shared" si="321"/>
        <v>1016.5125470046106</v>
      </c>
      <c r="E231" s="15">
        <f t="shared" si="322"/>
        <v>5.5330250940092216E-6</v>
      </c>
      <c r="F231" s="16">
        <f t="shared" si="323"/>
        <v>27.578894290553023</v>
      </c>
      <c r="G231" s="17">
        <f t="shared" si="319"/>
        <v>1.3847466191768906E-2</v>
      </c>
      <c r="H231" s="18">
        <f t="shared" si="324"/>
        <v>0.19999442116464192</v>
      </c>
      <c r="I231" s="19">
        <f t="shared" si="405"/>
        <v>1016.1878572089805</v>
      </c>
      <c r="J231" s="15">
        <f t="shared" si="325"/>
        <v>5.5323757144179612E-6</v>
      </c>
      <c r="K231" s="16">
        <f t="shared" si="326"/>
        <v>27.575160357903275</v>
      </c>
      <c r="L231" s="17">
        <f t="shared" si="327"/>
        <v>1.3845840993657054E-2</v>
      </c>
      <c r="M231" s="18">
        <f t="shared" si="328"/>
        <v>0.2000215022655045</v>
      </c>
      <c r="N231" s="19">
        <f t="shared" si="406"/>
        <v>1015.2815568043353</v>
      </c>
      <c r="O231" s="15">
        <f t="shared" si="329"/>
        <v>5.5305631136086715E-6</v>
      </c>
      <c r="P231" s="16">
        <f t="shared" si="330"/>
        <v>27.564737903249856</v>
      </c>
      <c r="Q231" s="17">
        <f t="shared" si="320"/>
        <v>1.3847466191768906E-2</v>
      </c>
      <c r="R231" s="18">
        <f t="shared" si="331"/>
        <v>0.20009713204455004</v>
      </c>
      <c r="S231" s="19">
        <f t="shared" si="407"/>
        <v>1013.7798329142855</v>
      </c>
      <c r="T231" s="15">
        <f t="shared" si="332"/>
        <v>5.5275596658285718E-6</v>
      </c>
      <c r="U231" s="16">
        <f t="shared" si="333"/>
        <v>27.547468078514285</v>
      </c>
      <c r="V231" s="17">
        <f t="shared" si="334"/>
        <v>1.3833787899935919E-2</v>
      </c>
      <c r="W231" s="18">
        <f t="shared" si="335"/>
        <v>0.20022257523920775</v>
      </c>
      <c r="X231" s="19">
        <f t="shared" si="408"/>
        <v>1011.6808808861539</v>
      </c>
      <c r="Y231" s="15">
        <f t="shared" si="336"/>
        <v>5.5233617617723077E-6</v>
      </c>
      <c r="Z231" s="16">
        <f t="shared" si="337"/>
        <v>27.523330130190768</v>
      </c>
      <c r="AA231" s="17">
        <f t="shared" si="338"/>
        <v>1.3823281832548237E-2</v>
      </c>
      <c r="AB231" s="18">
        <f t="shared" si="339"/>
        <v>0.200398170348937</v>
      </c>
      <c r="AC231" s="19">
        <f t="shared" si="409"/>
        <v>1008.9832638065842</v>
      </c>
      <c r="AD231" s="15">
        <f t="shared" si="340"/>
        <v>5.5179665276131686E-6</v>
      </c>
      <c r="AE231" s="16">
        <f t="shared" si="341"/>
        <v>27.492307533775715</v>
      </c>
      <c r="AF231" s="17">
        <f t="shared" si="342"/>
        <v>1.3809779214839842E-2</v>
      </c>
      <c r="AG231" s="18">
        <f t="shared" si="343"/>
        <v>0.20062430166051978</v>
      </c>
      <c r="AH231" s="19">
        <f t="shared" si="410"/>
        <v>1005.6866125508326</v>
      </c>
      <c r="AI231" s="15">
        <f t="shared" si="344"/>
        <v>5.511373225101666E-6</v>
      </c>
      <c r="AJ231" s="16">
        <f t="shared" si="345"/>
        <v>27.454396044334572</v>
      </c>
      <c r="AK231" s="17">
        <f t="shared" si="346"/>
        <v>1.3793278199198509E-2</v>
      </c>
      <c r="AL231" s="18">
        <f t="shared" si="347"/>
        <v>0.2009013416683115</v>
      </c>
      <c r="AM231" s="19">
        <f t="shared" si="411"/>
        <v>1001.7907204285226</v>
      </c>
      <c r="AN231" s="15">
        <f t="shared" si="348"/>
        <v>5.5035814408570454E-6</v>
      </c>
      <c r="AO231" s="16">
        <f t="shared" si="349"/>
        <v>27.409593284928008</v>
      </c>
      <c r="AP231" s="17">
        <f t="shared" si="350"/>
        <v>1.377377775105889E-2</v>
      </c>
      <c r="AQ231" s="18">
        <f t="shared" si="351"/>
        <v>0.20122972795196245</v>
      </c>
      <c r="AR231" s="19">
        <f t="shared" si="412"/>
        <v>997.29525839332132</v>
      </c>
      <c r="AS231" s="15">
        <f t="shared" si="352"/>
        <v>5.4945905167866435E-6</v>
      </c>
      <c r="AT231" s="16">
        <f t="shared" si="353"/>
        <v>27.357895471523193</v>
      </c>
      <c r="AU231" s="17">
        <f t="shared" si="354"/>
        <v>1.3751276223416722E-2</v>
      </c>
      <c r="AV231" s="18">
        <f t="shared" si="355"/>
        <v>0.20160998881442502</v>
      </c>
      <c r="AW231" s="19">
        <f t="shared" si="413"/>
        <v>992.19898406305094</v>
      </c>
      <c r="AX231" s="15">
        <f t="shared" si="356"/>
        <v>5.4843979681261018E-6</v>
      </c>
      <c r="AY231" s="16">
        <f t="shared" si="357"/>
        <v>27.299288316725082</v>
      </c>
      <c r="AZ231" s="17">
        <f t="shared" si="358"/>
        <v>1.3725767397668284E-2</v>
      </c>
      <c r="BA231" s="18">
        <f t="shared" si="359"/>
        <v>0.20204281283848771</v>
      </c>
      <c r="BB231" s="19">
        <f t="shared" si="414"/>
        <v>986.4968331146855</v>
      </c>
      <c r="BC231" s="15">
        <f t="shared" si="360"/>
        <v>5.4729936662293711E-6</v>
      </c>
      <c r="BD231" s="16">
        <f t="shared" si="361"/>
        <v>27.233713580818883</v>
      </c>
      <c r="BE231" s="17">
        <f t="shared" si="362"/>
        <v>1.3697225924916481E-2</v>
      </c>
      <c r="BF231" s="18">
        <f t="shared" si="363"/>
        <v>0.2025293019121982</v>
      </c>
      <c r="BG231" s="19">
        <f t="shared" si="415"/>
        <v>980.16957150637097</v>
      </c>
      <c r="BH231" s="15">
        <f t="shared" si="364"/>
        <v>5.4603391430127422E-6</v>
      </c>
      <c r="BI231" s="16">
        <f t="shared" si="365"/>
        <v>27.160950072323267</v>
      </c>
      <c r="BJ231" s="17">
        <f t="shared" si="366"/>
        <v>1.3665555531336495E-2</v>
      </c>
      <c r="BK231" s="18">
        <f t="shared" si="367"/>
        <v>0.20307187286575687</v>
      </c>
      <c r="BL231" s="19">
        <f t="shared" si="416"/>
        <v>973.15039713860199</v>
      </c>
      <c r="BM231" s="15">
        <f t="shared" si="368"/>
        <v>5.4463007942772051E-6</v>
      </c>
      <c r="BN231" s="16">
        <f t="shared" si="369"/>
        <v>27.080229567093923</v>
      </c>
      <c r="BO231" s="17">
        <f t="shared" si="370"/>
        <v>1.363042184656176E-2</v>
      </c>
      <c r="BP231" s="18">
        <f t="shared" si="371"/>
        <v>0.20367718768168114</v>
      </c>
      <c r="BQ231" s="19">
        <f t="shared" si="417"/>
        <v>965.22927542422576</v>
      </c>
      <c r="BR231" s="15">
        <f t="shared" si="372"/>
        <v>5.4304585508484523E-6</v>
      </c>
      <c r="BS231" s="16">
        <f t="shared" si="373"/>
        <v>26.989136667378595</v>
      </c>
      <c r="BT231" s="17">
        <f t="shared" si="374"/>
        <v>1.3590773566180932E-2</v>
      </c>
      <c r="BU231" s="18">
        <f t="shared" si="375"/>
        <v>0.20436463262889995</v>
      </c>
      <c r="BV231" s="19">
        <f t="shared" si="418"/>
        <v>955.81524050904852</v>
      </c>
      <c r="BW231" s="15">
        <f t="shared" si="376"/>
        <v>5.4116304810180976E-6</v>
      </c>
      <c r="BX231" s="16">
        <f t="shared" si="377"/>
        <v>26.880875265854058</v>
      </c>
      <c r="BY231" s="17">
        <f t="shared" si="378"/>
        <v>1.3543652677335809E-2</v>
      </c>
      <c r="BZ231" s="18">
        <f t="shared" si="379"/>
        <v>0.20518770112394097</v>
      </c>
      <c r="CA231" s="19">
        <f t="shared" si="419"/>
        <v>943.44158290870394</v>
      </c>
      <c r="CB231" s="15">
        <f t="shared" si="380"/>
        <v>5.3868831658174087E-6</v>
      </c>
      <c r="CC231" s="16">
        <f t="shared" si="381"/>
        <v>26.738578203450096</v>
      </c>
      <c r="CD231" s="17">
        <f t="shared" si="382"/>
        <v>1.3481717731306081E-2</v>
      </c>
      <c r="CE231" s="18">
        <f t="shared" si="383"/>
        <v>0.20627966670599993</v>
      </c>
      <c r="CF231" s="19">
        <f t="shared" si="420"/>
        <v>924.95710197761696</v>
      </c>
      <c r="CG231" s="15">
        <f t="shared" si="384"/>
        <v>5.3499142039552348E-6</v>
      </c>
      <c r="CH231" s="16">
        <f t="shared" si="385"/>
        <v>26.526006672742596</v>
      </c>
      <c r="CI231" s="17">
        <f t="shared" si="386"/>
        <v>1.3389195749057071E-2</v>
      </c>
      <c r="CJ231" s="18">
        <f t="shared" si="387"/>
        <v>0.20793273062347928</v>
      </c>
      <c r="CK231" s="19">
        <f t="shared" si="421"/>
        <v>894.65111066264672</v>
      </c>
      <c r="CL231" s="15">
        <f t="shared" si="388"/>
        <v>5.2893022213252943E-6</v>
      </c>
      <c r="CM231" s="16">
        <f t="shared" si="389"/>
        <v>26.177487772620438</v>
      </c>
      <c r="CN231" s="17">
        <f t="shared" si="390"/>
        <v>1.3237502531328318E-2</v>
      </c>
      <c r="CO231" s="18">
        <f t="shared" si="391"/>
        <v>0.2107010820866051</v>
      </c>
      <c r="CP231" s="19">
        <f t="shared" si="422"/>
        <v>844.13466143772109</v>
      </c>
      <c r="CQ231" s="15">
        <f t="shared" si="392"/>
        <v>5.1882693228754427E-6</v>
      </c>
      <c r="CR231" s="16">
        <f t="shared" si="393"/>
        <v>25.596548606533794</v>
      </c>
      <c r="CS231" s="17">
        <f t="shared" si="394"/>
        <v>1.298464814845998E-2</v>
      </c>
      <c r="CT231" s="18">
        <f t="shared" si="395"/>
        <v>0.2154831530135308</v>
      </c>
      <c r="CU231" s="19">
        <f t="shared" si="423"/>
        <v>764.14567786860619</v>
      </c>
      <c r="CV231" s="15">
        <f t="shared" si="396"/>
        <v>5.0282913557372125E-6</v>
      </c>
      <c r="CW231" s="16">
        <f t="shared" si="397"/>
        <v>24.67667529548897</v>
      </c>
      <c r="CX231" s="17">
        <f t="shared" si="398"/>
        <v>1.2584272322625911E-2</v>
      </c>
      <c r="CY231" s="18">
        <f t="shared" si="399"/>
        <v>0.22351572624567809</v>
      </c>
      <c r="CZ231" s="20">
        <f t="shared" si="424"/>
        <v>648.5850828126222</v>
      </c>
      <c r="DA231" s="15">
        <f t="shared" si="400"/>
        <v>4.7956057848449002E-6</v>
      </c>
      <c r="DB231" s="16">
        <f t="shared" si="401"/>
        <v>34.686032598433954</v>
      </c>
      <c r="DC231" s="17">
        <f t="shared" si="402"/>
        <v>1.2001931646142732E-2</v>
      </c>
      <c r="DD231" s="18">
        <f t="shared" si="403"/>
        <v>0.159015735926196</v>
      </c>
    </row>
    <row r="232" spans="2:108" x14ac:dyDescent="0.25">
      <c r="B232">
        <v>213</v>
      </c>
      <c r="C232">
        <f t="shared" si="404"/>
        <v>0.20823192393153855</v>
      </c>
      <c r="D232" s="19">
        <f t="shared" si="321"/>
        <v>1016.4959699838697</v>
      </c>
      <c r="E232" s="15">
        <f t="shared" si="322"/>
        <v>5.5329919399677401E-6</v>
      </c>
      <c r="F232" s="16">
        <f t="shared" si="323"/>
        <v>27.5787036548145</v>
      </c>
      <c r="G232" s="17">
        <f t="shared" si="319"/>
        <v>1.3847383217363269E-2</v>
      </c>
      <c r="H232" s="18">
        <f t="shared" si="324"/>
        <v>0.19999580361120853</v>
      </c>
      <c r="I232" s="19">
        <f t="shared" si="405"/>
        <v>1016.1712804274741</v>
      </c>
      <c r="J232" s="15">
        <f t="shared" si="325"/>
        <v>5.5323425608549482E-6</v>
      </c>
      <c r="K232" s="16">
        <f t="shared" si="326"/>
        <v>27.574969724915952</v>
      </c>
      <c r="L232" s="17">
        <f t="shared" si="327"/>
        <v>1.384575802044888E-2</v>
      </c>
      <c r="M232" s="18">
        <f t="shared" si="328"/>
        <v>0.20002288506653335</v>
      </c>
      <c r="N232" s="19">
        <f t="shared" si="406"/>
        <v>1015.2649774844137</v>
      </c>
      <c r="O232" s="15">
        <f t="shared" si="329"/>
        <v>5.5305299549688285E-6</v>
      </c>
      <c r="P232" s="16">
        <f t="shared" si="330"/>
        <v>27.564547241070755</v>
      </c>
      <c r="Q232" s="17">
        <f t="shared" si="320"/>
        <v>1.3847383217363269E-2</v>
      </c>
      <c r="R232" s="18">
        <f t="shared" si="331"/>
        <v>0.20009851610338816</v>
      </c>
      <c r="S232" s="19">
        <f t="shared" si="407"/>
        <v>1013.7632528775092</v>
      </c>
      <c r="T232" s="15">
        <f t="shared" si="332"/>
        <v>5.5275265057550188E-6</v>
      </c>
      <c r="U232" s="16">
        <f t="shared" si="333"/>
        <v>27.547277408091354</v>
      </c>
      <c r="V232" s="17">
        <f t="shared" si="334"/>
        <v>1.3833704910433859E-2</v>
      </c>
      <c r="W232" s="18">
        <f t="shared" si="335"/>
        <v>0.20022396109387991</v>
      </c>
      <c r="X232" s="19">
        <f t="shared" si="408"/>
        <v>1011.6643048402898</v>
      </c>
      <c r="Y232" s="15">
        <f t="shared" si="336"/>
        <v>5.5233286096805808E-6</v>
      </c>
      <c r="Z232" s="16">
        <f t="shared" si="337"/>
        <v>27.52313950566333</v>
      </c>
      <c r="AA232" s="17">
        <f t="shared" si="338"/>
        <v>1.3823198863022241E-2</v>
      </c>
      <c r="AB232" s="18">
        <f t="shared" si="339"/>
        <v>0.2003995583013003</v>
      </c>
      <c r="AC232" s="19">
        <f t="shared" si="409"/>
        <v>1008.9666972417174</v>
      </c>
      <c r="AD232" s="15">
        <f t="shared" si="340"/>
        <v>5.5179333944834355E-6</v>
      </c>
      <c r="AE232" s="16">
        <f t="shared" si="341"/>
        <v>27.49211701827975</v>
      </c>
      <c r="AF232" s="17">
        <f t="shared" si="342"/>
        <v>1.3809696292769905E-2</v>
      </c>
      <c r="AG232" s="18">
        <f t="shared" si="343"/>
        <v>0.2006256919513551</v>
      </c>
      <c r="AH232" s="19">
        <f t="shared" si="410"/>
        <v>1005.6700599798239</v>
      </c>
      <c r="AI232" s="15">
        <f t="shared" si="344"/>
        <v>5.5113401199596481E-6</v>
      </c>
      <c r="AJ232" s="16">
        <f t="shared" si="345"/>
        <v>27.454205689767974</v>
      </c>
      <c r="AK232" s="17">
        <f t="shared" si="346"/>
        <v>1.3793195347173246E-2</v>
      </c>
      <c r="AL232" s="18">
        <f t="shared" si="347"/>
        <v>0.20090273462384825</v>
      </c>
      <c r="AM232" s="19">
        <f t="shared" si="411"/>
        <v>1001.7741830445096</v>
      </c>
      <c r="AN232" s="15">
        <f t="shared" si="348"/>
        <v>5.50354836608902E-6</v>
      </c>
      <c r="AO232" s="16">
        <f t="shared" si="349"/>
        <v>27.409403105011862</v>
      </c>
      <c r="AP232" s="17">
        <f t="shared" si="350"/>
        <v>1.3773694975050422E-2</v>
      </c>
      <c r="AQ232" s="18">
        <f t="shared" si="351"/>
        <v>0.20123112418276112</v>
      </c>
      <c r="AR232" s="19">
        <f t="shared" si="412"/>
        <v>997.27872588484558</v>
      </c>
      <c r="AS232" s="15">
        <f t="shared" si="352"/>
        <v>5.4945574517696919E-6</v>
      </c>
      <c r="AT232" s="16">
        <f t="shared" si="353"/>
        <v>27.357705347675726</v>
      </c>
      <c r="AU232" s="17">
        <f t="shared" si="354"/>
        <v>1.3751193471812204E-2</v>
      </c>
      <c r="AV232" s="18">
        <f t="shared" si="355"/>
        <v>0.20161138991390593</v>
      </c>
      <c r="AW232" s="19">
        <f t="shared" si="413"/>
        <v>992.18240302338893</v>
      </c>
      <c r="AX232" s="15">
        <f t="shared" si="356"/>
        <v>5.4843648060467782E-6</v>
      </c>
      <c r="AY232" s="16">
        <f t="shared" si="357"/>
        <v>27.29909763476897</v>
      </c>
      <c r="AZ232" s="17">
        <f t="shared" si="358"/>
        <v>1.3725684403146395E-2</v>
      </c>
      <c r="BA232" s="18">
        <f t="shared" si="359"/>
        <v>0.20204422409095055</v>
      </c>
      <c r="BB232" s="19">
        <f t="shared" si="414"/>
        <v>986.47999744703463</v>
      </c>
      <c r="BC232" s="15">
        <f t="shared" si="360"/>
        <v>5.472959994894069E-6</v>
      </c>
      <c r="BD232" s="16">
        <f t="shared" si="361"/>
        <v>27.233519970640899</v>
      </c>
      <c r="BE232" s="17">
        <f t="shared" si="362"/>
        <v>1.3697141655882941E-2</v>
      </c>
      <c r="BF232" s="18">
        <f t="shared" si="363"/>
        <v>0.20253074174569136</v>
      </c>
      <c r="BG232" s="19">
        <f t="shared" si="415"/>
        <v>980.15178482364729</v>
      </c>
      <c r="BH232" s="15">
        <f t="shared" si="364"/>
        <v>5.4603035696472947E-6</v>
      </c>
      <c r="BI232" s="16">
        <f t="shared" si="365"/>
        <v>27.160745525471945</v>
      </c>
      <c r="BJ232" s="17">
        <f t="shared" si="366"/>
        <v>1.3665466502104385E-2</v>
      </c>
      <c r="BK232" s="18">
        <f t="shared" si="367"/>
        <v>0.20307340219462405</v>
      </c>
      <c r="BL232" s="19">
        <f t="shared" si="416"/>
        <v>973.12956468586515</v>
      </c>
      <c r="BM232" s="15">
        <f t="shared" si="368"/>
        <v>5.4462591293717307E-6</v>
      </c>
      <c r="BN232" s="16">
        <f t="shared" si="369"/>
        <v>27.079989993887448</v>
      </c>
      <c r="BO232" s="17">
        <f t="shared" si="370"/>
        <v>1.363031757207174E-2</v>
      </c>
      <c r="BP232" s="18">
        <f t="shared" si="371"/>
        <v>0.2036789895876992</v>
      </c>
      <c r="BQ232" s="19">
        <f t="shared" si="417"/>
        <v>965.19983870895965</v>
      </c>
      <c r="BR232" s="15">
        <f t="shared" si="372"/>
        <v>5.4303996774179203E-6</v>
      </c>
      <c r="BS232" s="16">
        <f t="shared" si="373"/>
        <v>26.988798145153034</v>
      </c>
      <c r="BT232" s="17">
        <f t="shared" si="374"/>
        <v>1.359062622402632E-2</v>
      </c>
      <c r="BU232" s="18">
        <f t="shared" si="375"/>
        <v>0.20436719598759018</v>
      </c>
      <c r="BV232" s="19">
        <f t="shared" si="418"/>
        <v>955.7644420838966</v>
      </c>
      <c r="BW232" s="15">
        <f t="shared" si="376"/>
        <v>5.4115288841677929E-6</v>
      </c>
      <c r="BX232" s="16">
        <f t="shared" si="377"/>
        <v>26.88029108396481</v>
      </c>
      <c r="BY232" s="17">
        <f t="shared" si="378"/>
        <v>1.3543398411554271E-2</v>
      </c>
      <c r="BZ232" s="18">
        <f t="shared" si="379"/>
        <v>0.20519216041117558</v>
      </c>
      <c r="CA232" s="19">
        <f t="shared" si="419"/>
        <v>943.34489079156742</v>
      </c>
      <c r="CB232" s="15">
        <f t="shared" si="380"/>
        <v>5.3866897815831361E-6</v>
      </c>
      <c r="CC232" s="16">
        <f t="shared" si="381"/>
        <v>26.737466244103025</v>
      </c>
      <c r="CD232" s="17">
        <f t="shared" si="382"/>
        <v>1.3481233749831099E-2</v>
      </c>
      <c r="CE232" s="18">
        <f t="shared" si="383"/>
        <v>0.20628824547712993</v>
      </c>
      <c r="CF232" s="19">
        <f t="shared" si="420"/>
        <v>924.77717856532092</v>
      </c>
      <c r="CG232" s="15">
        <f t="shared" si="384"/>
        <v>5.3495543571306429E-6</v>
      </c>
      <c r="CH232" s="16">
        <f t="shared" si="385"/>
        <v>26.523937553501192</v>
      </c>
      <c r="CI232" s="17">
        <f t="shared" si="386"/>
        <v>1.3388295162731672E-2</v>
      </c>
      <c r="CJ232" s="18">
        <f t="shared" si="387"/>
        <v>0.2079489513528858</v>
      </c>
      <c r="CK232" s="19">
        <f t="shared" si="421"/>
        <v>894.34870136060601</v>
      </c>
      <c r="CL232" s="15">
        <f t="shared" si="388"/>
        <v>5.2886974027212125E-6</v>
      </c>
      <c r="CM232" s="16">
        <f t="shared" si="389"/>
        <v>26.174010065646968</v>
      </c>
      <c r="CN232" s="17">
        <f t="shared" si="390"/>
        <v>1.3235988855711476E-2</v>
      </c>
      <c r="CO232" s="18">
        <f t="shared" si="391"/>
        <v>0.21072907766774274</v>
      </c>
      <c r="CP232" s="19">
        <f t="shared" si="422"/>
        <v>843.69658084453431</v>
      </c>
      <c r="CQ232" s="15">
        <f t="shared" si="392"/>
        <v>5.1873931616890687E-6</v>
      </c>
      <c r="CR232" s="16">
        <f t="shared" si="393"/>
        <v>25.591510679712144</v>
      </c>
      <c r="CS232" s="17">
        <f t="shared" si="394"/>
        <v>1.2982455385513722E-2</v>
      </c>
      <c r="CT232" s="18">
        <f t="shared" si="395"/>
        <v>0.21552557287571741</v>
      </c>
      <c r="CU232" s="19">
        <f t="shared" si="423"/>
        <v>763.61706275474614</v>
      </c>
      <c r="CV232" s="15">
        <f t="shared" si="396"/>
        <v>5.0272341255094928E-6</v>
      </c>
      <c r="CW232" s="16">
        <f t="shared" si="397"/>
        <v>24.670596221679581</v>
      </c>
      <c r="CX232" s="17">
        <f t="shared" si="398"/>
        <v>1.2581626399358527E-2</v>
      </c>
      <c r="CY232" s="18">
        <f t="shared" si="399"/>
        <v>0.22357080268506355</v>
      </c>
      <c r="CZ232" s="20">
        <f t="shared" si="424"/>
        <v>648.07252151969169</v>
      </c>
      <c r="DA232" s="15">
        <f t="shared" si="400"/>
        <v>4.8049318324808604E-6</v>
      </c>
      <c r="DB232" s="16">
        <f t="shared" si="401"/>
        <v>34.700896875928933</v>
      </c>
      <c r="DC232" s="17">
        <f t="shared" si="402"/>
        <v>1.2025271885369481E-2</v>
      </c>
      <c r="DD232" s="18">
        <f t="shared" si="403"/>
        <v>0.1589476208560488</v>
      </c>
    </row>
    <row r="233" spans="2:108" x14ac:dyDescent="0.25">
      <c r="B233">
        <v>214</v>
      </c>
      <c r="C233">
        <f t="shared" si="404"/>
        <v>0.20920953859788383</v>
      </c>
      <c r="D233" s="19">
        <f t="shared" si="321"/>
        <v>1016.479392975343</v>
      </c>
      <c r="E233" s="15">
        <f t="shared" si="322"/>
        <v>5.532958785950687E-6</v>
      </c>
      <c r="F233" s="16">
        <f t="shared" si="323"/>
        <v>27.578513019216444</v>
      </c>
      <c r="G233" s="17">
        <f t="shared" si="319"/>
        <v>1.3847300243018773E-2</v>
      </c>
      <c r="H233" s="18">
        <f t="shared" si="324"/>
        <v>0.19999718607586875</v>
      </c>
      <c r="I233" s="19">
        <f t="shared" si="405"/>
        <v>1016.1547036909152</v>
      </c>
      <c r="J233" s="15">
        <f t="shared" si="325"/>
        <v>5.5323094073818309E-6</v>
      </c>
      <c r="K233" s="16">
        <f t="shared" si="326"/>
        <v>27.574779092445524</v>
      </c>
      <c r="L233" s="17">
        <f t="shared" si="327"/>
        <v>1.3845675047465688E-2</v>
      </c>
      <c r="M233" s="18">
        <f t="shared" si="328"/>
        <v>0.20002426788293215</v>
      </c>
      <c r="N233" s="19">
        <f t="shared" si="406"/>
        <v>1015.2483982777994</v>
      </c>
      <c r="O233" s="15">
        <f t="shared" si="329"/>
        <v>5.530496796555599E-6</v>
      </c>
      <c r="P233" s="16">
        <f t="shared" si="330"/>
        <v>27.564356580194691</v>
      </c>
      <c r="Q233" s="17">
        <f t="shared" si="320"/>
        <v>1.3847300243018773E-2</v>
      </c>
      <c r="R233" s="18">
        <f t="shared" si="331"/>
        <v>0.20009990017191406</v>
      </c>
      <c r="S233" s="19">
        <f t="shared" si="407"/>
        <v>1013.7466730128275</v>
      </c>
      <c r="T233" s="15">
        <f t="shared" si="332"/>
        <v>5.5274933460256552E-6</v>
      </c>
      <c r="U233" s="16">
        <f t="shared" si="333"/>
        <v>27.547086739647515</v>
      </c>
      <c r="V233" s="17">
        <f t="shared" si="334"/>
        <v>1.3833621921793198E-2</v>
      </c>
      <c r="W233" s="18">
        <f t="shared" si="335"/>
        <v>0.20022534695335178</v>
      </c>
      <c r="X233" s="19">
        <f t="shared" si="408"/>
        <v>1011.6477289931091</v>
      </c>
      <c r="Y233" s="15">
        <f t="shared" si="336"/>
        <v>5.5232954579862183E-6</v>
      </c>
      <c r="Z233" s="16">
        <f t="shared" si="337"/>
        <v>27.522948883420753</v>
      </c>
      <c r="AA233" s="17">
        <f t="shared" si="338"/>
        <v>1.3823115894490725E-2</v>
      </c>
      <c r="AB233" s="18">
        <f t="shared" si="339"/>
        <v>0.20040094625625296</v>
      </c>
      <c r="AC233" s="19">
        <f t="shared" si="409"/>
        <v>1008.9501308711165</v>
      </c>
      <c r="AD233" s="15">
        <f t="shared" si="340"/>
        <v>5.5179002617422331E-6</v>
      </c>
      <c r="AE233" s="16">
        <f t="shared" si="341"/>
        <v>27.491926505017837</v>
      </c>
      <c r="AF233" s="17">
        <f t="shared" si="342"/>
        <v>1.3809613371672341E-2</v>
      </c>
      <c r="AG233" s="18">
        <f t="shared" si="343"/>
        <v>0.20062708224515607</v>
      </c>
      <c r="AH233" s="19">
        <f t="shared" si="410"/>
        <v>1005.6535075582642</v>
      </c>
      <c r="AI233" s="15">
        <f t="shared" si="344"/>
        <v>5.5113070151165287E-6</v>
      </c>
      <c r="AJ233" s="16">
        <f t="shared" si="345"/>
        <v>27.454015336920037</v>
      </c>
      <c r="AK233" s="17">
        <f t="shared" si="346"/>
        <v>1.3793112495896036E-2</v>
      </c>
      <c r="AL233" s="18">
        <f t="shared" si="347"/>
        <v>0.20090412758612444</v>
      </c>
      <c r="AM233" s="19">
        <f t="shared" si="411"/>
        <v>1001.7576456373704</v>
      </c>
      <c r="AN233" s="15">
        <f t="shared" si="348"/>
        <v>5.5035152912747406E-6</v>
      </c>
      <c r="AO233" s="16">
        <f t="shared" si="349"/>
        <v>27.40921292482976</v>
      </c>
      <c r="AP233" s="17">
        <f t="shared" si="350"/>
        <v>1.3773612198926196E-2</v>
      </c>
      <c r="AQ233" s="18">
        <f t="shared" si="351"/>
        <v>0.20123252043488796</v>
      </c>
      <c r="AR233" s="19">
        <f t="shared" si="412"/>
        <v>997.26219270254114</v>
      </c>
      <c r="AS233" s="15">
        <f t="shared" si="352"/>
        <v>5.4945243854050828E-6</v>
      </c>
      <c r="AT233" s="16">
        <f t="shared" si="353"/>
        <v>27.357515216079221</v>
      </c>
      <c r="AU233" s="17">
        <f t="shared" si="354"/>
        <v>1.3751110716834911E-2</v>
      </c>
      <c r="AV233" s="18">
        <f t="shared" si="355"/>
        <v>0.20161279108996796</v>
      </c>
      <c r="AW233" s="19">
        <f t="shared" si="413"/>
        <v>992.16581901785344</v>
      </c>
      <c r="AX233" s="15">
        <f t="shared" si="356"/>
        <v>5.4843316380357075E-6</v>
      </c>
      <c r="AY233" s="16">
        <f t="shared" si="357"/>
        <v>27.298906918705313</v>
      </c>
      <c r="AZ233" s="17">
        <f t="shared" si="358"/>
        <v>1.3725601393779159E-2</v>
      </c>
      <c r="BA233" s="18">
        <f t="shared" si="359"/>
        <v>0.20204563561556646</v>
      </c>
      <c r="BB233" s="19">
        <f t="shared" si="414"/>
        <v>986.46315149546115</v>
      </c>
      <c r="BC233" s="15">
        <f t="shared" si="360"/>
        <v>5.4729263029909232E-6</v>
      </c>
      <c r="BD233" s="16">
        <f t="shared" si="361"/>
        <v>27.233326242197805</v>
      </c>
      <c r="BE233" s="17">
        <f t="shared" si="362"/>
        <v>1.369705733537439E-2</v>
      </c>
      <c r="BF233" s="18">
        <f t="shared" si="363"/>
        <v>0.20253218247918561</v>
      </c>
      <c r="BG233" s="19">
        <f t="shared" si="415"/>
        <v>980.13396707006859</v>
      </c>
      <c r="BH233" s="15">
        <f t="shared" si="364"/>
        <v>5.4602679341401382E-6</v>
      </c>
      <c r="BI233" s="16">
        <f t="shared" si="365"/>
        <v>27.160540621305788</v>
      </c>
      <c r="BJ233" s="17">
        <f t="shared" si="366"/>
        <v>1.3665377317350621E-2</v>
      </c>
      <c r="BK233" s="18">
        <f t="shared" si="367"/>
        <v>0.20307493421811082</v>
      </c>
      <c r="BL233" s="19">
        <f t="shared" si="416"/>
        <v>973.10864977676897</v>
      </c>
      <c r="BM233" s="15">
        <f t="shared" si="368"/>
        <v>5.4462172995535375E-6</v>
      </c>
      <c r="BN233" s="16">
        <f t="shared" si="369"/>
        <v>27.079749472432844</v>
      </c>
      <c r="BO233" s="17">
        <f t="shared" si="370"/>
        <v>1.3630212884855726E-2</v>
      </c>
      <c r="BP233" s="18">
        <f t="shared" si="371"/>
        <v>0.20368079865786426</v>
      </c>
      <c r="BQ233" s="19">
        <f t="shared" si="417"/>
        <v>965.17021262372782</v>
      </c>
      <c r="BR233" s="15">
        <f t="shared" si="372"/>
        <v>5.4303404252474564E-6</v>
      </c>
      <c r="BS233" s="16">
        <f t="shared" si="373"/>
        <v>26.98845744517287</v>
      </c>
      <c r="BT233" s="17">
        <f t="shared" si="374"/>
        <v>1.3590477934001723E-2</v>
      </c>
      <c r="BU233" s="18">
        <f t="shared" si="375"/>
        <v>0.20436977590160565</v>
      </c>
      <c r="BV233" s="19">
        <f t="shared" si="418"/>
        <v>955.71327816761732</v>
      </c>
      <c r="BW233" s="15">
        <f t="shared" si="376"/>
        <v>5.4114265563352351E-6</v>
      </c>
      <c r="BX233" s="16">
        <f t="shared" si="377"/>
        <v>26.879702698927598</v>
      </c>
      <c r="BY233" s="17">
        <f t="shared" si="378"/>
        <v>1.3543142316348169E-2</v>
      </c>
      <c r="BZ233" s="18">
        <f t="shared" si="379"/>
        <v>0.20519665197859696</v>
      </c>
      <c r="CA233" s="19">
        <f t="shared" si="419"/>
        <v>943.24763654239473</v>
      </c>
      <c r="CB233" s="15">
        <f t="shared" si="380"/>
        <v>5.3864952730847907E-6</v>
      </c>
      <c r="CC233" s="16">
        <f t="shared" si="381"/>
        <v>26.73634782023754</v>
      </c>
      <c r="CD233" s="17">
        <f t="shared" si="382"/>
        <v>1.3480746954667677E-2</v>
      </c>
      <c r="CE233" s="18">
        <f t="shared" si="383"/>
        <v>0.20629687484186074</v>
      </c>
      <c r="CF233" s="19">
        <f t="shared" si="420"/>
        <v>924.59664580547428</v>
      </c>
      <c r="CG233" s="15">
        <f t="shared" si="384"/>
        <v>5.3491932916109486E-6</v>
      </c>
      <c r="CH233" s="16">
        <f t="shared" si="385"/>
        <v>26.521861426762953</v>
      </c>
      <c r="CI233" s="17">
        <f t="shared" si="386"/>
        <v>1.3387391526385907E-2</v>
      </c>
      <c r="CJ233" s="18">
        <f t="shared" si="387"/>
        <v>0.20796522956093255</v>
      </c>
      <c r="CK233" s="19">
        <f t="shared" si="421"/>
        <v>894.04603430283396</v>
      </c>
      <c r="CL233" s="15">
        <f t="shared" si="388"/>
        <v>5.2880920686056682E-6</v>
      </c>
      <c r="CM233" s="16">
        <f t="shared" si="389"/>
        <v>26.170529394482589</v>
      </c>
      <c r="CN233" s="17">
        <f t="shared" si="390"/>
        <v>1.3234473889927425E-2</v>
      </c>
      <c r="CO233" s="18">
        <f t="shared" si="391"/>
        <v>0.21075710456062971</v>
      </c>
      <c r="CP233" s="19">
        <f t="shared" si="422"/>
        <v>843.259064595871</v>
      </c>
      <c r="CQ233" s="15">
        <f t="shared" si="392"/>
        <v>5.1865181291917422E-6</v>
      </c>
      <c r="CR233" s="16">
        <f t="shared" si="393"/>
        <v>25.586479242852516</v>
      </c>
      <c r="CS233" s="17">
        <f t="shared" si="394"/>
        <v>1.2980265447330259E-2</v>
      </c>
      <c r="CT233" s="18">
        <f t="shared" si="395"/>
        <v>0.21556795476426358</v>
      </c>
      <c r="CU233" s="19">
        <f t="shared" si="423"/>
        <v>763.08989491343743</v>
      </c>
      <c r="CV233" s="15">
        <f t="shared" si="396"/>
        <v>5.0261797898268758E-6</v>
      </c>
      <c r="CW233" s="16">
        <f t="shared" si="397"/>
        <v>24.664533791504532</v>
      </c>
      <c r="CX233" s="17">
        <f t="shared" si="398"/>
        <v>1.2578987720250489E-2</v>
      </c>
      <c r="CY233" s="18">
        <f t="shared" si="399"/>
        <v>0.22362575537105045</v>
      </c>
      <c r="CZ233" s="20">
        <f t="shared" si="424"/>
        <v>647.56163485297157</v>
      </c>
      <c r="DA233" s="15">
        <f t="shared" si="400"/>
        <v>4.8142180870835823E-6</v>
      </c>
      <c r="DB233" s="16">
        <f t="shared" si="401"/>
        <v>34.715712589263816</v>
      </c>
      <c r="DC233" s="17">
        <f t="shared" si="402"/>
        <v>1.2048512534828778E-2</v>
      </c>
      <c r="DD233" s="18">
        <f t="shared" si="403"/>
        <v>0.15887978637390154</v>
      </c>
    </row>
    <row r="234" spans="2:108" x14ac:dyDescent="0.25">
      <c r="B234">
        <v>215</v>
      </c>
      <c r="C234">
        <f t="shared" si="404"/>
        <v>0.21018715326422907</v>
      </c>
      <c r="D234" s="19">
        <f t="shared" si="321"/>
        <v>1016.4628159807015</v>
      </c>
      <c r="E234" s="15">
        <f t="shared" si="322"/>
        <v>5.5329256319614039E-6</v>
      </c>
      <c r="F234" s="16">
        <f t="shared" si="323"/>
        <v>27.578322383778065</v>
      </c>
      <c r="G234" s="17">
        <f t="shared" si="319"/>
        <v>1.3847217268743776E-2</v>
      </c>
      <c r="H234" s="18">
        <f t="shared" si="324"/>
        <v>0.19999856855848358</v>
      </c>
      <c r="I234" s="19">
        <f t="shared" si="405"/>
        <v>1016.1381270004974</v>
      </c>
      <c r="J234" s="15">
        <f t="shared" si="325"/>
        <v>5.5322762540009953E-6</v>
      </c>
      <c r="K234" s="16">
        <f t="shared" si="326"/>
        <v>27.574588460505719</v>
      </c>
      <c r="L234" s="17">
        <f t="shared" si="327"/>
        <v>1.3845592074713448E-2</v>
      </c>
      <c r="M234" s="18">
        <f t="shared" si="328"/>
        <v>0.20002565071460157</v>
      </c>
      <c r="N234" s="19">
        <f t="shared" si="406"/>
        <v>1015.2318191847994</v>
      </c>
      <c r="O234" s="15">
        <f t="shared" si="329"/>
        <v>5.5304636383695997E-6</v>
      </c>
      <c r="P234" s="16">
        <f t="shared" si="330"/>
        <v>27.564165920625193</v>
      </c>
      <c r="Q234" s="17">
        <f t="shared" si="320"/>
        <v>1.3847217268743776E-2</v>
      </c>
      <c r="R234" s="18">
        <f t="shared" si="331"/>
        <v>0.20010128425010212</v>
      </c>
      <c r="S234" s="19">
        <f t="shared" si="407"/>
        <v>1013.7300933199906</v>
      </c>
      <c r="T234" s="15">
        <f t="shared" si="332"/>
        <v>5.5274601866399819E-6</v>
      </c>
      <c r="U234" s="16">
        <f t="shared" si="333"/>
        <v>27.546896073179891</v>
      </c>
      <c r="V234" s="17">
        <f t="shared" si="334"/>
        <v>1.3833538934012689E-2</v>
      </c>
      <c r="W234" s="18">
        <f t="shared" si="335"/>
        <v>0.20022673281764411</v>
      </c>
      <c r="X234" s="19">
        <f t="shared" si="408"/>
        <v>1011.6311533442191</v>
      </c>
      <c r="Y234" s="15">
        <f t="shared" si="336"/>
        <v>5.5232623066884391E-6</v>
      </c>
      <c r="Z234" s="16">
        <f t="shared" si="337"/>
        <v>27.52275826345852</v>
      </c>
      <c r="AA234" s="17">
        <f t="shared" si="338"/>
        <v>1.3823032926951737E-2</v>
      </c>
      <c r="AB234" s="18">
        <f t="shared" si="339"/>
        <v>0.20040233421382761</v>
      </c>
      <c r="AC234" s="19">
        <f t="shared" si="409"/>
        <v>1008.9335646941527</v>
      </c>
      <c r="AD234" s="15">
        <f t="shared" si="340"/>
        <v>5.5178671293883051E-6</v>
      </c>
      <c r="AE234" s="16">
        <f t="shared" si="341"/>
        <v>27.491735993982754</v>
      </c>
      <c r="AF234" s="17">
        <f t="shared" si="342"/>
        <v>1.3809530451544007E-2</v>
      </c>
      <c r="AG234" s="18">
        <f t="shared" si="343"/>
        <v>0.20062847254197519</v>
      </c>
      <c r="AH234" s="19">
        <f t="shared" si="410"/>
        <v>1005.6369552841372</v>
      </c>
      <c r="AI234" s="15">
        <f t="shared" si="344"/>
        <v>5.5112739105682749E-6</v>
      </c>
      <c r="AJ234" s="16">
        <f t="shared" si="345"/>
        <v>27.453824985767575</v>
      </c>
      <c r="AK234" s="17">
        <f t="shared" si="346"/>
        <v>1.3793029645356782E-2</v>
      </c>
      <c r="AL234" s="18">
        <f t="shared" si="347"/>
        <v>0.20090552055530961</v>
      </c>
      <c r="AM234" s="19">
        <f t="shared" si="411"/>
        <v>1001.7411081996995</v>
      </c>
      <c r="AN234" s="15">
        <f t="shared" si="348"/>
        <v>5.5034822163993995E-6</v>
      </c>
      <c r="AO234" s="16">
        <f t="shared" si="349"/>
        <v>27.409022744296543</v>
      </c>
      <c r="AP234" s="17">
        <f t="shared" si="350"/>
        <v>1.377352942264915E-2</v>
      </c>
      <c r="AQ234" s="18">
        <f t="shared" si="351"/>
        <v>0.20123391670896873</v>
      </c>
      <c r="AR234" s="19">
        <f t="shared" si="412"/>
        <v>997.24565882127729</v>
      </c>
      <c r="AS234" s="15">
        <f t="shared" si="352"/>
        <v>5.4944913176425552E-6</v>
      </c>
      <c r="AT234" s="16">
        <f t="shared" si="353"/>
        <v>27.357325076444688</v>
      </c>
      <c r="AU234" s="17">
        <f t="shared" si="354"/>
        <v>1.375102795835906E-2</v>
      </c>
      <c r="AV234" s="18">
        <f t="shared" si="355"/>
        <v>0.20161419234474373</v>
      </c>
      <c r="AW234" s="19">
        <f t="shared" si="413"/>
        <v>992.14923197003122</v>
      </c>
      <c r="AX234" s="15">
        <f t="shared" si="356"/>
        <v>5.4842984639400628E-6</v>
      </c>
      <c r="AY234" s="16">
        <f t="shared" si="357"/>
        <v>27.298716167655357</v>
      </c>
      <c r="AZ234" s="17">
        <f t="shared" si="358"/>
        <v>1.3725518369184101E-2</v>
      </c>
      <c r="BA234" s="18">
        <f t="shared" si="359"/>
        <v>0.20204704741885041</v>
      </c>
      <c r="BB234" s="19">
        <f t="shared" si="414"/>
        <v>986.44629505595424</v>
      </c>
      <c r="BC234" s="15">
        <f t="shared" si="360"/>
        <v>5.4728925901119093E-6</v>
      </c>
      <c r="BD234" s="16">
        <f t="shared" si="361"/>
        <v>27.233132393143471</v>
      </c>
      <c r="BE234" s="17">
        <f t="shared" si="362"/>
        <v>1.3696972962369674E-2</v>
      </c>
      <c r="BF234" s="18">
        <f t="shared" si="363"/>
        <v>0.20253362413016718</v>
      </c>
      <c r="BG234" s="19">
        <f t="shared" si="415"/>
        <v>980.11611778204565</v>
      </c>
      <c r="BH234" s="15">
        <f t="shared" si="364"/>
        <v>5.4602322355640917E-6</v>
      </c>
      <c r="BI234" s="16">
        <f t="shared" si="365"/>
        <v>27.160335354493526</v>
      </c>
      <c r="BJ234" s="17">
        <f t="shared" si="366"/>
        <v>1.3665287974754754E-2</v>
      </c>
      <c r="BK234" s="18">
        <f t="shared" si="367"/>
        <v>0.20307646897620027</v>
      </c>
      <c r="BL234" s="19">
        <f t="shared" si="416"/>
        <v>973.08765156369293</v>
      </c>
      <c r="BM234" s="15">
        <f t="shared" si="368"/>
        <v>5.4461753031273856E-6</v>
      </c>
      <c r="BN234" s="16">
        <f t="shared" si="369"/>
        <v>27.079507992982467</v>
      </c>
      <c r="BO234" s="17">
        <f t="shared" si="370"/>
        <v>1.3630107780671048E-2</v>
      </c>
      <c r="BP234" s="18">
        <f t="shared" si="371"/>
        <v>0.20368261496587564</v>
      </c>
      <c r="BQ234" s="19">
        <f t="shared" si="417"/>
        <v>965.14039608067162</v>
      </c>
      <c r="BR234" s="15">
        <f t="shared" si="372"/>
        <v>5.430280792161343E-6</v>
      </c>
      <c r="BS234" s="16">
        <f t="shared" si="373"/>
        <v>26.988114554927723</v>
      </c>
      <c r="BT234" s="17">
        <f t="shared" si="374"/>
        <v>1.3590328690661986E-2</v>
      </c>
      <c r="BU234" s="18">
        <f t="shared" si="375"/>
        <v>0.20437237246693507</v>
      </c>
      <c r="BV234" s="19">
        <f t="shared" si="418"/>
        <v>955.66174831201613</v>
      </c>
      <c r="BW234" s="15">
        <f t="shared" si="376"/>
        <v>5.4113234966240328E-6</v>
      </c>
      <c r="BX234" s="16">
        <f t="shared" si="377"/>
        <v>26.879110105588182</v>
      </c>
      <c r="BY234" s="17">
        <f t="shared" si="378"/>
        <v>1.3542884389474106E-2</v>
      </c>
      <c r="BZ234" s="18">
        <f t="shared" si="379"/>
        <v>0.20520117586978068</v>
      </c>
      <c r="CA234" s="19">
        <f t="shared" si="419"/>
        <v>943.14982210931078</v>
      </c>
      <c r="CB234" s="15">
        <f t="shared" si="380"/>
        <v>5.3862996442186221E-6</v>
      </c>
      <c r="CC234" s="16">
        <f t="shared" si="381"/>
        <v>26.735222954257075</v>
      </c>
      <c r="CD234" s="17">
        <f t="shared" si="382"/>
        <v>1.3480257355566936E-2</v>
      </c>
      <c r="CE234" s="18">
        <f t="shared" si="383"/>
        <v>0.20630555463992276</v>
      </c>
      <c r="CF234" s="19">
        <f t="shared" si="420"/>
        <v>924.41550928447828</v>
      </c>
      <c r="CG234" s="15">
        <f t="shared" si="384"/>
        <v>5.3488310185689571E-6</v>
      </c>
      <c r="CH234" s="16">
        <f t="shared" si="385"/>
        <v>26.5197783567715</v>
      </c>
      <c r="CI234" s="17">
        <f t="shared" si="386"/>
        <v>1.3386484867981881E-2</v>
      </c>
      <c r="CJ234" s="18">
        <f t="shared" si="387"/>
        <v>0.20798156477019172</v>
      </c>
      <c r="CK234" s="19">
        <f t="shared" si="421"/>
        <v>893.74311635582933</v>
      </c>
      <c r="CL234" s="15">
        <f t="shared" si="388"/>
        <v>5.2874862327116591E-6</v>
      </c>
      <c r="CM234" s="16">
        <f t="shared" si="389"/>
        <v>26.167045838092037</v>
      </c>
      <c r="CN234" s="17">
        <f t="shared" si="390"/>
        <v>1.3232957668345648E-2</v>
      </c>
      <c r="CO234" s="18">
        <f t="shared" si="391"/>
        <v>0.21078516215119569</v>
      </c>
      <c r="CP234" s="19">
        <f t="shared" si="422"/>
        <v>842.82211404714417</v>
      </c>
      <c r="CQ234" s="15">
        <f t="shared" si="392"/>
        <v>5.185644228094289E-6</v>
      </c>
      <c r="CR234" s="16">
        <f t="shared" si="393"/>
        <v>25.581454311542156</v>
      </c>
      <c r="CS234" s="17">
        <f t="shared" si="394"/>
        <v>1.2978078340693958E-2</v>
      </c>
      <c r="CT234" s="18">
        <f t="shared" si="395"/>
        <v>0.2156102984931311</v>
      </c>
      <c r="CU234" s="19">
        <f t="shared" si="423"/>
        <v>762.56416564281676</v>
      </c>
      <c r="CV234" s="15">
        <f t="shared" si="396"/>
        <v>5.0251283312856338E-6</v>
      </c>
      <c r="CW234" s="16">
        <f t="shared" si="397"/>
        <v>24.65848790489239</v>
      </c>
      <c r="CX234" s="17">
        <f t="shared" si="398"/>
        <v>1.25763562417456E-2</v>
      </c>
      <c r="CY234" s="18">
        <f t="shared" si="399"/>
        <v>0.22368058500885074</v>
      </c>
      <c r="CZ234" s="20">
        <f t="shared" si="424"/>
        <v>647.05241021884683</v>
      </c>
      <c r="DA234" s="15">
        <f t="shared" si="400"/>
        <v>4.8234648987978263E-6</v>
      </c>
      <c r="DB234" s="16">
        <f t="shared" si="401"/>
        <v>34.730480103653434</v>
      </c>
      <c r="DC234" s="17">
        <f t="shared" si="402"/>
        <v>1.2071654470825649E-2</v>
      </c>
      <c r="DD234" s="18">
        <f t="shared" si="403"/>
        <v>0.1588122301660837</v>
      </c>
    </row>
    <row r="235" spans="2:108" x14ac:dyDescent="0.25">
      <c r="B235">
        <v>216</v>
      </c>
      <c r="C235">
        <f t="shared" si="404"/>
        <v>0.21116476793057432</v>
      </c>
      <c r="D235" s="19">
        <f t="shared" si="321"/>
        <v>1016.4462390015922</v>
      </c>
      <c r="E235" s="15">
        <f t="shared" si="322"/>
        <v>5.5328924780031849E-6</v>
      </c>
      <c r="F235" s="16">
        <f t="shared" si="323"/>
        <v>27.57813174851831</v>
      </c>
      <c r="G235" s="17">
        <f t="shared" si="319"/>
        <v>1.384713429454652E-2</v>
      </c>
      <c r="H235" s="18">
        <f t="shared" si="324"/>
        <v>0.19999995105891602</v>
      </c>
      <c r="I235" s="19">
        <f t="shared" si="405"/>
        <v>1016.1215503573997</v>
      </c>
      <c r="J235" s="15">
        <f t="shared" si="325"/>
        <v>5.5322431007147995E-6</v>
      </c>
      <c r="K235" s="16">
        <f t="shared" si="326"/>
        <v>27.574397829110097</v>
      </c>
      <c r="L235" s="17">
        <f t="shared" si="327"/>
        <v>1.3845509102198061E-2</v>
      </c>
      <c r="M235" s="18">
        <f t="shared" si="328"/>
        <v>0.2000270335614435</v>
      </c>
      <c r="N235" s="19">
        <f t="shared" si="406"/>
        <v>1015.2152402057204</v>
      </c>
      <c r="O235" s="15">
        <f t="shared" si="329"/>
        <v>5.5304304804114412E-6</v>
      </c>
      <c r="P235" s="16">
        <f t="shared" si="330"/>
        <v>27.563975262365783</v>
      </c>
      <c r="Q235" s="17">
        <f t="shared" si="320"/>
        <v>1.384713429454652E-2</v>
      </c>
      <c r="R235" s="18">
        <f t="shared" si="331"/>
        <v>0.20010266833792684</v>
      </c>
      <c r="S235" s="19">
        <f t="shared" si="407"/>
        <v>1013.7135137987527</v>
      </c>
      <c r="T235" s="15">
        <f t="shared" si="332"/>
        <v>5.527427027597506E-6</v>
      </c>
      <c r="U235" s="16">
        <f t="shared" si="333"/>
        <v>27.546705408685654</v>
      </c>
      <c r="V235" s="17">
        <f t="shared" si="334"/>
        <v>1.3833455947091098E-2</v>
      </c>
      <c r="W235" s="18">
        <f t="shared" si="335"/>
        <v>0.20022811868677726</v>
      </c>
      <c r="X235" s="19">
        <f t="shared" si="408"/>
        <v>1011.6145778932249</v>
      </c>
      <c r="Y235" s="15">
        <f t="shared" si="336"/>
        <v>5.5232291557864505E-6</v>
      </c>
      <c r="Z235" s="16">
        <f t="shared" si="337"/>
        <v>27.522567645772085</v>
      </c>
      <c r="AA235" s="17">
        <f t="shared" si="338"/>
        <v>1.3822949960403291E-2</v>
      </c>
      <c r="AB235" s="18">
        <f t="shared" si="339"/>
        <v>0.20040372217405703</v>
      </c>
      <c r="AC235" s="19">
        <f t="shared" si="409"/>
        <v>1008.916998710179</v>
      </c>
      <c r="AD235" s="15">
        <f t="shared" si="340"/>
        <v>5.5178339974203582E-6</v>
      </c>
      <c r="AE235" s="16">
        <f t="shared" si="341"/>
        <v>27.491545485167059</v>
      </c>
      <c r="AF235" s="17">
        <f t="shared" si="342"/>
        <v>1.3809447532381666E-2</v>
      </c>
      <c r="AG235" s="18">
        <f t="shared" si="343"/>
        <v>0.20062986284186646</v>
      </c>
      <c r="AH235" s="19">
        <f t="shared" si="410"/>
        <v>1005.6204031553638</v>
      </c>
      <c r="AI235" s="15">
        <f t="shared" si="344"/>
        <v>5.5112408063107288E-6</v>
      </c>
      <c r="AJ235" s="16">
        <f t="shared" si="345"/>
        <v>27.453634636286683</v>
      </c>
      <c r="AK235" s="17">
        <f t="shared" si="346"/>
        <v>1.3792946795545082E-2</v>
      </c>
      <c r="AL235" s="18">
        <f t="shared" si="347"/>
        <v>0.20090691353157861</v>
      </c>
      <c r="AM235" s="19">
        <f t="shared" si="411"/>
        <v>1001.7245707238989</v>
      </c>
      <c r="AN235" s="15">
        <f t="shared" si="348"/>
        <v>5.5034491414477983E-6</v>
      </c>
      <c r="AO235" s="16">
        <f t="shared" si="349"/>
        <v>27.408832563324836</v>
      </c>
      <c r="AP235" s="17">
        <f t="shared" si="350"/>
        <v>1.3773446646181247E-2</v>
      </c>
      <c r="AQ235" s="18">
        <f t="shared" si="351"/>
        <v>0.20123531300564543</v>
      </c>
      <c r="AR235" s="19">
        <f t="shared" si="412"/>
        <v>997.22912421540195</v>
      </c>
      <c r="AS235" s="15">
        <f t="shared" si="352"/>
        <v>5.4944582484308042E-6</v>
      </c>
      <c r="AT235" s="16">
        <f t="shared" si="353"/>
        <v>27.357134928477123</v>
      </c>
      <c r="AU235" s="17">
        <f t="shared" si="354"/>
        <v>1.3750945196256243E-2</v>
      </c>
      <c r="AV235" s="18">
        <f t="shared" si="355"/>
        <v>0.20161559368041015</v>
      </c>
      <c r="AW235" s="19">
        <f t="shared" si="413"/>
        <v>992.13264180232454</v>
      </c>
      <c r="AX235" s="15">
        <f t="shared" si="356"/>
        <v>5.4842652836046491E-6</v>
      </c>
      <c r="AY235" s="16">
        <f t="shared" si="357"/>
        <v>27.29852538072673</v>
      </c>
      <c r="AZ235" s="17">
        <f t="shared" si="358"/>
        <v>1.3725435328972812E-2</v>
      </c>
      <c r="BA235" s="18">
        <f t="shared" si="359"/>
        <v>0.20204845950741848</v>
      </c>
      <c r="BB235" s="19">
        <f t="shared" si="414"/>
        <v>986.42942792243002</v>
      </c>
      <c r="BC235" s="15">
        <f t="shared" si="360"/>
        <v>5.4728588558448604E-6</v>
      </c>
      <c r="BD235" s="16">
        <f t="shared" si="361"/>
        <v>27.232938421107946</v>
      </c>
      <c r="BE235" s="17">
        <f t="shared" si="362"/>
        <v>1.3696888535837254E-2</v>
      </c>
      <c r="BF235" s="18">
        <f t="shared" si="363"/>
        <v>0.20253506671630048</v>
      </c>
      <c r="BG235" s="19">
        <f t="shared" si="415"/>
        <v>980.09823649389398</v>
      </c>
      <c r="BH235" s="15">
        <f t="shared" si="364"/>
        <v>5.4601964729877884E-6</v>
      </c>
      <c r="BI235" s="16">
        <f t="shared" si="365"/>
        <v>27.16012971967978</v>
      </c>
      <c r="BJ235" s="17">
        <f t="shared" si="366"/>
        <v>1.3665198471985857E-2</v>
      </c>
      <c r="BK235" s="18">
        <f t="shared" si="367"/>
        <v>0.20307800650905836</v>
      </c>
      <c r="BL235" s="19">
        <f t="shared" si="416"/>
        <v>973.06656920064938</v>
      </c>
      <c r="BM235" s="15">
        <f t="shared" si="368"/>
        <v>5.4461331384012988E-6</v>
      </c>
      <c r="BN235" s="16">
        <f t="shared" si="369"/>
        <v>27.079265545807466</v>
      </c>
      <c r="BO235" s="17">
        <f t="shared" si="370"/>
        <v>1.3630002255283206E-2</v>
      </c>
      <c r="BP235" s="18">
        <f t="shared" si="371"/>
        <v>0.20368443858529811</v>
      </c>
      <c r="BQ235" s="19">
        <f t="shared" si="417"/>
        <v>965.11038800418703</v>
      </c>
      <c r="BR235" s="15">
        <f t="shared" si="372"/>
        <v>5.4302207760083747E-6</v>
      </c>
      <c r="BS235" s="16">
        <f t="shared" si="373"/>
        <v>26.987769462048149</v>
      </c>
      <c r="BT235" s="17">
        <f t="shared" si="374"/>
        <v>1.3590178488623306E-2</v>
      </c>
      <c r="BU235" s="18">
        <f t="shared" si="375"/>
        <v>0.20437498577851751</v>
      </c>
      <c r="BV235" s="19">
        <f t="shared" si="418"/>
        <v>955.60985209435819</v>
      </c>
      <c r="BW235" s="15">
        <f t="shared" si="376"/>
        <v>5.4112197041887167E-6</v>
      </c>
      <c r="BX235" s="16">
        <f t="shared" si="377"/>
        <v>26.878513299085121</v>
      </c>
      <c r="BY235" s="17">
        <f t="shared" si="378"/>
        <v>1.3542624628816132E-2</v>
      </c>
      <c r="BZ235" s="18">
        <f t="shared" si="379"/>
        <v>0.20520573212610455</v>
      </c>
      <c r="CA235" s="19">
        <f t="shared" si="419"/>
        <v>943.05144946011819</v>
      </c>
      <c r="CB235" s="15">
        <f t="shared" si="380"/>
        <v>5.3861028989202362E-6</v>
      </c>
      <c r="CC235" s="16">
        <f t="shared" si="381"/>
        <v>26.734091668791358</v>
      </c>
      <c r="CD235" s="17">
        <f t="shared" si="382"/>
        <v>1.3479764962378491E-2</v>
      </c>
      <c r="CE235" s="18">
        <f t="shared" si="383"/>
        <v>0.20631428470931701</v>
      </c>
      <c r="CF235" s="19">
        <f t="shared" si="420"/>
        <v>924.23377455866671</v>
      </c>
      <c r="CG235" s="15">
        <f t="shared" si="384"/>
        <v>5.348467549117334E-6</v>
      </c>
      <c r="CH235" s="16">
        <f t="shared" si="385"/>
        <v>26.517688407424664</v>
      </c>
      <c r="CI235" s="17">
        <f t="shared" si="386"/>
        <v>1.3385575215331192E-2</v>
      </c>
      <c r="CJ235" s="18">
        <f t="shared" si="387"/>
        <v>0.20799795650572939</v>
      </c>
      <c r="CK235" s="19">
        <f t="shared" si="421"/>
        <v>893.43995429170161</v>
      </c>
      <c r="CL235" s="15">
        <f t="shared" si="388"/>
        <v>5.2868799085834038E-6</v>
      </c>
      <c r="CM235" s="16">
        <f t="shared" si="389"/>
        <v>26.163559474354567</v>
      </c>
      <c r="CN235" s="17">
        <f t="shared" si="390"/>
        <v>1.3231440224863174E-2</v>
      </c>
      <c r="CO235" s="18">
        <f t="shared" si="391"/>
        <v>0.21081324983347152</v>
      </c>
      <c r="CP235" s="19">
        <f t="shared" si="422"/>
        <v>842.38573048613523</v>
      </c>
      <c r="CQ235" s="15">
        <f t="shared" si="392"/>
        <v>5.1847714609722703E-6</v>
      </c>
      <c r="CR235" s="16">
        <f t="shared" si="393"/>
        <v>25.576435900590553</v>
      </c>
      <c r="CS235" s="17">
        <f t="shared" si="394"/>
        <v>1.2975894072050657E-2</v>
      </c>
      <c r="CT235" s="18">
        <f t="shared" si="395"/>
        <v>0.21565260388264831</v>
      </c>
      <c r="CU235" s="19">
        <f t="shared" si="423"/>
        <v>762.03986632099361</v>
      </c>
      <c r="CV235" s="15">
        <f t="shared" si="396"/>
        <v>5.0240797326419879E-6</v>
      </c>
      <c r="CW235" s="16">
        <f t="shared" si="397"/>
        <v>24.652458462691428</v>
      </c>
      <c r="CX235" s="17">
        <f t="shared" si="398"/>
        <v>1.2573731920687966E-2</v>
      </c>
      <c r="CY235" s="18">
        <f t="shared" si="399"/>
        <v>0.22373529229740896</v>
      </c>
      <c r="CZ235" s="20">
        <f t="shared" si="424"/>
        <v>646.54483518033999</v>
      </c>
      <c r="DA235" s="15">
        <f t="shared" si="400"/>
        <v>4.8326726130846567E-6</v>
      </c>
      <c r="DB235" s="16">
        <f t="shared" si="401"/>
        <v>34.745199779770132</v>
      </c>
      <c r="DC235" s="17">
        <f t="shared" si="402"/>
        <v>1.2094698557943274E-2</v>
      </c>
      <c r="DD235" s="18">
        <f t="shared" si="403"/>
        <v>0.15874494994878083</v>
      </c>
    </row>
    <row r="236" spans="2:108" x14ac:dyDescent="0.25">
      <c r="B236">
        <v>217</v>
      </c>
      <c r="C236">
        <f t="shared" si="404"/>
        <v>0.21214238259691956</v>
      </c>
      <c r="D236" s="19">
        <f t="shared" si="321"/>
        <v>1016.4296620396379</v>
      </c>
      <c r="E236" s="15">
        <f t="shared" si="322"/>
        <v>5.5328593240792766E-6</v>
      </c>
      <c r="F236" s="16">
        <f t="shared" si="323"/>
        <v>27.577941113455836</v>
      </c>
      <c r="G236" s="17">
        <f t="shared" si="319"/>
        <v>1.3847051320435138E-2</v>
      </c>
      <c r="H236" s="18">
        <f t="shared" si="324"/>
        <v>0.20000133357703107</v>
      </c>
      <c r="I236" s="19">
        <f t="shared" si="405"/>
        <v>1016.1049737627854</v>
      </c>
      <c r="J236" s="15">
        <f t="shared" si="325"/>
        <v>5.5322099475255712E-6</v>
      </c>
      <c r="K236" s="16">
        <f t="shared" si="326"/>
        <v>27.574207198272031</v>
      </c>
      <c r="L236" s="17">
        <f t="shared" si="327"/>
        <v>1.3845426129925356E-2</v>
      </c>
      <c r="M236" s="18">
        <f t="shared" si="328"/>
        <v>0.20002841642336114</v>
      </c>
      <c r="N236" s="19">
        <f t="shared" si="406"/>
        <v>1015.1986613408685</v>
      </c>
      <c r="O236" s="15">
        <f t="shared" si="329"/>
        <v>5.5303973226817377E-6</v>
      </c>
      <c r="P236" s="16">
        <f t="shared" si="330"/>
        <v>27.563784605419986</v>
      </c>
      <c r="Q236" s="17">
        <f t="shared" si="320"/>
        <v>1.3847051320435138E-2</v>
      </c>
      <c r="R236" s="18">
        <f t="shared" si="331"/>
        <v>0.20010405243536256</v>
      </c>
      <c r="S236" s="19">
        <f t="shared" si="407"/>
        <v>1013.6969344488723</v>
      </c>
      <c r="T236" s="15">
        <f t="shared" si="332"/>
        <v>5.5273938688977457E-6</v>
      </c>
      <c r="U236" s="16">
        <f t="shared" si="333"/>
        <v>27.546514746162032</v>
      </c>
      <c r="V236" s="17">
        <f t="shared" si="334"/>
        <v>1.3833372961027221E-2</v>
      </c>
      <c r="W236" s="18">
        <f t="shared" si="335"/>
        <v>0.20022950456077113</v>
      </c>
      <c r="X236" s="19">
        <f t="shared" si="408"/>
        <v>1011.5980026397298</v>
      </c>
      <c r="Y236" s="15">
        <f t="shared" si="336"/>
        <v>5.5231960052794596E-6</v>
      </c>
      <c r="Z236" s="16">
        <f t="shared" si="337"/>
        <v>27.522377030356893</v>
      </c>
      <c r="AA236" s="17">
        <f t="shared" si="338"/>
        <v>1.3822866994843403E-2</v>
      </c>
      <c r="AB236" s="18">
        <f t="shared" si="339"/>
        <v>0.20040511013697412</v>
      </c>
      <c r="AC236" s="19">
        <f t="shared" si="409"/>
        <v>1008.9004329185298</v>
      </c>
      <c r="AD236" s="15">
        <f t="shared" si="340"/>
        <v>5.51780086583706E-6</v>
      </c>
      <c r="AE236" s="16">
        <f t="shared" si="341"/>
        <v>27.491354978563091</v>
      </c>
      <c r="AF236" s="17">
        <f t="shared" si="342"/>
        <v>1.3809364614181981E-2</v>
      </c>
      <c r="AG236" s="18">
        <f t="shared" si="343"/>
        <v>0.2006312531448855</v>
      </c>
      <c r="AH236" s="19">
        <f t="shared" si="410"/>
        <v>1005.6038511698002</v>
      </c>
      <c r="AI236" s="15">
        <f t="shared" si="344"/>
        <v>5.511207702339601E-6</v>
      </c>
      <c r="AJ236" s="16">
        <f t="shared" si="345"/>
        <v>27.453444288452701</v>
      </c>
      <c r="AK236" s="17">
        <f t="shared" si="346"/>
        <v>1.3792863946450198E-2</v>
      </c>
      <c r="AL236" s="18">
        <f t="shared" si="347"/>
        <v>0.20090830651511177</v>
      </c>
      <c r="AM236" s="19">
        <f t="shared" si="411"/>
        <v>1001.7080332021743</v>
      </c>
      <c r="AN236" s="15">
        <f t="shared" si="348"/>
        <v>5.5034160664043491E-6</v>
      </c>
      <c r="AO236" s="16">
        <f t="shared" si="349"/>
        <v>27.408642381825004</v>
      </c>
      <c r="AP236" s="17">
        <f t="shared" si="350"/>
        <v>1.3773363869483477E-2</v>
      </c>
      <c r="AQ236" s="18">
        <f t="shared" si="351"/>
        <v>0.20123670932557669</v>
      </c>
      <c r="AR236" s="19">
        <f t="shared" si="412"/>
        <v>997.21258885873658</v>
      </c>
      <c r="AS236" s="15">
        <f t="shared" si="352"/>
        <v>5.4944251777174738E-6</v>
      </c>
      <c r="AT236" s="16">
        <f t="shared" si="353"/>
        <v>27.356944771875469</v>
      </c>
      <c r="AU236" s="17">
        <f t="shared" si="354"/>
        <v>1.3750862430395435E-2</v>
      </c>
      <c r="AV236" s="18">
        <f t="shared" si="355"/>
        <v>0.20161699509918898</v>
      </c>
      <c r="AW236" s="19">
        <f t="shared" si="413"/>
        <v>992.11604843594694</v>
      </c>
      <c r="AX236" s="15">
        <f t="shared" si="356"/>
        <v>5.4842320968718945E-6</v>
      </c>
      <c r="AY236" s="16">
        <f t="shared" si="357"/>
        <v>27.298334557013391</v>
      </c>
      <c r="AZ236" s="17">
        <f t="shared" si="358"/>
        <v>1.372535227275094E-2</v>
      </c>
      <c r="BA236" s="18">
        <f t="shared" si="359"/>
        <v>0.20204987188798831</v>
      </c>
      <c r="BB236" s="19">
        <f t="shared" si="414"/>
        <v>986.41254988674302</v>
      </c>
      <c r="BC236" s="15">
        <f t="shared" si="360"/>
        <v>5.4728250997734868E-6</v>
      </c>
      <c r="BD236" s="16">
        <f t="shared" si="361"/>
        <v>27.232744323697545</v>
      </c>
      <c r="BE236" s="17">
        <f t="shared" si="362"/>
        <v>1.3696804054735294E-2</v>
      </c>
      <c r="BF236" s="18">
        <f t="shared" si="363"/>
        <v>0.2025365102554274</v>
      </c>
      <c r="BG236" s="19">
        <f t="shared" si="415"/>
        <v>980.08032273788797</v>
      </c>
      <c r="BH236" s="15">
        <f t="shared" si="364"/>
        <v>5.460160645475776E-6</v>
      </c>
      <c r="BI236" s="16">
        <f t="shared" si="365"/>
        <v>27.15992371148571</v>
      </c>
      <c r="BJ236" s="17">
        <f t="shared" si="366"/>
        <v>1.366510880670278E-2</v>
      </c>
      <c r="BK236" s="18">
        <f t="shared" si="367"/>
        <v>0.20307954685702917</v>
      </c>
      <c r="BL236" s="19">
        <f t="shared" si="416"/>
        <v>973.04540184338566</v>
      </c>
      <c r="BM236" s="15">
        <f t="shared" si="368"/>
        <v>5.4460908036867718E-6</v>
      </c>
      <c r="BN236" s="16">
        <f t="shared" si="369"/>
        <v>27.079022121198932</v>
      </c>
      <c r="BO236" s="17">
        <f t="shared" si="370"/>
        <v>1.3629896304466396E-2</v>
      </c>
      <c r="BP236" s="18">
        <f t="shared" si="371"/>
        <v>0.20368626958955319</v>
      </c>
      <c r="BQ236" s="19">
        <f t="shared" si="417"/>
        <v>965.08018733097208</v>
      </c>
      <c r="BR236" s="15">
        <f t="shared" si="372"/>
        <v>5.430160374661945E-6</v>
      </c>
      <c r="BS236" s="16">
        <f t="shared" si="373"/>
        <v>26.987422154306181</v>
      </c>
      <c r="BT236" s="17">
        <f t="shared" si="374"/>
        <v>1.3590027322563437E-2</v>
      </c>
      <c r="BU236" s="18">
        <f t="shared" si="375"/>
        <v>0.20437761593023857</v>
      </c>
      <c r="BV236" s="19">
        <f t="shared" si="418"/>
        <v>955.55758911711325</v>
      </c>
      <c r="BW236" s="15">
        <f t="shared" si="376"/>
        <v>5.411115178234227E-6</v>
      </c>
      <c r="BX236" s="16">
        <f t="shared" si="377"/>
        <v>26.8779122748468</v>
      </c>
      <c r="BY236" s="17">
        <f t="shared" si="378"/>
        <v>1.354236303238446E-2</v>
      </c>
      <c r="BZ236" s="18">
        <f t="shared" si="379"/>
        <v>0.20521032078677093</v>
      </c>
      <c r="CA236" s="19">
        <f t="shared" si="419"/>
        <v>942.95252058167307</v>
      </c>
      <c r="CB236" s="15">
        <f t="shared" si="380"/>
        <v>5.3859050411633473E-6</v>
      </c>
      <c r="CC236" s="16">
        <f t="shared" si="381"/>
        <v>26.732953986689239</v>
      </c>
      <c r="CD236" s="17">
        <f t="shared" si="382"/>
        <v>1.347926978504733E-2</v>
      </c>
      <c r="CE236" s="18">
        <f t="shared" si="383"/>
        <v>0.20632306488636898</v>
      </c>
      <c r="CF236" s="19">
        <f t="shared" si="420"/>
        <v>924.05144715405584</v>
      </c>
      <c r="CG236" s="15">
        <f t="shared" si="384"/>
        <v>5.3481028943081118E-6</v>
      </c>
      <c r="CH236" s="16">
        <f t="shared" si="385"/>
        <v>26.515591642271641</v>
      </c>
      <c r="CI236" s="17">
        <f t="shared" si="386"/>
        <v>1.338466259609369E-2</v>
      </c>
      <c r="CJ236" s="18">
        <f t="shared" si="387"/>
        <v>0.20801440429512763</v>
      </c>
      <c r="CK236" s="19">
        <f t="shared" si="421"/>
        <v>893.13655478939256</v>
      </c>
      <c r="CL236" s="15">
        <f t="shared" si="388"/>
        <v>5.2862731095787864E-6</v>
      </c>
      <c r="CM236" s="16">
        <f t="shared" si="389"/>
        <v>26.160070380078011</v>
      </c>
      <c r="CN236" s="17">
        <f t="shared" si="390"/>
        <v>1.3229921592910693E-2</v>
      </c>
      <c r="CO236" s="18">
        <f t="shared" si="391"/>
        <v>0.21084136700948555</v>
      </c>
      <c r="CP236" s="19">
        <f t="shared" si="422"/>
        <v>841.94991513470711</v>
      </c>
      <c r="CQ236" s="15">
        <f t="shared" si="392"/>
        <v>5.1838998302694141E-6</v>
      </c>
      <c r="CR236" s="16">
        <f t="shared" si="393"/>
        <v>25.571424024049129</v>
      </c>
      <c r="CS236" s="17">
        <f t="shared" si="394"/>
        <v>1.2973712647516258E-2</v>
      </c>
      <c r="CT236" s="18">
        <f t="shared" si="395"/>
        <v>0.21569487075935725</v>
      </c>
      <c r="CU236" s="19">
        <f t="shared" si="423"/>
        <v>761.51698840516087</v>
      </c>
      <c r="CV236" s="15">
        <f t="shared" si="396"/>
        <v>5.0230339768103221E-6</v>
      </c>
      <c r="CW236" s="16">
        <f t="shared" si="397"/>
        <v>24.64644536665935</v>
      </c>
      <c r="CX236" s="17">
        <f t="shared" si="398"/>
        <v>1.2571114714317528E-2</v>
      </c>
      <c r="CY236" s="18">
        <f t="shared" si="399"/>
        <v>0.22378987792946808</v>
      </c>
      <c r="CZ236" s="20">
        <f t="shared" si="424"/>
        <v>646.03889745435322</v>
      </c>
      <c r="DA236" s="15">
        <f t="shared" si="400"/>
        <v>4.8418415708064683E-6</v>
      </c>
      <c r="DB236" s="16">
        <f t="shared" si="401"/>
        <v>34.759871973823749</v>
      </c>
      <c r="DC236" s="17">
        <f t="shared" si="402"/>
        <v>1.2117645649255765E-2</v>
      </c>
      <c r="DD236" s="18">
        <f t="shared" si="403"/>
        <v>0.15867794346750166</v>
      </c>
    </row>
    <row r="237" spans="2:108" x14ac:dyDescent="0.25">
      <c r="B237">
        <v>218</v>
      </c>
      <c r="C237">
        <f t="shared" si="404"/>
        <v>0.2131199972632648</v>
      </c>
      <c r="D237" s="19">
        <f t="shared" si="321"/>
        <v>1016.4130850964382</v>
      </c>
      <c r="E237" s="15">
        <f t="shared" si="322"/>
        <v>5.5328261701928767E-6</v>
      </c>
      <c r="F237" s="16">
        <f t="shared" si="323"/>
        <v>27.57775047860904</v>
      </c>
      <c r="G237" s="17">
        <f t="shared" si="319"/>
        <v>1.3846968346417623E-2</v>
      </c>
      <c r="H237" s="18">
        <f t="shared" si="324"/>
        <v>0.20000271611269563</v>
      </c>
      <c r="I237" s="19">
        <f t="shared" si="405"/>
        <v>1016.0883972178041</v>
      </c>
      <c r="J237" s="15">
        <f t="shared" si="325"/>
        <v>5.5321767944356083E-6</v>
      </c>
      <c r="K237" s="16">
        <f t="shared" si="326"/>
        <v>27.574016568004744</v>
      </c>
      <c r="L237" s="17">
        <f t="shared" si="327"/>
        <v>1.3845343157901081E-2</v>
      </c>
      <c r="M237" s="18">
        <f t="shared" si="328"/>
        <v>0.2000297993002588</v>
      </c>
      <c r="N237" s="19">
        <f t="shared" si="406"/>
        <v>1015.1820825905494</v>
      </c>
      <c r="O237" s="15">
        <f t="shared" si="329"/>
        <v>5.5303641651810998E-6</v>
      </c>
      <c r="P237" s="16">
        <f t="shared" si="330"/>
        <v>27.563593949791318</v>
      </c>
      <c r="Q237" s="17">
        <f t="shared" si="320"/>
        <v>1.3846968346417623E-2</v>
      </c>
      <c r="R237" s="18">
        <f t="shared" si="331"/>
        <v>0.20010543654238377</v>
      </c>
      <c r="S237" s="19">
        <f t="shared" si="407"/>
        <v>1013.6803552701115</v>
      </c>
      <c r="T237" s="15">
        <f t="shared" si="332"/>
        <v>5.527360710540223E-6</v>
      </c>
      <c r="U237" s="16">
        <f t="shared" si="333"/>
        <v>27.54632408560628</v>
      </c>
      <c r="V237" s="17">
        <f t="shared" si="334"/>
        <v>1.3833289975819858E-2</v>
      </c>
      <c r="W237" s="18">
        <f t="shared" si="335"/>
        <v>0.20023089043964554</v>
      </c>
      <c r="X237" s="19">
        <f t="shared" si="408"/>
        <v>1011.5814275833344</v>
      </c>
      <c r="Y237" s="15">
        <f t="shared" si="336"/>
        <v>5.5231628551666693E-6</v>
      </c>
      <c r="Z237" s="16">
        <f t="shared" si="337"/>
        <v>27.522186417208346</v>
      </c>
      <c r="AA237" s="17">
        <f t="shared" si="338"/>
        <v>1.3822784030270079E-2</v>
      </c>
      <c r="AB237" s="18">
        <f t="shared" si="339"/>
        <v>0.20040649810261207</v>
      </c>
      <c r="AC237" s="19">
        <f t="shared" si="409"/>
        <v>1008.8838673185203</v>
      </c>
      <c r="AD237" s="15">
        <f t="shared" si="340"/>
        <v>5.5177677346370416E-6</v>
      </c>
      <c r="AE237" s="16">
        <f t="shared" si="341"/>
        <v>27.491164474162982</v>
      </c>
      <c r="AF237" s="17">
        <f t="shared" si="342"/>
        <v>1.380928169694153E-2</v>
      </c>
      <c r="AG237" s="18">
        <f t="shared" si="343"/>
        <v>0.2006326434510895</v>
      </c>
      <c r="AH237" s="19">
        <f t="shared" si="410"/>
        <v>1005.5872993252372</v>
      </c>
      <c r="AI237" s="15">
        <f t="shared" si="344"/>
        <v>5.511174598650475E-6</v>
      </c>
      <c r="AJ237" s="16">
        <f t="shared" si="345"/>
        <v>27.453253942240227</v>
      </c>
      <c r="AK237" s="17">
        <f t="shared" si="346"/>
        <v>1.3792781098061079E-2</v>
      </c>
      <c r="AL237" s="18">
        <f t="shared" si="347"/>
        <v>0.20090969950609491</v>
      </c>
      <c r="AM237" s="19">
        <f t="shared" si="411"/>
        <v>1001.6914956265326</v>
      </c>
      <c r="AN237" s="15">
        <f t="shared" si="348"/>
        <v>5.5033829912530658E-6</v>
      </c>
      <c r="AO237" s="16">
        <f t="shared" si="349"/>
        <v>27.408452199705124</v>
      </c>
      <c r="AP237" s="17">
        <f t="shared" si="350"/>
        <v>1.3773281092515835E-2</v>
      </c>
      <c r="AQ237" s="18">
        <f t="shared" si="351"/>
        <v>0.20123810566943801</v>
      </c>
      <c r="AR237" s="19">
        <f t="shared" si="412"/>
        <v>997.19605272457079</v>
      </c>
      <c r="AS237" s="15">
        <f t="shared" si="352"/>
        <v>5.4943921054491417E-6</v>
      </c>
      <c r="AT237" s="16">
        <f t="shared" si="353"/>
        <v>27.356754606332565</v>
      </c>
      <c r="AU237" s="17">
        <f t="shared" si="354"/>
        <v>1.3750779660642934E-2</v>
      </c>
      <c r="AV237" s="18">
        <f t="shared" si="355"/>
        <v>0.20161839660334704</v>
      </c>
      <c r="AW237" s="19">
        <f t="shared" si="413"/>
        <v>992.09945179091903</v>
      </c>
      <c r="AX237" s="15">
        <f t="shared" si="356"/>
        <v>5.4841989035818387E-6</v>
      </c>
      <c r="AY237" s="16">
        <f t="shared" si="357"/>
        <v>27.29814369559557</v>
      </c>
      <c r="AZ237" s="17">
        <f t="shared" si="358"/>
        <v>1.3725269200118153E-2</v>
      </c>
      <c r="BA237" s="18">
        <f t="shared" si="359"/>
        <v>0.20205128456737961</v>
      </c>
      <c r="BB237" s="19">
        <f t="shared" si="414"/>
        <v>986.39566073869776</v>
      </c>
      <c r="BC237" s="15">
        <f t="shared" si="360"/>
        <v>5.4727913214773959E-6</v>
      </c>
      <c r="BD237" s="16">
        <f t="shared" si="361"/>
        <v>27.232550098495025</v>
      </c>
      <c r="BE237" s="17">
        <f t="shared" si="362"/>
        <v>1.369671951801168E-2</v>
      </c>
      <c r="BF237" s="18">
        <f t="shared" si="363"/>
        <v>0.20253795476556616</v>
      </c>
      <c r="BG237" s="19">
        <f t="shared" si="415"/>
        <v>980.06237604431465</v>
      </c>
      <c r="BH237" s="15">
        <f t="shared" si="364"/>
        <v>5.4601247520886298E-6</v>
      </c>
      <c r="BI237" s="16">
        <f t="shared" si="365"/>
        <v>27.159717324509618</v>
      </c>
      <c r="BJ237" s="17">
        <f t="shared" si="366"/>
        <v>1.366501897655443E-2</v>
      </c>
      <c r="BK237" s="18">
        <f t="shared" si="367"/>
        <v>0.20308109006063035</v>
      </c>
      <c r="BL237" s="19">
        <f t="shared" si="416"/>
        <v>973.02414864948537</v>
      </c>
      <c r="BM237" s="15">
        <f t="shared" si="368"/>
        <v>5.4460482972989707E-6</v>
      </c>
      <c r="BN237" s="16">
        <f t="shared" si="369"/>
        <v>27.07877770946908</v>
      </c>
      <c r="BO237" s="17">
        <f t="shared" si="370"/>
        <v>1.3629789924003988E-2</v>
      </c>
      <c r="BP237" s="18">
        <f t="shared" si="371"/>
        <v>0.20368810805191037</v>
      </c>
      <c r="BQ237" s="19">
        <f t="shared" si="417"/>
        <v>965.04979301007154</v>
      </c>
      <c r="BR237" s="15">
        <f t="shared" si="372"/>
        <v>5.4300995860201432E-6</v>
      </c>
      <c r="BS237" s="16">
        <f t="shared" si="373"/>
        <v>26.987072619615823</v>
      </c>
      <c r="BT237" s="17">
        <f t="shared" si="374"/>
        <v>1.3589875187221939E-2</v>
      </c>
      <c r="BU237" s="18">
        <f t="shared" si="375"/>
        <v>0.20438026301492637</v>
      </c>
      <c r="BV237" s="19">
        <f t="shared" si="418"/>
        <v>955.50495900769943</v>
      </c>
      <c r="BW237" s="15">
        <f t="shared" si="376"/>
        <v>5.4110099180154E-6</v>
      </c>
      <c r="BX237" s="16">
        <f t="shared" si="377"/>
        <v>26.877307028588543</v>
      </c>
      <c r="BY237" s="17">
        <f t="shared" si="378"/>
        <v>1.3542099598314167E-2</v>
      </c>
      <c r="BZ237" s="18">
        <f t="shared" si="379"/>
        <v>0.20521494188882852</v>
      </c>
      <c r="CA237" s="19">
        <f t="shared" si="419"/>
        <v>942.85303747927094</v>
      </c>
      <c r="CB237" s="15">
        <f t="shared" si="380"/>
        <v>5.385706074958542E-6</v>
      </c>
      <c r="CC237" s="16">
        <f t="shared" si="381"/>
        <v>26.731809931011615</v>
      </c>
      <c r="CD237" s="17">
        <f t="shared" si="382"/>
        <v>1.3478771833610723E-2</v>
      </c>
      <c r="CE237" s="18">
        <f t="shared" si="383"/>
        <v>0.20633189500578167</v>
      </c>
      <c r="CF237" s="19">
        <f t="shared" si="420"/>
        <v>923.86853256610982</v>
      </c>
      <c r="CG237" s="15">
        <f t="shared" si="384"/>
        <v>5.3477370651322199E-6</v>
      </c>
      <c r="CH237" s="16">
        <f t="shared" si="385"/>
        <v>26.51348812451026</v>
      </c>
      <c r="CI237" s="17">
        <f t="shared" si="386"/>
        <v>1.3383747037776306E-2</v>
      </c>
      <c r="CJ237" s="18">
        <f t="shared" si="387"/>
        <v>0.20803090766850507</v>
      </c>
      <c r="CK237" s="19">
        <f t="shared" si="421"/>
        <v>892.83292443588562</v>
      </c>
      <c r="CL237" s="15">
        <f t="shared" si="388"/>
        <v>5.2856658488717721E-6</v>
      </c>
      <c r="CM237" s="16">
        <f t="shared" si="389"/>
        <v>26.156578631012685</v>
      </c>
      <c r="CN237" s="17">
        <f t="shared" si="390"/>
        <v>1.3228401805458605E-2</v>
      </c>
      <c r="CO237" s="18">
        <f t="shared" si="391"/>
        <v>0.21086951308916108</v>
      </c>
      <c r="CP237" s="19">
        <f t="shared" si="422"/>
        <v>841.51466915047445</v>
      </c>
      <c r="CQ237" s="15">
        <f t="shared" si="392"/>
        <v>5.1830293383009496E-6</v>
      </c>
      <c r="CR237" s="16">
        <f t="shared" si="393"/>
        <v>25.566418695230453</v>
      </c>
      <c r="CS237" s="17">
        <f t="shared" si="394"/>
        <v>1.2971534072885073E-2</v>
      </c>
      <c r="CT237" s="18">
        <f t="shared" si="395"/>
        <v>0.21573709895586463</v>
      </c>
      <c r="CU237" s="19">
        <f t="shared" si="423"/>
        <v>760.99552343071457</v>
      </c>
      <c r="CV237" s="15">
        <f t="shared" si="396"/>
        <v>5.0219910468614294E-6</v>
      </c>
      <c r="CW237" s="16">
        <f t="shared" si="397"/>
        <v>24.640448519453216</v>
      </c>
      <c r="CX237" s="17">
        <f t="shared" si="398"/>
        <v>1.2568504580265668E-2</v>
      </c>
      <c r="CY237" s="18">
        <f t="shared" si="399"/>
        <v>0.22384434259163374</v>
      </c>
      <c r="CZ237" s="20">
        <f t="shared" si="424"/>
        <v>645.53458490897492</v>
      </c>
      <c r="DA237" s="15">
        <f t="shared" si="400"/>
        <v>4.8509721083099809E-6</v>
      </c>
      <c r="DB237" s="16">
        <f t="shared" si="401"/>
        <v>34.774497037639719</v>
      </c>
      <c r="DC237" s="17">
        <f t="shared" si="402"/>
        <v>1.2140496586535893E-2</v>
      </c>
      <c r="DD237" s="18">
        <f t="shared" si="403"/>
        <v>0.15861120849655766</v>
      </c>
    </row>
    <row r="238" spans="2:108" x14ac:dyDescent="0.25">
      <c r="B238">
        <v>219</v>
      </c>
      <c r="C238">
        <f t="shared" si="404"/>
        <v>0.21409761192961008</v>
      </c>
      <c r="D238" s="19">
        <f t="shared" si="321"/>
        <v>1016.3965081735695</v>
      </c>
      <c r="E238" s="15">
        <f t="shared" si="322"/>
        <v>5.5327930163471394E-6</v>
      </c>
      <c r="F238" s="16">
        <f t="shared" si="323"/>
        <v>27.577559843996049</v>
      </c>
      <c r="G238" s="17">
        <f t="shared" si="319"/>
        <v>1.3846885372501876E-2</v>
      </c>
      <c r="H238" s="18">
        <f t="shared" si="324"/>
        <v>0.20000409866577862</v>
      </c>
      <c r="I238" s="19">
        <f t="shared" si="405"/>
        <v>1016.0718207235902</v>
      </c>
      <c r="J238" s="15">
        <f t="shared" si="325"/>
        <v>5.5321436414471802E-6</v>
      </c>
      <c r="K238" s="16">
        <f t="shared" si="326"/>
        <v>27.573825938321285</v>
      </c>
      <c r="L238" s="17">
        <f t="shared" si="327"/>
        <v>1.3845260186130916E-2</v>
      </c>
      <c r="M238" s="18">
        <f t="shared" si="328"/>
        <v>0.20003118219204205</v>
      </c>
      <c r="N238" s="19">
        <f t="shared" si="406"/>
        <v>1015.1655039550679</v>
      </c>
      <c r="O238" s="15">
        <f t="shared" si="329"/>
        <v>5.5303310079101358E-6</v>
      </c>
      <c r="P238" s="16">
        <f t="shared" si="330"/>
        <v>27.56340329548328</v>
      </c>
      <c r="Q238" s="17">
        <f t="shared" si="320"/>
        <v>1.3846885372501876E-2</v>
      </c>
      <c r="R238" s="18">
        <f t="shared" si="331"/>
        <v>0.2001068206589651</v>
      </c>
      <c r="S238" s="19">
        <f t="shared" si="407"/>
        <v>1013.6637762622358</v>
      </c>
      <c r="T238" s="15">
        <f t="shared" si="332"/>
        <v>5.5273275525244722E-6</v>
      </c>
      <c r="U238" s="16">
        <f t="shared" si="333"/>
        <v>27.546133427015711</v>
      </c>
      <c r="V238" s="17">
        <f t="shared" si="334"/>
        <v>1.3833206991467846E-2</v>
      </c>
      <c r="W238" s="18">
        <f t="shared" si="335"/>
        <v>0.20023227632341978</v>
      </c>
      <c r="X238" s="19">
        <f t="shared" si="408"/>
        <v>1011.5648527236373</v>
      </c>
      <c r="Y238" s="15">
        <f t="shared" si="336"/>
        <v>5.5231297054472751E-6</v>
      </c>
      <c r="Z238" s="16">
        <f t="shared" si="337"/>
        <v>27.521995806321826</v>
      </c>
      <c r="AA238" s="17">
        <f t="shared" si="338"/>
        <v>1.3822701066681304E-2</v>
      </c>
      <c r="AB238" s="18">
        <f t="shared" si="339"/>
        <v>0.20040788607100421</v>
      </c>
      <c r="AC238" s="19">
        <f t="shared" si="409"/>
        <v>1008.8673019094463</v>
      </c>
      <c r="AD238" s="15">
        <f t="shared" si="340"/>
        <v>5.5177346038188928E-6</v>
      </c>
      <c r="AE238" s="16">
        <f t="shared" si="341"/>
        <v>27.490973971958631</v>
      </c>
      <c r="AF238" s="17">
        <f t="shared" si="342"/>
        <v>1.380919878065678E-2</v>
      </c>
      <c r="AG238" s="18">
        <f t="shared" si="343"/>
        <v>0.20063403376053729</v>
      </c>
      <c r="AH238" s="19">
        <f t="shared" si="410"/>
        <v>1005.5707476193979</v>
      </c>
      <c r="AI238" s="15">
        <f t="shared" si="344"/>
        <v>5.5111414952387963E-6</v>
      </c>
      <c r="AJ238" s="16">
        <f t="shared" si="345"/>
        <v>27.453063597623075</v>
      </c>
      <c r="AK238" s="17">
        <f t="shared" si="346"/>
        <v>1.3792698250366326E-2</v>
      </c>
      <c r="AL238" s="18">
        <f t="shared" si="347"/>
        <v>0.20091109250471961</v>
      </c>
      <c r="AM238" s="19">
        <f t="shared" si="411"/>
        <v>1001.6749579887781</v>
      </c>
      <c r="AN238" s="15">
        <f t="shared" si="348"/>
        <v>5.5033499159775567E-6</v>
      </c>
      <c r="AO238" s="16">
        <f t="shared" si="349"/>
        <v>27.40826201687095</v>
      </c>
      <c r="AP238" s="17">
        <f t="shared" si="350"/>
        <v>1.377319831523729E-2</v>
      </c>
      <c r="AQ238" s="18">
        <f t="shared" si="351"/>
        <v>0.20123950203792193</v>
      </c>
      <c r="AR238" s="19">
        <f t="shared" si="412"/>
        <v>997.1795157856568</v>
      </c>
      <c r="AS238" s="15">
        <f t="shared" si="352"/>
        <v>5.494359031571314E-6</v>
      </c>
      <c r="AT238" s="16">
        <f t="shared" si="353"/>
        <v>27.356564431535052</v>
      </c>
      <c r="AU238" s="17">
        <f t="shared" si="354"/>
        <v>1.3750696886862359E-2</v>
      </c>
      <c r="AV238" s="18">
        <f t="shared" si="355"/>
        <v>0.20161979819519696</v>
      </c>
      <c r="AW238" s="19">
        <f t="shared" si="413"/>
        <v>992.08285178606491</v>
      </c>
      <c r="AX238" s="15">
        <f t="shared" si="356"/>
        <v>5.4841657035721307E-6</v>
      </c>
      <c r="AY238" s="16">
        <f t="shared" si="357"/>
        <v>27.297952795539743</v>
      </c>
      <c r="AZ238" s="17">
        <f t="shared" si="358"/>
        <v>1.3725186110668133E-2</v>
      </c>
      <c r="BA238" s="18">
        <f t="shared" si="359"/>
        <v>0.20205269755251415</v>
      </c>
      <c r="BB238" s="19">
        <f t="shared" si="414"/>
        <v>986.37876026606114</v>
      </c>
      <c r="BC238" s="15">
        <f t="shared" si="360"/>
        <v>5.4727575205321235E-6</v>
      </c>
      <c r="BD238" s="16">
        <f t="shared" si="361"/>
        <v>27.232355743059703</v>
      </c>
      <c r="BE238" s="17">
        <f t="shared" si="362"/>
        <v>1.3696634924604101E-2</v>
      </c>
      <c r="BF238" s="18">
        <f t="shared" si="363"/>
        <v>0.20253940026491038</v>
      </c>
      <c r="BG238" s="19">
        <f t="shared" si="415"/>
        <v>980.04439594152768</v>
      </c>
      <c r="BH238" s="15">
        <f t="shared" si="364"/>
        <v>5.4600887918830557E-6</v>
      </c>
      <c r="BI238" s="16">
        <f t="shared" si="365"/>
        <v>27.159510553327568</v>
      </c>
      <c r="BJ238" s="17">
        <f t="shared" si="366"/>
        <v>1.3664928979180034E-2</v>
      </c>
      <c r="BK238" s="18">
        <f t="shared" si="367"/>
        <v>0.2030826361605485</v>
      </c>
      <c r="BL238" s="19">
        <f t="shared" si="416"/>
        <v>973.00280877846785</v>
      </c>
      <c r="BM238" s="15">
        <f t="shared" si="368"/>
        <v>5.4460056175569356E-6</v>
      </c>
      <c r="BN238" s="16">
        <f t="shared" si="369"/>
        <v>27.078532300952379</v>
      </c>
      <c r="BO238" s="17">
        <f t="shared" si="370"/>
        <v>1.3629683109689058E-2</v>
      </c>
      <c r="BP238" s="18">
        <f t="shared" si="371"/>
        <v>0.20368995404547868</v>
      </c>
      <c r="BQ238" s="19">
        <f t="shared" si="417"/>
        <v>965.01920400291704</v>
      </c>
      <c r="BR238" s="15">
        <f t="shared" si="372"/>
        <v>5.4300384080058345E-6</v>
      </c>
      <c r="BS238" s="16">
        <f t="shared" si="373"/>
        <v>26.986720846033545</v>
      </c>
      <c r="BT238" s="17">
        <f t="shared" si="374"/>
        <v>1.3589722077400382E-2</v>
      </c>
      <c r="BU238" s="18">
        <f t="shared" si="375"/>
        <v>0.20438292712434811</v>
      </c>
      <c r="BV238" s="19">
        <f t="shared" si="418"/>
        <v>955.45196141822578</v>
      </c>
      <c r="BW238" s="15">
        <f t="shared" si="376"/>
        <v>5.4109039228364516E-6</v>
      </c>
      <c r="BX238" s="16">
        <f t="shared" si="377"/>
        <v>26.876697556309594</v>
      </c>
      <c r="BY238" s="17">
        <f t="shared" si="378"/>
        <v>1.3541834324863923E-2</v>
      </c>
      <c r="BZ238" s="18">
        <f t="shared" si="379"/>
        <v>0.20521959546719487</v>
      </c>
      <c r="CA238" s="19">
        <f t="shared" si="419"/>
        <v>942.75300217604308</v>
      </c>
      <c r="CB238" s="15">
        <f t="shared" si="380"/>
        <v>5.3855060043520867E-6</v>
      </c>
      <c r="CC238" s="16">
        <f t="shared" si="381"/>
        <v>26.730659525024492</v>
      </c>
      <c r="CD238" s="17">
        <f t="shared" si="382"/>
        <v>1.3478271118195233E-2</v>
      </c>
      <c r="CE238" s="18">
        <f t="shared" si="383"/>
        <v>0.20634077490068761</v>
      </c>
      <c r="CF238" s="19">
        <f t="shared" si="420"/>
        <v>923.68503625952189</v>
      </c>
      <c r="CG238" s="15">
        <f t="shared" si="384"/>
        <v>5.3473700725190445E-6</v>
      </c>
      <c r="CH238" s="16">
        <f t="shared" si="385"/>
        <v>26.5113779169845</v>
      </c>
      <c r="CI238" s="17">
        <f t="shared" si="386"/>
        <v>1.3382828567731939E-2</v>
      </c>
      <c r="CJ238" s="18">
        <f t="shared" si="387"/>
        <v>0.20804746615853631</v>
      </c>
      <c r="CK238" s="19">
        <f t="shared" si="421"/>
        <v>892.52906972740266</v>
      </c>
      <c r="CL238" s="15">
        <f t="shared" si="388"/>
        <v>5.2850581394548053E-6</v>
      </c>
      <c r="CM238" s="16">
        <f t="shared" si="389"/>
        <v>26.153084301865128</v>
      </c>
      <c r="CN238" s="17">
        <f t="shared" si="390"/>
        <v>1.3226880895023014E-2</v>
      </c>
      <c r="CO238" s="18">
        <f t="shared" si="391"/>
        <v>0.21089768749021501</v>
      </c>
      <c r="CP238" s="19">
        <f t="shared" si="422"/>
        <v>841.07999362843168</v>
      </c>
      <c r="CQ238" s="15">
        <f t="shared" si="392"/>
        <v>5.1821599872568635E-6</v>
      </c>
      <c r="CR238" s="16">
        <f t="shared" si="393"/>
        <v>25.561419926726963</v>
      </c>
      <c r="CS238" s="17">
        <f t="shared" si="394"/>
        <v>1.2969358353637966E-2</v>
      </c>
      <c r="CT238" s="18">
        <f t="shared" si="395"/>
        <v>0.21577928831069651</v>
      </c>
      <c r="CU238" s="19">
        <f t="shared" si="423"/>
        <v>760.47546301038119</v>
      </c>
      <c r="CV238" s="15">
        <f t="shared" si="396"/>
        <v>5.0209509260207633E-6</v>
      </c>
      <c r="CW238" s="16">
        <f t="shared" si="397"/>
        <v>24.634467824619385</v>
      </c>
      <c r="CX238" s="17">
        <f t="shared" si="398"/>
        <v>1.2565901476550834E-2</v>
      </c>
      <c r="CY238" s="18">
        <f t="shared" si="399"/>
        <v>0.22389868696443899</v>
      </c>
      <c r="CZ238" s="20">
        <f t="shared" si="424"/>
        <v>645.03188556084604</v>
      </c>
      <c r="DA238" s="15">
        <f t="shared" si="400"/>
        <v>4.8600645575074129E-6</v>
      </c>
      <c r="DB238" s="16">
        <f t="shared" si="401"/>
        <v>34.789075318735456</v>
      </c>
      <c r="DC238" s="17">
        <f t="shared" si="402"/>
        <v>1.2163252200458217E-2</v>
      </c>
      <c r="DD238" s="18">
        <f t="shared" si="403"/>
        <v>0.15854474283855402</v>
      </c>
    </row>
    <row r="239" spans="2:108" x14ac:dyDescent="0.25">
      <c r="B239">
        <v>220</v>
      </c>
      <c r="C239">
        <f t="shared" si="404"/>
        <v>0.21507522659595532</v>
      </c>
      <c r="D239" s="19">
        <f t="shared" si="321"/>
        <v>1016.3799312725857</v>
      </c>
      <c r="E239" s="15">
        <f t="shared" si="322"/>
        <v>5.5327598625451725E-6</v>
      </c>
      <c r="F239" s="16">
        <f t="shared" si="323"/>
        <v>27.577369209634735</v>
      </c>
      <c r="G239" s="17">
        <f t="shared" si="319"/>
        <v>1.3846802398695674E-2</v>
      </c>
      <c r="H239" s="18">
        <f t="shared" si="324"/>
        <v>0.2000054812361507</v>
      </c>
      <c r="I239" s="19">
        <f t="shared" si="405"/>
        <v>1016.0552442812643</v>
      </c>
      <c r="J239" s="15">
        <f t="shared" si="325"/>
        <v>5.5321104885625288E-6</v>
      </c>
      <c r="K239" s="16">
        <f t="shared" si="326"/>
        <v>27.57363530923454</v>
      </c>
      <c r="L239" s="17">
        <f t="shared" si="327"/>
        <v>1.3845177214620474E-2</v>
      </c>
      <c r="M239" s="18">
        <f t="shared" si="328"/>
        <v>0.20003256509861764</v>
      </c>
      <c r="N239" s="19">
        <f t="shared" si="406"/>
        <v>1015.1489254347283</v>
      </c>
      <c r="O239" s="15">
        <f t="shared" si="329"/>
        <v>5.5302978508694571E-6</v>
      </c>
      <c r="P239" s="16">
        <f t="shared" si="330"/>
        <v>27.563212642499373</v>
      </c>
      <c r="Q239" s="17">
        <f t="shared" si="320"/>
        <v>1.3846802398695674E-2</v>
      </c>
      <c r="R239" s="18">
        <f t="shared" si="331"/>
        <v>0.20010820478508107</v>
      </c>
      <c r="S239" s="19">
        <f t="shared" si="407"/>
        <v>1013.6471974250148</v>
      </c>
      <c r="T239" s="15">
        <f t="shared" si="332"/>
        <v>5.52729439485003E-6</v>
      </c>
      <c r="U239" s="16">
        <f t="shared" si="333"/>
        <v>27.545942770387668</v>
      </c>
      <c r="V239" s="17">
        <f t="shared" si="334"/>
        <v>1.3833124007970023E-2</v>
      </c>
      <c r="W239" s="18">
        <f t="shared" si="335"/>
        <v>0.20023366221211297</v>
      </c>
      <c r="X239" s="19">
        <f t="shared" si="408"/>
        <v>1011.548278060234</v>
      </c>
      <c r="Y239" s="15">
        <f t="shared" si="336"/>
        <v>5.5230965561204687E-6</v>
      </c>
      <c r="Z239" s="16">
        <f t="shared" si="337"/>
        <v>27.521805197692689</v>
      </c>
      <c r="AA239" s="17">
        <f t="shared" si="338"/>
        <v>1.3822618104075056E-2</v>
      </c>
      <c r="AB239" s="18">
        <f t="shared" si="339"/>
        <v>0.20040927404218406</v>
      </c>
      <c r="AC239" s="19">
        <f t="shared" si="409"/>
        <v>1008.8507366905833</v>
      </c>
      <c r="AD239" s="15">
        <f t="shared" si="340"/>
        <v>5.5177014733811677E-6</v>
      </c>
      <c r="AE239" s="16">
        <f t="shared" si="341"/>
        <v>27.490783471941707</v>
      </c>
      <c r="AF239" s="17">
        <f t="shared" si="342"/>
        <v>1.3809115865324115E-2</v>
      </c>
      <c r="AG239" s="18">
        <f t="shared" si="343"/>
        <v>0.20063542407328941</v>
      </c>
      <c r="AH239" s="19">
        <f t="shared" si="410"/>
        <v>1005.5541960499374</v>
      </c>
      <c r="AI239" s="15">
        <f t="shared" si="344"/>
        <v>5.5111083920998758E-6</v>
      </c>
      <c r="AJ239" s="16">
        <f t="shared" si="345"/>
        <v>27.452873254574278</v>
      </c>
      <c r="AK239" s="17">
        <f t="shared" si="346"/>
        <v>1.3792615403354202E-2</v>
      </c>
      <c r="AL239" s="18">
        <f t="shared" si="347"/>
        <v>0.20091248551118307</v>
      </c>
      <c r="AM239" s="19">
        <f t="shared" si="411"/>
        <v>1001.6584202805097</v>
      </c>
      <c r="AN239" s="15">
        <f t="shared" si="348"/>
        <v>5.50331684056102E-6</v>
      </c>
      <c r="AO239" s="16">
        <f t="shared" si="349"/>
        <v>27.408071833225861</v>
      </c>
      <c r="AP239" s="17">
        <f t="shared" si="350"/>
        <v>1.3773115537605799E-2</v>
      </c>
      <c r="AQ239" s="18">
        <f t="shared" si="351"/>
        <v>0.20124089843173856</v>
      </c>
      <c r="AR239" s="19">
        <f t="shared" si="412"/>
        <v>997.1629780142041</v>
      </c>
      <c r="AS239" s="15">
        <f t="shared" si="352"/>
        <v>5.4943259560284093E-6</v>
      </c>
      <c r="AT239" s="16">
        <f t="shared" si="353"/>
        <v>27.356374247163345</v>
      </c>
      <c r="AU239" s="17">
        <f t="shared" si="354"/>
        <v>1.3750614108914606E-2</v>
      </c>
      <c r="AV239" s="18">
        <f t="shared" si="355"/>
        <v>0.20162119987709737</v>
      </c>
      <c r="AW239" s="19">
        <f t="shared" si="413"/>
        <v>992.06624833900844</v>
      </c>
      <c r="AX239" s="15">
        <f t="shared" si="356"/>
        <v>5.4841324966780175E-6</v>
      </c>
      <c r="AY239" s="16">
        <f t="shared" si="357"/>
        <v>27.297761855898596</v>
      </c>
      <c r="AZ239" s="17">
        <f t="shared" si="358"/>
        <v>1.3725103003988558E-2</v>
      </c>
      <c r="BA239" s="18">
        <f t="shared" si="359"/>
        <v>0.20205411085041627</v>
      </c>
      <c r="BB239" s="19">
        <f t="shared" si="414"/>
        <v>986.36184825457462</v>
      </c>
      <c r="BC239" s="15">
        <f t="shared" si="360"/>
        <v>5.4727236965091495E-6</v>
      </c>
      <c r="BD239" s="16">
        <f t="shared" si="361"/>
        <v>27.232161254927608</v>
      </c>
      <c r="BE239" s="17">
        <f t="shared" si="362"/>
        <v>1.3696550273440109E-2</v>
      </c>
      <c r="BF239" s="18">
        <f t="shared" si="363"/>
        <v>0.20254084677182785</v>
      </c>
      <c r="BG239" s="19">
        <f t="shared" si="415"/>
        <v>980.02638195600139</v>
      </c>
      <c r="BH239" s="15">
        <f t="shared" si="364"/>
        <v>5.4600527639120032E-6</v>
      </c>
      <c r="BI239" s="16">
        <f t="shared" si="365"/>
        <v>27.159303392494017</v>
      </c>
      <c r="BJ239" s="17">
        <f t="shared" si="366"/>
        <v>1.3664838812209411E-2</v>
      </c>
      <c r="BK239" s="18">
        <f t="shared" si="367"/>
        <v>0.20308418519763458</v>
      </c>
      <c r="BL239" s="19">
        <f t="shared" si="416"/>
        <v>972.98138139188643</v>
      </c>
      <c r="BM239" s="15">
        <f t="shared" si="368"/>
        <v>5.4459627627837734E-6</v>
      </c>
      <c r="BN239" s="16">
        <f t="shared" si="369"/>
        <v>27.078285886006693</v>
      </c>
      <c r="BO239" s="17">
        <f t="shared" si="370"/>
        <v>1.3629575857324858E-2</v>
      </c>
      <c r="BP239" s="18">
        <f t="shared" si="371"/>
        <v>0.20369180764319805</v>
      </c>
      <c r="BQ239" s="19">
        <f t="shared" si="417"/>
        <v>964.98841928336469</v>
      </c>
      <c r="BR239" s="15">
        <f t="shared" si="372"/>
        <v>5.42997683856673E-6</v>
      </c>
      <c r="BS239" s="16">
        <f t="shared" si="373"/>
        <v>26.986366821758693</v>
      </c>
      <c r="BT239" s="17">
        <f t="shared" si="374"/>
        <v>1.3589567987962514E-2</v>
      </c>
      <c r="BU239" s="18">
        <f t="shared" si="375"/>
        <v>0.20438560834920677</v>
      </c>
      <c r="BV239" s="19">
        <f t="shared" si="418"/>
        <v>955.39859602523404</v>
      </c>
      <c r="BW239" s="15">
        <f t="shared" si="376"/>
        <v>5.4107971920504687E-6</v>
      </c>
      <c r="BX239" s="16">
        <f t="shared" si="377"/>
        <v>26.87608385429019</v>
      </c>
      <c r="BY239" s="17">
        <f t="shared" si="378"/>
        <v>1.3541567210414699E-2</v>
      </c>
      <c r="BZ239" s="18">
        <f t="shared" si="379"/>
        <v>0.20522428155467853</v>
      </c>
      <c r="CA239" s="19">
        <f t="shared" si="419"/>
        <v>942.65241671236208</v>
      </c>
      <c r="CB239" s="15">
        <f t="shared" si="380"/>
        <v>5.3853048334247243E-6</v>
      </c>
      <c r="CC239" s="16">
        <f t="shared" si="381"/>
        <v>26.729502792192164</v>
      </c>
      <c r="CD239" s="17">
        <f t="shared" si="382"/>
        <v>1.3477767649013714E-2</v>
      </c>
      <c r="CE239" s="18">
        <f t="shared" si="383"/>
        <v>0.20634970440270009</v>
      </c>
      <c r="CF239" s="19">
        <f t="shared" si="420"/>
        <v>923.50096366800994</v>
      </c>
      <c r="CG239" s="15">
        <f t="shared" si="384"/>
        <v>5.3470019273360202E-6</v>
      </c>
      <c r="CH239" s="16">
        <f t="shared" si="385"/>
        <v>26.509261082182114</v>
      </c>
      <c r="CI239" s="17">
        <f t="shared" si="386"/>
        <v>1.3381907213158451E-2</v>
      </c>
      <c r="CJ239" s="18">
        <f t="shared" si="387"/>
        <v>0.20806407930046991</v>
      </c>
      <c r="CK239" s="19">
        <f t="shared" si="421"/>
        <v>892.22499707058819</v>
      </c>
      <c r="CL239" s="15">
        <f t="shared" si="388"/>
        <v>5.2844499941411772E-6</v>
      </c>
      <c r="CM239" s="16">
        <f t="shared" si="389"/>
        <v>26.149587466311765</v>
      </c>
      <c r="CN239" s="17">
        <f t="shared" si="390"/>
        <v>1.3225358893671662E-2</v>
      </c>
      <c r="CO239" s="18">
        <f t="shared" si="391"/>
        <v>0.21092588963805722</v>
      </c>
      <c r="CP239" s="19">
        <f t="shared" si="422"/>
        <v>840.64588960254105</v>
      </c>
      <c r="CQ239" s="15">
        <f t="shared" si="392"/>
        <v>5.1812917792050825E-6</v>
      </c>
      <c r="CR239" s="16">
        <f t="shared" si="393"/>
        <v>25.55642773042922</v>
      </c>
      <c r="CS239" s="17">
        <f t="shared" si="394"/>
        <v>1.2967185494950325E-2</v>
      </c>
      <c r="CT239" s="18">
        <f t="shared" si="395"/>
        <v>0.21582143866815634</v>
      </c>
      <c r="CU239" s="19">
        <f t="shared" si="423"/>
        <v>759.95679883335413</v>
      </c>
      <c r="CV239" s="15">
        <f t="shared" si="396"/>
        <v>5.019913597666709E-6</v>
      </c>
      <c r="CW239" s="16">
        <f t="shared" si="397"/>
        <v>24.628503186583572</v>
      </c>
      <c r="CX239" s="17">
        <f t="shared" si="398"/>
        <v>1.2563305361574222E-2</v>
      </c>
      <c r="CY239" s="18">
        <f t="shared" si="399"/>
        <v>0.22395291172240822</v>
      </c>
      <c r="CZ239" s="20">
        <f t="shared" si="424"/>
        <v>644.53078757258822</v>
      </c>
      <c r="DA239" s="15">
        <f t="shared" si="400"/>
        <v>4.869119245955725E-6</v>
      </c>
      <c r="DB239" s="16">
        <f t="shared" si="401"/>
        <v>34.80360716039494</v>
      </c>
      <c r="DC239" s="17">
        <f t="shared" si="402"/>
        <v>1.2185913310797434E-2</v>
      </c>
      <c r="DD239" s="18">
        <f t="shared" si="403"/>
        <v>0.15847854432389274</v>
      </c>
    </row>
    <row r="240" spans="2:108" x14ac:dyDescent="0.25">
      <c r="B240">
        <v>221</v>
      </c>
      <c r="C240">
        <f t="shared" si="404"/>
        <v>0.21605284126230057</v>
      </c>
      <c r="D240" s="19">
        <f t="shared" si="321"/>
        <v>1016.3633543950187</v>
      </c>
      <c r="E240" s="15">
        <f t="shared" si="322"/>
        <v>5.5327267087900381E-6</v>
      </c>
      <c r="F240" s="16">
        <f t="shared" si="323"/>
        <v>27.577178575542714</v>
      </c>
      <c r="G240" s="17">
        <f t="shared" si="319"/>
        <v>1.384671942500668E-2</v>
      </c>
      <c r="H240" s="18">
        <f t="shared" si="324"/>
        <v>0.20000686382368446</v>
      </c>
      <c r="I240" s="19">
        <f t="shared" si="405"/>
        <v>1016.0386678919328</v>
      </c>
      <c r="J240" s="15">
        <f t="shared" si="325"/>
        <v>5.5320773357838667E-6</v>
      </c>
      <c r="K240" s="16">
        <f t="shared" si="326"/>
        <v>27.573444680757227</v>
      </c>
      <c r="L240" s="17">
        <f t="shared" si="327"/>
        <v>1.3845094243375289E-2</v>
      </c>
      <c r="M240" s="18">
        <f t="shared" si="328"/>
        <v>0.20003394801989349</v>
      </c>
      <c r="N240" s="19">
        <f t="shared" si="406"/>
        <v>1015.1323470298339</v>
      </c>
      <c r="O240" s="15">
        <f t="shared" si="329"/>
        <v>5.5302646940596678E-6</v>
      </c>
      <c r="P240" s="16">
        <f t="shared" si="330"/>
        <v>27.56302199084309</v>
      </c>
      <c r="Q240" s="17">
        <f t="shared" si="320"/>
        <v>1.384671942500668E-2</v>
      </c>
      <c r="R240" s="18">
        <f t="shared" si="331"/>
        <v>0.20010958892070635</v>
      </c>
      <c r="S240" s="19">
        <f t="shared" si="407"/>
        <v>1013.630618758221</v>
      </c>
      <c r="T240" s="15">
        <f t="shared" si="332"/>
        <v>5.5272612375164422E-6</v>
      </c>
      <c r="U240" s="16">
        <f t="shared" si="333"/>
        <v>27.545752115719541</v>
      </c>
      <c r="V240" s="17">
        <f t="shared" si="334"/>
        <v>1.3833041025325255E-2</v>
      </c>
      <c r="W240" s="18">
        <f t="shared" si="335"/>
        <v>0.20023504810574394</v>
      </c>
      <c r="X240" s="19">
        <f t="shared" si="408"/>
        <v>1011.5317035927175</v>
      </c>
      <c r="Y240" s="15">
        <f t="shared" si="336"/>
        <v>5.5230634071854355E-6</v>
      </c>
      <c r="Z240" s="16">
        <f t="shared" si="337"/>
        <v>27.521614591316251</v>
      </c>
      <c r="AA240" s="17">
        <f t="shared" si="338"/>
        <v>1.3822535142449298E-2</v>
      </c>
      <c r="AB240" s="18">
        <f t="shared" si="339"/>
        <v>0.20041066201618549</v>
      </c>
      <c r="AC240" s="19">
        <f t="shared" si="409"/>
        <v>1008.8341716611862</v>
      </c>
      <c r="AD240" s="15">
        <f t="shared" si="340"/>
        <v>5.5176683433223729E-6</v>
      </c>
      <c r="AE240" s="16">
        <f t="shared" si="341"/>
        <v>27.490592974103642</v>
      </c>
      <c r="AF240" s="17">
        <f t="shared" si="342"/>
        <v>1.3809032950939795E-2</v>
      </c>
      <c r="AG240" s="18">
        <f t="shared" si="343"/>
        <v>0.20063681438940814</v>
      </c>
      <c r="AH240" s="19">
        <f t="shared" si="410"/>
        <v>1005.5376446144404</v>
      </c>
      <c r="AI240" s="15">
        <f t="shared" si="344"/>
        <v>5.5110752892288811E-6</v>
      </c>
      <c r="AJ240" s="16">
        <f t="shared" si="345"/>
        <v>27.452682913066063</v>
      </c>
      <c r="AK240" s="17">
        <f t="shared" si="346"/>
        <v>1.3792532557012615E-2</v>
      </c>
      <c r="AL240" s="18">
        <f t="shared" si="347"/>
        <v>0.20091387852568854</v>
      </c>
      <c r="AM240" s="19">
        <f t="shared" si="411"/>
        <v>1001.6418824931175</v>
      </c>
      <c r="AN240" s="15">
        <f t="shared" si="348"/>
        <v>5.5032837649862355E-6</v>
      </c>
      <c r="AO240" s="16">
        <f t="shared" si="349"/>
        <v>27.407881648670852</v>
      </c>
      <c r="AP240" s="17">
        <f t="shared" si="350"/>
        <v>1.3773032759578259E-2</v>
      </c>
      <c r="AQ240" s="18">
        <f t="shared" si="351"/>
        <v>0.20124229485161546</v>
      </c>
      <c r="AR240" s="19">
        <f t="shared" si="412"/>
        <v>997.14643938187442</v>
      </c>
      <c r="AS240" s="15">
        <f t="shared" si="352"/>
        <v>5.4942928787637491E-6</v>
      </c>
      <c r="AT240" s="16">
        <f t="shared" si="353"/>
        <v>27.356184052891557</v>
      </c>
      <c r="AU240" s="17">
        <f t="shared" si="354"/>
        <v>1.3750531326657827E-2</v>
      </c>
      <c r="AV240" s="18">
        <f t="shared" si="355"/>
        <v>0.20162260165145354</v>
      </c>
      <c r="AW240" s="19">
        <f t="shared" si="413"/>
        <v>992.04964136616979</v>
      </c>
      <c r="AX240" s="15">
        <f t="shared" si="356"/>
        <v>5.4840992827323399E-6</v>
      </c>
      <c r="AY240" s="16">
        <f t="shared" si="357"/>
        <v>27.297570875710953</v>
      </c>
      <c r="AZ240" s="17">
        <f t="shared" si="358"/>
        <v>1.3725019879661078E-2</v>
      </c>
      <c r="BA240" s="18">
        <f t="shared" si="359"/>
        <v>0.20205552446821326</v>
      </c>
      <c r="BB240" s="19">
        <f t="shared" si="414"/>
        <v>986.34492448796743</v>
      </c>
      <c r="BC240" s="15">
        <f t="shared" si="360"/>
        <v>5.472689848975935E-6</v>
      </c>
      <c r="BD240" s="16">
        <f t="shared" si="361"/>
        <v>27.231966631611627</v>
      </c>
      <c r="BE240" s="17">
        <f t="shared" si="362"/>
        <v>1.3696465563437192E-2</v>
      </c>
      <c r="BF240" s="18">
        <f t="shared" si="363"/>
        <v>0.20254229430485968</v>
      </c>
      <c r="BG240" s="19">
        <f t="shared" si="415"/>
        <v>980.00833361238517</v>
      </c>
      <c r="BH240" s="15">
        <f t="shared" si="364"/>
        <v>5.460016667224771E-6</v>
      </c>
      <c r="BI240" s="16">
        <f t="shared" si="365"/>
        <v>27.159095836542427</v>
      </c>
      <c r="BJ240" s="17">
        <f t="shared" si="366"/>
        <v>1.3664748473263247E-2</v>
      </c>
      <c r="BK240" s="18">
        <f t="shared" si="367"/>
        <v>0.20308573721289919</v>
      </c>
      <c r="BL240" s="19">
        <f t="shared" si="416"/>
        <v>972.95986565342514</v>
      </c>
      <c r="BM240" s="15">
        <f t="shared" si="368"/>
        <v>5.4459197313068499E-6</v>
      </c>
      <c r="BN240" s="16">
        <f t="shared" si="369"/>
        <v>27.078038455014386</v>
      </c>
      <c r="BO240" s="17">
        <f t="shared" si="370"/>
        <v>1.3629468162725294E-2</v>
      </c>
      <c r="BP240" s="18">
        <f t="shared" si="371"/>
        <v>0.20369366891783114</v>
      </c>
      <c r="BQ240" s="19">
        <f t="shared" si="417"/>
        <v>964.95743783772866</v>
      </c>
      <c r="BR240" s="15">
        <f t="shared" si="372"/>
        <v>5.4299148756754581E-6</v>
      </c>
      <c r="BS240" s="16">
        <f t="shared" si="373"/>
        <v>26.986010535133879</v>
      </c>
      <c r="BT240" s="17">
        <f t="shared" si="374"/>
        <v>1.3589412913834446E-2</v>
      </c>
      <c r="BU240" s="18">
        <f t="shared" si="375"/>
        <v>0.20438830677913825</v>
      </c>
      <c r="BV240" s="19">
        <f t="shared" si="418"/>
        <v>955.34486252943941</v>
      </c>
      <c r="BW240" s="15">
        <f t="shared" si="376"/>
        <v>5.4106897250588794E-6</v>
      </c>
      <c r="BX240" s="16">
        <f t="shared" si="377"/>
        <v>26.875465919088555</v>
      </c>
      <c r="BY240" s="17">
        <f t="shared" si="378"/>
        <v>1.354129825346846E-2</v>
      </c>
      <c r="BZ240" s="18">
        <f t="shared" si="379"/>
        <v>0.20522900018200149</v>
      </c>
      <c r="CA240" s="19">
        <f t="shared" si="419"/>
        <v>942.55128314525803</v>
      </c>
      <c r="CB240" s="15">
        <f t="shared" si="380"/>
        <v>5.3851025662905167E-6</v>
      </c>
      <c r="CC240" s="16">
        <f t="shared" si="381"/>
        <v>26.728339756170467</v>
      </c>
      <c r="CD240" s="17">
        <f t="shared" si="382"/>
        <v>1.3477261436362395E-2</v>
      </c>
      <c r="CE240" s="18">
        <f t="shared" si="383"/>
        <v>0.20635868334196367</v>
      </c>
      <c r="CF240" s="19">
        <f t="shared" si="420"/>
        <v>923.31632019412666</v>
      </c>
      <c r="CG240" s="15">
        <f t="shared" si="384"/>
        <v>5.3466326403882532E-6</v>
      </c>
      <c r="CH240" s="16">
        <f t="shared" si="385"/>
        <v>26.507137682232454</v>
      </c>
      <c r="CI240" s="17">
        <f t="shared" si="386"/>
        <v>1.338098300109771E-2</v>
      </c>
      <c r="CJ240" s="18">
        <f t="shared" si="387"/>
        <v>0.20808074663214521</v>
      </c>
      <c r="CK240" s="19">
        <f t="shared" si="421"/>
        <v>891.92071278368167</v>
      </c>
      <c r="CL240" s="15">
        <f t="shared" si="388"/>
        <v>5.2838414255673638E-6</v>
      </c>
      <c r="CM240" s="16">
        <f t="shared" si="389"/>
        <v>26.14608819701234</v>
      </c>
      <c r="CN240" s="17">
        <f t="shared" si="390"/>
        <v>1.3223835833029775E-2</v>
      </c>
      <c r="CO240" s="18">
        <f t="shared" si="391"/>
        <v>0.21095411896569136</v>
      </c>
      <c r="CP240" s="19">
        <f t="shared" si="422"/>
        <v>840.21235804728065</v>
      </c>
      <c r="CQ240" s="15">
        <f t="shared" si="392"/>
        <v>5.1804247160945618E-6</v>
      </c>
      <c r="CR240" s="16">
        <f t="shared" si="393"/>
        <v>25.551442117543729</v>
      </c>
      <c r="CS240" s="17">
        <f t="shared" si="394"/>
        <v>1.2965015501699786E-2</v>
      </c>
      <c r="CT240" s="18">
        <f t="shared" si="395"/>
        <v>0.21586354987818665</v>
      </c>
      <c r="CU240" s="19">
        <f t="shared" si="423"/>
        <v>759.43952266443807</v>
      </c>
      <c r="CV240" s="15">
        <f t="shared" si="396"/>
        <v>5.0188790453288762E-6</v>
      </c>
      <c r="CW240" s="16">
        <f t="shared" si="397"/>
        <v>24.622554510641038</v>
      </c>
      <c r="CX240" s="17">
        <f t="shared" si="398"/>
        <v>1.2560716194115491E-2</v>
      </c>
      <c r="CY240" s="18">
        <f t="shared" si="399"/>
        <v>0.22400701753412031</v>
      </c>
      <c r="CZ240" s="20">
        <f t="shared" si="424"/>
        <v>644.03127925028866</v>
      </c>
      <c r="DA240" s="15">
        <f t="shared" si="400"/>
        <v>4.8781364969340827E-6</v>
      </c>
      <c r="DB240" s="16">
        <f t="shared" si="401"/>
        <v>34.818092901741622</v>
      </c>
      <c r="DC240" s="17">
        <f t="shared" si="402"/>
        <v>1.2208480726622225E-2</v>
      </c>
      <c r="DD240" s="18">
        <f t="shared" si="403"/>
        <v>0.15841261081028665</v>
      </c>
    </row>
    <row r="241" spans="1:108" x14ac:dyDescent="0.25">
      <c r="B241">
        <v>222</v>
      </c>
      <c r="C241">
        <f t="shared" si="404"/>
        <v>0.21703045592864584</v>
      </c>
      <c r="D241" s="19">
        <f t="shared" si="321"/>
        <v>1016.3467775423785</v>
      </c>
      <c r="E241" s="15">
        <f t="shared" si="322"/>
        <v>5.5326935550847575E-6</v>
      </c>
      <c r="F241" s="16">
        <f t="shared" si="323"/>
        <v>27.57698794173735</v>
      </c>
      <c r="G241" s="17">
        <f t="shared" si="319"/>
        <v>1.3846636451442452E-2</v>
      </c>
      <c r="H241" s="18">
        <f t="shared" si="324"/>
        <v>0.20000824642825427</v>
      </c>
      <c r="I241" s="19">
        <f t="shared" si="405"/>
        <v>1016.0220915566886</v>
      </c>
      <c r="J241" s="15">
        <f t="shared" si="325"/>
        <v>5.5320441831133775E-6</v>
      </c>
      <c r="K241" s="16">
        <f t="shared" si="326"/>
        <v>27.573254052901916</v>
      </c>
      <c r="L241" s="17">
        <f t="shared" si="327"/>
        <v>1.3845011272400827E-2</v>
      </c>
      <c r="M241" s="18">
        <f t="shared" si="328"/>
        <v>0.20003533095577866</v>
      </c>
      <c r="N241" s="19">
        <f t="shared" si="406"/>
        <v>1015.1157687406874</v>
      </c>
      <c r="O241" s="15">
        <f t="shared" si="329"/>
        <v>5.5302315374813751E-6</v>
      </c>
      <c r="P241" s="16">
        <f t="shared" si="330"/>
        <v>27.562831340517903</v>
      </c>
      <c r="Q241" s="17">
        <f t="shared" si="320"/>
        <v>1.3846636451442452E-2</v>
      </c>
      <c r="R241" s="18">
        <f t="shared" si="331"/>
        <v>0.20011097306581574</v>
      </c>
      <c r="S241" s="19">
        <f t="shared" si="407"/>
        <v>1013.6140402616302</v>
      </c>
      <c r="T241" s="15">
        <f t="shared" si="332"/>
        <v>5.527228080523261E-6</v>
      </c>
      <c r="U241" s="16">
        <f t="shared" si="333"/>
        <v>27.545561463008745</v>
      </c>
      <c r="V241" s="17">
        <f t="shared" si="334"/>
        <v>1.383295804353242E-2</v>
      </c>
      <c r="W241" s="18">
        <f t="shared" si="335"/>
        <v>0.20023643400433122</v>
      </c>
      <c r="X241" s="19">
        <f t="shared" si="408"/>
        <v>1011.5151293206775</v>
      </c>
      <c r="Y241" s="15">
        <f t="shared" si="336"/>
        <v>5.5230302586413553E-6</v>
      </c>
      <c r="Z241" s="16">
        <f t="shared" si="337"/>
        <v>27.521423987187788</v>
      </c>
      <c r="AA241" s="17">
        <f t="shared" si="338"/>
        <v>1.3822452181801975E-2</v>
      </c>
      <c r="AB241" s="18">
        <f t="shared" si="339"/>
        <v>0.20041204999304257</v>
      </c>
      <c r="AC241" s="19">
        <f t="shared" si="409"/>
        <v>1008.8176068204889</v>
      </c>
      <c r="AD241" s="15">
        <f t="shared" si="340"/>
        <v>5.5176352136409787E-6</v>
      </c>
      <c r="AE241" s="16">
        <f t="shared" si="341"/>
        <v>27.49040247843562</v>
      </c>
      <c r="AF241" s="17">
        <f t="shared" si="342"/>
        <v>1.3808950037499995E-2</v>
      </c>
      <c r="AG241" s="18">
        <f t="shared" si="343"/>
        <v>0.20063820470895755</v>
      </c>
      <c r="AH241" s="19">
        <f t="shared" si="410"/>
        <v>1005.52109331042</v>
      </c>
      <c r="AI241" s="15">
        <f t="shared" si="344"/>
        <v>5.5110421866208402E-6</v>
      </c>
      <c r="AJ241" s="16">
        <f t="shared" si="345"/>
        <v>27.452492573069829</v>
      </c>
      <c r="AK241" s="17">
        <f t="shared" si="346"/>
        <v>1.3792449711329119E-2</v>
      </c>
      <c r="AL241" s="18">
        <f t="shared" si="347"/>
        <v>0.20091527154844521</v>
      </c>
      <c r="AM241" s="19">
        <f t="shared" si="411"/>
        <v>1001.6253446177792</v>
      </c>
      <c r="AN241" s="15">
        <f t="shared" si="348"/>
        <v>5.5032506892355587E-6</v>
      </c>
      <c r="AO241" s="16">
        <f t="shared" si="349"/>
        <v>27.407691463104459</v>
      </c>
      <c r="AP241" s="17">
        <f t="shared" si="350"/>
        <v>1.3772949981110517E-2</v>
      </c>
      <c r="AQ241" s="18">
        <f t="shared" si="351"/>
        <v>0.20124369129829831</v>
      </c>
      <c r="AR241" s="19">
        <f t="shared" si="412"/>
        <v>997.1298998597764</v>
      </c>
      <c r="AS241" s="15">
        <f t="shared" si="352"/>
        <v>5.4942597997195532E-6</v>
      </c>
      <c r="AT241" s="16">
        <f t="shared" si="353"/>
        <v>27.355993848387428</v>
      </c>
      <c r="AU241" s="17">
        <f t="shared" si="354"/>
        <v>1.3750448539947413E-2</v>
      </c>
      <c r="AV241" s="18">
        <f t="shared" si="355"/>
        <v>0.20162400352071774</v>
      </c>
      <c r="AW241" s="19">
        <f t="shared" si="413"/>
        <v>992.03303078276224</v>
      </c>
      <c r="AX241" s="15">
        <f t="shared" si="356"/>
        <v>5.4840660615655251E-6</v>
      </c>
      <c r="AY241" s="16">
        <f t="shared" si="357"/>
        <v>27.297379854001765</v>
      </c>
      <c r="AZ241" s="17">
        <f t="shared" si="358"/>
        <v>1.3724936737261306E-2</v>
      </c>
      <c r="BA241" s="18">
        <f t="shared" si="359"/>
        <v>0.20205693841313549</v>
      </c>
      <c r="BB241" s="19">
        <f t="shared" si="414"/>
        <v>986.3279887479697</v>
      </c>
      <c r="BC241" s="15">
        <f t="shared" si="360"/>
        <v>5.4726559774959395E-6</v>
      </c>
      <c r="BD241" s="16">
        <f t="shared" si="361"/>
        <v>27.231771870601651</v>
      </c>
      <c r="BE241" s="17">
        <f t="shared" si="362"/>
        <v>1.3696380793502818E-2</v>
      </c>
      <c r="BF241" s="18">
        <f t="shared" si="363"/>
        <v>0.20254374288271898</v>
      </c>
      <c r="BG241" s="19">
        <f t="shared" si="415"/>
        <v>979.99025043355755</v>
      </c>
      <c r="BH241" s="15">
        <f t="shared" si="364"/>
        <v>5.4599805008671155E-6</v>
      </c>
      <c r="BI241" s="16">
        <f t="shared" si="365"/>
        <v>27.158887879985912</v>
      </c>
      <c r="BJ241" s="17">
        <f t="shared" si="366"/>
        <v>1.3664657959953365E-2</v>
      </c>
      <c r="BK241" s="18">
        <f t="shared" si="367"/>
        <v>0.20308729224750793</v>
      </c>
      <c r="BL241" s="19">
        <f t="shared" si="416"/>
        <v>972.93826072899401</v>
      </c>
      <c r="BM241" s="15">
        <f t="shared" si="368"/>
        <v>5.4458765214579887E-6</v>
      </c>
      <c r="BN241" s="16">
        <f t="shared" si="369"/>
        <v>27.07778999838343</v>
      </c>
      <c r="BO241" s="17">
        <f t="shared" si="370"/>
        <v>1.362936002171543E-2</v>
      </c>
      <c r="BP241" s="18">
        <f t="shared" si="371"/>
        <v>0.20369553794195494</v>
      </c>
      <c r="BQ241" s="19">
        <f t="shared" si="417"/>
        <v>964.92625866481171</v>
      </c>
      <c r="BR241" s="15">
        <f t="shared" si="372"/>
        <v>5.4298525173296236E-6</v>
      </c>
      <c r="BS241" s="16">
        <f t="shared" si="373"/>
        <v>26.985651974645336</v>
      </c>
      <c r="BT241" s="17">
        <f t="shared" si="374"/>
        <v>1.3589256850004797E-2</v>
      </c>
      <c r="BU241" s="18">
        <f t="shared" si="375"/>
        <v>0.20439102250270869</v>
      </c>
      <c r="BV241" s="19">
        <f t="shared" si="418"/>
        <v>955.29076065547065</v>
      </c>
      <c r="BW241" s="15">
        <f t="shared" si="376"/>
        <v>5.4105815213109421E-6</v>
      </c>
      <c r="BX241" s="16">
        <f t="shared" si="377"/>
        <v>26.874843747537909</v>
      </c>
      <c r="BY241" s="17">
        <f t="shared" si="378"/>
        <v>1.3541027452646858E-2</v>
      </c>
      <c r="BZ241" s="18">
        <f t="shared" si="379"/>
        <v>0.20523375137782165</v>
      </c>
      <c r="CA241" s="19">
        <f t="shared" si="419"/>
        <v>942.44960354784394</v>
      </c>
      <c r="CB241" s="15">
        <f t="shared" si="380"/>
        <v>5.3848992070956886E-6</v>
      </c>
      <c r="CC241" s="16">
        <f t="shared" si="381"/>
        <v>26.727170440800204</v>
      </c>
      <c r="CD241" s="17">
        <f t="shared" si="382"/>
        <v>1.3476752490618011E-2</v>
      </c>
      <c r="CE241" s="18">
        <f t="shared" si="383"/>
        <v>0.20636771154720349</v>
      </c>
      <c r="CF241" s="19">
        <f t="shared" si="420"/>
        <v>923.13111120908388</v>
      </c>
      <c r="CG241" s="15">
        <f t="shared" si="384"/>
        <v>5.3462622224181678E-6</v>
      </c>
      <c r="CH241" s="16">
        <f t="shared" si="385"/>
        <v>26.505007778904464</v>
      </c>
      <c r="CI241" s="17">
        <f t="shared" si="386"/>
        <v>1.3380055958434712E-2</v>
      </c>
      <c r="CJ241" s="18">
        <f t="shared" si="387"/>
        <v>0.20809746769400791</v>
      </c>
      <c r="CK241" s="19">
        <f t="shared" si="421"/>
        <v>891.61622309767631</v>
      </c>
      <c r="CL241" s="15">
        <f t="shared" si="388"/>
        <v>5.2832324461953527E-6</v>
      </c>
      <c r="CM241" s="16">
        <f t="shared" si="389"/>
        <v>26.142586565623276</v>
      </c>
      <c r="CN241" s="17">
        <f t="shared" si="390"/>
        <v>1.322231174428589E-2</v>
      </c>
      <c r="CO241" s="18">
        <f t="shared" si="391"/>
        <v>0.21098237491361635</v>
      </c>
      <c r="CP241" s="19">
        <f t="shared" si="422"/>
        <v>839.77939987915397</v>
      </c>
      <c r="CQ241" s="15">
        <f t="shared" si="392"/>
        <v>5.1795587997583084E-6</v>
      </c>
      <c r="CR241" s="16">
        <f t="shared" si="393"/>
        <v>25.546463098610268</v>
      </c>
      <c r="CS241" s="17">
        <f t="shared" si="394"/>
        <v>1.2962848378473803E-2</v>
      </c>
      <c r="CT241" s="18">
        <f t="shared" si="395"/>
        <v>0.21590562179623413</v>
      </c>
      <c r="CU241" s="19">
        <f t="shared" si="423"/>
        <v>758.92362634320239</v>
      </c>
      <c r="CV241" s="15">
        <f t="shared" si="396"/>
        <v>5.0178472526864054E-6</v>
      </c>
      <c r="CW241" s="16">
        <f t="shared" si="397"/>
        <v>24.616621702946826</v>
      </c>
      <c r="CX241" s="17">
        <f t="shared" si="398"/>
        <v>1.2558133933328528E-2</v>
      </c>
      <c r="CY241" s="18">
        <f t="shared" si="399"/>
        <v>0.22406100506227186</v>
      </c>
      <c r="CZ241" s="20">
        <f t="shared" si="424"/>
        <v>643.53334904104156</v>
      </c>
      <c r="DA241" s="15">
        <f t="shared" si="400"/>
        <v>4.8871166295195626E-6</v>
      </c>
      <c r="DB241" s="16">
        <f t="shared" si="401"/>
        <v>34.83253287780979</v>
      </c>
      <c r="DC241" s="17">
        <f t="shared" si="402"/>
        <v>1.2230955246484727E-2</v>
      </c>
      <c r="DD241" s="18">
        <f t="shared" si="403"/>
        <v>0.15834694018228435</v>
      </c>
    </row>
    <row r="242" spans="1:108" x14ac:dyDescent="0.25">
      <c r="B242">
        <v>223</v>
      </c>
      <c r="C242">
        <f t="shared" si="404"/>
        <v>0.21800807059499108</v>
      </c>
      <c r="D242" s="19">
        <f t="shared" si="321"/>
        <v>1016.330200716154</v>
      </c>
      <c r="E242" s="15">
        <f t="shared" si="322"/>
        <v>5.5326604014323089E-6</v>
      </c>
      <c r="F242" s="16">
        <f t="shared" si="323"/>
        <v>27.576797308235768</v>
      </c>
      <c r="G242" s="17">
        <f t="shared" si="319"/>
        <v>1.3846553478010448E-2</v>
      </c>
      <c r="H242" s="18">
        <f t="shared" si="324"/>
        <v>0.20000962904973621</v>
      </c>
      <c r="I242" s="19">
        <f t="shared" si="405"/>
        <v>1016.0055152766106</v>
      </c>
      <c r="J242" s="15">
        <f t="shared" si="325"/>
        <v>5.5320110305532219E-6</v>
      </c>
      <c r="K242" s="16">
        <f t="shared" si="326"/>
        <v>27.573063425681021</v>
      </c>
      <c r="L242" s="17">
        <f t="shared" si="327"/>
        <v>1.3844928301702497E-2</v>
      </c>
      <c r="M242" s="18">
        <f t="shared" si="328"/>
        <v>0.20003671390618327</v>
      </c>
      <c r="N242" s="19">
        <f t="shared" si="406"/>
        <v>1015.0991905675902</v>
      </c>
      <c r="O242" s="15">
        <f t="shared" si="329"/>
        <v>5.5301983811351805E-6</v>
      </c>
      <c r="P242" s="16">
        <f t="shared" si="330"/>
        <v>27.562640691527285</v>
      </c>
      <c r="Q242" s="17">
        <f t="shared" si="320"/>
        <v>1.3846553478010448E-2</v>
      </c>
      <c r="R242" s="18">
        <f t="shared" si="331"/>
        <v>0.20011235722038401</v>
      </c>
      <c r="S242" s="19">
        <f t="shared" si="407"/>
        <v>1013.5974619350213</v>
      </c>
      <c r="T242" s="15">
        <f t="shared" si="332"/>
        <v>5.5271949238700431E-6</v>
      </c>
      <c r="U242" s="16">
        <f t="shared" si="333"/>
        <v>27.545370812252745</v>
      </c>
      <c r="V242" s="17">
        <f t="shared" si="334"/>
        <v>1.3832875062590412E-2</v>
      </c>
      <c r="W242" s="18">
        <f t="shared" si="335"/>
        <v>0.20023781990789308</v>
      </c>
      <c r="X242" s="19">
        <f t="shared" si="408"/>
        <v>1011.4985552437004</v>
      </c>
      <c r="Y242" s="15">
        <f t="shared" si="336"/>
        <v>5.5229971104874016E-6</v>
      </c>
      <c r="Z242" s="16">
        <f t="shared" si="337"/>
        <v>27.521233385302551</v>
      </c>
      <c r="AA242" s="17">
        <f t="shared" si="338"/>
        <v>1.3822369222131018E-2</v>
      </c>
      <c r="AB242" s="18">
        <f t="shared" si="339"/>
        <v>0.20041343797278963</v>
      </c>
      <c r="AC242" s="19">
        <f t="shared" si="409"/>
        <v>1008.8010421677031</v>
      </c>
      <c r="AD242" s="15">
        <f t="shared" si="340"/>
        <v>5.5176020843354063E-6</v>
      </c>
      <c r="AE242" s="16">
        <f t="shared" si="341"/>
        <v>27.490211984928585</v>
      </c>
      <c r="AF242" s="17">
        <f t="shared" si="342"/>
        <v>1.380886712500076E-2</v>
      </c>
      <c r="AG242" s="18">
        <f t="shared" si="343"/>
        <v>0.20063959503200349</v>
      </c>
      <c r="AH242" s="19">
        <f t="shared" si="410"/>
        <v>1005.5045421353168</v>
      </c>
      <c r="AI242" s="15">
        <f t="shared" si="344"/>
        <v>5.5110090842706336E-6</v>
      </c>
      <c r="AJ242" s="16">
        <f t="shared" si="345"/>
        <v>27.452302234556143</v>
      </c>
      <c r="AK242" s="17">
        <f t="shared" si="346"/>
        <v>1.3792366866290906E-2</v>
      </c>
      <c r="AL242" s="18">
        <f t="shared" si="347"/>
        <v>0.20091666457966847</v>
      </c>
      <c r="AM242" s="19">
        <f t="shared" si="411"/>
        <v>1001.6088066454577</v>
      </c>
      <c r="AN242" s="15">
        <f t="shared" si="348"/>
        <v>5.5032176132909155E-6</v>
      </c>
      <c r="AO242" s="16">
        <f t="shared" si="349"/>
        <v>27.407501276422764</v>
      </c>
      <c r="AP242" s="17">
        <f t="shared" si="350"/>
        <v>1.3772867202157335E-2</v>
      </c>
      <c r="AQ242" s="18">
        <f t="shared" si="351"/>
        <v>0.2012450877725509</v>
      </c>
      <c r="AR242" s="19">
        <f t="shared" si="412"/>
        <v>997.11335941846028</v>
      </c>
      <c r="AS242" s="15">
        <f t="shared" si="352"/>
        <v>5.4942267188369215E-6</v>
      </c>
      <c r="AT242" s="16">
        <f t="shared" si="353"/>
        <v>27.355803633312291</v>
      </c>
      <c r="AU242" s="17">
        <f t="shared" si="354"/>
        <v>1.3750365748635961E-2</v>
      </c>
      <c r="AV242" s="18">
        <f t="shared" si="355"/>
        <v>0.20162540548738972</v>
      </c>
      <c r="AW242" s="19">
        <f t="shared" si="413"/>
        <v>992.0164165027893</v>
      </c>
      <c r="AX242" s="15">
        <f t="shared" si="356"/>
        <v>5.4840328330055797E-6</v>
      </c>
      <c r="AY242" s="16">
        <f t="shared" si="357"/>
        <v>27.297188789782076</v>
      </c>
      <c r="AZ242" s="17">
        <f t="shared" si="358"/>
        <v>1.3724853576358793E-2</v>
      </c>
      <c r="BA242" s="18">
        <f t="shared" si="359"/>
        <v>0.20205835269251671</v>
      </c>
      <c r="BB242" s="19">
        <f t="shared" si="414"/>
        <v>986.31104081432636</v>
      </c>
      <c r="BC242" s="15">
        <f t="shared" si="360"/>
        <v>5.4726220816286533E-6</v>
      </c>
      <c r="BD242" s="16">
        <f t="shared" si="361"/>
        <v>27.231576969364752</v>
      </c>
      <c r="BE242" s="17">
        <f t="shared" si="362"/>
        <v>1.3696295962534532E-2</v>
      </c>
      <c r="BF242" s="18">
        <f t="shared" si="363"/>
        <v>0.20254519252428979</v>
      </c>
      <c r="BG242" s="19">
        <f t="shared" si="415"/>
        <v>979.9721319406807</v>
      </c>
      <c r="BH242" s="15">
        <f t="shared" si="364"/>
        <v>5.4599442638813617E-6</v>
      </c>
      <c r="BI242" s="16">
        <f t="shared" si="365"/>
        <v>27.158679517317829</v>
      </c>
      <c r="BJ242" s="17">
        <f t="shared" si="366"/>
        <v>1.3664567269882999E-2</v>
      </c>
      <c r="BK242" s="18">
        <f t="shared" si="367"/>
        <v>0.20308885034277688</v>
      </c>
      <c r="BL242" s="19">
        <f t="shared" si="416"/>
        <v>972.91656578682284</v>
      </c>
      <c r="BM242" s="15">
        <f t="shared" si="368"/>
        <v>5.4458331315736467E-6</v>
      </c>
      <c r="BN242" s="16">
        <f t="shared" si="369"/>
        <v>27.077540506548463</v>
      </c>
      <c r="BO242" s="17">
        <f t="shared" si="370"/>
        <v>1.3629251430131932E-2</v>
      </c>
      <c r="BP242" s="18">
        <f t="shared" si="371"/>
        <v>0.20369741478795295</v>
      </c>
      <c r="BQ242" s="19">
        <f t="shared" si="417"/>
        <v>964.89488077593262</v>
      </c>
      <c r="BR242" s="15">
        <f t="shared" si="372"/>
        <v>5.4297897615518662E-6</v>
      </c>
      <c r="BS242" s="16">
        <f t="shared" si="373"/>
        <v>26.985291128923222</v>
      </c>
      <c r="BT242" s="17">
        <f t="shared" si="374"/>
        <v>1.3589099791524837E-2</v>
      </c>
      <c r="BU242" s="18">
        <f t="shared" si="375"/>
        <v>0.20439375560741213</v>
      </c>
      <c r="BV242" s="19">
        <f t="shared" si="418"/>
        <v>955.23629015160918</v>
      </c>
      <c r="BW242" s="15">
        <f t="shared" si="376"/>
        <v>5.4104725803032185E-6</v>
      </c>
      <c r="BX242" s="16">
        <f t="shared" si="377"/>
        <v>26.874217336743506</v>
      </c>
      <c r="BY242" s="17">
        <f t="shared" si="378"/>
        <v>1.3540754806689951E-2</v>
      </c>
      <c r="BZ242" s="18">
        <f t="shared" si="379"/>
        <v>0.20523853516875509</v>
      </c>
      <c r="CA242" s="19">
        <f t="shared" si="419"/>
        <v>942.34738000875097</v>
      </c>
      <c r="CB242" s="15">
        <f t="shared" si="380"/>
        <v>5.384694760017503E-6</v>
      </c>
      <c r="CC242" s="16">
        <f t="shared" si="381"/>
        <v>26.725994870100635</v>
      </c>
      <c r="CD242" s="17">
        <f t="shared" si="382"/>
        <v>1.347624082223497E-2</v>
      </c>
      <c r="CE242" s="18">
        <f t="shared" si="383"/>
        <v>0.20637678884577407</v>
      </c>
      <c r="CF242" s="19">
        <f t="shared" si="420"/>
        <v>922.94534205258981</v>
      </c>
      <c r="CG242" s="15">
        <f t="shared" si="384"/>
        <v>5.3458906841051799E-6</v>
      </c>
      <c r="CH242" s="16">
        <f t="shared" si="385"/>
        <v>26.502871433604781</v>
      </c>
      <c r="CI242" s="17">
        <f t="shared" si="386"/>
        <v>1.3379126111896763E-2</v>
      </c>
      <c r="CJ242" s="18">
        <f t="shared" si="387"/>
        <v>0.20811424202912468</v>
      </c>
      <c r="CK242" s="19">
        <f t="shared" si="421"/>
        <v>891.31153415746621</v>
      </c>
      <c r="CL242" s="15">
        <f t="shared" si="388"/>
        <v>5.2826230683149331E-6</v>
      </c>
      <c r="CM242" s="16">
        <f t="shared" si="389"/>
        <v>26.139082642810862</v>
      </c>
      <c r="CN242" s="17">
        <f t="shared" si="390"/>
        <v>1.3220786658197585E-2</v>
      </c>
      <c r="CO242" s="18">
        <f t="shared" si="391"/>
        <v>0.21101065692972912</v>
      </c>
      <c r="CP242" s="19">
        <f t="shared" si="422"/>
        <v>839.34701595816205</v>
      </c>
      <c r="CQ242" s="15">
        <f t="shared" si="392"/>
        <v>5.1786940319163238E-6</v>
      </c>
      <c r="CR242" s="16">
        <f t="shared" si="393"/>
        <v>25.541490683518862</v>
      </c>
      <c r="CS242" s="17">
        <f t="shared" si="394"/>
        <v>1.2960684129577014E-2</v>
      </c>
      <c r="CT242" s="18">
        <f t="shared" si="395"/>
        <v>0.21594765428311757</v>
      </c>
      <c r="CU242" s="19">
        <f t="shared" si="423"/>
        <v>758.40910178314346</v>
      </c>
      <c r="CV242" s="15">
        <f t="shared" si="396"/>
        <v>5.0168182035662873E-6</v>
      </c>
      <c r="CW242" s="16">
        <f t="shared" si="397"/>
        <v>24.610704670506149</v>
      </c>
      <c r="CX242" s="17">
        <f t="shared" si="398"/>
        <v>1.2555558538737254E-2</v>
      </c>
      <c r="CY242" s="18">
        <f t="shared" si="399"/>
        <v>0.2241148749637393</v>
      </c>
      <c r="CZ242" s="20">
        <f t="shared" si="424"/>
        <v>643.03698553054562</v>
      </c>
      <c r="DA242" s="15">
        <f t="shared" si="400"/>
        <v>4.8960599586611433E-6</v>
      </c>
      <c r="DB242" s="16">
        <f t="shared" si="401"/>
        <v>34.846927419614175</v>
      </c>
      <c r="DC242" s="17">
        <f t="shared" si="402"/>
        <v>1.225333765860572E-2</v>
      </c>
      <c r="DD242" s="18">
        <f t="shared" si="403"/>
        <v>0.15828153035080614</v>
      </c>
    </row>
    <row r="243" spans="1:108" x14ac:dyDescent="0.25">
      <c r="B243">
        <v>224</v>
      </c>
      <c r="C243">
        <f t="shared" si="404"/>
        <v>0.21898568526133633</v>
      </c>
      <c r="D243" s="19">
        <f t="shared" si="321"/>
        <v>1016.3136239178128</v>
      </c>
      <c r="E243" s="15">
        <f t="shared" si="322"/>
        <v>5.5326272478356264E-6</v>
      </c>
      <c r="F243" s="16">
        <f t="shared" si="323"/>
        <v>27.576606675054848</v>
      </c>
      <c r="G243" s="17">
        <f t="shared" si="319"/>
        <v>1.384647050471801E-2</v>
      </c>
      <c r="H243" s="18">
        <f t="shared" si="324"/>
        <v>0.20001101168800819</v>
      </c>
      <c r="I243" s="19">
        <f t="shared" si="405"/>
        <v>1015.9889390527649</v>
      </c>
      <c r="J243" s="15">
        <f t="shared" si="325"/>
        <v>5.5319778781055303E-6</v>
      </c>
      <c r="K243" s="16">
        <f t="shared" si="326"/>
        <v>27.572872799106797</v>
      </c>
      <c r="L243" s="17">
        <f t="shared" si="327"/>
        <v>1.3844845331285632E-2</v>
      </c>
      <c r="M243" s="18">
        <f t="shared" si="328"/>
        <v>0.20003809687101862</v>
      </c>
      <c r="N243" s="19">
        <f t="shared" si="406"/>
        <v>1015.0826125108431</v>
      </c>
      <c r="O243" s="15">
        <f t="shared" si="329"/>
        <v>5.530165225021687E-6</v>
      </c>
      <c r="P243" s="16">
        <f t="shared" si="330"/>
        <v>27.562450043874694</v>
      </c>
      <c r="Q243" s="17">
        <f t="shared" si="320"/>
        <v>1.384647050471801E-2</v>
      </c>
      <c r="R243" s="18">
        <f t="shared" si="331"/>
        <v>0.20011374138438603</v>
      </c>
      <c r="S243" s="19">
        <f t="shared" si="407"/>
        <v>1013.5808837781764</v>
      </c>
      <c r="T243" s="15">
        <f t="shared" si="332"/>
        <v>5.5271617675563534E-6</v>
      </c>
      <c r="U243" s="16">
        <f t="shared" si="333"/>
        <v>27.545180163449025</v>
      </c>
      <c r="V243" s="17">
        <f t="shared" si="334"/>
        <v>1.3832792082498135E-2</v>
      </c>
      <c r="W243" s="18">
        <f t="shared" si="335"/>
        <v>0.20023920581644764</v>
      </c>
      <c r="X243" s="19">
        <f t="shared" si="408"/>
        <v>1011.4819813613692</v>
      </c>
      <c r="Y243" s="15">
        <f t="shared" si="336"/>
        <v>5.5229639627227392E-6</v>
      </c>
      <c r="Z243" s="16">
        <f t="shared" si="337"/>
        <v>27.521042785655744</v>
      </c>
      <c r="AA243" s="17">
        <f t="shared" si="338"/>
        <v>1.3822286263434338E-2</v>
      </c>
      <c r="AB243" s="18">
        <f t="shared" si="339"/>
        <v>0.20041482595546131</v>
      </c>
      <c r="AC243" s="19">
        <f t="shared" si="409"/>
        <v>1008.7844777020188</v>
      </c>
      <c r="AD243" s="15">
        <f t="shared" si="340"/>
        <v>5.5175689554040386E-6</v>
      </c>
      <c r="AE243" s="16">
        <f t="shared" si="341"/>
        <v>27.490021493573217</v>
      </c>
      <c r="AF243" s="17">
        <f t="shared" si="342"/>
        <v>1.3808784213438046E-2</v>
      </c>
      <c r="AG243" s="18">
        <f t="shared" si="343"/>
        <v>0.20064098535861372</v>
      </c>
      <c r="AH243" s="19">
        <f t="shared" si="410"/>
        <v>1005.4879910864965</v>
      </c>
      <c r="AI243" s="15">
        <f t="shared" si="344"/>
        <v>5.5109759821729935E-6</v>
      </c>
      <c r="AJ243" s="16">
        <f t="shared" si="345"/>
        <v>27.45211189749471</v>
      </c>
      <c r="AK243" s="17">
        <f t="shared" si="346"/>
        <v>1.3792284021884788E-2</v>
      </c>
      <c r="AL243" s="18">
        <f t="shared" si="347"/>
        <v>0.20091805761958001</v>
      </c>
      <c r="AM243" s="19">
        <f t="shared" si="411"/>
        <v>1001.592268566897</v>
      </c>
      <c r="AN243" s="15">
        <f t="shared" si="348"/>
        <v>5.5031845371337942E-6</v>
      </c>
      <c r="AO243" s="16">
        <f t="shared" si="349"/>
        <v>27.407311088519315</v>
      </c>
      <c r="AP243" s="17">
        <f t="shared" si="350"/>
        <v>1.3772784422672386E-2</v>
      </c>
      <c r="AQ243" s="18">
        <f t="shared" si="351"/>
        <v>0.2012464842751556</v>
      </c>
      <c r="AR243" s="19">
        <f t="shared" si="412"/>
        <v>997.09681802791317</v>
      </c>
      <c r="AS243" s="15">
        <f t="shared" si="352"/>
        <v>5.4941936360558271E-6</v>
      </c>
      <c r="AT243" s="16">
        <f t="shared" si="353"/>
        <v>27.355613407321002</v>
      </c>
      <c r="AU243" s="17">
        <f t="shared" si="354"/>
        <v>1.3750282952573238E-2</v>
      </c>
      <c r="AV243" s="18">
        <f t="shared" si="355"/>
        <v>0.20162680755401705</v>
      </c>
      <c r="AW243" s="19">
        <f t="shared" si="413"/>
        <v>991.99979843904191</v>
      </c>
      <c r="AX243" s="15">
        <f t="shared" si="356"/>
        <v>5.4839995968780845E-6</v>
      </c>
      <c r="AY243" s="16">
        <f t="shared" si="357"/>
        <v>27.296997682048982</v>
      </c>
      <c r="AZ243" s="17">
        <f t="shared" si="358"/>
        <v>1.3724770396517023E-2</v>
      </c>
      <c r="BA243" s="18">
        <f t="shared" si="359"/>
        <v>0.20205976731379433</v>
      </c>
      <c r="BB243" s="19">
        <f t="shared" si="414"/>
        <v>986.29408046481092</v>
      </c>
      <c r="BC243" s="15">
        <f t="shared" si="360"/>
        <v>5.4725881609296222E-6</v>
      </c>
      <c r="BD243" s="16">
        <f t="shared" si="361"/>
        <v>27.231381925345325</v>
      </c>
      <c r="BE243" s="17">
        <f t="shared" si="362"/>
        <v>1.3696211069419996E-2</v>
      </c>
      <c r="BF243" s="18">
        <f t="shared" si="363"/>
        <v>0.20254664324862595</v>
      </c>
      <c r="BG243" s="19">
        <f t="shared" si="415"/>
        <v>979.95397765325458</v>
      </c>
      <c r="BH243" s="15">
        <f t="shared" si="364"/>
        <v>5.4599079553065092E-6</v>
      </c>
      <c r="BI243" s="16">
        <f t="shared" si="365"/>
        <v>27.158470743012426</v>
      </c>
      <c r="BJ243" s="17">
        <f t="shared" si="366"/>
        <v>1.3664476400647059E-2</v>
      </c>
      <c r="BK243" s="18">
        <f t="shared" si="367"/>
        <v>0.2030904115401678</v>
      </c>
      <c r="BL243" s="19">
        <f t="shared" si="416"/>
        <v>972.89477999755377</v>
      </c>
      <c r="BM243" s="15">
        <f t="shared" si="368"/>
        <v>5.4457895599951082E-6</v>
      </c>
      <c r="BN243" s="16">
        <f t="shared" si="369"/>
        <v>27.077289969971865</v>
      </c>
      <c r="BO243" s="17">
        <f t="shared" si="370"/>
        <v>1.3629142383823543E-2</v>
      </c>
      <c r="BP243" s="18">
        <f t="shared" si="371"/>
        <v>0.20369929952800706</v>
      </c>
      <c r="BQ243" s="19">
        <f t="shared" si="417"/>
        <v>964.86330319494994</v>
      </c>
      <c r="BR243" s="15">
        <f t="shared" si="372"/>
        <v>5.4297266063899012E-6</v>
      </c>
      <c r="BS243" s="16">
        <f t="shared" si="373"/>
        <v>26.984927986741923</v>
      </c>
      <c r="BT243" s="17">
        <f t="shared" si="374"/>
        <v>1.3588941733508601E-2</v>
      </c>
      <c r="BU243" s="18">
        <f t="shared" si="375"/>
        <v>0.20439650617966831</v>
      </c>
      <c r="BV243" s="19">
        <f t="shared" si="418"/>
        <v>955.1814507895283</v>
      </c>
      <c r="BW243" s="15">
        <f t="shared" si="376"/>
        <v>5.410362901579057E-6</v>
      </c>
      <c r="BX243" s="16">
        <f t="shared" si="377"/>
        <v>26.873586684079577</v>
      </c>
      <c r="BY243" s="17">
        <f t="shared" si="378"/>
        <v>1.3540480314454878E-2</v>
      </c>
      <c r="BZ243" s="18">
        <f t="shared" si="379"/>
        <v>0.20524335157939899</v>
      </c>
      <c r="CA243" s="19">
        <f t="shared" si="419"/>
        <v>942.24461463157377</v>
      </c>
      <c r="CB243" s="15">
        <f t="shared" si="380"/>
        <v>5.3844892292631482E-6</v>
      </c>
      <c r="CC243" s="16">
        <f t="shared" si="381"/>
        <v>26.724813068263096</v>
      </c>
      <c r="CD243" s="17">
        <f t="shared" si="382"/>
        <v>1.3475726441742573E-2</v>
      </c>
      <c r="CE243" s="18">
        <f t="shared" si="383"/>
        <v>0.20638591506370721</v>
      </c>
      <c r="CF243" s="19">
        <f t="shared" si="420"/>
        <v>922.75901803269983</v>
      </c>
      <c r="CG243" s="15">
        <f t="shared" si="384"/>
        <v>5.3455180360653999E-6</v>
      </c>
      <c r="CH243" s="16">
        <f t="shared" si="385"/>
        <v>26.500728707376048</v>
      </c>
      <c r="CI243" s="17">
        <f t="shared" si="386"/>
        <v>1.3378193488052735E-2</v>
      </c>
      <c r="CJ243" s="18">
        <f t="shared" si="387"/>
        <v>0.20813106918319629</v>
      </c>
      <c r="CK243" s="19">
        <f t="shared" si="421"/>
        <v>891.00665202298001</v>
      </c>
      <c r="CL243" s="15">
        <f t="shared" si="388"/>
        <v>5.2820133040459604E-6</v>
      </c>
      <c r="CM243" s="16">
        <f t="shared" si="389"/>
        <v>26.135576498264271</v>
      </c>
      <c r="CN243" s="17">
        <f t="shared" si="390"/>
        <v>1.3219260605097141E-2</v>
      </c>
      <c r="CO243" s="18">
        <f t="shared" si="391"/>
        <v>0.21103896446922862</v>
      </c>
      <c r="CP243" s="19">
        <f t="shared" si="422"/>
        <v>838.91520708923861</v>
      </c>
      <c r="CQ243" s="15">
        <f t="shared" si="392"/>
        <v>5.1778304141784777E-6</v>
      </c>
      <c r="CR243" s="16">
        <f t="shared" si="393"/>
        <v>25.536524881526244</v>
      </c>
      <c r="CS243" s="17">
        <f t="shared" si="394"/>
        <v>1.2958522759038431E-2</v>
      </c>
      <c r="CT243" s="18">
        <f t="shared" si="395"/>
        <v>0.21598964720489983</v>
      </c>
      <c r="CU243" s="19">
        <f t="shared" si="423"/>
        <v>757.89594097085489</v>
      </c>
      <c r="CV243" s="15">
        <f t="shared" si="396"/>
        <v>5.01579188194171E-6</v>
      </c>
      <c r="CW243" s="16">
        <f t="shared" si="397"/>
        <v>24.60480332116483</v>
      </c>
      <c r="CX243" s="17">
        <f t="shared" si="398"/>
        <v>1.2552989970231463E-2</v>
      </c>
      <c r="CY243" s="18">
        <f t="shared" si="399"/>
        <v>0.22416862788964093</v>
      </c>
      <c r="CZ243" s="20">
        <f t="shared" si="424"/>
        <v>642.54217744075277</v>
      </c>
      <c r="DA243" s="15">
        <f t="shared" si="400"/>
        <v>4.9049667952520528E-6</v>
      </c>
      <c r="DB243" s="16">
        <f t="shared" si="401"/>
        <v>34.861276854218161</v>
      </c>
      <c r="DC243" s="17">
        <f t="shared" si="402"/>
        <v>1.2275628741055675E-2</v>
      </c>
      <c r="DD243" s="18">
        <f t="shared" si="403"/>
        <v>0.15821637925268989</v>
      </c>
    </row>
    <row r="244" spans="1:108" x14ac:dyDescent="0.25">
      <c r="B244">
        <v>225</v>
      </c>
      <c r="C244">
        <f t="shared" si="404"/>
        <v>0.21996329992768157</v>
      </c>
      <c r="D244" s="19">
        <f t="shared" si="321"/>
        <v>1016.2970471488026</v>
      </c>
      <c r="E244" s="15">
        <f t="shared" si="322"/>
        <v>5.5325940942976052E-6</v>
      </c>
      <c r="F244" s="16">
        <f t="shared" si="323"/>
        <v>27.576416042211228</v>
      </c>
      <c r="G244" s="17">
        <f t="shared" si="319"/>
        <v>1.3846387531572382E-2</v>
      </c>
      <c r="H244" s="18">
        <f t="shared" si="324"/>
        <v>0.20001239434294982</v>
      </c>
      <c r="I244" s="19">
        <f t="shared" si="405"/>
        <v>1015.972362886204</v>
      </c>
      <c r="J244" s="15">
        <f t="shared" si="325"/>
        <v>5.5319447257724083E-6</v>
      </c>
      <c r="K244" s="16">
        <f t="shared" si="326"/>
        <v>27.572682173191346</v>
      </c>
      <c r="L244" s="17">
        <f t="shared" si="327"/>
        <v>1.3844762361155498E-2</v>
      </c>
      <c r="M244" s="18">
        <f t="shared" si="328"/>
        <v>0.20003947985019713</v>
      </c>
      <c r="N244" s="19">
        <f t="shared" si="406"/>
        <v>1015.0660345707456</v>
      </c>
      <c r="O244" s="15">
        <f t="shared" si="329"/>
        <v>5.5301320691414909E-6</v>
      </c>
      <c r="P244" s="16">
        <f t="shared" si="330"/>
        <v>27.562259397563572</v>
      </c>
      <c r="Q244" s="17">
        <f t="shared" si="320"/>
        <v>1.3846387531572382E-2</v>
      </c>
      <c r="R244" s="18">
        <f t="shared" si="331"/>
        <v>0.20011512555779684</v>
      </c>
      <c r="S244" s="19">
        <f t="shared" si="407"/>
        <v>1013.5643057908798</v>
      </c>
      <c r="T244" s="15">
        <f t="shared" si="332"/>
        <v>5.5271286115817606E-6</v>
      </c>
      <c r="U244" s="16">
        <f t="shared" si="333"/>
        <v>27.544989516595116</v>
      </c>
      <c r="V244" s="17">
        <f t="shared" si="334"/>
        <v>1.3832709103254516E-2</v>
      </c>
      <c r="W244" s="18">
        <f t="shared" si="335"/>
        <v>0.2002405917300126</v>
      </c>
      <c r="X244" s="19">
        <f t="shared" si="408"/>
        <v>1011.4654076732631</v>
      </c>
      <c r="Y244" s="15">
        <f t="shared" si="336"/>
        <v>5.5229308153465277E-6</v>
      </c>
      <c r="Z244" s="16">
        <f t="shared" si="337"/>
        <v>27.520852188242525</v>
      </c>
      <c r="AA244" s="17">
        <f t="shared" si="338"/>
        <v>1.3822203305709831E-2</v>
      </c>
      <c r="AB244" s="18">
        <f t="shared" si="339"/>
        <v>0.20041621394109257</v>
      </c>
      <c r="AC244" s="19">
        <f t="shared" si="409"/>
        <v>1008.7679134226028</v>
      </c>
      <c r="AD244" s="15">
        <f t="shared" si="340"/>
        <v>5.5175358268452062E-6</v>
      </c>
      <c r="AE244" s="16">
        <f t="shared" si="341"/>
        <v>27.489831004359932</v>
      </c>
      <c r="AF244" s="17">
        <f t="shared" si="342"/>
        <v>1.3808701302807673E-2</v>
      </c>
      <c r="AG244" s="18">
        <f t="shared" si="343"/>
        <v>0.20064237568885793</v>
      </c>
      <c r="AH244" s="19">
        <f t="shared" si="410"/>
        <v>1005.4714401612493</v>
      </c>
      <c r="AI244" s="15">
        <f t="shared" si="344"/>
        <v>5.5109428803224991E-6</v>
      </c>
      <c r="AJ244" s="16">
        <f t="shared" si="345"/>
        <v>27.451921561854366</v>
      </c>
      <c r="AK244" s="17">
        <f t="shared" si="346"/>
        <v>1.3792201178097199E-2</v>
      </c>
      <c r="AL244" s="18">
        <f t="shared" si="347"/>
        <v>0.20091945066840786</v>
      </c>
      <c r="AM244" s="19">
        <f t="shared" si="411"/>
        <v>1001.5757303726198</v>
      </c>
      <c r="AN244" s="15">
        <f t="shared" si="348"/>
        <v>5.5031514607452397E-6</v>
      </c>
      <c r="AO244" s="16">
        <f t="shared" si="349"/>
        <v>27.407120899285125</v>
      </c>
      <c r="AP244" s="17">
        <f t="shared" si="350"/>
        <v>1.3772701642608231E-2</v>
      </c>
      <c r="AQ244" s="18">
        <f t="shared" si="351"/>
        <v>0.20124788080691347</v>
      </c>
      <c r="AR244" s="19">
        <f t="shared" si="412"/>
        <v>997.08027565755378</v>
      </c>
      <c r="AS244" s="15">
        <f t="shared" si="352"/>
        <v>5.4941605513151085E-6</v>
      </c>
      <c r="AT244" s="16">
        <f t="shared" si="353"/>
        <v>27.355423170061869</v>
      </c>
      <c r="AU244" s="17">
        <f t="shared" si="354"/>
        <v>1.3750200151606176E-2</v>
      </c>
      <c r="AV244" s="18">
        <f t="shared" si="355"/>
        <v>0.20162820972319564</v>
      </c>
      <c r="AW244" s="19">
        <f t="shared" si="413"/>
        <v>991.98317650309582</v>
      </c>
      <c r="AX244" s="15">
        <f t="shared" si="356"/>
        <v>5.4839663530061924E-6</v>
      </c>
      <c r="AY244" s="16">
        <f t="shared" si="357"/>
        <v>27.296806529785599</v>
      </c>
      <c r="AZ244" s="17">
        <f t="shared" si="358"/>
        <v>1.37246871972934E-2</v>
      </c>
      <c r="BA244" s="18">
        <f t="shared" si="359"/>
        <v>0.20206118228450962</v>
      </c>
      <c r="BB244" s="19">
        <f t="shared" si="414"/>
        <v>986.27710747523997</v>
      </c>
      <c r="BC244" s="15">
        <f t="shared" si="360"/>
        <v>5.4725542149504803E-6</v>
      </c>
      <c r="BD244" s="16">
        <f t="shared" si="361"/>
        <v>27.23118673596526</v>
      </c>
      <c r="BE244" s="17">
        <f t="shared" si="362"/>
        <v>1.369612611303709E-2</v>
      </c>
      <c r="BF244" s="18">
        <f t="shared" si="363"/>
        <v>0.20254809507494967</v>
      </c>
      <c r="BG244" s="19">
        <f t="shared" si="415"/>
        <v>979.93578708917164</v>
      </c>
      <c r="BH244" s="15">
        <f t="shared" si="364"/>
        <v>5.4598715741783441E-6</v>
      </c>
      <c r="BI244" s="16">
        <f t="shared" si="365"/>
        <v>27.158261551525474</v>
      </c>
      <c r="BJ244" s="17">
        <f t="shared" si="366"/>
        <v>1.3664385349832409E-2</v>
      </c>
      <c r="BK244" s="18">
        <f t="shared" si="367"/>
        <v>0.20309197588128347</v>
      </c>
      <c r="BL244" s="19">
        <f t="shared" si="416"/>
        <v>972.87290253433173</v>
      </c>
      <c r="BM244" s="15">
        <f t="shared" si="368"/>
        <v>5.4457458050686633E-6</v>
      </c>
      <c r="BN244" s="16">
        <f t="shared" si="369"/>
        <v>27.077038379144813</v>
      </c>
      <c r="BO244" s="17">
        <f t="shared" si="370"/>
        <v>1.3629032878651529E-2</v>
      </c>
      <c r="BP244" s="18">
        <f t="shared" si="371"/>
        <v>0.20370119223408961</v>
      </c>
      <c r="BQ244" s="19">
        <f t="shared" si="417"/>
        <v>964.8315249582829</v>
      </c>
      <c r="BR244" s="15">
        <f t="shared" si="372"/>
        <v>5.4296630499165667E-6</v>
      </c>
      <c r="BS244" s="16">
        <f t="shared" si="373"/>
        <v>26.984562537020253</v>
      </c>
      <c r="BT244" s="17">
        <f t="shared" si="374"/>
        <v>1.3588782671132992E-2</v>
      </c>
      <c r="BU244" s="18">
        <f t="shared" si="375"/>
        <v>0.20439927430482102</v>
      </c>
      <c r="BV244" s="19">
        <f t="shared" si="418"/>
        <v>955.12624236403155</v>
      </c>
      <c r="BW244" s="15">
        <f t="shared" si="376"/>
        <v>5.4102524847280635E-6</v>
      </c>
      <c r="BX244" s="16">
        <f t="shared" si="377"/>
        <v>26.872951787186363</v>
      </c>
      <c r="BY244" s="17">
        <f t="shared" si="378"/>
        <v>1.3540203974914542E-2</v>
      </c>
      <c r="BZ244" s="18">
        <f t="shared" si="379"/>
        <v>0.20524820063235391</v>
      </c>
      <c r="CA244" s="19">
        <f t="shared" si="419"/>
        <v>942.14130953432448</v>
      </c>
      <c r="CB244" s="15">
        <f t="shared" si="380"/>
        <v>5.3842826190686495E-6</v>
      </c>
      <c r="CC244" s="16">
        <f t="shared" si="381"/>
        <v>26.723625059644732</v>
      </c>
      <c r="CD244" s="17">
        <f t="shared" si="382"/>
        <v>1.3475209359742295E-2</v>
      </c>
      <c r="CE244" s="18">
        <f t="shared" si="383"/>
        <v>0.20639509002575887</v>
      </c>
      <c r="CF244" s="19">
        <f t="shared" si="420"/>
        <v>922.57214442567988</v>
      </c>
      <c r="CG244" s="15">
        <f t="shared" si="384"/>
        <v>5.34514428885136E-6</v>
      </c>
      <c r="CH244" s="16">
        <f t="shared" si="385"/>
        <v>26.498579660895317</v>
      </c>
      <c r="CI244" s="17">
        <f t="shared" si="386"/>
        <v>1.337725811331238E-2</v>
      </c>
      <c r="CJ244" s="18">
        <f t="shared" si="387"/>
        <v>0.20814794870456998</v>
      </c>
      <c r="CK244" s="19">
        <f t="shared" si="421"/>
        <v>890.70158267030297</v>
      </c>
      <c r="CL244" s="15">
        <f t="shared" si="388"/>
        <v>5.2814031653406067E-6</v>
      </c>
      <c r="CM244" s="16">
        <f t="shared" si="389"/>
        <v>26.132068200708481</v>
      </c>
      <c r="CN244" s="17">
        <f t="shared" si="390"/>
        <v>1.3217733614897182E-2</v>
      </c>
      <c r="CO244" s="18">
        <f t="shared" si="391"/>
        <v>0.21106729699452043</v>
      </c>
      <c r="CP244" s="19">
        <f t="shared" si="422"/>
        <v>838.48397402365015</v>
      </c>
      <c r="CQ244" s="15">
        <f t="shared" si="392"/>
        <v>5.1769679480473008E-6</v>
      </c>
      <c r="CR244" s="16">
        <f t="shared" si="393"/>
        <v>25.531565701271976</v>
      </c>
      <c r="CS244" s="17">
        <f t="shared" si="394"/>
        <v>1.2956364270618427E-2</v>
      </c>
      <c r="CT244" s="18">
        <f t="shared" si="395"/>
        <v>0.21603160043276207</v>
      </c>
      <c r="CU244" s="19">
        <f t="shared" si="423"/>
        <v>757.38413596520718</v>
      </c>
      <c r="CV244" s="15">
        <f t="shared" si="396"/>
        <v>5.0147682719304153E-6</v>
      </c>
      <c r="CW244" s="16">
        <f t="shared" si="397"/>
        <v>24.598917563599883</v>
      </c>
      <c r="CX244" s="17">
        <f t="shared" si="398"/>
        <v>1.2550428188062736E-2</v>
      </c>
      <c r="CY244" s="18">
        <f t="shared" si="399"/>
        <v>0.2242222644853982</v>
      </c>
      <c r="CZ244" s="20">
        <f t="shared" si="424"/>
        <v>642.0489136275711</v>
      </c>
      <c r="DA244" s="15">
        <f t="shared" si="400"/>
        <v>4.9138374462004596E-6</v>
      </c>
      <c r="DB244" s="16">
        <f t="shared" si="401"/>
        <v>34.875581504800437</v>
      </c>
      <c r="DC244" s="17">
        <f t="shared" si="402"/>
        <v>1.2297829261931684E-2</v>
      </c>
      <c r="DD244" s="18">
        <f t="shared" si="403"/>
        <v>0.15815148485024699</v>
      </c>
    </row>
    <row r="245" spans="1:108" x14ac:dyDescent="0.25">
      <c r="B245">
        <v>226</v>
      </c>
      <c r="C245">
        <f t="shared" si="404"/>
        <v>0.22094091459402682</v>
      </c>
      <c r="D245" s="19">
        <f t="shared" si="321"/>
        <v>1016.2804704105504</v>
      </c>
      <c r="E245" s="15">
        <f t="shared" si="322"/>
        <v>5.5325609408211014E-6</v>
      </c>
      <c r="F245" s="16">
        <f t="shared" si="323"/>
        <v>27.576225409721328</v>
      </c>
      <c r="G245" s="17">
        <f t="shared" si="319"/>
        <v>1.3846304558580713E-2</v>
      </c>
      <c r="H245" s="18">
        <f t="shared" si="324"/>
        <v>0.20001377701444231</v>
      </c>
      <c r="I245" s="19">
        <f t="shared" si="405"/>
        <v>1015.9557867779678</v>
      </c>
      <c r="J245" s="15">
        <f t="shared" si="325"/>
        <v>5.5319115735559364E-6</v>
      </c>
      <c r="K245" s="16">
        <f t="shared" si="326"/>
        <v>27.572491547946626</v>
      </c>
      <c r="L245" s="17">
        <f t="shared" si="327"/>
        <v>1.3844679391317304E-2</v>
      </c>
      <c r="M245" s="18">
        <f t="shared" si="328"/>
        <v>0.20004086284363223</v>
      </c>
      <c r="N245" s="19">
        <f t="shared" si="406"/>
        <v>1015.0494567475963</v>
      </c>
      <c r="O245" s="15">
        <f t="shared" si="329"/>
        <v>5.5300989134951936E-6</v>
      </c>
      <c r="P245" s="16">
        <f t="shared" si="330"/>
        <v>27.562068752597355</v>
      </c>
      <c r="Q245" s="17">
        <f t="shared" si="320"/>
        <v>1.3846304558580713E-2</v>
      </c>
      <c r="R245" s="18">
        <f t="shared" si="331"/>
        <v>0.20011650974059145</v>
      </c>
      <c r="S245" s="19">
        <f t="shared" si="407"/>
        <v>1013.5477279729188</v>
      </c>
      <c r="T245" s="15">
        <f t="shared" si="332"/>
        <v>5.5270954559458378E-6</v>
      </c>
      <c r="U245" s="16">
        <f t="shared" si="333"/>
        <v>27.544798871688563</v>
      </c>
      <c r="V245" s="17">
        <f t="shared" si="334"/>
        <v>1.3832626124858484E-2</v>
      </c>
      <c r="W245" s="18">
        <f t="shared" si="335"/>
        <v>0.20024197764860568</v>
      </c>
      <c r="X245" s="19">
        <f t="shared" si="408"/>
        <v>1011.4488341789577</v>
      </c>
      <c r="Y245" s="15">
        <f t="shared" si="336"/>
        <v>5.522897668357916E-6</v>
      </c>
      <c r="Z245" s="16">
        <f t="shared" si="337"/>
        <v>27.520661593058012</v>
      </c>
      <c r="AA245" s="17">
        <f t="shared" si="338"/>
        <v>1.3822120348955368E-2</v>
      </c>
      <c r="AB245" s="18">
        <f t="shared" si="339"/>
        <v>0.20041760192971875</v>
      </c>
      <c r="AC245" s="19">
        <f t="shared" si="409"/>
        <v>1008.7513493285986</v>
      </c>
      <c r="AD245" s="15">
        <f t="shared" si="340"/>
        <v>5.517502698657198E-6</v>
      </c>
      <c r="AE245" s="16">
        <f t="shared" si="341"/>
        <v>27.489640517278882</v>
      </c>
      <c r="AF245" s="17">
        <f t="shared" si="342"/>
        <v>1.3808618393105359E-2</v>
      </c>
      <c r="AG245" s="18">
        <f t="shared" si="343"/>
        <v>0.20064376602280776</v>
      </c>
      <c r="AH245" s="19">
        <f t="shared" si="410"/>
        <v>1005.4548893567878</v>
      </c>
      <c r="AI245" s="15">
        <f t="shared" si="344"/>
        <v>5.5109097787135759E-6</v>
      </c>
      <c r="AJ245" s="16">
        <f t="shared" si="345"/>
        <v>27.451731227603059</v>
      </c>
      <c r="AK245" s="17">
        <f t="shared" si="346"/>
        <v>1.3792118334914191E-2</v>
      </c>
      <c r="AL245" s="18">
        <f t="shared" si="347"/>
        <v>0.20092084372638655</v>
      </c>
      <c r="AM245" s="19">
        <f t="shared" si="411"/>
        <v>1001.5591920529234</v>
      </c>
      <c r="AN245" s="15">
        <f t="shared" si="348"/>
        <v>5.5031183841058474E-6</v>
      </c>
      <c r="AO245" s="16">
        <f t="shared" si="349"/>
        <v>27.40693070860862</v>
      </c>
      <c r="AP245" s="17">
        <f t="shared" si="350"/>
        <v>1.3772618861916308E-2</v>
      </c>
      <c r="AQ245" s="18">
        <f t="shared" si="351"/>
        <v>0.20124927736864462</v>
      </c>
      <c r="AR245" s="19">
        <f t="shared" si="412"/>
        <v>997.06373227622726</v>
      </c>
      <c r="AS245" s="15">
        <f t="shared" si="352"/>
        <v>5.4941274645524545E-6</v>
      </c>
      <c r="AT245" s="16">
        <f t="shared" si="353"/>
        <v>27.355232921176615</v>
      </c>
      <c r="AU245" s="17">
        <f t="shared" si="354"/>
        <v>1.3750117345578829E-2</v>
      </c>
      <c r="AV245" s="18">
        <f t="shared" si="355"/>
        <v>0.20162961199757021</v>
      </c>
      <c r="AW245" s="19">
        <f t="shared" si="413"/>
        <v>991.96655060530941</v>
      </c>
      <c r="AX245" s="15">
        <f t="shared" si="356"/>
        <v>5.4839331012106196E-6</v>
      </c>
      <c r="AY245" s="16">
        <f t="shared" si="357"/>
        <v>27.296615331961057</v>
      </c>
      <c r="AZ245" s="17">
        <f t="shared" si="358"/>
        <v>1.3724603978239231E-2</v>
      </c>
      <c r="BA245" s="18">
        <f t="shared" si="359"/>
        <v>0.20206259761230785</v>
      </c>
      <c r="BB245" s="19">
        <f t="shared" si="414"/>
        <v>986.26012161948802</v>
      </c>
      <c r="BC245" s="15">
        <f t="shared" si="360"/>
        <v>5.4725202432389763E-6</v>
      </c>
      <c r="BD245" s="16">
        <f t="shared" si="361"/>
        <v>27.230991398624113</v>
      </c>
      <c r="BE245" s="17">
        <f t="shared" si="362"/>
        <v>1.3696041092253966E-2</v>
      </c>
      <c r="BF245" s="18">
        <f t="shared" si="363"/>
        <v>0.2025495480226506</v>
      </c>
      <c r="BG245" s="19">
        <f t="shared" si="415"/>
        <v>979.91755976477089</v>
      </c>
      <c r="BH245" s="15">
        <f t="shared" si="364"/>
        <v>5.459835119529542E-6</v>
      </c>
      <c r="BI245" s="16">
        <f t="shared" si="365"/>
        <v>27.158051937294864</v>
      </c>
      <c r="BJ245" s="17">
        <f t="shared" si="366"/>
        <v>1.3664294115018136E-2</v>
      </c>
      <c r="BK245" s="18">
        <f t="shared" si="367"/>
        <v>0.20309354340786329</v>
      </c>
      <c r="BL245" s="19">
        <f t="shared" si="416"/>
        <v>972.85093257289429</v>
      </c>
      <c r="BM245" s="15">
        <f t="shared" si="368"/>
        <v>5.4457018651457893E-6</v>
      </c>
      <c r="BN245" s="16">
        <f t="shared" si="369"/>
        <v>27.076785724588284</v>
      </c>
      <c r="BO245" s="17">
        <f t="shared" si="370"/>
        <v>1.3628922910490148E-2</v>
      </c>
      <c r="BP245" s="18">
        <f t="shared" si="371"/>
        <v>0.20370309297795605</v>
      </c>
      <c r="BQ245" s="19">
        <f t="shared" si="417"/>
        <v>964.7995451149294</v>
      </c>
      <c r="BR245" s="15">
        <f t="shared" si="372"/>
        <v>5.4295990902298589E-6</v>
      </c>
      <c r="BS245" s="16">
        <f t="shared" si="373"/>
        <v>26.984194768821688</v>
      </c>
      <c r="BT245" s="17">
        <f t="shared" si="374"/>
        <v>1.3588622599637872E-2</v>
      </c>
      <c r="BU245" s="18">
        <f t="shared" si="375"/>
        <v>0.20440206006713646</v>
      </c>
      <c r="BV245" s="19">
        <f t="shared" si="418"/>
        <v>955.07066469279096</v>
      </c>
      <c r="BW245" s="15">
        <f t="shared" si="376"/>
        <v>5.4101413293855825E-6</v>
      </c>
      <c r="BX245" s="16">
        <f t="shared" si="377"/>
        <v>26.872312643967096</v>
      </c>
      <c r="BY245" s="17">
        <f t="shared" si="378"/>
        <v>1.3539925787156329E-2</v>
      </c>
      <c r="BZ245" s="18">
        <f t="shared" si="379"/>
        <v>0.20525308234824635</v>
      </c>
      <c r="CA245" s="19">
        <f t="shared" si="419"/>
        <v>942.03746684889711</v>
      </c>
      <c r="CB245" s="15">
        <f t="shared" si="380"/>
        <v>5.3840749336977945E-6</v>
      </c>
      <c r="CC245" s="16">
        <f t="shared" si="381"/>
        <v>26.722430868762316</v>
      </c>
      <c r="CD245" s="17">
        <f t="shared" si="382"/>
        <v>1.347468958690509E-2</v>
      </c>
      <c r="CE245" s="18">
        <f t="shared" si="383"/>
        <v>0.20640431355545549</v>
      </c>
      <c r="CF245" s="19">
        <f t="shared" si="420"/>
        <v>922.38472647588208</v>
      </c>
      <c r="CG245" s="15">
        <f t="shared" si="384"/>
        <v>5.3447694529517641E-6</v>
      </c>
      <c r="CH245" s="16">
        <f t="shared" si="385"/>
        <v>26.496424354472644</v>
      </c>
      <c r="CI245" s="17">
        <f t="shared" si="386"/>
        <v>1.3376320013925712E-2</v>
      </c>
      <c r="CJ245" s="18">
        <f t="shared" si="387"/>
        <v>0.20816488014425058</v>
      </c>
      <c r="CK245" s="19">
        <f t="shared" si="421"/>
        <v>890.39633199278569</v>
      </c>
      <c r="CL245" s="15">
        <f t="shared" si="388"/>
        <v>5.2807926639855716E-6</v>
      </c>
      <c r="CM245" s="16">
        <f t="shared" si="389"/>
        <v>26.128557817917034</v>
      </c>
      <c r="CN245" s="17">
        <f t="shared" si="390"/>
        <v>1.3216205717096209E-2</v>
      </c>
      <c r="CO245" s="18">
        <f t="shared" si="391"/>
        <v>0.21109565397512264</v>
      </c>
      <c r="CP245" s="19">
        <f t="shared" si="422"/>
        <v>838.05331746036074</v>
      </c>
      <c r="CQ245" s="15">
        <f t="shared" si="392"/>
        <v>5.1761066349207219E-6</v>
      </c>
      <c r="CR245" s="16">
        <f t="shared" si="393"/>
        <v>25.526613150794148</v>
      </c>
      <c r="CS245" s="17">
        <f t="shared" si="394"/>
        <v>1.2954208667815588E-2</v>
      </c>
      <c r="CT245" s="18">
        <f t="shared" si="395"/>
        <v>0.21607351384288148</v>
      </c>
      <c r="CU245" s="19">
        <f t="shared" si="423"/>
        <v>756.87367889653569</v>
      </c>
      <c r="CV245" s="15">
        <f t="shared" si="396"/>
        <v>5.0137473577930716E-6</v>
      </c>
      <c r="CW245" s="16">
        <f t="shared" si="397"/>
        <v>24.593047307310158</v>
      </c>
      <c r="CX245" s="17">
        <f t="shared" si="398"/>
        <v>1.2547873152840346E-2</v>
      </c>
      <c r="CY245" s="18">
        <f t="shared" si="399"/>
        <v>0.22427578539079654</v>
      </c>
      <c r="CZ245" s="20">
        <f t="shared" si="424"/>
        <v>641.55718307861696</v>
      </c>
      <c r="DA245" s="15">
        <f t="shared" si="400"/>
        <v>4.9226722144986497E-6</v>
      </c>
      <c r="DB245" s="16">
        <f t="shared" si="401"/>
        <v>34.889841690720104</v>
      </c>
      <c r="DC245" s="17">
        <f t="shared" si="402"/>
        <v>1.2319939979530591E-2</v>
      </c>
      <c r="DD245" s="18">
        <f t="shared" si="403"/>
        <v>0.15808684513082871</v>
      </c>
    </row>
    <row r="246" spans="1:108" x14ac:dyDescent="0.25">
      <c r="B246">
        <v>227</v>
      </c>
      <c r="C246">
        <f t="shared" si="404"/>
        <v>0.22191852926037209</v>
      </c>
      <c r="D246" s="19">
        <f t="shared" si="321"/>
        <v>1016.2638937044636</v>
      </c>
      <c r="E246" s="15">
        <f t="shared" si="322"/>
        <v>5.5325277874089281E-6</v>
      </c>
      <c r="F246" s="16">
        <f t="shared" si="323"/>
        <v>27.576034777601329</v>
      </c>
      <c r="G246" s="17">
        <f t="shared" si="319"/>
        <v>1.3846221585750045E-2</v>
      </c>
      <c r="H246" s="18">
        <f t="shared" si="324"/>
        <v>0.20001515970236858</v>
      </c>
      <c r="I246" s="19">
        <f t="shared" si="405"/>
        <v>1015.9392107290832</v>
      </c>
      <c r="J246" s="15">
        <f t="shared" si="325"/>
        <v>5.5318784214581668E-6</v>
      </c>
      <c r="K246" s="16">
        <f t="shared" si="326"/>
        <v>27.572300923384457</v>
      </c>
      <c r="L246" s="17">
        <f t="shared" si="327"/>
        <v>1.3844596421776184E-2</v>
      </c>
      <c r="M246" s="18">
        <f t="shared" si="328"/>
        <v>0.20004224585123836</v>
      </c>
      <c r="N246" s="19">
        <f t="shared" si="406"/>
        <v>1015.0328790416924</v>
      </c>
      <c r="O246" s="15">
        <f t="shared" si="329"/>
        <v>5.5300657580833856E-6</v>
      </c>
      <c r="P246" s="16">
        <f t="shared" si="330"/>
        <v>27.561878108979464</v>
      </c>
      <c r="Q246" s="17">
        <f t="shared" si="320"/>
        <v>1.3846221585750045E-2</v>
      </c>
      <c r="R246" s="18">
        <f t="shared" si="331"/>
        <v>0.20011789393274504</v>
      </c>
      <c r="S246" s="19">
        <f t="shared" si="407"/>
        <v>1013.5311503240832</v>
      </c>
      <c r="T246" s="15">
        <f t="shared" si="332"/>
        <v>5.5270623006481666E-6</v>
      </c>
      <c r="U246" s="16">
        <f t="shared" si="333"/>
        <v>27.544608228726958</v>
      </c>
      <c r="V246" s="17">
        <f t="shared" si="334"/>
        <v>1.3832543147308992E-2</v>
      </c>
      <c r="W246" s="18">
        <f t="shared" si="335"/>
        <v>0.20024336357224415</v>
      </c>
      <c r="X246" s="19">
        <f t="shared" si="408"/>
        <v>1011.432260878024</v>
      </c>
      <c r="Y246" s="15">
        <f t="shared" si="336"/>
        <v>5.5228645217560485E-6</v>
      </c>
      <c r="Z246" s="16">
        <f t="shared" si="337"/>
        <v>27.520471000097274</v>
      </c>
      <c r="AA246" s="17">
        <f t="shared" si="338"/>
        <v>1.3822037393168809E-2</v>
      </c>
      <c r="AB246" s="18">
        <f t="shared" si="339"/>
        <v>0.20041898992137541</v>
      </c>
      <c r="AC246" s="19">
        <f t="shared" si="409"/>
        <v>1008.7347854191258</v>
      </c>
      <c r="AD246" s="15">
        <f t="shared" si="340"/>
        <v>5.5174695708382522E-6</v>
      </c>
      <c r="AE246" s="16">
        <f t="shared" si="341"/>
        <v>27.489450032319944</v>
      </c>
      <c r="AF246" s="17">
        <f t="shared" si="342"/>
        <v>1.3808535484326695E-2</v>
      </c>
      <c r="AG246" s="18">
        <f t="shared" si="343"/>
        <v>0.20064515636053684</v>
      </c>
      <c r="AH246" s="19">
        <f t="shared" si="410"/>
        <v>1005.4383386702455</v>
      </c>
      <c r="AI246" s="15">
        <f t="shared" si="344"/>
        <v>5.5108766773404912E-6</v>
      </c>
      <c r="AJ246" s="16">
        <f t="shared" si="345"/>
        <v>27.451540894707822</v>
      </c>
      <c r="AK246" s="17">
        <f t="shared" si="346"/>
        <v>1.3792035492321412E-2</v>
      </c>
      <c r="AL246" s="18">
        <f t="shared" si="347"/>
        <v>0.2009222367937574</v>
      </c>
      <c r="AM246" s="19">
        <f t="shared" si="411"/>
        <v>1001.5426535978771</v>
      </c>
      <c r="AN246" s="15">
        <f t="shared" si="348"/>
        <v>5.5030853071957544E-6</v>
      </c>
      <c r="AO246" s="16">
        <f t="shared" si="349"/>
        <v>27.406740516375585</v>
      </c>
      <c r="AP246" s="17">
        <f t="shared" si="350"/>
        <v>1.3772536080546901E-2</v>
      </c>
      <c r="AQ246" s="18">
        <f t="shared" si="351"/>
        <v>0.20125067396118859</v>
      </c>
      <c r="AR246" s="19">
        <f t="shared" si="412"/>
        <v>997.04718785220086</v>
      </c>
      <c r="AS246" s="15">
        <f t="shared" si="352"/>
        <v>5.494094375704402E-6</v>
      </c>
      <c r="AT246" s="16">
        <f t="shared" si="353"/>
        <v>27.35504266030031</v>
      </c>
      <c r="AU246" s="17">
        <f t="shared" si="354"/>
        <v>1.3750034534332368E-2</v>
      </c>
      <c r="AV246" s="18">
        <f t="shared" si="355"/>
        <v>0.20163101437983458</v>
      </c>
      <c r="AW246" s="19">
        <f t="shared" si="413"/>
        <v>991.94992065482143</v>
      </c>
      <c r="AX246" s="15">
        <f t="shared" si="356"/>
        <v>5.4838998413096429E-6</v>
      </c>
      <c r="AY246" s="16">
        <f t="shared" si="357"/>
        <v>27.296424087530447</v>
      </c>
      <c r="AZ246" s="17">
        <f t="shared" si="358"/>
        <v>1.3724520738899723E-2</v>
      </c>
      <c r="BA246" s="18">
        <f t="shared" si="359"/>
        <v>0.20206401330493864</v>
      </c>
      <c r="BB246" s="19">
        <f t="shared" si="414"/>
        <v>986.24312266950244</v>
      </c>
      <c r="BC246" s="15">
        <f t="shared" si="360"/>
        <v>5.4724862453390051E-6</v>
      </c>
      <c r="BD246" s="16">
        <f t="shared" si="361"/>
        <v>27.230795910699278</v>
      </c>
      <c r="BE246" s="17">
        <f t="shared" si="362"/>
        <v>1.3695956005929138E-2</v>
      </c>
      <c r="BF246" s="18">
        <f t="shared" si="363"/>
        <v>0.20255100211128424</v>
      </c>
      <c r="BG246" s="19">
        <f t="shared" si="415"/>
        <v>979.89929519489237</v>
      </c>
      <c r="BH246" s="15">
        <f t="shared" si="364"/>
        <v>5.4597985903897851E-6</v>
      </c>
      <c r="BI246" s="16">
        <f t="shared" si="365"/>
        <v>27.15784189474126</v>
      </c>
      <c r="BJ246" s="17">
        <f t="shared" si="366"/>
        <v>1.366420269377583E-2</v>
      </c>
      <c r="BK246" s="18">
        <f t="shared" si="367"/>
        <v>0.20309511416177825</v>
      </c>
      <c r="BL246" s="19">
        <f t="shared" si="416"/>
        <v>972.82886929165943</v>
      </c>
      <c r="BM246" s="15">
        <f t="shared" si="368"/>
        <v>5.4456577385833194E-6</v>
      </c>
      <c r="BN246" s="16">
        <f t="shared" si="369"/>
        <v>27.076531996854083</v>
      </c>
      <c r="BO246" s="17">
        <f t="shared" si="370"/>
        <v>1.3628812475227054E-2</v>
      </c>
      <c r="BP246" s="18">
        <f t="shared" si="371"/>
        <v>0.20370500183113699</v>
      </c>
      <c r="BQ246" s="19">
        <f t="shared" si="417"/>
        <v>964.76736272648077</v>
      </c>
      <c r="BR246" s="15">
        <f t="shared" si="372"/>
        <v>5.4295347254529618E-6</v>
      </c>
      <c r="BS246" s="16">
        <f t="shared" si="373"/>
        <v>26.983824671354526</v>
      </c>
      <c r="BT246" s="17">
        <f t="shared" si="374"/>
        <v>1.3588461514326152E-2</v>
      </c>
      <c r="BU246" s="18">
        <f t="shared" si="375"/>
        <v>0.20440486354980189</v>
      </c>
      <c r="BV246" s="19">
        <f t="shared" si="418"/>
        <v>955.01471761608491</v>
      </c>
      <c r="BW246" s="15">
        <f t="shared" si="376"/>
        <v>5.4100294352321709E-6</v>
      </c>
      <c r="BX246" s="16">
        <f t="shared" si="377"/>
        <v>26.871669252584976</v>
      </c>
      <c r="BY246" s="17">
        <f t="shared" si="378"/>
        <v>1.3539645750380769E-2</v>
      </c>
      <c r="BZ246" s="18">
        <f t="shared" si="379"/>
        <v>0.2052579967457516</v>
      </c>
      <c r="CA246" s="19">
        <f t="shared" si="419"/>
        <v>941.9330887205407</v>
      </c>
      <c r="CB246" s="15">
        <f t="shared" si="380"/>
        <v>5.3838661774410821E-6</v>
      </c>
      <c r="CC246" s="16">
        <f t="shared" si="381"/>
        <v>26.72123052028622</v>
      </c>
      <c r="CD246" s="17">
        <f t="shared" si="382"/>
        <v>1.3474167133968762E-2</v>
      </c>
      <c r="CE246" s="18">
        <f t="shared" si="383"/>
        <v>0.20641358547513927</v>
      </c>
      <c r="CF246" s="19">
        <f t="shared" si="420"/>
        <v>922.19676939563226</v>
      </c>
      <c r="CG246" s="15">
        <f t="shared" si="384"/>
        <v>5.3443935387912652E-6</v>
      </c>
      <c r="CH246" s="16">
        <f t="shared" si="385"/>
        <v>26.494262848049772</v>
      </c>
      <c r="CI246" s="17">
        <f t="shared" si="386"/>
        <v>1.337537921598244E-2</v>
      </c>
      <c r="CJ246" s="18">
        <f t="shared" si="387"/>
        <v>0.20818186305591069</v>
      </c>
      <c r="CK246" s="19">
        <f t="shared" si="421"/>
        <v>890.09090580214047</v>
      </c>
      <c r="CL246" s="15">
        <f t="shared" si="388"/>
        <v>5.2801818116042818E-6</v>
      </c>
      <c r="CM246" s="16">
        <f t="shared" si="389"/>
        <v>26.125045416724614</v>
      </c>
      <c r="CN246" s="17">
        <f t="shared" si="390"/>
        <v>1.3214676940784089E-2</v>
      </c>
      <c r="CO246" s="18">
        <f t="shared" si="391"/>
        <v>0.21112403488757314</v>
      </c>
      <c r="CP246" s="19">
        <f t="shared" si="422"/>
        <v>837.62323804736343</v>
      </c>
      <c r="CQ246" s="15">
        <f t="shared" si="392"/>
        <v>5.1752464760947276E-6</v>
      </c>
      <c r="CR246" s="16">
        <f t="shared" si="393"/>
        <v>25.521667237544676</v>
      </c>
      <c r="CS246" s="17">
        <f t="shared" si="394"/>
        <v>1.2952055953873371E-2</v>
      </c>
      <c r="CT246" s="18">
        <f t="shared" si="395"/>
        <v>0.21611538731631208</v>
      </c>
      <c r="CU246" s="19">
        <f t="shared" si="423"/>
        <v>756.36456196583777</v>
      </c>
      <c r="CV246" s="15">
        <f t="shared" si="396"/>
        <v>5.0127291239316754E-6</v>
      </c>
      <c r="CW246" s="16">
        <f t="shared" si="397"/>
        <v>24.587192462607135</v>
      </c>
      <c r="CX246" s="17">
        <f t="shared" si="398"/>
        <v>1.254532482552727E-2</v>
      </c>
      <c r="CY246" s="18">
        <f t="shared" si="399"/>
        <v>0.22432919124004544</v>
      </c>
      <c r="CZ246" s="20">
        <f t="shared" si="424"/>
        <v>641.06697491101659</v>
      </c>
      <c r="DA246" s="15">
        <f t="shared" si="400"/>
        <v>4.931471399290613E-6</v>
      </c>
      <c r="DB246" s="16">
        <f t="shared" si="401"/>
        <v>34.904057727580515</v>
      </c>
      <c r="DC246" s="17">
        <f t="shared" si="402"/>
        <v>1.2341961642518126E-2</v>
      </c>
      <c r="DD246" s="18">
        <f t="shared" si="403"/>
        <v>0.15802245810640117</v>
      </c>
    </row>
    <row r="247" spans="1:108" x14ac:dyDescent="0.25">
      <c r="F247" s="2"/>
    </row>
    <row r="248" spans="1:108" ht="12.75" customHeight="1" x14ac:dyDescent="0.55000000000000004">
      <c r="B248" s="29"/>
    </row>
    <row r="249" spans="1:108" ht="36" x14ac:dyDescent="0.55000000000000004">
      <c r="B249" s="29" t="s">
        <v>111</v>
      </c>
    </row>
    <row r="250" spans="1:108" ht="15.75" x14ac:dyDescent="0.25">
      <c r="B250" s="21"/>
      <c r="C250" t="s">
        <v>0</v>
      </c>
      <c r="D250" t="s">
        <v>1</v>
      </c>
      <c r="G250" s="1" t="s">
        <v>2</v>
      </c>
      <c r="H250" s="1" t="s">
        <v>3</v>
      </c>
      <c r="I250" s="1" t="s">
        <v>4</v>
      </c>
      <c r="J250" s="1" t="s">
        <v>5</v>
      </c>
      <c r="K250" s="1" t="s">
        <v>6</v>
      </c>
      <c r="L250" s="1" t="s">
        <v>7</v>
      </c>
      <c r="M250" s="1" t="s">
        <v>8</v>
      </c>
      <c r="N250" s="1" t="s">
        <v>9</v>
      </c>
      <c r="O250" s="1" t="s">
        <v>10</v>
      </c>
      <c r="P250" s="1" t="s">
        <v>11</v>
      </c>
      <c r="Q250" s="1" t="s">
        <v>12</v>
      </c>
      <c r="R250" s="1" t="s">
        <v>13</v>
      </c>
      <c r="S250" s="1" t="s">
        <v>14</v>
      </c>
      <c r="T250" s="1" t="s">
        <v>15</v>
      </c>
      <c r="U250" s="1" t="s">
        <v>16</v>
      </c>
      <c r="V250" s="1" t="s">
        <v>17</v>
      </c>
      <c r="W250" s="1" t="s">
        <v>18</v>
      </c>
      <c r="X250" s="1" t="s">
        <v>19</v>
      </c>
      <c r="Y250" s="1" t="s">
        <v>20</v>
      </c>
      <c r="Z250" s="1" t="s">
        <v>21</v>
      </c>
    </row>
    <row r="251" spans="1:108" ht="15.75" x14ac:dyDescent="0.25">
      <c r="A251" s="1" t="s">
        <v>22</v>
      </c>
      <c r="B251" s="22" t="s">
        <v>23</v>
      </c>
      <c r="C251">
        <v>25</v>
      </c>
      <c r="D251">
        <f>C251/1000</f>
        <v>2.5000000000000001E-2</v>
      </c>
      <c r="F251" t="s">
        <v>0</v>
      </c>
      <c r="G251">
        <f>$C$6*1</f>
        <v>0.625</v>
      </c>
      <c r="H251">
        <f>$C$6*2</f>
        <v>1.25</v>
      </c>
      <c r="I251">
        <f>$C$6*3</f>
        <v>1.875</v>
      </c>
      <c r="J251">
        <f>$C$6*4</f>
        <v>2.5</v>
      </c>
      <c r="K251">
        <f>$C$6*5</f>
        <v>3.125</v>
      </c>
      <c r="L251">
        <f>$C$6*6</f>
        <v>3.75</v>
      </c>
      <c r="M251">
        <f>$C$6*7</f>
        <v>4.375</v>
      </c>
      <c r="N251">
        <f>$C$6*8</f>
        <v>5</v>
      </c>
      <c r="O251">
        <f>$C$6*9</f>
        <v>5.625</v>
      </c>
      <c r="P251">
        <f>$C$6*10</f>
        <v>6.25</v>
      </c>
      <c r="Q251">
        <f>$C$6*11</f>
        <v>6.875</v>
      </c>
      <c r="R251">
        <f>$C$6*12</f>
        <v>7.5</v>
      </c>
      <c r="S251">
        <f>$C$6*13</f>
        <v>8.125</v>
      </c>
      <c r="T251">
        <f>$C$6*14</f>
        <v>8.75</v>
      </c>
      <c r="U251">
        <f>$C$6*15</f>
        <v>9.375</v>
      </c>
      <c r="V251">
        <f>$C$6*16</f>
        <v>10</v>
      </c>
      <c r="W251">
        <f>$C$6*17</f>
        <v>10.625</v>
      </c>
      <c r="X251">
        <f>$C$6*18</f>
        <v>11.25</v>
      </c>
      <c r="Y251">
        <f>$C$6*19</f>
        <v>11.875</v>
      </c>
      <c r="Z251">
        <f>$C$6*20</f>
        <v>12.5</v>
      </c>
    </row>
    <row r="252" spans="1:108" ht="15.75" x14ac:dyDescent="0.25">
      <c r="B252" s="22" t="s">
        <v>24</v>
      </c>
      <c r="C252">
        <f>C251/2</f>
        <v>12.5</v>
      </c>
      <c r="D252">
        <f>C252/1000</f>
        <v>1.2500000000000001E-2</v>
      </c>
      <c r="F252" t="s">
        <v>1</v>
      </c>
      <c r="G252">
        <f>G251/1000</f>
        <v>6.2500000000000001E-4</v>
      </c>
      <c r="H252">
        <f t="shared" ref="H252:Z252" si="425">H251/1000</f>
        <v>1.25E-3</v>
      </c>
      <c r="I252">
        <f t="shared" si="425"/>
        <v>1.8749999999999999E-3</v>
      </c>
      <c r="J252">
        <f t="shared" si="425"/>
        <v>2.5000000000000001E-3</v>
      </c>
      <c r="K252">
        <f t="shared" si="425"/>
        <v>3.1250000000000002E-3</v>
      </c>
      <c r="L252">
        <f t="shared" si="425"/>
        <v>3.7499999999999999E-3</v>
      </c>
      <c r="M252">
        <f t="shared" si="425"/>
        <v>4.3750000000000004E-3</v>
      </c>
      <c r="N252">
        <f t="shared" si="425"/>
        <v>5.0000000000000001E-3</v>
      </c>
      <c r="O252">
        <f t="shared" si="425"/>
        <v>5.6249999999999998E-3</v>
      </c>
      <c r="P252">
        <f t="shared" si="425"/>
        <v>6.2500000000000003E-3</v>
      </c>
      <c r="Q252">
        <f t="shared" si="425"/>
        <v>6.875E-3</v>
      </c>
      <c r="R252">
        <f t="shared" si="425"/>
        <v>7.4999999999999997E-3</v>
      </c>
      <c r="S252">
        <f t="shared" si="425"/>
        <v>8.1250000000000003E-3</v>
      </c>
      <c r="T252">
        <f t="shared" si="425"/>
        <v>8.7500000000000008E-3</v>
      </c>
      <c r="U252">
        <f t="shared" si="425"/>
        <v>9.3749999999999997E-3</v>
      </c>
      <c r="V252">
        <f t="shared" si="425"/>
        <v>0.01</v>
      </c>
      <c r="W252">
        <f t="shared" si="425"/>
        <v>1.0625000000000001E-2</v>
      </c>
      <c r="X252">
        <f t="shared" si="425"/>
        <v>1.125E-2</v>
      </c>
      <c r="Y252">
        <f t="shared" si="425"/>
        <v>1.1875E-2</v>
      </c>
      <c r="Z252">
        <f t="shared" si="425"/>
        <v>1.2500000000000001E-2</v>
      </c>
    </row>
    <row r="253" spans="1:108" ht="15.75" x14ac:dyDescent="0.25">
      <c r="B253" s="22" t="s">
        <v>25</v>
      </c>
      <c r="C253">
        <v>20</v>
      </c>
      <c r="F253" s="1"/>
      <c r="G253" s="1"/>
      <c r="S253" s="2"/>
      <c r="T253" s="2"/>
    </row>
    <row r="254" spans="1:108" ht="15.75" x14ac:dyDescent="0.25">
      <c r="B254" s="22" t="s">
        <v>26</v>
      </c>
      <c r="C254">
        <f>C252/C253</f>
        <v>0.625</v>
      </c>
      <c r="D254">
        <f>C254/1000</f>
        <v>6.2500000000000001E-4</v>
      </c>
      <c r="F254" s="22"/>
      <c r="G254" s="22"/>
      <c r="O254" s="22" t="s">
        <v>75</v>
      </c>
      <c r="P254">
        <v>5</v>
      </c>
      <c r="Q254" t="s">
        <v>76</v>
      </c>
      <c r="S254" s="2"/>
      <c r="T254" s="23" t="s">
        <v>77</v>
      </c>
      <c r="U254">
        <f>(G259*L261*U258)/U256</f>
        <v>80098.859409764482</v>
      </c>
    </row>
    <row r="255" spans="1:108" ht="15.75" x14ac:dyDescent="0.25">
      <c r="B255" s="22" t="s">
        <v>78</v>
      </c>
      <c r="C255">
        <f>0.7158*5.67*10^-8*(((( CZ246+273))^4-((H258+273))^4)/((CZ246+273)-( H258+273)))</f>
        <v>47.900789833984689</v>
      </c>
      <c r="D255" t="s">
        <v>30</v>
      </c>
      <c r="F255" s="24" t="s">
        <v>27</v>
      </c>
      <c r="G255" s="24"/>
      <c r="H255">
        <f>(C258*M256)/(D254^2)</f>
        <v>1.0670617150512044E-2</v>
      </c>
      <c r="K255" s="5" t="s">
        <v>28</v>
      </c>
      <c r="L255" s="5"/>
      <c r="O255" s="22" t="s">
        <v>79</v>
      </c>
      <c r="P255">
        <v>0.04</v>
      </c>
      <c r="Q255" t="s">
        <v>80</v>
      </c>
      <c r="S255" s="2"/>
      <c r="T255" s="23" t="s">
        <v>81</v>
      </c>
      <c r="U255" s="2">
        <f>(U256*U263)/U257</f>
        <v>6.1988499999999993</v>
      </c>
      <c r="V255" s="2"/>
      <c r="W255" s="2"/>
      <c r="X255" s="2"/>
      <c r="Y255" s="2"/>
    </row>
    <row r="256" spans="1:108" ht="15.75" x14ac:dyDescent="0.25">
      <c r="B256" s="22" t="s">
        <v>29</v>
      </c>
      <c r="C256">
        <f>((((0.62*(U254^0.5)*(U255^0.33)))/(((0.4/U255)^(0.667)+1))^0.25)*((1+(U254/282000)^0.5))+0.3)*(U257/U258)</f>
        <v>18938.628601714652</v>
      </c>
      <c r="D256" t="s">
        <v>30</v>
      </c>
      <c r="F256" s="24" t="s">
        <v>31</v>
      </c>
      <c r="G256" s="24"/>
      <c r="H256">
        <f>$C$8*$D$6/AE267</f>
        <v>0.20032960746747056</v>
      </c>
      <c r="K256" s="22" t="s">
        <v>32</v>
      </c>
      <c r="M256">
        <f>(0.1*(D254^2))/(AD267*(1+AG267+(AG267/(2*C253))))/6</f>
        <v>8.1729604400367995E-4</v>
      </c>
      <c r="N256" t="s">
        <v>33</v>
      </c>
      <c r="O256" s="22" t="s">
        <v>82</v>
      </c>
      <c r="P256">
        <v>1.39</v>
      </c>
      <c r="Q256" t="s">
        <v>80</v>
      </c>
      <c r="T256" s="25" t="s">
        <v>83</v>
      </c>
      <c r="U256" s="2">
        <v>8.8999999999999995E-4</v>
      </c>
      <c r="V256" s="2" t="s">
        <v>84</v>
      </c>
      <c r="W256" s="2"/>
      <c r="X256" s="2"/>
      <c r="Y256" s="2"/>
    </row>
    <row r="257" spans="2:108" ht="15.75" x14ac:dyDescent="0.25">
      <c r="B257" s="22" t="s">
        <v>34</v>
      </c>
      <c r="C257">
        <v>27.12</v>
      </c>
      <c r="D257" t="s">
        <v>35</v>
      </c>
      <c r="F257" s="22"/>
      <c r="G257" s="22"/>
      <c r="K257" s="22"/>
      <c r="O257" s="22" t="s">
        <v>85</v>
      </c>
      <c r="P257">
        <v>4.51</v>
      </c>
      <c r="Q257" t="s">
        <v>80</v>
      </c>
      <c r="T257" s="23" t="s">
        <v>86</v>
      </c>
      <c r="U257" s="2">
        <v>0.6</v>
      </c>
      <c r="V257" t="s">
        <v>35</v>
      </c>
      <c r="W257" s="2"/>
      <c r="X257" s="2"/>
      <c r="Y257" s="2"/>
    </row>
    <row r="258" spans="2:108" ht="15.75" x14ac:dyDescent="0.25">
      <c r="B258" s="22" t="s">
        <v>87</v>
      </c>
      <c r="C258">
        <f>5.1 * (10^(-6))</f>
        <v>5.0999999999999995E-6</v>
      </c>
      <c r="D258" t="s">
        <v>37</v>
      </c>
      <c r="F258" s="22" t="s">
        <v>88</v>
      </c>
      <c r="G258" s="22"/>
      <c r="H258">
        <v>60</v>
      </c>
      <c r="I258" s="7" t="s">
        <v>42</v>
      </c>
      <c r="K258" s="22"/>
      <c r="O258" s="22" t="s">
        <v>89</v>
      </c>
      <c r="P258">
        <v>30</v>
      </c>
      <c r="T258" s="23" t="s">
        <v>90</v>
      </c>
      <c r="U258" s="2">
        <f>4*(U259/U260)</f>
        <v>1.4999999999999998E-2</v>
      </c>
      <c r="V258" s="2" t="s">
        <v>80</v>
      </c>
      <c r="W258" s="2"/>
      <c r="X258" s="2"/>
      <c r="Y258" s="2"/>
    </row>
    <row r="259" spans="2:108" ht="47.25" x14ac:dyDescent="0.25">
      <c r="B259" s="22" t="s">
        <v>38</v>
      </c>
      <c r="C259">
        <v>7850</v>
      </c>
      <c r="D259" t="s">
        <v>39</v>
      </c>
      <c r="F259" s="26" t="s">
        <v>91</v>
      </c>
      <c r="G259">
        <v>991.31899999999996</v>
      </c>
      <c r="H259" t="s">
        <v>39</v>
      </c>
      <c r="K259" s="27" t="s">
        <v>92</v>
      </c>
      <c r="L259">
        <f>5.67*(10^(-8))</f>
        <v>5.6699999999999998E-8</v>
      </c>
      <c r="M259" t="s">
        <v>93</v>
      </c>
      <c r="O259" s="22" t="s">
        <v>94</v>
      </c>
      <c r="P259">
        <v>60</v>
      </c>
      <c r="T259" s="23" t="s">
        <v>95</v>
      </c>
      <c r="U259" s="2">
        <f>(PI()*((P255^2)-(D251^2)))/4</f>
        <v>7.6576320931251202E-4</v>
      </c>
      <c r="V259" s="2" t="s">
        <v>96</v>
      </c>
      <c r="W259" s="2"/>
      <c r="X259" s="2"/>
      <c r="Y259" s="2"/>
    </row>
    <row r="260" spans="2:108" ht="15.75" x14ac:dyDescent="0.25">
      <c r="B260" s="22" t="s">
        <v>41</v>
      </c>
      <c r="C260">
        <v>900</v>
      </c>
      <c r="D260" s="7" t="s">
        <v>42</v>
      </c>
      <c r="E260" s="7"/>
      <c r="F260" s="26" t="s">
        <v>43</v>
      </c>
      <c r="G260" s="7">
        <v>600</v>
      </c>
      <c r="H260" s="7" t="s">
        <v>44</v>
      </c>
      <c r="K260" s="28" t="s">
        <v>97</v>
      </c>
      <c r="L260">
        <v>0.71579999999999999</v>
      </c>
      <c r="O260" s="22" t="s">
        <v>98</v>
      </c>
      <c r="P260">
        <v>16.5</v>
      </c>
      <c r="Q260" t="s">
        <v>99</v>
      </c>
      <c r="T260" s="23" t="s">
        <v>100</v>
      </c>
      <c r="U260" s="2">
        <f>PI()*(P255+D251)</f>
        <v>0.20420352248333656</v>
      </c>
      <c r="V260" s="2" t="s">
        <v>80</v>
      </c>
      <c r="W260" s="2"/>
      <c r="X260" s="2"/>
      <c r="Y260" s="2"/>
    </row>
    <row r="261" spans="2:108" ht="15.75" x14ac:dyDescent="0.25">
      <c r="B261" s="22" t="s">
        <v>45</v>
      </c>
      <c r="C261">
        <v>1020</v>
      </c>
      <c r="D261" s="7" t="s">
        <v>42</v>
      </c>
      <c r="E261" s="7"/>
      <c r="F261" s="7"/>
      <c r="G261" s="7"/>
      <c r="H261" s="7"/>
      <c r="K261" s="1" t="s">
        <v>101</v>
      </c>
      <c r="L261">
        <f>U261-P254</f>
        <v>4.7941503441166358</v>
      </c>
      <c r="M261" t="s">
        <v>76</v>
      </c>
      <c r="O261" s="22" t="s">
        <v>102</v>
      </c>
      <c r="P261">
        <v>30</v>
      </c>
      <c r="Q261" s="7" t="s">
        <v>42</v>
      </c>
      <c r="T261" s="23" t="s">
        <v>103</v>
      </c>
      <c r="U261" s="2">
        <f>U262/(3600*U259)</f>
        <v>9.7941503441166358</v>
      </c>
      <c r="V261" s="2" t="s">
        <v>104</v>
      </c>
      <c r="W261" s="2"/>
      <c r="X261" s="2"/>
      <c r="Y261" s="2"/>
    </row>
    <row r="262" spans="2:108" ht="15.75" x14ac:dyDescent="0.25">
      <c r="B262" s="22" t="s">
        <v>46</v>
      </c>
      <c r="C262">
        <v>25</v>
      </c>
      <c r="D262" s="7" t="s">
        <v>42</v>
      </c>
      <c r="E262" s="7"/>
      <c r="F262" s="7"/>
      <c r="G262" s="7"/>
      <c r="H262" s="7"/>
      <c r="O262" s="22" t="s">
        <v>105</v>
      </c>
      <c r="P262">
        <v>60</v>
      </c>
      <c r="Q262" s="7" t="s">
        <v>42</v>
      </c>
      <c r="T262" s="22" t="s">
        <v>106</v>
      </c>
      <c r="U262">
        <v>27</v>
      </c>
      <c r="V262" t="s">
        <v>107</v>
      </c>
    </row>
    <row r="263" spans="2:108" ht="15.75" x14ac:dyDescent="0.25">
      <c r="B263" s="22" t="s">
        <v>108</v>
      </c>
      <c r="C263">
        <f>C255+C256</f>
        <v>18986.529391548636</v>
      </c>
      <c r="D263" t="s">
        <v>30</v>
      </c>
      <c r="O263" s="22" t="s">
        <v>109</v>
      </c>
      <c r="P263">
        <v>3</v>
      </c>
      <c r="T263" s="22" t="s">
        <v>110</v>
      </c>
      <c r="U263">
        <v>4179</v>
      </c>
      <c r="V263" t="s">
        <v>44</v>
      </c>
    </row>
    <row r="264" spans="2:108" ht="15.75" x14ac:dyDescent="0.25">
      <c r="B264" s="21"/>
    </row>
    <row r="265" spans="2:108" ht="31.5" x14ac:dyDescent="0.25">
      <c r="B265" s="8" t="s">
        <v>47</v>
      </c>
      <c r="C265" s="8" t="s">
        <v>48</v>
      </c>
      <c r="D265" s="9" t="s">
        <v>49</v>
      </c>
      <c r="E265" s="10" t="s">
        <v>50</v>
      </c>
      <c r="F265" s="11" t="s">
        <v>51</v>
      </c>
      <c r="G265" s="12" t="s">
        <v>52</v>
      </c>
      <c r="H265" s="13" t="s">
        <v>53</v>
      </c>
      <c r="I265" s="9" t="s">
        <v>54</v>
      </c>
      <c r="J265" s="10" t="s">
        <v>50</v>
      </c>
      <c r="K265" s="11" t="s">
        <v>51</v>
      </c>
      <c r="L265" s="12" t="s">
        <v>52</v>
      </c>
      <c r="M265" s="13" t="s">
        <v>53</v>
      </c>
      <c r="N265" s="9" t="s">
        <v>55</v>
      </c>
      <c r="O265" s="10" t="s">
        <v>50</v>
      </c>
      <c r="P265" s="11" t="s">
        <v>51</v>
      </c>
      <c r="Q265" s="12" t="s">
        <v>52</v>
      </c>
      <c r="R265" s="13" t="s">
        <v>53</v>
      </c>
      <c r="S265" s="9" t="s">
        <v>56</v>
      </c>
      <c r="T265" s="10" t="s">
        <v>50</v>
      </c>
      <c r="U265" s="11" t="s">
        <v>51</v>
      </c>
      <c r="V265" s="12" t="s">
        <v>52</v>
      </c>
      <c r="W265" s="13" t="s">
        <v>53</v>
      </c>
      <c r="X265" s="9" t="s">
        <v>57</v>
      </c>
      <c r="Y265" s="10" t="s">
        <v>50</v>
      </c>
      <c r="Z265" s="11" t="s">
        <v>51</v>
      </c>
      <c r="AA265" s="12" t="s">
        <v>52</v>
      </c>
      <c r="AB265" s="13" t="s">
        <v>53</v>
      </c>
      <c r="AC265" s="9" t="s">
        <v>58</v>
      </c>
      <c r="AD265" s="10" t="s">
        <v>50</v>
      </c>
      <c r="AE265" s="11" t="s">
        <v>51</v>
      </c>
      <c r="AF265" s="12" t="s">
        <v>52</v>
      </c>
      <c r="AG265" s="13" t="s">
        <v>53</v>
      </c>
      <c r="AH265" s="9" t="s">
        <v>59</v>
      </c>
      <c r="AI265" s="10" t="s">
        <v>50</v>
      </c>
      <c r="AJ265" s="11" t="s">
        <v>51</v>
      </c>
      <c r="AK265" s="12" t="s">
        <v>52</v>
      </c>
      <c r="AL265" s="13" t="s">
        <v>53</v>
      </c>
      <c r="AM265" s="9" t="s">
        <v>60</v>
      </c>
      <c r="AN265" s="10" t="s">
        <v>50</v>
      </c>
      <c r="AO265" s="11" t="s">
        <v>51</v>
      </c>
      <c r="AP265" s="12" t="s">
        <v>52</v>
      </c>
      <c r="AQ265" s="13" t="s">
        <v>53</v>
      </c>
      <c r="AR265" s="9" t="s">
        <v>61</v>
      </c>
      <c r="AS265" s="10" t="s">
        <v>50</v>
      </c>
      <c r="AT265" s="11" t="s">
        <v>51</v>
      </c>
      <c r="AU265" s="12" t="s">
        <v>52</v>
      </c>
      <c r="AV265" s="13" t="s">
        <v>53</v>
      </c>
      <c r="AW265" s="9" t="s">
        <v>62</v>
      </c>
      <c r="AX265" s="10" t="s">
        <v>50</v>
      </c>
      <c r="AY265" s="11" t="s">
        <v>51</v>
      </c>
      <c r="AZ265" s="12" t="s">
        <v>52</v>
      </c>
      <c r="BA265" s="13" t="s">
        <v>53</v>
      </c>
      <c r="BB265" s="9" t="s">
        <v>63</v>
      </c>
      <c r="BC265" s="10" t="s">
        <v>50</v>
      </c>
      <c r="BD265" s="11" t="s">
        <v>51</v>
      </c>
      <c r="BE265" s="12" t="s">
        <v>52</v>
      </c>
      <c r="BF265" s="13" t="s">
        <v>53</v>
      </c>
      <c r="BG265" s="9" t="s">
        <v>64</v>
      </c>
      <c r="BH265" s="10" t="s">
        <v>50</v>
      </c>
      <c r="BI265" s="11" t="s">
        <v>51</v>
      </c>
      <c r="BJ265" s="12" t="s">
        <v>52</v>
      </c>
      <c r="BK265" s="13" t="s">
        <v>53</v>
      </c>
      <c r="BL265" s="9" t="s">
        <v>65</v>
      </c>
      <c r="BM265" s="10" t="s">
        <v>50</v>
      </c>
      <c r="BN265" s="11" t="s">
        <v>51</v>
      </c>
      <c r="BO265" s="12" t="s">
        <v>52</v>
      </c>
      <c r="BP265" s="13" t="s">
        <v>53</v>
      </c>
      <c r="BQ265" s="9" t="s">
        <v>66</v>
      </c>
      <c r="BR265" s="10" t="s">
        <v>50</v>
      </c>
      <c r="BS265" s="11" t="s">
        <v>51</v>
      </c>
      <c r="BT265" s="12" t="s">
        <v>52</v>
      </c>
      <c r="BU265" s="13" t="s">
        <v>53</v>
      </c>
      <c r="BV265" s="9" t="s">
        <v>67</v>
      </c>
      <c r="BW265" s="10" t="s">
        <v>50</v>
      </c>
      <c r="BX265" s="11" t="s">
        <v>51</v>
      </c>
      <c r="BY265" s="12" t="s">
        <v>52</v>
      </c>
      <c r="BZ265" s="13" t="s">
        <v>53</v>
      </c>
      <c r="CA265" s="9" t="s">
        <v>68</v>
      </c>
      <c r="CB265" s="10" t="s">
        <v>50</v>
      </c>
      <c r="CC265" s="11" t="s">
        <v>51</v>
      </c>
      <c r="CD265" s="12" t="s">
        <v>52</v>
      </c>
      <c r="CE265" s="13" t="s">
        <v>53</v>
      </c>
      <c r="CF265" s="9" t="s">
        <v>69</v>
      </c>
      <c r="CG265" s="10" t="s">
        <v>50</v>
      </c>
      <c r="CH265" s="11" t="s">
        <v>51</v>
      </c>
      <c r="CI265" s="12" t="s">
        <v>52</v>
      </c>
      <c r="CJ265" s="13" t="s">
        <v>53</v>
      </c>
      <c r="CK265" s="9" t="s">
        <v>70</v>
      </c>
      <c r="CL265" s="10" t="s">
        <v>50</v>
      </c>
      <c r="CM265" s="11" t="s">
        <v>51</v>
      </c>
      <c r="CN265" s="12" t="s">
        <v>52</v>
      </c>
      <c r="CO265" s="13" t="s">
        <v>53</v>
      </c>
      <c r="CP265" s="9" t="s">
        <v>71</v>
      </c>
      <c r="CQ265" s="10" t="s">
        <v>50</v>
      </c>
      <c r="CR265" s="11" t="s">
        <v>51</v>
      </c>
      <c r="CS265" s="12" t="s">
        <v>52</v>
      </c>
      <c r="CT265" s="13" t="s">
        <v>53</v>
      </c>
      <c r="CU265" s="9" t="s">
        <v>72</v>
      </c>
      <c r="CV265" s="10" t="s">
        <v>50</v>
      </c>
      <c r="CW265" s="11" t="s">
        <v>51</v>
      </c>
      <c r="CX265" s="12" t="s">
        <v>52</v>
      </c>
      <c r="CY265" s="13" t="s">
        <v>53</v>
      </c>
      <c r="CZ265" s="9" t="s">
        <v>73</v>
      </c>
      <c r="DA265" s="10" t="s">
        <v>50</v>
      </c>
      <c r="DB265" s="11" t="s">
        <v>51</v>
      </c>
      <c r="DC265" s="12" t="s">
        <v>52</v>
      </c>
      <c r="DD265" s="13" t="s">
        <v>53</v>
      </c>
    </row>
    <row r="266" spans="2:108" ht="31.5" x14ac:dyDescent="0.25">
      <c r="B266" t="s">
        <v>74</v>
      </c>
      <c r="D266" s="14">
        <v>0</v>
      </c>
      <c r="E266" s="15"/>
      <c r="F266" s="16"/>
      <c r="G266" s="17"/>
      <c r="H266" s="18"/>
      <c r="I266" s="14">
        <v>1</v>
      </c>
      <c r="J266" s="15"/>
      <c r="K266" s="16"/>
      <c r="L266" s="17"/>
      <c r="M266" s="18"/>
      <c r="N266" s="14">
        <v>2</v>
      </c>
      <c r="O266" s="15"/>
      <c r="P266" s="16"/>
      <c r="Q266" s="17"/>
      <c r="R266" s="18"/>
      <c r="S266" s="14">
        <v>3</v>
      </c>
      <c r="T266" s="15"/>
      <c r="U266" s="16"/>
      <c r="V266" s="17"/>
      <c r="W266" s="18"/>
      <c r="X266" s="14">
        <v>4</v>
      </c>
      <c r="Y266" s="15"/>
      <c r="Z266" s="16"/>
      <c r="AA266" s="17"/>
      <c r="AB266" s="18"/>
      <c r="AC266" s="14">
        <v>5</v>
      </c>
      <c r="AD266" s="15"/>
      <c r="AE266" s="16"/>
      <c r="AF266" s="17"/>
      <c r="AG266" s="18"/>
      <c r="AH266" s="14">
        <v>6</v>
      </c>
      <c r="AI266" s="15"/>
      <c r="AJ266" s="16"/>
      <c r="AK266" s="17"/>
      <c r="AL266" s="18"/>
      <c r="AM266" s="14">
        <v>7</v>
      </c>
      <c r="AN266" s="15"/>
      <c r="AO266" s="16"/>
      <c r="AP266" s="17"/>
      <c r="AQ266" s="18"/>
      <c r="AR266" s="14">
        <v>8</v>
      </c>
      <c r="AS266" s="15"/>
      <c r="AT266" s="16"/>
      <c r="AU266" s="17"/>
      <c r="AV266" s="18"/>
      <c r="AW266" s="14">
        <v>9</v>
      </c>
      <c r="AX266" s="15"/>
      <c r="AY266" s="16"/>
      <c r="AZ266" s="17"/>
      <c r="BA266" s="18"/>
      <c r="BB266" s="14">
        <v>10</v>
      </c>
      <c r="BC266" s="15"/>
      <c r="BD266" s="16"/>
      <c r="BE266" s="17"/>
      <c r="BF266" s="18"/>
      <c r="BG266" s="14">
        <v>11</v>
      </c>
      <c r="BH266" s="15"/>
      <c r="BI266" s="16"/>
      <c r="BJ266" s="17"/>
      <c r="BK266" s="18"/>
      <c r="BL266" s="14">
        <v>12</v>
      </c>
      <c r="BM266" s="15"/>
      <c r="BN266" s="16"/>
      <c r="BO266" s="17"/>
      <c r="BP266" s="18"/>
      <c r="BQ266" s="14">
        <v>13</v>
      </c>
      <c r="BR266" s="15"/>
      <c r="BS266" s="16"/>
      <c r="BT266" s="17"/>
      <c r="BU266" s="18"/>
      <c r="BV266" s="14">
        <v>14</v>
      </c>
      <c r="BW266" s="15"/>
      <c r="BX266" s="16"/>
      <c r="BY266" s="17"/>
      <c r="BZ266" s="18"/>
      <c r="CA266" s="14">
        <v>15</v>
      </c>
      <c r="CB266" s="15"/>
      <c r="CC266" s="16"/>
      <c r="CD266" s="17"/>
      <c r="CE266" s="18"/>
      <c r="CF266" s="14">
        <v>16</v>
      </c>
      <c r="CG266" s="15"/>
      <c r="CH266" s="16"/>
      <c r="CI266" s="17"/>
      <c r="CJ266" s="18"/>
      <c r="CK266" s="14">
        <v>17</v>
      </c>
      <c r="CL266" s="15"/>
      <c r="CM266" s="16"/>
      <c r="CN266" s="17"/>
      <c r="CO266" s="18"/>
      <c r="CP266" s="14">
        <v>18</v>
      </c>
      <c r="CQ266" s="15"/>
      <c r="CR266" s="16"/>
      <c r="CS266" s="17"/>
      <c r="CT266" s="18"/>
      <c r="CU266" s="14">
        <v>19</v>
      </c>
      <c r="CV266" s="15"/>
      <c r="CW266" s="16"/>
      <c r="CX266" s="17"/>
      <c r="CY266" s="18"/>
      <c r="CZ266" s="14">
        <v>20</v>
      </c>
      <c r="DA266" s="15"/>
      <c r="DB266" s="16"/>
      <c r="DC266" s="17"/>
      <c r="DD266" s="18"/>
    </row>
    <row r="267" spans="2:108" x14ac:dyDescent="0.25">
      <c r="B267">
        <v>0</v>
      </c>
      <c r="C267">
        <f>$B267*0.27</f>
        <v>0</v>
      </c>
      <c r="D267" s="19">
        <f>C261</f>
        <v>1020</v>
      </c>
      <c r="E267" s="15">
        <f>IF($D267&gt;=650,((0.00002*$D267)+0.035)/10000,IF($D267&lt;650,((-0.0000000000003*($D267^4))+(0.0000000004*($D267^3))-(0.0000002*($D267^2))-(0.0001*$D267)+0.1409)/10000))</f>
        <v>5.5400000000000003E-6</v>
      </c>
      <c r="F267" s="16">
        <f>IF($D267&lt;650,(53.495-(0.029*D267)),IF(D267&lt;700,((0.00000000000000006*(D267^2))-(0.2008*D267) + 164.43),IF(D267&lt;1250,((0.0115*D267)+ 15.889))))</f>
        <v>27.619</v>
      </c>
      <c r="G267" s="17">
        <f t="shared" ref="G267:G330" si="426">($E267*$M$8)/($D$6^2)</f>
        <v>1.3864922243974894E-2</v>
      </c>
      <c r="H267" s="18">
        <f>($C$263*$D$6)/F267</f>
        <v>0.42965280675324591</v>
      </c>
      <c r="I267" s="19">
        <f>(($C$13-$C$12)*(1-((G$4/$D$4)^2)))+($C$12)</f>
        <v>1019.7</v>
      </c>
      <c r="J267" s="15">
        <f>IF($I267&gt;=650,((0.00002*$I267)+0.035)/10000,IF($I267&lt;650,((-0.0000000000003*($I267^4))+(0.0000000004*($I267^3))-(0.0000002*($I267^2))-(0.0001*$I267)+0.1409)/10000))</f>
        <v>5.5394000000000007E-6</v>
      </c>
      <c r="K267" s="16">
        <f>IF($I267&lt;650,(53.495-(0.029*I267)),IF(I267&lt;700,((0.00000000000000006*(I267^2))-(0.2008*I267) + 164.43),IF(I267&lt;1250,((0.0115*I267)+ 15.889))))</f>
        <v>27.615549999999999</v>
      </c>
      <c r="L267" s="17">
        <f>($J267*$M$8)/($D$6^2)</f>
        <v>1.386342062784739E-2</v>
      </c>
      <c r="M267" s="18">
        <f>($C$263*$D$6)/K267</f>
        <v>0.42970648311251808</v>
      </c>
      <c r="N267" s="19">
        <f>(($C$13-$C$12)*(1-((H$4/$D$4)^2)))+($C$12)</f>
        <v>1018.8</v>
      </c>
      <c r="O267" s="15">
        <f>IF($N267&gt;=650,((0.00002*$N267)+0.035)/10000,IF($N267&lt;650,((-0.0000000000003*($N267^4))+(0.0000000004*($N267^3))-(0.0000002*($N267^2))-(0.0001*$N267)+0.1409)/10000))</f>
        <v>5.537600000000001E-6</v>
      </c>
      <c r="P267" s="16">
        <f>IF($N267&lt;650,(53.495-(0.029*$N267)),IF($N267&lt;700,((0.00000000000000006*($N267^2))-(0.2008*$N267) + 164.43),IF($N267&lt;1250,((0.0115*$N267)+ 15.889))))</f>
        <v>27.605199999999996</v>
      </c>
      <c r="Q267" s="17">
        <f t="shared" ref="Q267:Q330" si="427">($E267*$M$8)/($D$6^2)</f>
        <v>1.3864922243974894E-2</v>
      </c>
      <c r="R267" s="18">
        <f>($C$263*$D$6)/P267</f>
        <v>0.42986759268970703</v>
      </c>
      <c r="S267" s="19">
        <f>(($C$13-$C$12)*(1-((I$4/$D$4)^2)))+($C$12)</f>
        <v>1017.3</v>
      </c>
      <c r="T267" s="15">
        <f>IF($S267&gt;=650,((0.00002*$S267)+0.035)/10000,IF($S267&lt;650,((-0.0000000000003*($S267^4))+(0.0000000004*($S267^3))-(0.0000002*($S267^2))-(0.0001*$S267)+0.1409)/10000))</f>
        <v>5.5346000000000003E-6</v>
      </c>
      <c r="U267" s="16">
        <f>IF($S267&lt;650,(53.495-(0.029*$S267)),IF($S267&lt;700,((0.00000000000000006*($S267^2))-(0.2008*$S267) + 164.43),IF($S267&lt;1250,((0.0115*$S267)+ 15.889))))</f>
        <v>27.587949999999999</v>
      </c>
      <c r="V267" s="17">
        <f>($T267*$M$8)/($D$6^2)</f>
        <v>1.3851407698827338E-2</v>
      </c>
      <c r="W267" s="18">
        <f>($C$263*$D$6)/U267</f>
        <v>0.43013637728493415</v>
      </c>
      <c r="X267" s="20">
        <f>(($C$13-$C$12)*(1-((J$4/$D$4)^2)))+($C$12)</f>
        <v>1015.2</v>
      </c>
      <c r="Y267" s="15">
        <f>IF($X267&gt;=650,((0.00002*$X267)+0.035)/10000,IF($X267&lt;650,((-0.0000000000003*($X267^4))+(0.0000000004*($X267^3))-(0.0000002*($X267^2))-(0.0001*$X267)+0.1409)/10000))</f>
        <v>5.5304000000000004E-6</v>
      </c>
      <c r="Z267" s="16">
        <f>IF($X267&lt;650,(53.495-(0.029*$X267)),IF($X267&lt;700,((0.00000000000000006*($X267^2))-(0.2008*$X267) + 164.43),IF($X267&lt;1250,((0.0115*$X267)+ 15.889))))</f>
        <v>27.563800000000001</v>
      </c>
      <c r="AA267" s="17">
        <f>($Y267*$M$8)/($D$6^2)</f>
        <v>1.3840896385934795E-2</v>
      </c>
      <c r="AB267" s="18">
        <f>($C$263*$D$6)/Z267</f>
        <v>0.43051324090720067</v>
      </c>
      <c r="AC267" s="19">
        <f>(($C$13-$C$12)*(1-((K$4/$D$4)^2)))+($C$12)</f>
        <v>1012.5</v>
      </c>
      <c r="AD267" s="15">
        <f>IF(AC267&gt;=650,((0.00002*AC267)+0.035)/10000,IF(AC267&lt;650,((-0.0000000000003*(AC267^4))+(0.0000000004*(AC267^3))-(0.0000002*(AC267^2))-(0.0001*AC267)+0.1409)/10000))</f>
        <v>5.5250000000000005E-6</v>
      </c>
      <c r="AE267" s="16">
        <f>IF(AC267&lt;650,(53.495-(0.029*AC267)),IF(AC267&lt;700,((0.00000000000000006*(AC267^2))-(0.2008*AC267) + 164.43),IF(AC267&lt;1250,((0.0115*AC267)+ 15.889))))</f>
        <v>27.53275</v>
      </c>
      <c r="AF267" s="17">
        <f>(AD267*$M$8)/($D$6^2)</f>
        <v>1.3827381840787238E-2</v>
      </c>
      <c r="AG267" s="18">
        <f>($C$263*$D$6)/AE267</f>
        <v>0.43099875129501769</v>
      </c>
      <c r="AH267" s="19">
        <f>(($C$13-$C$12)*(1-((L$4/$D$4)^2)))+($C$12)</f>
        <v>1009.2</v>
      </c>
      <c r="AI267" s="15">
        <f>IF(AH267&gt;=650,((0.00002*AH267)+0.035)/10000,IF(AH267&lt;650,((-0.0000000000003*(AH267^4))+(0.0000000004*(AH267^3))-(0.0000002*(AH267^2))-(0.0001*AH267)+0.1409)/10000))</f>
        <v>5.5184000000000012E-6</v>
      </c>
      <c r="AJ267" s="16">
        <f>IF(AH267&lt;650,(53.495-(0.029*AH267)),IF(AH267&lt;700,((0.00000000000000006*(AH267^2))-(0.2008*AH267) + 164.43),IF(AH267&lt;1250,((0.0115*AH267)+ 15.889))))</f>
        <v>27.494799999999998</v>
      </c>
      <c r="AK267" s="17">
        <f>(AI267*$M$8)/($D$6^2)</f>
        <v>1.381086406338467E-2</v>
      </c>
      <c r="AL267" s="18">
        <f>($C$263*$D$6)/AJ267</f>
        <v>0.43159364206024048</v>
      </c>
      <c r="AM267" s="19">
        <f>(($C$13-$C$12)*(1-((M$4/$D$4)^2)))+($C$12)</f>
        <v>1005.3</v>
      </c>
      <c r="AN267" s="15">
        <f>IF(AM267&gt;=650,((0.00002*AM267)+0.035)/10000,IF(AM267&lt;650,((-0.0000000000003*(AM267^4))+(0.0000000004*(AM267^3))-(0.0000002*(AM267^2))-(0.0001*AM267)+0.1409)/10000))</f>
        <v>5.5106000000000002E-6</v>
      </c>
      <c r="AO267" s="16">
        <f>IF(AM267&lt;650,(53.495-(0.029*AM267)),IF(AM267&lt;700,((0.00000000000000006*(AM267^2))-(0.2008*AM267) + 164.43),IF(AM267&lt;1250,((0.0115*AM267)+ 15.889))))</f>
        <v>27.449950000000001</v>
      </c>
      <c r="AP267" s="17">
        <f>(AN267*$M$8)/($D$6^2)</f>
        <v>1.3791343053727085E-2</v>
      </c>
      <c r="AQ267" s="18">
        <f>($C$263*$D$6)/AO267</f>
        <v>0.43229881547026128</v>
      </c>
      <c r="AR267" s="19">
        <f>(($C$13-$C$12)*(1-((N$4/$D$4)^2)))+($C$12)</f>
        <v>1000.8</v>
      </c>
      <c r="AS267" s="15">
        <f>IF(AR267&gt;=650,((0.00002*AR267)+0.035)/10000,IF(AR267&lt;650,((-0.0000000000003*(AR267^4))+(0.0000000004*(AR267^3))-(0.0000002*(AR267^2))-(0.0001*AR267)+0.1409)/10000))</f>
        <v>5.5016E-6</v>
      </c>
      <c r="AT267" s="16">
        <f>IF(AR267&lt;650,(53.495-(0.029*AR267)),IF(AR267&lt;700,((0.00000000000000006*(AR267^2))-(0.2008*AR267) + 164.43),IF(AR267&lt;1250,((0.0115*AR267)+ 15.889))))</f>
        <v>27.398199999999999</v>
      </c>
      <c r="AU267" s="17">
        <f>(AS267*$M$8)/($D$6^2)</f>
        <v>1.3768818811814489E-2</v>
      </c>
      <c r="AV267" s="18">
        <f>($C$263*$D$6)/AT267</f>
        <v>0.43311534588833933</v>
      </c>
      <c r="AW267" s="19">
        <f>(($C$13-$C$12)*(1-((O$4/$D$4)^2)))+($C$12)</f>
        <v>995.7</v>
      </c>
      <c r="AX267" s="15">
        <f>IF(AW267&gt;=650,((0.00002*AW267)+0.035)/10000,IF(AW267&lt;650,((-0.0000000000003*(AW267^4))+(0.0000000004*(AW267^3))-(0.0000002*(AW267^2))-(0.0001*AW267)+0.1409)/10000))</f>
        <v>5.4914000000000005E-6</v>
      </c>
      <c r="AY267" s="16">
        <f>IF(AW267&lt;650,(53.495-(0.029*AW267)),IF(AW267&lt;700,((0.00000000000000006*(AW267^2))-(0.2008*AW267) + 164.43),IF(AW267&lt;1250,((0.0115*AW267)+ 15.889))))</f>
        <v>27.339549999999999</v>
      </c>
      <c r="AZ267" s="17">
        <f>(AX267*$M$8)/($D$6^2)</f>
        <v>1.3743291337646884E-2</v>
      </c>
      <c r="BA267" s="18">
        <f>($C$263*$D$6)/AY267</f>
        <v>0.43404448389669542</v>
      </c>
      <c r="BB267" s="19">
        <f>(($C$13-$C$12)*(1-((P$4/$D$4)^2)))+($C$12)</f>
        <v>990</v>
      </c>
      <c r="BC267" s="15">
        <f>IF(BB267&gt;=650,((0.00002*BB267)+0.035)/10000,IF(BB267&lt;650,((-0.0000000000003*(BB267^4))+(0.0000000004*(BB267^3))-(0.0000002*(BB267^2))-(0.0001*BB267)+0.1409)/10000))</f>
        <v>5.48E-6</v>
      </c>
      <c r="BD267" s="16">
        <f>IF(BB267&lt;650,(53.495-(0.029*BB267)),IF(BB267&lt;700,((0.00000000000000006*(BB267^2))-(0.2008*BB267) + 164.43),IF(BB267&lt;1250,((0.0115*BB267)+ 15.889))))</f>
        <v>27.274000000000001</v>
      </c>
      <c r="BE267" s="17">
        <f>(BC267*$M$8)/($D$6^2)</f>
        <v>1.3714760631224263E-2</v>
      </c>
      <c r="BF267" s="18">
        <f>($C$263*$D$6)/BD267</f>
        <v>0.43508766113213676</v>
      </c>
      <c r="BG267" s="19">
        <f>(($C$13-$C$12)*(1-((Q$4/$D$4)^2)))+($C$12)</f>
        <v>983.7</v>
      </c>
      <c r="BH267" s="15">
        <f>IF(BG267&gt;=650,((0.00002*BG267)+0.035)/10000,IF(BG267&lt;650,((-0.0000000000003*(BG267^4))+(0.0000000004*(BG267^3))-(0.0000002*(BG267^2))-(0.0001*BG267)+0.1409)/10000))</f>
        <v>5.4674000000000004E-6</v>
      </c>
      <c r="BI267" s="16">
        <f>IF(BG267&lt;650,(53.495-(0.029*BG267)),IF(BG267&lt;700,((0.00000000000000006*(BG267^2))-(0.2008*BG267) + 164.43),IF(BG267&lt;1250,((0.0115*BG267)+ 15.889))))</f>
        <v>27.201549999999997</v>
      </c>
      <c r="BJ267" s="17">
        <f>(BH267*$M$8)/($D$6^2)</f>
        <v>1.3683226692546633E-2</v>
      </c>
      <c r="BK267" s="18">
        <f>($C$263*$D$6)/BI267</f>
        <v>0.43624649586945963</v>
      </c>
      <c r="BL267" s="19">
        <f>(($C$13-$C$12)*(1-((R$4/$D$4)^2)))+($C$12)</f>
        <v>976.8</v>
      </c>
      <c r="BM267" s="15">
        <f>IF(BL267&gt;=650,((0.00002*BL267)+0.035)/10000,IF(BL267&lt;650,((-0.0000000000003*(BL267^4))+(0.0000000004*(BL267^3))-(0.0000002*(BL267^2))-(0.0001*BL267)+0.1409)/10000))</f>
        <v>5.4535999999999998E-6</v>
      </c>
      <c r="BN267" s="16">
        <f>IF(BL267&lt;650,(53.495-(0.029*BL267)),IF(BL267&lt;700,((0.00000000000000006*(BL267^2))-(0.2008*BL267) + 164.43),IF(BL267&lt;1250,((0.0115*BL267)+ 15.889))))</f>
        <v>27.122199999999999</v>
      </c>
      <c r="BO267" s="17">
        <f>(BM267*$M$8)/($D$6^2)</f>
        <v>1.3648689521613985E-2</v>
      </c>
      <c r="BP267" s="18">
        <f>($C$263*$D$6)/BN267</f>
        <v>0.43752279939377703</v>
      </c>
      <c r="BQ267" s="19">
        <f>(($C$13-$C$12)*(1-((S$4/$D$4)^2)))+($C$12)</f>
        <v>969.3</v>
      </c>
      <c r="BR267" s="15">
        <f>IF(BQ267&gt;=650,((0.00002*BQ267)+0.035)/10000,IF(BQ267&lt;650,((-0.0000000000003*(BQ267^4))+(0.0000000004*(BQ267^3))-(0.0000002*(BQ267^2))-(0.0001*BQ267)+0.1409)/10000))</f>
        <v>5.4386000000000007E-6</v>
      </c>
      <c r="BS267" s="16">
        <f>IF(BQ267&lt;650,(53.495-(0.029*BQ267)),IF(BQ267&lt;700,((0.00000000000000006*(BQ267^2))-(0.2008*BQ267) + 164.43),IF(BQ267&lt;1250,((0.0115*BQ267)+ 15.889))))</f>
        <v>27.03595</v>
      </c>
      <c r="BT267" s="17">
        <f>(BR267*$M$8)/($D$6^2)</f>
        <v>1.3611149118426329E-2</v>
      </c>
      <c r="BU267" s="18">
        <f>($C$263*$D$6)/BS267</f>
        <v>0.4389185832093157</v>
      </c>
      <c r="BV267" s="19">
        <f>(($C$13-$C$12)*(1-((T$4/$D$4)^2)))+($C$12)</f>
        <v>961.2</v>
      </c>
      <c r="BW267" s="15">
        <f>IF(BV267&gt;=650,((0.00002*BV267)+0.035)/10000,IF(BV267&lt;650,((-0.0000000000003*(BV267^4))+(0.0000000004*(BV267^3))-(0.0000002*(BV267^2))-(0.0001*BV267)+0.1409)/10000))</f>
        <v>5.4224000000000008E-6</v>
      </c>
      <c r="BX267" s="16">
        <f>IF(BV267&lt;650,(53.495-(0.029*BV267)),IF(BV267&lt;700,((0.00000000000000006*(BV267^2))-(0.2008*BV267) + 164.43),IF(BV267&lt;1250,((0.0115*BV267)+ 15.889))))</f>
        <v>26.942799999999998</v>
      </c>
      <c r="BY267" s="17">
        <f>(BW267*$M$8)/($D$6^2)</f>
        <v>1.3570605482983659E-2</v>
      </c>
      <c r="BZ267" s="18">
        <f>($C$263*$D$6)/BX267</f>
        <v>0.44043606713919486</v>
      </c>
      <c r="CA267" s="19">
        <f>(($C$13-$C$12)*(1-((U$4/$D$4)^2)))+($C$12)</f>
        <v>952.5</v>
      </c>
      <c r="CB267" s="15">
        <f>IF(CA267&gt;=650,((0.00002*CA267)+0.035)/10000,IF(CA267&lt;650,((-0.0000000000003*(CA267^4))+(0.0000000004*(CA267^3))-(0.0000002*(CA267^2))-(0.0001*CA267)+0.1409)/10000))</f>
        <v>5.4049999999999999E-6</v>
      </c>
      <c r="CC267" s="16">
        <f>IF(CA267&lt;650,(53.495-(0.029*CA267)),IF(CA267&lt;700,((0.00000000000000006*(CA267^2))-(0.2008*CA267) + 164.43),IF(CA267&lt;1250,((0.0115*CA267)+ 15.889))))</f>
        <v>26.842749999999999</v>
      </c>
      <c r="CD267" s="17">
        <f>(CB267*$M$8)/($D$6^2)</f>
        <v>1.3527058615285973E-2</v>
      </c>
      <c r="CE267" s="18">
        <f>($C$263*$D$6)/CC267</f>
        <v>0.44207768837834793</v>
      </c>
      <c r="CF267" s="19">
        <f>(($C$13-$C$12)*(1-((V$4/$D$4)^2)))+($C$12)</f>
        <v>943.2</v>
      </c>
      <c r="CG267" s="15">
        <f>IF(CF267&gt;=650,((0.00002*CF267)+0.035)/10000,IF(CF267&lt;650,((-0.0000000000003*(CF267^4))+(0.0000000004*(CF267^3))-(0.0000002*(CF267^2))-(0.0001*CF267)+0.1409)/10000))</f>
        <v>5.3864000000000006E-6</v>
      </c>
      <c r="CH267" s="16">
        <f>IF(CF267&lt;650,(53.495-(0.029*CF267)),IF(CF267&lt;700,((0.00000000000000006*(CF267^2))-(0.2008*CF267) + 164.43),IF(CF267&lt;1250,((0.0115*CF267)+ 15.889))))</f>
        <v>26.735799999999998</v>
      </c>
      <c r="CI267" s="17">
        <f>(CG267*$M$8)/($D$6^2)</f>
        <v>1.348050851533328E-2</v>
      </c>
      <c r="CJ267" s="18">
        <f>($C$263*$D$6)/CH267</f>
        <v>0.44384611157017556</v>
      </c>
      <c r="CK267" s="19">
        <f>(($C$13-$C$12)*(1-((W$4/$D$4)^2)))+($C$12)</f>
        <v>933.3</v>
      </c>
      <c r="CL267" s="15">
        <f>IF(CK267&gt;=650,((0.00002*CK267)+0.035)/10000,IF(CK267&lt;650,((-0.0000000000003*(CK267^4))+(0.0000000004*(CK267^3))-(0.0000002*(CK267^2))-(0.0001*CK267)+0.1409)/10000))</f>
        <v>5.3666000000000004E-6</v>
      </c>
      <c r="CM267" s="16">
        <f>IF(CK267&lt;650,(53.495-(0.029*CK267)),IF(CK267&lt;700,((0.00000000000000006*(CK267^2))-(0.2008*CK267) + 164.43),IF(CK267&lt;1250,((0.0115*CK267)+ 15.889))))</f>
        <v>26.621949999999998</v>
      </c>
      <c r="CN267" s="17">
        <f>(CL267*$M$8)/($D$6^2)</f>
        <v>1.3430955183125572E-2</v>
      </c>
      <c r="CO267" s="18">
        <f>($C$263*$D$6)/CM267</f>
        <v>0.44574423998684914</v>
      </c>
      <c r="CP267" s="19">
        <f>(($C$13-$C$12)*(1-((X$4/$D$4)^2)))+($C$12)</f>
        <v>922.80000000000007</v>
      </c>
      <c r="CQ267" s="15">
        <f>IF(CP267&gt;=650,((0.00002*CP267)+0.035)/10000,IF(CP267&lt;650,((-0.0000000000003*(CP267^4))+(0.0000000004*(CP267^3))-(0.0000002*(CP267^2))-(0.0001*CP267)+0.1409)/10000))</f>
        <v>5.3456000000000001E-6</v>
      </c>
      <c r="CR267" s="16">
        <f>IF(CP267&lt;650,(53.495-(0.029*CP267)),IF(CP267&lt;700,((0.00000000000000006*(CP267^2))-(0.2008*CP267) + 164.43),IF(CP267&lt;1250,((0.0115*CP267)+ 15.889))))</f>
        <v>26.501200000000001</v>
      </c>
      <c r="CS267" s="17">
        <f>(CQ267*$M$8)/($D$6^2)</f>
        <v>1.3378398618662852E-2</v>
      </c>
      <c r="CT267" s="18">
        <f>($C$263*$D$6)/CR267</f>
        <v>0.44777522790356278</v>
      </c>
      <c r="CU267" s="19">
        <f>(($C$13-$C$12)*(1-((Y$4/$D$4)^2)))+($C$12)</f>
        <v>911.7</v>
      </c>
      <c r="CV267" s="15">
        <f>IF(CU267&gt;=650,((0.00002*CU267)+0.035)/10000,IF(CU267&lt;650,((-0.0000000000003*(CU267^4))+(0.0000000004*(CU267^3))-(0.0000002*(CU267^2))-(0.0001*CU267)+0.1409)/10000))</f>
        <v>5.3234000000000006E-6</v>
      </c>
      <c r="CW267" s="16">
        <f>IF(CU267&lt;650,(53.495-(0.029*CU267)),IF(CU267&lt;700,((0.00000000000000006*(CU267^2))-(0.2008*CU267) + 164.43),IF(CU267&lt;1250,((0.0115*CU267)+ 15.889))))</f>
        <v>26.373550000000002</v>
      </c>
      <c r="CX267" s="17">
        <f>(CV267*$M$8)/($D$6^2)</f>
        <v>1.3322838821945118E-2</v>
      </c>
      <c r="CY267" s="18">
        <f>($C$263*$D$6)/CW267</f>
        <v>0.44994249426860994</v>
      </c>
      <c r="CZ267" s="19">
        <f>(($C$13-$C$12)*(1-((Z$4/$D$4)^2)))+($C$12)</f>
        <v>900</v>
      </c>
      <c r="DA267" s="15">
        <f>IF(CZ267&gt;=650,((0.00002*CZ267)+0.035)/10000,IF(CZ267&lt;650,((-0.0000000000003*(CZ267^4))+(0.0000000004*(CZ267^3))-(0.0000002*(CZ267^2))-(0.0001*CZ267)+0.1409)/10000))</f>
        <v>5.3000000000000009E-6</v>
      </c>
      <c r="DB267" s="16">
        <f>IF(CZ267&lt;650,(53.495-(0.029*CZ267)),IF(CZ267&lt;700,((0.00000000000000006*(CZ267^2))-(0.2008*CZ267) + 164.43),IF(CZ267&lt;1250,((0.0115*CZ267)+ 15.889))))</f>
        <v>26.238999999999997</v>
      </c>
      <c r="DC267" s="17">
        <f>(DA267*$M$8)/($D$6^2)</f>
        <v>1.3264275792972373E-2</v>
      </c>
      <c r="DD267" s="18">
        <f>($C$263*$D$6)/DB267</f>
        <v>0.4522497377841343</v>
      </c>
    </row>
    <row r="268" spans="2:108" x14ac:dyDescent="0.25">
      <c r="B268">
        <v>1</v>
      </c>
      <c r="C268">
        <f>$B268*$M$8</f>
        <v>9.7761466634525146E-4</v>
      </c>
      <c r="D268" s="19">
        <f t="shared" ref="D268:D331" si="428">D267+(4*$H$7*(I267-D267))</f>
        <v>1019.9846835154995</v>
      </c>
      <c r="E268" s="15">
        <f t="shared" ref="E268:E333" si="429">IF($D268&gt;=650,((0.00002*$D268)+0.035)/10000,IF($D268&lt;650,((-0.0000000000003*($D268^4))+(0.0000000004*($D268^3))-(0.0000002*($D268^2))-(0.0001*$D268)+0.1409)/10000))</f>
        <v>5.5399693670309996E-6</v>
      </c>
      <c r="F268" s="16">
        <f t="shared" ref="F268:F331" si="430">IF($D268&lt;650,(53.495-(0.029*D268)),IF(D268&lt;700,((0.00000000000000006*(D268^2))-(0.2008*D268) + 164.43),IF(D268&lt;1250,((0.0115*D268)+ 15.889))))</f>
        <v>27.618823860428243</v>
      </c>
      <c r="G268" s="17">
        <f t="shared" si="426"/>
        <v>1.3864845579041087E-2</v>
      </c>
      <c r="H268" s="18">
        <f>($C$263*$D$6)/F268</f>
        <v>0.42965554687215063</v>
      </c>
      <c r="I268" s="19">
        <f>I267+(G268*(D267+N267-(2*I267))+((G268/(2*$I$18))*(N267-D267)))</f>
        <v>1019.6833621853052</v>
      </c>
      <c r="J268" s="15">
        <f t="shared" ref="J268:J333" si="431">IF($I268&gt;=650,((0.00002*$I268)+0.035)/10000,IF($I268&lt;650,((-0.0000000000003*($I268^4))+(0.0000000004*($I268^3))-(0.0000002*($I268^2))-(0.0001*$I268)+0.1409)/10000))</f>
        <v>5.5393667243706106E-6</v>
      </c>
      <c r="K268" s="16">
        <f t="shared" ref="K268:K331" si="432">IF($I268&lt;650,(53.495-(0.029*I268)),IF(I268&lt;700,((0.00000000000000006*(I268^2))-(0.2008*I268) + 164.43),IF(I268&lt;1250,((0.0115*I268)+ 15.889))))</f>
        <v>27.615358665131009</v>
      </c>
      <c r="L268" s="17">
        <f t="shared" ref="L268:L333" si="433">($J268*$M$8)/($D$6^2)</f>
        <v>1.3863337349144482E-2</v>
      </c>
      <c r="M268" s="18">
        <f>($C$263*$D$6)/K268</f>
        <v>0.42970946036277391</v>
      </c>
      <c r="N268" s="19">
        <f>N267+(L268*(I267+S267-(2*N267))+((L268/(2*N$18))*(S267-I267)))</f>
        <v>1018.7833639951809</v>
      </c>
      <c r="O268" s="15">
        <f t="shared" ref="O268:O333" si="434">IF($N268&gt;=650,((0.00002*$N268)+0.035)/10000,IF($N268&lt;650,((-0.0000000000003*($N268^4))+(0.0000000004*($N268^3))-(0.0000002*($N268^2))-(0.0001*$N268)+0.1409)/10000))</f>
        <v>5.5375667279903622E-6</v>
      </c>
      <c r="P268" s="16">
        <f t="shared" ref="P268:P333" si="435">IF($N268&lt;650,(53.495-(0.029*$N268)),IF($N268&lt;700,((0.00000000000000006*($N268^2))-(0.2008*$N268) + 164.43),IF($N268&lt;1250,((0.0115*$N268)+ 15.889))))</f>
        <v>27.605008685944579</v>
      </c>
      <c r="Q268" s="17">
        <f t="shared" si="427"/>
        <v>1.3864845579041087E-2</v>
      </c>
      <c r="R268" s="18">
        <f>($C$263*$D$6)/P268</f>
        <v>0.42987057184879318</v>
      </c>
      <c r="S268" s="19">
        <f>S267+(Q268*(N267+X267-(2*S267))+((Q268/(2*S$18))*(X267-N267)))</f>
        <v>1017.2833621853051</v>
      </c>
      <c r="T268" s="15">
        <f t="shared" ref="T268:T333" si="436">IF($S268&gt;=650,((0.00002*$S268)+0.035)/10000,IF($S268&lt;650,((-0.0000000000003*($S268^4))+(0.0000000004*($S268^3))-(0.0000002*($S268^2))-(0.0001*$S268)+0.1409)/10000))</f>
        <v>5.5345667243706111E-6</v>
      </c>
      <c r="U268" s="16">
        <f t="shared" ref="U268:U333" si="437">IF($S268&lt;650,(53.495-(0.029*$S268)),IF($S268&lt;700,((0.00000000000000006*($S268^2))-(0.2008*$S268) + 164.43),IF($S268&lt;1250,((0.0115*$S268)+ 15.889))))</f>
        <v>27.587758665131009</v>
      </c>
      <c r="V268" s="17">
        <f t="shared" ref="V268:V333" si="438">($T268*$M$8)/($D$6^2)</f>
        <v>1.3851324420124432E-2</v>
      </c>
      <c r="W268" s="18">
        <f>($C$263*$D$6)/U268</f>
        <v>0.43013936049529183</v>
      </c>
      <c r="X268" s="19">
        <f>X267+(V268*(S267+AC267-(2*X267))+((V268/(2*X$18))*(AC267-S267)))</f>
        <v>1015.1833784106959</v>
      </c>
      <c r="Y268" s="15">
        <f t="shared" ref="Y268:Y333" si="439">IF($X268&gt;=650,((0.00002*$X268)+0.035)/10000,IF($X268&lt;650,((-0.0000000000003*($X268^4))+(0.0000000004*($X268^3))-(0.0000002*($X268^2))-(0.0001*$X268)+0.1409)/10000))</f>
        <v>5.5303667568213921E-6</v>
      </c>
      <c r="Z268" s="16">
        <f t="shared" ref="Z268:Z333" si="440">IF($X268&lt;650,(53.495-(0.029*$X268)),IF($X268&lt;700,((0.00000000000000006*($X268^2))-(0.2008*$X268) + 164.43),IF($X268&lt;1250,((0.0115*$X268)+ 15.889))))</f>
        <v>27.563608851723004</v>
      </c>
      <c r="AA268" s="17">
        <f t="shared" ref="AA268:AA333" si="441">($Y268*$M$8)/($D$6^2)</f>
        <v>1.3840813188446247E-2</v>
      </c>
      <c r="AB268" s="18">
        <f>($C$263*$D$6)/Z268</f>
        <v>0.43051622643295917</v>
      </c>
      <c r="AC268" s="19">
        <f>AC267+(AA268*(X267+AH267-(2*AC267))+((AA268/(2*AC$18))*(AH267-X267)))</f>
        <v>1012.4833910241739</v>
      </c>
      <c r="AD268" s="15">
        <f t="shared" ref="AD268:AD331" si="442">IF(AC268&gt;=650,((0.00002*AC268)+0.035)/10000,IF(AC268&lt;650,((-0.0000000000003*(AC268^4))+(0.0000000004*(AC268^3))-(0.0000002*(AC268^2))-(0.0001*AC268)+0.1409)/10000))</f>
        <v>5.5249667820483483E-6</v>
      </c>
      <c r="AE268" s="16">
        <f t="shared" ref="AE268:AE331" si="443">IF(AC268&lt;650,(53.495-(0.029*AC268)),IF(AC268&lt;700,((0.00000000000000006*(AC268^2))-(0.2008*AC268) + 164.43),IF(AC268&lt;1250,((0.0115*AC268)+ 15.889))))</f>
        <v>27.532558996778</v>
      </c>
      <c r="AF268" s="17">
        <f t="shared" ref="AF268:AF331" si="444">(AD268*$M$8)/($D$6^2)</f>
        <v>1.3827298706434031E-2</v>
      </c>
      <c r="AG268" s="18">
        <f>($C$263*$D$6)/AE268</f>
        <v>0.43100174128770907</v>
      </c>
      <c r="AH268" s="19">
        <f>AH267+(AF268*(AC267+AM267-(2*AH267))+((AF268/(2*AH$18))*(AM267-AC267)))</f>
        <v>1009.1834072415523</v>
      </c>
      <c r="AI268" s="15">
        <f t="shared" ref="AI268:AI331" si="445">IF(AH268&gt;=650,((0.00002*AH268)+0.035)/10000,IF(AH268&lt;650,((-0.0000000000003*(AH268^4))+(0.0000000004*(AH268^3))-(0.0000002*(AH268^2))-(0.0001*AH268)+0.1409)/10000))</f>
        <v>5.5183668144831057E-6</v>
      </c>
      <c r="AJ268" s="16">
        <f t="shared" ref="AJ268:AJ331" si="446">IF(AH268&lt;650,(53.495-(0.029*AH268)),IF(AH268&lt;700,((0.00000000000000006*(AH268^2))-(0.2008*AH268) + 164.43),IF(AH268&lt;1250,((0.0115*AH268)+ 15.889))))</f>
        <v>27.494609183277852</v>
      </c>
      <c r="AK268" s="17">
        <f t="shared" ref="AK268:AK331" si="447">(AI268*$M$8)/($D$6^2)</f>
        <v>1.3810781010205719E-2</v>
      </c>
      <c r="AL268" s="18">
        <f>($C$263*$D$6)/AJ268</f>
        <v>0.43159663738501586</v>
      </c>
      <c r="AM268" s="19">
        <f>AM267+(AK268*(AH267+AR267-(2*AM267))+((AK268/(2*AM$18))*(AR267-AH267)))</f>
        <v>1005.2834270627877</v>
      </c>
      <c r="AN268" s="15">
        <f t="shared" ref="AN268:AN331" si="448">IF(AM268&gt;=650,((0.00002*AM268)+0.035)/10000,IF(AM268&lt;650,((-0.0000000000003*(AM268^4))+(0.0000000004*(AM268^3))-(0.0000002*(AM268^2))-(0.0001*AM268)+0.1409)/10000))</f>
        <v>5.5105668541255757E-6</v>
      </c>
      <c r="AO268" s="16">
        <f t="shared" ref="AO268:AO331" si="449">IF(AM268&lt;650,(53.495-(0.029*AM268)),IF(AM268&lt;700,((0.00000000000000006*(AM268^2))-(0.2008*AM268) + 164.43),IF(AM268&lt;1250,((0.0115*AM268)+ 15.889))))</f>
        <v>27.449759411222058</v>
      </c>
      <c r="AP268" s="17">
        <f t="shared" ref="AP268:AP331" si="450">(AN268*$M$8)/($D$6^2)</f>
        <v>1.3791260099761091E-2</v>
      </c>
      <c r="AQ268" s="18">
        <f>($C$263*$D$6)/AO268</f>
        <v>0.4323018170012296</v>
      </c>
      <c r="AR268" s="19">
        <f>AR267+(AP268*(AM267+AW267-(2*AR267))+((AP268/(2*AR$18))*(AW267-AM267)))</f>
        <v>1000.7834504878803</v>
      </c>
      <c r="AS268" s="15">
        <f t="shared" ref="AS268:AS331" si="451">IF(AR268&gt;=650,((0.00002*AR268)+0.035)/10000,IF(AR268&lt;650,((-0.0000000000003*(AR268^4))+(0.0000000004*(AR268^3))-(0.0000002*(AR268^2))-(0.0001*AR268)+0.1409)/10000))</f>
        <v>5.5015669009757614E-6</v>
      </c>
      <c r="AT268" s="16">
        <f t="shared" ref="AT268:AT331" si="452">IF(AR268&lt;650,(53.495-(0.029*AR268)),IF(AR268&lt;700,((0.00000000000000006*(AR268^2))-(0.2008*AR268) + 164.43),IF(AR268&lt;1250,((0.0115*AR268)+ 15.889))))</f>
        <v>27.39800968061062</v>
      </c>
      <c r="AU268" s="17">
        <f t="shared" ref="AU268:AU331" si="453">(AS268*$M$8)/($D$6^2)</f>
        <v>1.3768735975100154E-2</v>
      </c>
      <c r="AV268" s="18">
        <f>($C$263*$D$6)/AT268</f>
        <v>0.43311835451010133</v>
      </c>
      <c r="AW268" s="19">
        <f>AW267+(AU268*(AR267+BB267-(2*AW267))+((AU268/(2*AW$18))*(BB267-AR267)))</f>
        <v>995.68347751682995</v>
      </c>
      <c r="AX268" s="15">
        <f t="shared" ref="AX268:AX331" si="454">IF(AW268&gt;=650,((0.00002*AW268)+0.035)/10000,IF(AW268&lt;650,((-0.0000000000003*(AW268^4))+(0.0000000004*(AW268^3))-(0.0000002*(AW268^2))-(0.0001*AW268)+0.1409)/10000))</f>
        <v>5.4913669550336604E-6</v>
      </c>
      <c r="AY268" s="16">
        <f t="shared" ref="AY268:AY331" si="455">IF(AW268&lt;650,(53.495-(0.029*AW268)),IF(AW268&lt;700,((0.00000000000000006*(AW268^2))-(0.2008*AW268) + 164.43),IF(AW268&lt;1250,((0.0115*AW268)+ 15.889))))</f>
        <v>27.339359991443544</v>
      </c>
      <c r="AZ268" s="17">
        <f t="shared" ref="AZ268:AZ331" si="456">(AX268*$M$8)/($D$6^2)</f>
        <v>1.3743208636222902E-2</v>
      </c>
      <c r="BA268" s="18">
        <f>($C$263*$D$6)/AY268</f>
        <v>0.43404750050593016</v>
      </c>
      <c r="BB268" s="19">
        <f>BB267+(AZ268*(AW267+BG267-(2*BB267))+((AZ268/(2*BB$18))*(BG267-AW267)))</f>
        <v>989.98350814963658</v>
      </c>
      <c r="BC268" s="15">
        <f t="shared" ref="BC268:BC331" si="457">IF(BB268&gt;=650,((0.00002*BB268)+0.035)/10000,IF(BB268&lt;650,((-0.0000000000003*(BB268^4))+(0.0000000004*(BB268^3))-(0.0000002*(BB268^2))-(0.0001*BB268)+0.1409)/10000))</f>
        <v>5.4799670162992735E-6</v>
      </c>
      <c r="BD268" s="16">
        <f t="shared" ref="BD268:BD331" si="458">IF(BB268&lt;650,(53.495-(0.029*BB268)),IF(BB268&lt;700,((0.00000000000000006*(BB268^2))-(0.2008*BB268) + 164.43),IF(BB268&lt;1250,((0.0115*BB268)+ 15.889))))</f>
        <v>27.273810343720818</v>
      </c>
      <c r="BE268" s="17">
        <f t="shared" ref="BE268:BE331" si="459">(BC268*$M$8)/($D$6^2)</f>
        <v>1.3714678083129338E-2</v>
      </c>
      <c r="BF268" s="18">
        <f>($C$263*$D$6)/BD268</f>
        <v>0.43509068663924005</v>
      </c>
      <c r="BG268" s="19">
        <f>BG267+(BE268*(BB267+BL267-(2*BG267))+((BE268/(2*BG$18))*(BL267-BB267)))</f>
        <v>983.68354238630025</v>
      </c>
      <c r="BH268" s="15">
        <f t="shared" ref="BH268:BH331" si="460">IF(BG268&gt;=650,((0.00002*BG268)+0.035)/10000,IF(BG268&lt;650,((-0.0000000000003*(BG268^4))+(0.0000000004*(BG268^3))-(0.0000002*(BG268^2))-(0.0001*BG268)+0.1409)/10000))</f>
        <v>5.4673670847726008E-6</v>
      </c>
      <c r="BI268" s="16">
        <f t="shared" ref="BI268:BI331" si="461">IF(BG268&lt;650,(53.495-(0.029*BG268)),IF(BG268&lt;700,((0.00000000000000006*(BG268^2))-(0.2008*BG268) + 164.43),IF(BG268&lt;1250,((0.0115*BG268)+ 15.889))))</f>
        <v>27.20136073744245</v>
      </c>
      <c r="BJ268" s="17">
        <f t="shared" ref="BJ268:BJ331" si="462">(BH268*$M$8)/($D$6^2)</f>
        <v>1.3683144315819459E-2</v>
      </c>
      <c r="BK268" s="18">
        <f>($C$263*$D$6)/BI268</f>
        <v>0.43624953120024057</v>
      </c>
      <c r="BL268" s="19">
        <f>BL267+(BJ268*(BG267+BQ267-(2*BL267))+((BJ268/(2*BL$18))*(BQ267-BG267)))</f>
        <v>976.78358022682096</v>
      </c>
      <c r="BM268" s="15">
        <f t="shared" ref="BM268:BM331" si="463">IF(BL268&gt;=650,((0.00002*BL268)+0.035)/10000,IF(BL268&lt;650,((-0.0000000000003*(BL268^4))+(0.0000000004*(BL268^3))-(0.0000002*(BL268^2))-(0.0001*BL268)+0.1409)/10000))</f>
        <v>5.453567160453643E-6</v>
      </c>
      <c r="BN268" s="16">
        <f t="shared" ref="BN268:BN331" si="464">IF(BL268&lt;650,(53.495-(0.029*BL268)),IF(BL268&lt;700,((0.00000000000000006*(BL268^2))-(0.2008*BL268) + 164.43),IF(BL268&lt;1250,((0.0115*BL268)+ 15.889))))</f>
        <v>27.122011172608438</v>
      </c>
      <c r="BO268" s="17">
        <f t="shared" ref="BO268:BO331" si="465">(BM268*$M$8)/($D$6^2)</f>
        <v>1.3648607334293269E-2</v>
      </c>
      <c r="BP268" s="18">
        <f>($C$263*$D$6)/BN268</f>
        <v>0.43752584549122281</v>
      </c>
      <c r="BQ268" s="19">
        <f>BQ267+(BO268*(BL267+BV267-(2*BQ267))+((BO268/(2*BQ$18))*(BV267-BL267)))</f>
        <v>969.28362167119883</v>
      </c>
      <c r="BR268" s="15">
        <f t="shared" ref="BR268:BR331" si="466">IF(BQ268&gt;=650,((0.00002*BQ268)+0.035)/10000,IF(BQ268&lt;650,((-0.0000000000003*(BQ268^4))+(0.0000000004*(BQ268^3))-(0.0000002*(BQ268^2))-(0.0001*BQ268)+0.1409)/10000))</f>
        <v>5.4385672433423984E-6</v>
      </c>
      <c r="BS268" s="16">
        <f t="shared" ref="BS268:BS331" si="467">IF(BQ268&lt;650,(53.495-(0.029*BQ268)),IF(BQ268&lt;700,((0.00000000000000006*(BQ268^2))-(0.2008*BQ268) + 164.43),IF(BQ268&lt;1250,((0.0115*BQ268)+ 15.889))))</f>
        <v>27.035761649218784</v>
      </c>
      <c r="BT268" s="17">
        <f t="shared" ref="BT268:BT331" si="468">(BR268*$M$8)/($D$6^2)</f>
        <v>1.3611067138550766E-2</v>
      </c>
      <c r="BU268" s="18">
        <f>($C$263*$D$6)/BS268</f>
        <v>0.43892164103543169</v>
      </c>
      <c r="BV268" s="19">
        <f>BV267+(BT268*(BQ267+CA267-(2*BV267))+((BT268/(2*BV$18))*(CA267-BQ267)))</f>
        <v>961.18366671943375</v>
      </c>
      <c r="BW268" s="15">
        <f t="shared" ref="BW268:BW331" si="469">IF(BV268&gt;=650,((0.00002*BV268)+0.035)/10000,IF(BV268&lt;650,((-0.0000000000003*(BV268^4))+(0.0000000004*(BV268^3))-(0.0000002*(BV268^2))-(0.0001*BV268)+0.1409)/10000))</f>
        <v>5.422367333438868E-6</v>
      </c>
      <c r="BX268" s="16">
        <f t="shared" ref="BX268:BX331" si="470">IF(BV268&lt;650,(53.495-(0.029*BV268)),IF(BV268&lt;700,((0.00000000000000006*(BV268^2))-(0.2008*BV268) + 164.43),IF(BV268&lt;1250,((0.0115*BV268)+ 15.889))))</f>
        <v>26.942612167273488</v>
      </c>
      <c r="BY268" s="17">
        <f t="shared" ref="BY268:BY331" si="471">(BW268*$M$8)/($D$6^2)</f>
        <v>1.3570523728591946E-2</v>
      </c>
      <c r="BZ268" s="18">
        <f>($C$263*$D$6)/BX268</f>
        <v>0.44043913767693005</v>
      </c>
      <c r="CA268" s="19">
        <f>CA267+(BY268*(BV267+CF267-(2*CA267))+((BY268/(2*CA$18))*(CF267-BV267)))</f>
        <v>952.4837153715257</v>
      </c>
      <c r="CB268" s="15">
        <f t="shared" ref="CB268:CB331" si="472">IF(CA268&gt;=650,((0.00002*CA268)+0.035)/10000,IF(CA268&lt;650,((-0.0000000000003*(CA268^4))+(0.0000000004*(CA268^3))-(0.0000002*(CA268^2))-(0.0001*CA268)+0.1409)/10000))</f>
        <v>5.4049674307430518E-6</v>
      </c>
      <c r="CC268" s="16">
        <f t="shared" ref="CC268:CC331" si="473">IF(CA268&lt;650,(53.495-(0.029*CA268)),IF(CA268&lt;700,((0.00000000000000006*(CA268^2))-(0.2008*CA268) + 164.43),IF(CA268&lt;1250,((0.0115*CA268)+ 15.889))))</f>
        <v>26.842562726772545</v>
      </c>
      <c r="CD268" s="17">
        <f t="shared" ref="CD268:CD331" si="474">(CB268*$M$8)/($D$6^2)</f>
        <v>1.3526977104416818E-2</v>
      </c>
      <c r="CE268" s="18">
        <f>($C$263*$D$6)/CC268</f>
        <v>0.44208077263361562</v>
      </c>
      <c r="CF268" s="19">
        <f>CF267+(CD268*(CA267+CK267-(2*CF267))+((CD268/(2*CF$18))*(CK267-CA267)))</f>
        <v>943.18376762747471</v>
      </c>
      <c r="CG268" s="15">
        <f t="shared" ref="CG268:CG331" si="475">IF(CF268&gt;=650,((0.00002*CF268)+0.035)/10000,IF(CF268&lt;650,((-0.0000000000003*(CF268^4))+(0.0000000004*(CF268^3))-(0.0000002*(CF268^2))-(0.0001*CF268)+0.1409)/10000))</f>
        <v>5.3863675352549504E-6</v>
      </c>
      <c r="CH268" s="16">
        <f t="shared" ref="CH268:CH331" si="476">IF(CF268&lt;650,(53.495-(0.029*CF268)),IF(CF268&lt;700,((0.00000000000000006*(CF268^2))-(0.2008*CF268) + 164.43),IF(CF268&lt;1250,((0.0115*CF268)+ 15.889))))</f>
        <v>26.73561332771596</v>
      </c>
      <c r="CI268" s="17">
        <f t="shared" ref="CI268:CI331" si="477">(CG268*$M$8)/($D$6^2)</f>
        <v>1.3480427266025377E-2</v>
      </c>
      <c r="CJ268" s="18">
        <f>($C$263*$D$6)/CH268</f>
        <v>0.44384921057397969</v>
      </c>
      <c r="CK268" s="19">
        <f>CK267+(CI268*(CF267+CP267-(2*CK267))+((CI268/(2*CK$18))*(CP267-CF267)))</f>
        <v>933.28382348728076</v>
      </c>
      <c r="CL268" s="15">
        <f t="shared" ref="CL268:CL331" si="478">IF(CK268&gt;=650,((0.00002*CK268)+0.035)/10000,IF(CK268&lt;650,((-0.0000000000003*(CK268^4))+(0.0000000004*(CK268^3))-(0.0000002*(CK268^2))-(0.0001*CK268)+0.1409)/10000))</f>
        <v>5.3665676469745624E-6</v>
      </c>
      <c r="CM268" s="16">
        <f t="shared" ref="CM268:CM331" si="479">IF(CK268&lt;650,(53.495-(0.029*CK268)),IF(CK268&lt;700,((0.00000000000000006*(CK268^2))-(0.2008*CK268) + 164.43),IF(CK268&lt;1250,((0.0115*CK268)+ 15.889))))</f>
        <v>26.621763970103729</v>
      </c>
      <c r="CN268" s="17">
        <f t="shared" ref="CN268:CN331" si="480">(CL268*$M$8)/($D$6^2)</f>
        <v>1.3430874213417619E-2</v>
      </c>
      <c r="CO268" s="18">
        <f>($C$263*$D$6)/CM268</f>
        <v>0.44574735479752892</v>
      </c>
      <c r="CP268" s="19">
        <f>CP267+(CN268*(CK267+CU267-(2*CP267))+((CN268/(2*CP$18))*(CU267-CK267)))</f>
        <v>922.78388295094396</v>
      </c>
      <c r="CQ268" s="15">
        <f t="shared" ref="CQ268:CQ331" si="481">IF(CP268&gt;=650,((0.00002*CP268)+0.035)/10000,IF(CP268&lt;650,((-0.0000000000003*(CP268^4))+(0.0000000004*(CP268^3))-(0.0000002*(CP268^2))-(0.0001*CP268)+0.1409)/10000))</f>
        <v>5.3455677659018885E-6</v>
      </c>
      <c r="CR268" s="16">
        <f t="shared" ref="CR268:CR331" si="482">IF(CP268&lt;650,(53.495-(0.029*CP268)),IF(CP268&lt;700,((0.00000000000000006*(CP268^2))-(0.2008*CP268) + 164.43),IF(CP268&lt;1250,((0.0115*CP268)+ 15.889))))</f>
        <v>26.501014653935854</v>
      </c>
      <c r="CS268" s="17">
        <f t="shared" ref="CS268:CS331" si="483">(CQ268*$M$8)/($D$6^2)</f>
        <v>1.3378317946593551E-2</v>
      </c>
      <c r="CT268" s="18">
        <f>($C$263*$D$6)/CR268</f>
        <v>0.44777835960916718</v>
      </c>
      <c r="CU268" s="19">
        <f>CU267+(CS268*(CP267+CZ267-(2*CU267))+((CS268/(2*CU$18))*(CZ267-CP267)))</f>
        <v>911.6839460184641</v>
      </c>
      <c r="CV268" s="15">
        <f t="shared" ref="CV268:CV331" si="484">IF(CU268&gt;=650,((0.00002*CU268)+0.035)/10000,IF(CU268&lt;650,((-0.0000000000003*(CU268^4))+(0.0000000004*(CU268^3))-(0.0000002*(CU268^2))-(0.0001*CU268)+0.1409)/10000))</f>
        <v>5.3233678920369287E-6</v>
      </c>
      <c r="CW268" s="16">
        <f t="shared" ref="CW268:CW331" si="485">IF(CU268&lt;650,(53.495-(0.029*CU268)),IF(CU268&lt;700,((0.00000000000000006*(CU268^2))-(0.2008*CU268) + 164.43),IF(CU268&lt;1250,((0.0115*CU268)+ 15.889))))</f>
        <v>26.373365379212338</v>
      </c>
      <c r="CX268" s="17">
        <f t="shared" ref="CX268:CX331" si="486">(CV268*$M$8)/($D$6^2)</f>
        <v>1.3322758465553168E-2</v>
      </c>
      <c r="CY268" s="18">
        <f>($C$263*$D$6)/CW268</f>
        <v>0.44994564398941733</v>
      </c>
      <c r="CZ268" s="20">
        <f>CZ267+((2*$CX268)*(CU267-CZ267))+((2*$CX268*$CY268)*($C$14-CZ267))+((($CX268*$CY268)/$C$5)*($C$14-CZ267))+(((CZ267-$C$14)*$CX268*($D$6^2))/($CW268*($D$4/(2*$C$263))))</f>
        <v>890.08360768223667</v>
      </c>
      <c r="DA268" s="15">
        <f t="shared" ref="DA268:DA331" si="487">IF(CZ268&gt;=650,((0.00002*CZ268)+0.035)/10000,IF(CZ268&lt;650,((-0.0000000000003*(CZ268^4))+(0.0000000004*(CZ268^3))-(0.0000002*(CZ268^2))-(0.0001*CZ268)+0.1409)/10000))</f>
        <v>5.2801672153644741E-6</v>
      </c>
      <c r="DB268" s="16">
        <f t="shared" ref="DB268:DB331" si="488">IF(CZ268&lt;650,(53.495-(0.029*CZ268)),IF(CZ268&lt;700,((0.00000000000000006*(CZ268^2))-(0.2008*CZ268) + 164.43),IF(CZ268&lt;1250,((0.0115*CZ268)+ 15.889))))</f>
        <v>26.124961488345718</v>
      </c>
      <c r="DC268" s="17">
        <f t="shared" ref="DC268:DC331" si="489">(DA268*$M$8)/($D$6^2)</f>
        <v>1.3214640410868929E-2</v>
      </c>
      <c r="DD268" s="18">
        <f>($C$263*$D$6)/DB268</f>
        <v>0.45422386077053362</v>
      </c>
    </row>
    <row r="269" spans="2:108" x14ac:dyDescent="0.25">
      <c r="B269">
        <v>2</v>
      </c>
      <c r="C269">
        <f t="shared" ref="C269:C334" si="490">$B269*$M$8</f>
        <v>1.9552293326905029E-3</v>
      </c>
      <c r="D269" s="19">
        <f t="shared" si="428"/>
        <v>1019.9692995705541</v>
      </c>
      <c r="E269" s="15">
        <f t="shared" si="429"/>
        <v>5.539938599141109E-6</v>
      </c>
      <c r="F269" s="16">
        <f t="shared" si="430"/>
        <v>27.618646945061371</v>
      </c>
      <c r="G269" s="17">
        <f t="shared" si="426"/>
        <v>1.3864768576441639E-2</v>
      </c>
      <c r="H269" s="18">
        <f t="shared" ref="H269:H332" si="491">($C$263*$D$6)/F269</f>
        <v>0.42965829909490988</v>
      </c>
      <c r="I269" s="19">
        <f t="shared" ref="I269:I332" si="492">I268+(G269*(D268+N268-(2*I268))+((G269/(2*$I$18))*(N268-D268)))</f>
        <v>1019.6667336606224</v>
      </c>
      <c r="J269" s="15">
        <f t="shared" si="431"/>
        <v>5.5393334673212457E-6</v>
      </c>
      <c r="K269" s="16">
        <f t="shared" si="432"/>
        <v>27.615167437097156</v>
      </c>
      <c r="L269" s="17">
        <f t="shared" si="433"/>
        <v>1.386325411694168E-2</v>
      </c>
      <c r="M269" s="18">
        <f t="shared" ref="M269:M332" si="493">($C$263*$D$6)/K269</f>
        <v>0.42971243599185238</v>
      </c>
      <c r="N269" s="19">
        <f t="shared" ref="N269:N332" si="494">N268+(L269*(I268+S268-(2*N268))+((L269/(2*N$18))*(S268-I268)))</f>
        <v>1018.7667280400591</v>
      </c>
      <c r="O269" s="15">
        <f t="shared" si="434"/>
        <v>5.5375334560801185E-6</v>
      </c>
      <c r="P269" s="16">
        <f t="shared" si="435"/>
        <v>27.60481737246068</v>
      </c>
      <c r="Q269" s="17">
        <f t="shared" si="427"/>
        <v>1.3864768576441639E-2</v>
      </c>
      <c r="R269" s="18">
        <f t="shared" ref="R269:R332" si="495">($C$263*$D$6)/P269</f>
        <v>0.42987355104027325</v>
      </c>
      <c r="S269" s="19">
        <f t="shared" ref="S269:S332" si="496">S268+(Q269*(N268+X268-(2*S268))+((Q269/(2*S$18))*(X268-N268)))</f>
        <v>1017.2667247463795</v>
      </c>
      <c r="T269" s="15">
        <f t="shared" si="436"/>
        <v>5.5345334494927595E-6</v>
      </c>
      <c r="U269" s="16">
        <f t="shared" si="437"/>
        <v>27.587567334583362</v>
      </c>
      <c r="V269" s="17">
        <f t="shared" si="438"/>
        <v>1.3851241143302393E-2</v>
      </c>
      <c r="W269" s="18">
        <f t="shared" ref="W269:W332" si="497">($C$263*$D$6)/U269</f>
        <v>0.43014234367965204</v>
      </c>
      <c r="X269" s="19">
        <f t="shared" ref="X269:X332" si="498">X268+(V269*(S268+AC268-(2*X268))+((V269/(2*X$18))*(AC268-S268)))</f>
        <v>1015.1667569212262</v>
      </c>
      <c r="Y269" s="15">
        <f t="shared" si="439"/>
        <v>5.5303335138424532E-6</v>
      </c>
      <c r="Z269" s="16">
        <f t="shared" si="440"/>
        <v>27.563417704594102</v>
      </c>
      <c r="AA269" s="17">
        <f t="shared" si="441"/>
        <v>1.3840729991457412E-2</v>
      </c>
      <c r="AB269" s="18">
        <f t="shared" ref="AB269:AB332" si="499">($C$263*$D$6)/Z269</f>
        <v>0.43051921198219367</v>
      </c>
      <c r="AC269" s="19">
        <f t="shared" ref="AC269:AC332" si="500">AC268+(AA269*(X268+AH268-(2*AC268))+((AA269/(2*AC$18))*(AH268-X268)))</f>
        <v>1012.4667822379688</v>
      </c>
      <c r="AD269" s="15">
        <f t="shared" si="442"/>
        <v>5.5249335644759381E-6</v>
      </c>
      <c r="AE269" s="16">
        <f t="shared" si="443"/>
        <v>27.532367995736642</v>
      </c>
      <c r="AF269" s="17">
        <f t="shared" si="444"/>
        <v>1.3827215573029952E-2</v>
      </c>
      <c r="AG269" s="18">
        <f t="shared" ref="AG269:AG332" si="501">($C$263*$D$6)/AE269</f>
        <v>0.43100473128774924</v>
      </c>
      <c r="AH269" s="19">
        <f t="shared" ref="AH269:AH332" si="502">AH268+(AF269*(AC268+AM268-(2*AH268))+((AF269/(2*AH$18))*(AM268-AC268)))</f>
        <v>1009.1668146742221</v>
      </c>
      <c r="AI269" s="15">
        <f t="shared" si="445"/>
        <v>5.5183336293484449E-6</v>
      </c>
      <c r="AJ269" s="16">
        <f t="shared" si="446"/>
        <v>27.494418368753553</v>
      </c>
      <c r="AK269" s="17">
        <f t="shared" si="447"/>
        <v>1.3810697957983387E-2</v>
      </c>
      <c r="AL269" s="18">
        <f t="shared" ref="AL269:AL332" si="503">($C$263*$D$6)/AJ269</f>
        <v>0.43159963271686641</v>
      </c>
      <c r="AM269" s="19">
        <f t="shared" ref="AM269:AM332" si="504">AM268+(AK269*(AH268+AR268-(2*AM268))+((AK269/(2*AM$18))*(AR268-AH268)))</f>
        <v>1005.2668543176715</v>
      </c>
      <c r="AN269" s="15">
        <f t="shared" si="448"/>
        <v>5.5105337086353432E-6</v>
      </c>
      <c r="AO269" s="16">
        <f t="shared" si="449"/>
        <v>27.44956882465322</v>
      </c>
      <c r="AP269" s="17">
        <f t="shared" si="450"/>
        <v>1.3791177146756614E-2</v>
      </c>
      <c r="AQ269" s="18">
        <f t="shared" ref="AQ269:AQ332" si="505">($C$263*$D$6)/AO269</f>
        <v>0.43230481853908731</v>
      </c>
      <c r="AR269" s="19">
        <f t="shared" ref="AR269:AR332" si="506">AR268+(AP269*(AM268+AW268-(2*AR268))+((AP269/(2*AR$18))*(AW268-AM268)))</f>
        <v>1000.7669011684944</v>
      </c>
      <c r="AS269" s="15">
        <f t="shared" si="451"/>
        <v>5.5015338023369897E-6</v>
      </c>
      <c r="AT269" s="16">
        <f t="shared" si="452"/>
        <v>27.397819363437684</v>
      </c>
      <c r="AU269" s="17">
        <f t="shared" si="453"/>
        <v>1.3768653139350525E-2</v>
      </c>
      <c r="AV269" s="18">
        <f t="shared" ref="AV269:AV332" si="507">($C$263*$D$6)/AT269</f>
        <v>0.43312136313862332</v>
      </c>
      <c r="AW269" s="19">
        <f t="shared" ref="AW269:AW332" si="508">AW268+(AU269*(AR268+BB268-(2*AW268))+((AU269/(2*AW$18))*(BB268-AR268)))</f>
        <v>995.66695522678992</v>
      </c>
      <c r="AX269" s="15">
        <f t="shared" si="454"/>
        <v>5.49133391045358E-6</v>
      </c>
      <c r="AY269" s="16">
        <f t="shared" si="455"/>
        <v>27.339169985108086</v>
      </c>
      <c r="AZ269" s="17">
        <f t="shared" si="456"/>
        <v>1.3743125935765611E-2</v>
      </c>
      <c r="BA269" s="18">
        <f t="shared" ref="BA269:BA332" si="509">($C$263*$D$6)/AY269</f>
        <v>0.4340505171218344</v>
      </c>
      <c r="BB269" s="19">
        <f t="shared" ref="BB269:BB332" si="510">BB268+(AZ269*(AW268+BG268-(2*BB268))+((AZ269/(2*BB$18))*(BG268-AW268)))</f>
        <v>989.9670164926174</v>
      </c>
      <c r="BC269" s="15">
        <f t="shared" si="457"/>
        <v>5.4799340329852353E-6</v>
      </c>
      <c r="BD269" s="16">
        <f t="shared" si="458"/>
        <v>27.273620689665101</v>
      </c>
      <c r="BE269" s="17">
        <f t="shared" si="459"/>
        <v>1.3714595536002173E-2</v>
      </c>
      <c r="BF269" s="18">
        <f t="shared" ref="BF269:BF332" si="511">($C$263*$D$6)/BD269</f>
        <v>0.43509371215295034</v>
      </c>
      <c r="BG269" s="19">
        <f t="shared" ref="BG269:BG332" si="512">BG268+(BE269*(BB268+BL268-(2*BG268))+((BE269/(2*BG$18))*(BL268-BB268)))</f>
        <v>983.66708496601473</v>
      </c>
      <c r="BH269" s="15">
        <f t="shared" si="460"/>
        <v>5.4673341699320292E-6</v>
      </c>
      <c r="BI269" s="16">
        <f t="shared" si="461"/>
        <v>27.20117147710917</v>
      </c>
      <c r="BJ269" s="17">
        <f t="shared" si="462"/>
        <v>1.3683061940060397E-2</v>
      </c>
      <c r="BK269" s="18">
        <f t="shared" ref="BK269:BK332" si="513">($C$263*$D$6)/BI269</f>
        <v>0.43625256653758759</v>
      </c>
      <c r="BL269" s="19">
        <f t="shared" ref="BL269:BL332" si="514">BL268+(BJ269*(BG268+BQ268-(2*BL268))+((BJ269/(2*BL$18))*(BQ268-BG268)))</f>
        <v>976.76716064700724</v>
      </c>
      <c r="BM269" s="15">
        <f t="shared" si="463"/>
        <v>5.4535343212940151E-6</v>
      </c>
      <c r="BN269" s="16">
        <f t="shared" si="464"/>
        <v>27.121822347440585</v>
      </c>
      <c r="BO269" s="17">
        <f t="shared" si="465"/>
        <v>1.3648525147940418E-2</v>
      </c>
      <c r="BP269" s="18">
        <f t="shared" ref="BP269:BP332" si="515">($C$263*$D$6)/BN269</f>
        <v>0.43752889159521086</v>
      </c>
      <c r="BQ269" s="19">
        <f t="shared" ref="BQ269:BQ332" si="516">BQ268+(BO269*(BL268+BV268-(2*BQ268))+((BO269/(2*BQ$18))*(BV268-BL268)))</f>
        <v>969.26724353561235</v>
      </c>
      <c r="BR269" s="15">
        <f t="shared" si="466"/>
        <v>5.4385344870712253E-6</v>
      </c>
      <c r="BS269" s="16">
        <f t="shared" si="467"/>
        <v>27.035573300659543</v>
      </c>
      <c r="BT269" s="17">
        <f t="shared" si="468"/>
        <v>1.3610985159642312E-2</v>
      </c>
      <c r="BU269" s="18">
        <f t="shared" ref="BU269:BU332" si="517">($C$263*$D$6)/BS269</f>
        <v>0.43892469886808017</v>
      </c>
      <c r="BV269" s="19">
        <f t="shared" ref="BV269:BV332" si="518">BV268+(BT269*(BQ268+CA268-(2*BV268))+((BT269/(2*BV$18))*(CA268-BQ268)))</f>
        <v>961.16733363184255</v>
      </c>
      <c r="BW269" s="15">
        <f t="shared" si="469"/>
        <v>5.4223346672636858E-6</v>
      </c>
      <c r="BX269" s="16">
        <f t="shared" si="470"/>
        <v>26.942424336766187</v>
      </c>
      <c r="BY269" s="17">
        <f t="shared" si="471"/>
        <v>1.357044197516615E-2</v>
      </c>
      <c r="BZ269" s="18">
        <f t="shared" ref="BZ269:BZ332" si="519">($C$263*$D$6)/BX269</f>
        <v>0.44044220822119995</v>
      </c>
      <c r="CA269" s="19">
        <f t="shared" ref="CA269:CA332" si="520">CA268+(BY269*(BV268+CF268-(2*CA268))+((BY269/(2*CA$18))*(CF268-BV268)))</f>
        <v>952.46743093570694</v>
      </c>
      <c r="CB269" s="15">
        <f t="shared" si="472"/>
        <v>5.4049348618714146E-6</v>
      </c>
      <c r="CC269" s="16">
        <f t="shared" si="473"/>
        <v>26.842375455760632</v>
      </c>
      <c r="CD269" s="17">
        <f t="shared" si="474"/>
        <v>1.3526895594511975E-2</v>
      </c>
      <c r="CE269" s="18">
        <f t="shared" ref="CE269:CE332" si="521">($C$263*$D$6)/CC269</f>
        <v>0.4420838568954305</v>
      </c>
      <c r="CF269" s="19">
        <f t="shared" ref="CF269:CF332" si="522">CF268+(CD269*(CA268+CK268-(2*CF268))+((CD269/(2*CF$18))*(CK268-CA268)))</f>
        <v>943.16753544721246</v>
      </c>
      <c r="CG269" s="15">
        <f t="shared" si="475"/>
        <v>5.3863350708944252E-6</v>
      </c>
      <c r="CH269" s="16">
        <f t="shared" si="476"/>
        <v>26.735426657642943</v>
      </c>
      <c r="CI269" s="17">
        <f t="shared" si="477"/>
        <v>1.348034601767982E-2</v>
      </c>
      <c r="CJ269" s="18">
        <f t="shared" ref="CJ269:CJ332" si="523">($C$263*$D$6)/CH269</f>
        <v>0.44385230958435296</v>
      </c>
      <c r="CK269" s="19">
        <f t="shared" ref="CK269:CK332" si="524">CK268+(CI269*(CF268+CP268-(2*CK268))+((CI269/(2*CK$18))*(CP268-CF268)))</f>
        <v>933.26764716636433</v>
      </c>
      <c r="CL269" s="15">
        <f t="shared" si="478"/>
        <v>5.3665352943327295E-6</v>
      </c>
      <c r="CM269" s="16">
        <f t="shared" si="479"/>
        <v>26.62157794241319</v>
      </c>
      <c r="CN269" s="17">
        <f t="shared" si="480"/>
        <v>1.3430793244669713E-2</v>
      </c>
      <c r="CO269" s="18">
        <f t="shared" ref="CO269:CO332" si="525">($C$263*$D$6)/CM269</f>
        <v>0.44575046961480819</v>
      </c>
      <c r="CP269" s="19">
        <f t="shared" ref="CP269:CP332" si="526">CP268+(CN269*(CK268+CU268-(2*CP268))+((CN269/(2*CP$18))*(CU268-CK268)))</f>
        <v>922.76776609316664</v>
      </c>
      <c r="CQ269" s="15">
        <f t="shared" si="481"/>
        <v>5.3455355321863342E-6</v>
      </c>
      <c r="CR269" s="16">
        <f t="shared" si="482"/>
        <v>26.500829310071417</v>
      </c>
      <c r="CS269" s="17">
        <f t="shared" si="483"/>
        <v>1.3378237275481673E-2</v>
      </c>
      <c r="CT269" s="18">
        <f t="shared" ref="CT269:CT332" si="527">($C$263*$D$6)/CR269</f>
        <v>0.44778149132140949</v>
      </c>
      <c r="CU269" s="19">
        <f t="shared" ref="CU269:CU332" si="528">CU268+(CS269*(CP268+CZ268-(2*CU268))+((CS269/(2*CU$18))*(CZ268-CP268)))</f>
        <v>911.53195673485175</v>
      </c>
      <c r="CV269" s="15">
        <f t="shared" si="484"/>
        <v>5.3230639134697041E-6</v>
      </c>
      <c r="CW269" s="16">
        <f t="shared" si="485"/>
        <v>26.371617502450796</v>
      </c>
      <c r="CX269" s="17">
        <f t="shared" si="486"/>
        <v>1.3321997700354901E-2</v>
      </c>
      <c r="CY269" s="18">
        <f t="shared" ref="CY269:CY332" si="529">($C$263*$D$6)/CW269</f>
        <v>0.44997546580580811</v>
      </c>
      <c r="CZ269" s="20">
        <f t="shared" ref="CZ269:CZ332" si="530">CZ268+((2*$CX269)*(CU268-CZ268))+((2*$CX269*$CY269)*($C$14-CZ268))+((($CX269*$CY269)/$C$5)*($C$14-CZ268))+(((CZ268-$C$14)*$CX269*($D$6^2))/($CW269*($D$4/(2*$C$263))))</f>
        <v>880.54680514801396</v>
      </c>
      <c r="DA269" s="15">
        <f t="shared" si="487"/>
        <v>5.2610936102960285E-6</v>
      </c>
      <c r="DB269" s="16">
        <f t="shared" si="488"/>
        <v>26.015288259202158</v>
      </c>
      <c r="DC269" s="17">
        <f t="shared" si="489"/>
        <v>1.3166905022568155E-2</v>
      </c>
      <c r="DD269" s="18">
        <f t="shared" ref="DD269:DD332" si="531">($C$263*$D$6)/DB269</f>
        <v>0.45613874239969021</v>
      </c>
    </row>
    <row r="270" spans="2:108" x14ac:dyDescent="0.25">
      <c r="B270">
        <v>3</v>
      </c>
      <c r="C270">
        <f t="shared" si="490"/>
        <v>2.9328439990357544E-3</v>
      </c>
      <c r="D270" s="19">
        <f t="shared" si="428"/>
        <v>1019.9538520836545</v>
      </c>
      <c r="E270" s="15">
        <f t="shared" si="429"/>
        <v>5.5399077041673094E-6</v>
      </c>
      <c r="F270" s="16">
        <f t="shared" si="430"/>
        <v>27.618469298962026</v>
      </c>
      <c r="G270" s="17">
        <f t="shared" si="426"/>
        <v>1.386469125579011E-2</v>
      </c>
      <c r="H270" s="18">
        <f t="shared" si="491"/>
        <v>0.42966106272094795</v>
      </c>
      <c r="I270" s="19">
        <f t="shared" si="492"/>
        <v>1019.6501137019989</v>
      </c>
      <c r="J270" s="15">
        <f t="shared" si="431"/>
        <v>5.539300227403998E-6</v>
      </c>
      <c r="K270" s="16">
        <f t="shared" si="432"/>
        <v>27.614976307572988</v>
      </c>
      <c r="L270" s="17">
        <f t="shared" si="433"/>
        <v>1.3863170927615321E-2</v>
      </c>
      <c r="M270" s="18">
        <f t="shared" si="493"/>
        <v>0.42971541012923731</v>
      </c>
      <c r="N270" s="19">
        <f t="shared" si="494"/>
        <v>1018.750092236309</v>
      </c>
      <c r="O270" s="15">
        <f t="shared" si="434"/>
        <v>5.5375001844726187E-6</v>
      </c>
      <c r="P270" s="16">
        <f t="shared" si="435"/>
        <v>27.604626060717553</v>
      </c>
      <c r="Q270" s="17">
        <f t="shared" si="427"/>
        <v>1.386469125579011E-2</v>
      </c>
      <c r="R270" s="18">
        <f t="shared" si="495"/>
        <v>0.42987653024593947</v>
      </c>
      <c r="S270" s="19">
        <f t="shared" si="496"/>
        <v>1017.2500876753708</v>
      </c>
      <c r="T270" s="15">
        <f t="shared" si="436"/>
        <v>5.5345001753507424E-6</v>
      </c>
      <c r="U270" s="16">
        <f t="shared" si="437"/>
        <v>27.587376008266762</v>
      </c>
      <c r="V270" s="17">
        <f t="shared" si="438"/>
        <v>1.3851157868321924E-2</v>
      </c>
      <c r="W270" s="18">
        <f t="shared" si="497"/>
        <v>0.43014532683942064</v>
      </c>
      <c r="X270" s="19">
        <f t="shared" si="498"/>
        <v>1015.1501355363322</v>
      </c>
      <c r="Y270" s="15">
        <f t="shared" si="439"/>
        <v>5.5303002710726645E-6</v>
      </c>
      <c r="Z270" s="16">
        <f t="shared" si="440"/>
        <v>27.563226558667822</v>
      </c>
      <c r="AA270" s="17">
        <f t="shared" si="441"/>
        <v>1.3840646794992017E-2</v>
      </c>
      <c r="AB270" s="18">
        <f t="shared" si="499"/>
        <v>0.43052219755405263</v>
      </c>
      <c r="AC270" s="19">
        <f t="shared" si="500"/>
        <v>1012.4501736402873</v>
      </c>
      <c r="AD270" s="15">
        <f t="shared" si="442"/>
        <v>5.5249003472805753E-6</v>
      </c>
      <c r="AE270" s="16">
        <f t="shared" si="443"/>
        <v>27.532176996863303</v>
      </c>
      <c r="AF270" s="17">
        <f t="shared" si="444"/>
        <v>1.3827132440569507E-2</v>
      </c>
      <c r="AG270" s="18">
        <f t="shared" si="501"/>
        <v>0.43100772129533527</v>
      </c>
      <c r="AH270" s="19">
        <f t="shared" si="502"/>
        <v>1009.1502222980029</v>
      </c>
      <c r="AI270" s="15">
        <f t="shared" si="445"/>
        <v>5.5183004445960059E-6</v>
      </c>
      <c r="AJ270" s="16">
        <f t="shared" si="446"/>
        <v>27.494227556427035</v>
      </c>
      <c r="AK270" s="17">
        <f t="shared" si="447"/>
        <v>1.3810614906717636E-2</v>
      </c>
      <c r="AL270" s="18">
        <f t="shared" si="503"/>
        <v>0.43160262805579253</v>
      </c>
      <c r="AM270" s="19">
        <f t="shared" si="504"/>
        <v>1005.2502817646459</v>
      </c>
      <c r="AN270" s="15">
        <f t="shared" si="448"/>
        <v>5.5105005635292927E-6</v>
      </c>
      <c r="AO270" s="16">
        <f t="shared" si="449"/>
        <v>27.449378240293427</v>
      </c>
      <c r="AP270" s="17">
        <f t="shared" si="450"/>
        <v>1.3791094194713624E-2</v>
      </c>
      <c r="AQ270" s="18">
        <f t="shared" si="505"/>
        <v>0.43230782008383473</v>
      </c>
      <c r="AR270" s="19">
        <f t="shared" si="506"/>
        <v>1000.7503520418377</v>
      </c>
      <c r="AS270" s="15">
        <f t="shared" si="451"/>
        <v>5.5015007040836756E-6</v>
      </c>
      <c r="AT270" s="16">
        <f t="shared" si="452"/>
        <v>27.397629048481132</v>
      </c>
      <c r="AU270" s="17">
        <f t="shared" si="453"/>
        <v>1.3768570304565575E-2</v>
      </c>
      <c r="AV270" s="18">
        <f t="shared" si="507"/>
        <v>0.43312437177390561</v>
      </c>
      <c r="AW270" s="19">
        <f t="shared" si="508"/>
        <v>995.65043312987564</v>
      </c>
      <c r="AX270" s="15">
        <f t="shared" si="454"/>
        <v>5.4913008662597518E-6</v>
      </c>
      <c r="AY270" s="16">
        <f t="shared" si="455"/>
        <v>27.338979980993571</v>
      </c>
      <c r="AZ270" s="17">
        <f t="shared" si="456"/>
        <v>1.3743043236274989E-2</v>
      </c>
      <c r="BA270" s="18">
        <f t="shared" si="509"/>
        <v>0.43405353374440842</v>
      </c>
      <c r="BB270" s="19">
        <f t="shared" si="510"/>
        <v>989.95052502893839</v>
      </c>
      <c r="BC270" s="15">
        <f t="shared" si="457"/>
        <v>5.479901050057877E-6</v>
      </c>
      <c r="BD270" s="16">
        <f t="shared" si="458"/>
        <v>27.27343103783279</v>
      </c>
      <c r="BE270" s="17">
        <f t="shared" si="459"/>
        <v>1.3714512989842749E-2</v>
      </c>
      <c r="BF270" s="18">
        <f t="shared" si="511"/>
        <v>0.43509673767326801</v>
      </c>
      <c r="BG270" s="19">
        <f t="shared" si="512"/>
        <v>983.65062773913951</v>
      </c>
      <c r="BH270" s="15">
        <f t="shared" si="460"/>
        <v>5.4673012554782798E-6</v>
      </c>
      <c r="BI270" s="16">
        <f t="shared" si="461"/>
        <v>27.200982219000103</v>
      </c>
      <c r="BJ270" s="17">
        <f t="shared" si="462"/>
        <v>1.3682979565269435E-2</v>
      </c>
      <c r="BK270" s="18">
        <f t="shared" si="513"/>
        <v>0.43625560188150109</v>
      </c>
      <c r="BL270" s="19">
        <f t="shared" si="514"/>
        <v>976.75074126055495</v>
      </c>
      <c r="BM270" s="15">
        <f t="shared" si="463"/>
        <v>5.4535014825211104E-6</v>
      </c>
      <c r="BN270" s="16">
        <f t="shared" si="464"/>
        <v>27.121633524496382</v>
      </c>
      <c r="BO270" s="17">
        <f t="shared" si="465"/>
        <v>1.3648442962555416E-2</v>
      </c>
      <c r="BP270" s="18">
        <f t="shared" si="515"/>
        <v>0.43753193770574139</v>
      </c>
      <c r="BQ270" s="19">
        <f t="shared" si="516"/>
        <v>969.25086559323677</v>
      </c>
      <c r="BR270" s="15">
        <f t="shared" si="466"/>
        <v>5.4385017311864736E-6</v>
      </c>
      <c r="BS270" s="16">
        <f t="shared" si="467"/>
        <v>27.035384954322222</v>
      </c>
      <c r="BT270" s="17">
        <f t="shared" si="468"/>
        <v>1.3610903181700959E-2</v>
      </c>
      <c r="BU270" s="18">
        <f t="shared" si="517"/>
        <v>0.43892775670726136</v>
      </c>
      <c r="BV270" s="19">
        <f t="shared" si="518"/>
        <v>961.15100073722283</v>
      </c>
      <c r="BW270" s="15">
        <f t="shared" si="469"/>
        <v>5.4223020014744466E-6</v>
      </c>
      <c r="BX270" s="16">
        <f t="shared" si="470"/>
        <v>26.942236508478061</v>
      </c>
      <c r="BY270" s="17">
        <f t="shared" si="471"/>
        <v>1.3570360222706255E-2</v>
      </c>
      <c r="BZ270" s="18">
        <f t="shared" si="519"/>
        <v>0.44044527877200457</v>
      </c>
      <c r="CA270" s="19">
        <f t="shared" si="520"/>
        <v>952.45114669254019</v>
      </c>
      <c r="CB270" s="15">
        <f t="shared" si="472"/>
        <v>5.4049022933850801E-6</v>
      </c>
      <c r="CC270" s="16">
        <f t="shared" si="473"/>
        <v>26.842188186964211</v>
      </c>
      <c r="CD270" s="17">
        <f t="shared" si="474"/>
        <v>1.352681408557143E-2</v>
      </c>
      <c r="CE270" s="18">
        <f t="shared" si="521"/>
        <v>0.44208694116379271</v>
      </c>
      <c r="CF270" s="19">
        <f t="shared" si="522"/>
        <v>943.15130345920977</v>
      </c>
      <c r="CG270" s="15">
        <f t="shared" si="475"/>
        <v>5.38630260691842E-6</v>
      </c>
      <c r="CH270" s="16">
        <f t="shared" si="476"/>
        <v>26.735239989780911</v>
      </c>
      <c r="CI270" s="17">
        <f t="shared" si="477"/>
        <v>1.34802647702966E-2</v>
      </c>
      <c r="CJ270" s="18">
        <f t="shared" si="523"/>
        <v>0.44385540860129535</v>
      </c>
      <c r="CK270" s="19">
        <f t="shared" si="524"/>
        <v>933.25147103724714</v>
      </c>
      <c r="CL270" s="15">
        <f t="shared" si="478"/>
        <v>5.3665029420744949E-6</v>
      </c>
      <c r="CM270" s="16">
        <f t="shared" si="479"/>
        <v>26.621391916928342</v>
      </c>
      <c r="CN270" s="17">
        <f t="shared" si="480"/>
        <v>1.3430712276881838E-2</v>
      </c>
      <c r="CO270" s="18">
        <f t="shared" si="525"/>
        <v>0.44575358443868707</v>
      </c>
      <c r="CP270" s="19">
        <f t="shared" si="526"/>
        <v>922.74977300199271</v>
      </c>
      <c r="CQ270" s="15">
        <f t="shared" si="481"/>
        <v>5.3454995460039859E-6</v>
      </c>
      <c r="CR270" s="16">
        <f t="shared" si="482"/>
        <v>26.500622389522917</v>
      </c>
      <c r="CS270" s="17">
        <f t="shared" si="483"/>
        <v>1.3378147213095371E-2</v>
      </c>
      <c r="CT270" s="18">
        <f t="shared" si="527"/>
        <v>0.44778498766162483</v>
      </c>
      <c r="CU270" s="19">
        <f t="shared" si="528"/>
        <v>911.25288296318297</v>
      </c>
      <c r="CV270" s="15">
        <f t="shared" si="484"/>
        <v>5.322505765926366E-6</v>
      </c>
      <c r="CW270" s="16">
        <f t="shared" si="485"/>
        <v>26.368408154076604</v>
      </c>
      <c r="CX270" s="17">
        <f t="shared" si="486"/>
        <v>1.332060082810056E-2</v>
      </c>
      <c r="CY270" s="18">
        <f t="shared" si="529"/>
        <v>0.45003023316306273</v>
      </c>
      <c r="CZ270" s="20">
        <f t="shared" si="530"/>
        <v>871.37127615926261</v>
      </c>
      <c r="DA270" s="15">
        <f t="shared" si="487"/>
        <v>5.2427425523185259E-6</v>
      </c>
      <c r="DB270" s="16">
        <f t="shared" si="488"/>
        <v>25.909769675831519</v>
      </c>
      <c r="DC270" s="17">
        <f t="shared" si="489"/>
        <v>1.3120977948208455E-2</v>
      </c>
      <c r="DD270" s="18">
        <f t="shared" si="531"/>
        <v>0.45799638584927194</v>
      </c>
    </row>
    <row r="271" spans="2:108" x14ac:dyDescent="0.25">
      <c r="B271">
        <v>4</v>
      </c>
      <c r="C271">
        <f t="shared" si="490"/>
        <v>3.9104586653810058E-3</v>
      </c>
      <c r="D271" s="19">
        <f t="shared" si="428"/>
        <v>1019.9383447362717</v>
      </c>
      <c r="E271" s="15">
        <f t="shared" si="429"/>
        <v>5.5398766894725433E-6</v>
      </c>
      <c r="F271" s="16">
        <f t="shared" si="430"/>
        <v>27.618290964467121</v>
      </c>
      <c r="G271" s="17">
        <f t="shared" si="426"/>
        <v>1.3864613635513693E-2</v>
      </c>
      <c r="H271" s="18">
        <f t="shared" si="491"/>
        <v>0.42966383709205946</v>
      </c>
      <c r="I271" s="19">
        <f t="shared" si="492"/>
        <v>1019.6335016348246</v>
      </c>
      <c r="J271" s="15">
        <f t="shared" si="431"/>
        <v>5.5392670032696499E-6</v>
      </c>
      <c r="K271" s="16">
        <f t="shared" si="432"/>
        <v>27.614785268800482</v>
      </c>
      <c r="L271" s="17">
        <f t="shared" si="433"/>
        <v>1.386308777778872E-2</v>
      </c>
      <c r="M271" s="18">
        <f t="shared" si="493"/>
        <v>0.42971838289558983</v>
      </c>
      <c r="N271" s="19">
        <f t="shared" si="494"/>
        <v>1018.7334566751254</v>
      </c>
      <c r="O271" s="15">
        <f t="shared" si="434"/>
        <v>5.537466913350252E-6</v>
      </c>
      <c r="P271" s="16">
        <f t="shared" si="435"/>
        <v>27.604434751763939</v>
      </c>
      <c r="Q271" s="17">
        <f t="shared" si="427"/>
        <v>1.3864613635513693E-2</v>
      </c>
      <c r="R271" s="18">
        <f t="shared" si="495"/>
        <v>0.42987950944945963</v>
      </c>
      <c r="S271" s="19">
        <f t="shared" si="496"/>
        <v>1017.2334509658739</v>
      </c>
      <c r="T271" s="15">
        <f t="shared" si="436"/>
        <v>5.5344669019317483E-6</v>
      </c>
      <c r="U271" s="16">
        <f t="shared" si="437"/>
        <v>27.587184686107548</v>
      </c>
      <c r="V271" s="17">
        <f t="shared" si="438"/>
        <v>1.3851074595150958E-2</v>
      </c>
      <c r="W271" s="18">
        <f t="shared" si="497"/>
        <v>0.43014830997574438</v>
      </c>
      <c r="X271" s="19">
        <f t="shared" si="498"/>
        <v>1015.1335142605113</v>
      </c>
      <c r="Y271" s="15">
        <f t="shared" si="439"/>
        <v>5.5302670285210231E-6</v>
      </c>
      <c r="Z271" s="16">
        <f t="shared" si="440"/>
        <v>27.563035413995877</v>
      </c>
      <c r="AA271" s="17">
        <f t="shared" si="441"/>
        <v>1.3840563599072575E-2</v>
      </c>
      <c r="AB271" s="18">
        <f t="shared" si="499"/>
        <v>0.43052518314772836</v>
      </c>
      <c r="AC271" s="19">
        <f t="shared" si="500"/>
        <v>1012.4335652301214</v>
      </c>
      <c r="AD271" s="15">
        <f t="shared" si="442"/>
        <v>5.5248671304602432E-6</v>
      </c>
      <c r="AE271" s="16">
        <f t="shared" si="443"/>
        <v>27.531986000146397</v>
      </c>
      <c r="AF271" s="17">
        <f t="shared" si="444"/>
        <v>1.3827049309047648E-2</v>
      </c>
      <c r="AG271" s="18">
        <f t="shared" si="501"/>
        <v>0.43101071131064789</v>
      </c>
      <c r="AH271" s="19">
        <f t="shared" si="502"/>
        <v>1009.1336301128744</v>
      </c>
      <c r="AI271" s="15">
        <f t="shared" si="445"/>
        <v>5.5182672602257499E-6</v>
      </c>
      <c r="AJ271" s="16">
        <f t="shared" si="446"/>
        <v>27.494036746298054</v>
      </c>
      <c r="AK271" s="17">
        <f t="shared" si="447"/>
        <v>1.3810531856408374E-2</v>
      </c>
      <c r="AL271" s="18">
        <f t="shared" si="503"/>
        <v>0.43160562340179748</v>
      </c>
      <c r="AM271" s="19">
        <f t="shared" si="504"/>
        <v>1005.2337094037056</v>
      </c>
      <c r="AN271" s="15">
        <f t="shared" si="448"/>
        <v>5.5104674188074115E-6</v>
      </c>
      <c r="AO271" s="16">
        <f t="shared" si="449"/>
        <v>27.449187658142613</v>
      </c>
      <c r="AP271" s="17">
        <f t="shared" si="450"/>
        <v>1.3791011243632093E-2</v>
      </c>
      <c r="AQ271" s="18">
        <f t="shared" si="505"/>
        <v>0.4323108216354723</v>
      </c>
      <c r="AR271" s="19">
        <f t="shared" si="506"/>
        <v>1000.7338031079053</v>
      </c>
      <c r="AS271" s="15">
        <f t="shared" si="451"/>
        <v>5.5014676062158106E-6</v>
      </c>
      <c r="AT271" s="16">
        <f t="shared" si="452"/>
        <v>27.397438735740909</v>
      </c>
      <c r="AU271" s="17">
        <f t="shared" si="453"/>
        <v>1.3768487470745289E-2</v>
      </c>
      <c r="AV271" s="18">
        <f t="shared" si="507"/>
        <v>0.43312738041594862</v>
      </c>
      <c r="AW271" s="19">
        <f t="shared" si="508"/>
        <v>995.63391122608277</v>
      </c>
      <c r="AX271" s="15">
        <f t="shared" si="454"/>
        <v>5.4912678224521655E-6</v>
      </c>
      <c r="AY271" s="16">
        <f t="shared" si="455"/>
        <v>27.33878997909995</v>
      </c>
      <c r="AZ271" s="17">
        <f t="shared" si="456"/>
        <v>1.3742960537751012E-2</v>
      </c>
      <c r="BA271" s="18">
        <f t="shared" si="509"/>
        <v>0.43405655037365232</v>
      </c>
      <c r="BB271" s="19">
        <f t="shared" si="510"/>
        <v>989.93403375859555</v>
      </c>
      <c r="BC271" s="15">
        <f t="shared" si="457"/>
        <v>5.4798680675171917E-6</v>
      </c>
      <c r="BD271" s="16">
        <f t="shared" si="458"/>
        <v>27.273241388223848</v>
      </c>
      <c r="BE271" s="17">
        <f t="shared" si="459"/>
        <v>1.371443044465105E-2</v>
      </c>
      <c r="BF271" s="18">
        <f t="shared" si="511"/>
        <v>0.43509976320019295</v>
      </c>
      <c r="BG271" s="19">
        <f t="shared" si="512"/>
        <v>983.63417070567073</v>
      </c>
      <c r="BH271" s="15">
        <f t="shared" si="460"/>
        <v>5.4672683414113425E-6</v>
      </c>
      <c r="BI271" s="16">
        <f t="shared" si="461"/>
        <v>27.200792963115212</v>
      </c>
      <c r="BJ271" s="17">
        <f t="shared" si="462"/>
        <v>1.3682897191446542E-2</v>
      </c>
      <c r="BK271" s="18">
        <f t="shared" si="513"/>
        <v>0.43625863723198088</v>
      </c>
      <c r="BL271" s="19">
        <f t="shared" si="514"/>
        <v>976.7343220674602</v>
      </c>
      <c r="BM271" s="15">
        <f t="shared" si="463"/>
        <v>5.4534686441349202E-6</v>
      </c>
      <c r="BN271" s="16">
        <f t="shared" si="464"/>
        <v>27.121444703775794</v>
      </c>
      <c r="BO271" s="17">
        <f t="shared" si="465"/>
        <v>1.3648360778138243E-2</v>
      </c>
      <c r="BP271" s="18">
        <f t="shared" si="515"/>
        <v>0.43753498382281447</v>
      </c>
      <c r="BQ271" s="19">
        <f t="shared" si="516"/>
        <v>969.23448784406844</v>
      </c>
      <c r="BR271" s="15">
        <f t="shared" si="466"/>
        <v>5.4384689756881375E-6</v>
      </c>
      <c r="BS271" s="16">
        <f t="shared" si="467"/>
        <v>27.035196610206786</v>
      </c>
      <c r="BT271" s="17">
        <f t="shared" si="468"/>
        <v>1.3610821204726682E-2</v>
      </c>
      <c r="BU271" s="18">
        <f t="shared" si="517"/>
        <v>0.43893081455297522</v>
      </c>
      <c r="BV271" s="19">
        <f t="shared" si="518"/>
        <v>961.13466803557083</v>
      </c>
      <c r="BW271" s="15">
        <f t="shared" si="469"/>
        <v>5.4222693360711418E-6</v>
      </c>
      <c r="BX271" s="16">
        <f t="shared" si="470"/>
        <v>26.942048682409066</v>
      </c>
      <c r="BY271" s="17">
        <f t="shared" si="471"/>
        <v>1.3570278471212231E-2</v>
      </c>
      <c r="BZ271" s="18">
        <f t="shared" si="519"/>
        <v>0.4404483493293439</v>
      </c>
      <c r="CA271" s="19">
        <f t="shared" si="520"/>
        <v>952.43486264202181</v>
      </c>
      <c r="CB271" s="15">
        <f t="shared" si="472"/>
        <v>5.4048697252840439E-6</v>
      </c>
      <c r="CC271" s="16">
        <f t="shared" si="473"/>
        <v>26.842000920383249</v>
      </c>
      <c r="CD271" s="17">
        <f t="shared" si="474"/>
        <v>1.3526732577595164E-2</v>
      </c>
      <c r="CE271" s="18">
        <f t="shared" si="521"/>
        <v>0.44209002543870218</v>
      </c>
      <c r="CF271" s="19">
        <f t="shared" si="522"/>
        <v>943.13507166346301</v>
      </c>
      <c r="CG271" s="15">
        <f t="shared" si="475"/>
        <v>5.386270143326927E-6</v>
      </c>
      <c r="CH271" s="16">
        <f t="shared" si="476"/>
        <v>26.735053324129822</v>
      </c>
      <c r="CI271" s="17">
        <f t="shared" si="477"/>
        <v>1.3480183523875696E-2</v>
      </c>
      <c r="CJ271" s="18">
        <f t="shared" si="523"/>
        <v>0.443858507624807</v>
      </c>
      <c r="CK271" s="19">
        <f t="shared" si="524"/>
        <v>933.23526906141944</v>
      </c>
      <c r="CL271" s="15">
        <f t="shared" si="478"/>
        <v>5.3664705381228391E-6</v>
      </c>
      <c r="CM271" s="16">
        <f t="shared" si="479"/>
        <v>26.621205594206323</v>
      </c>
      <c r="CN271" s="17">
        <f t="shared" si="480"/>
        <v>1.3430631179721169E-2</v>
      </c>
      <c r="CO271" s="18">
        <f t="shared" si="525"/>
        <v>0.4457567042831625</v>
      </c>
      <c r="CP271" s="19">
        <f t="shared" si="526"/>
        <v>922.72819986404841</v>
      </c>
      <c r="CQ271" s="15">
        <f t="shared" si="481"/>
        <v>5.3454563997280975E-6</v>
      </c>
      <c r="CR271" s="16">
        <f t="shared" si="482"/>
        <v>26.500374298436554</v>
      </c>
      <c r="CS271" s="17">
        <f t="shared" si="483"/>
        <v>1.3378039231189178E-2</v>
      </c>
      <c r="CT271" s="18">
        <f t="shared" si="527"/>
        <v>0.44778917973313276</v>
      </c>
      <c r="CU271" s="19">
        <f t="shared" si="528"/>
        <v>910.85506312066991</v>
      </c>
      <c r="CV271" s="15">
        <f t="shared" si="484"/>
        <v>5.3217101262413399E-6</v>
      </c>
      <c r="CW271" s="16">
        <f t="shared" si="485"/>
        <v>26.363833225887703</v>
      </c>
      <c r="CX271" s="17">
        <f t="shared" si="486"/>
        <v>1.3318609585796027E-2</v>
      </c>
      <c r="CY271" s="18">
        <f t="shared" si="529"/>
        <v>0.45010832711783461</v>
      </c>
      <c r="CZ271" s="20">
        <f t="shared" si="530"/>
        <v>862.53962134472192</v>
      </c>
      <c r="DA271" s="15">
        <f t="shared" si="487"/>
        <v>5.2250792426894442E-6</v>
      </c>
      <c r="DB271" s="16">
        <f t="shared" si="488"/>
        <v>25.808205645464302</v>
      </c>
      <c r="DC271" s="17">
        <f t="shared" si="489"/>
        <v>1.3076772097201509E-2</v>
      </c>
      <c r="DD271" s="18">
        <f t="shared" si="531"/>
        <v>0.45979875674942194</v>
      </c>
    </row>
    <row r="272" spans="2:108" x14ac:dyDescent="0.25">
      <c r="B272">
        <v>5</v>
      </c>
      <c r="C272">
        <f t="shared" si="490"/>
        <v>4.8880733317262573E-3</v>
      </c>
      <c r="D272" s="19">
        <f t="shared" si="428"/>
        <v>1019.9227809874769</v>
      </c>
      <c r="E272" s="15">
        <f t="shared" si="429"/>
        <v>5.5398455619749539E-6</v>
      </c>
      <c r="F272" s="16">
        <f t="shared" si="430"/>
        <v>27.618111981355984</v>
      </c>
      <c r="G272" s="17">
        <f t="shared" si="426"/>
        <v>1.3864535732926378E-2</v>
      </c>
      <c r="H272" s="18">
        <f t="shared" si="491"/>
        <v>0.42966662158979624</v>
      </c>
      <c r="I272" s="19">
        <f t="shared" si="492"/>
        <v>1019.6168968306035</v>
      </c>
      <c r="J272" s="15">
        <f t="shared" si="431"/>
        <v>5.5392337936612078E-6</v>
      </c>
      <c r="K272" s="16">
        <f t="shared" si="432"/>
        <v>27.61459431355194</v>
      </c>
      <c r="L272" s="17">
        <f t="shared" si="433"/>
        <v>1.3863004664316014E-2</v>
      </c>
      <c r="M272" s="18">
        <f t="shared" si="493"/>
        <v>0.4297213544033251</v>
      </c>
      <c r="N272" s="19">
        <f t="shared" si="494"/>
        <v>1018.7168214380513</v>
      </c>
      <c r="O272" s="15">
        <f t="shared" si="434"/>
        <v>5.5374336428761027E-6</v>
      </c>
      <c r="P272" s="16">
        <f t="shared" si="435"/>
        <v>27.604243446537588</v>
      </c>
      <c r="Q272" s="17">
        <f t="shared" si="427"/>
        <v>1.3864535732926378E-2</v>
      </c>
      <c r="R272" s="18">
        <f t="shared" si="495"/>
        <v>0.42988248863622919</v>
      </c>
      <c r="S272" s="19">
        <f t="shared" si="496"/>
        <v>1017.2168146127671</v>
      </c>
      <c r="T272" s="15">
        <f t="shared" si="436"/>
        <v>5.5344336292255342E-6</v>
      </c>
      <c r="U272" s="16">
        <f t="shared" si="437"/>
        <v>27.586993368046819</v>
      </c>
      <c r="V272" s="17">
        <f t="shared" si="438"/>
        <v>1.3850991323763863E-2</v>
      </c>
      <c r="W272" s="18">
        <f t="shared" si="497"/>
        <v>0.43015129308953981</v>
      </c>
      <c r="X272" s="19">
        <f t="shared" si="498"/>
        <v>1015.1168930980431</v>
      </c>
      <c r="Y272" s="15">
        <f t="shared" si="439"/>
        <v>5.5302337861960868E-6</v>
      </c>
      <c r="Z272" s="16">
        <f t="shared" si="440"/>
        <v>27.562844270627494</v>
      </c>
      <c r="AA272" s="17">
        <f t="shared" si="441"/>
        <v>1.3840480403720509E-2</v>
      </c>
      <c r="AB272" s="18">
        <f t="shared" si="499"/>
        <v>0.43052816876245203</v>
      </c>
      <c r="AC272" s="19">
        <f t="shared" si="500"/>
        <v>1012.4169570065468</v>
      </c>
      <c r="AD272" s="15">
        <f t="shared" si="442"/>
        <v>5.5248339140130943E-6</v>
      </c>
      <c r="AE272" s="16">
        <f t="shared" si="443"/>
        <v>27.531795005575287</v>
      </c>
      <c r="AF272" s="17">
        <f t="shared" si="444"/>
        <v>1.3826966178459752E-2</v>
      </c>
      <c r="AG272" s="18">
        <f t="shared" si="501"/>
        <v>0.43101370133385325</v>
      </c>
      <c r="AH272" s="19">
        <f t="shared" si="502"/>
        <v>1009.1170381188039</v>
      </c>
      <c r="AI272" s="15">
        <f t="shared" si="445"/>
        <v>5.5182340762376083E-6</v>
      </c>
      <c r="AJ272" s="16">
        <f t="shared" si="446"/>
        <v>27.493845938366242</v>
      </c>
      <c r="AK272" s="17">
        <f t="shared" si="447"/>
        <v>1.3810448807055427E-2</v>
      </c>
      <c r="AL272" s="18">
        <f t="shared" si="503"/>
        <v>0.43160861875488643</v>
      </c>
      <c r="AM272" s="19">
        <f t="shared" si="504"/>
        <v>1005.217137234845</v>
      </c>
      <c r="AN272" s="15">
        <f t="shared" si="448"/>
        <v>5.5104342744696902E-6</v>
      </c>
      <c r="AO272" s="16">
        <f t="shared" si="449"/>
        <v>27.448997078200719</v>
      </c>
      <c r="AP272" s="17">
        <f t="shared" si="450"/>
        <v>1.3790928293511997E-2</v>
      </c>
      <c r="AQ272" s="18">
        <f t="shared" si="505"/>
        <v>0.43231382319400036</v>
      </c>
      <c r="AR272" s="19">
        <f t="shared" si="506"/>
        <v>1000.7172543666926</v>
      </c>
      <c r="AS272" s="15">
        <f t="shared" si="451"/>
        <v>5.5014345087333855E-6</v>
      </c>
      <c r="AT272" s="16">
        <f t="shared" si="452"/>
        <v>27.397248425216965</v>
      </c>
      <c r="AU272" s="17">
        <f t="shared" si="453"/>
        <v>1.3768404637889642E-2</v>
      </c>
      <c r="AV272" s="18">
        <f t="shared" si="507"/>
        <v>0.43313038906475237</v>
      </c>
      <c r="AW272" s="19">
        <f t="shared" si="508"/>
        <v>995.61738951540701</v>
      </c>
      <c r="AX272" s="15">
        <f t="shared" si="454"/>
        <v>5.4912347790308143E-6</v>
      </c>
      <c r="AY272" s="16">
        <f t="shared" si="455"/>
        <v>27.33859997942718</v>
      </c>
      <c r="AZ272" s="17">
        <f t="shared" si="456"/>
        <v>1.3742877840193663E-2</v>
      </c>
      <c r="BA272" s="18">
        <f t="shared" si="509"/>
        <v>0.43405956700956627</v>
      </c>
      <c r="BB272" s="19">
        <f t="shared" si="510"/>
        <v>989.91754268158468</v>
      </c>
      <c r="BC272" s="15">
        <f t="shared" si="457"/>
        <v>5.4798350853631702E-6</v>
      </c>
      <c r="BD272" s="16">
        <f t="shared" si="458"/>
        <v>27.273051740838223</v>
      </c>
      <c r="BE272" s="17">
        <f t="shared" si="459"/>
        <v>1.3714347900427054E-2</v>
      </c>
      <c r="BF272" s="18">
        <f t="shared" si="511"/>
        <v>0.43510278873372554</v>
      </c>
      <c r="BG272" s="19">
        <f t="shared" si="512"/>
        <v>983.6177138656044</v>
      </c>
      <c r="BH272" s="15">
        <f t="shared" si="460"/>
        <v>5.4672354277312095E-6</v>
      </c>
      <c r="BI272" s="16">
        <f t="shared" si="461"/>
        <v>27.200603709454448</v>
      </c>
      <c r="BJ272" s="17">
        <f t="shared" si="462"/>
        <v>1.3682814818591705E-2</v>
      </c>
      <c r="BK272" s="18">
        <f t="shared" si="513"/>
        <v>0.43626167258902732</v>
      </c>
      <c r="BL272" s="19">
        <f t="shared" si="514"/>
        <v>976.71790306771925</v>
      </c>
      <c r="BM272" s="15">
        <f t="shared" si="463"/>
        <v>5.4534358061354387E-6</v>
      </c>
      <c r="BN272" s="16">
        <f t="shared" si="464"/>
        <v>27.121255885278771</v>
      </c>
      <c r="BO272" s="17">
        <f t="shared" si="465"/>
        <v>1.3648278594688881E-2</v>
      </c>
      <c r="BP272" s="18">
        <f t="shared" si="515"/>
        <v>0.43753802994643015</v>
      </c>
      <c r="BQ272" s="19">
        <f t="shared" si="516"/>
        <v>969.21811028810362</v>
      </c>
      <c r="BR272" s="15">
        <f t="shared" si="466"/>
        <v>5.4384362205762077E-6</v>
      </c>
      <c r="BS272" s="16">
        <f t="shared" si="467"/>
        <v>27.035008268313192</v>
      </c>
      <c r="BT272" s="17">
        <f t="shared" si="468"/>
        <v>1.361073922871946E-2</v>
      </c>
      <c r="BU272" s="18">
        <f t="shared" si="517"/>
        <v>0.4389338724052218</v>
      </c>
      <c r="BV272" s="19">
        <f t="shared" si="518"/>
        <v>961.1183355268829</v>
      </c>
      <c r="BW272" s="15">
        <f t="shared" si="469"/>
        <v>5.4222366710537664E-6</v>
      </c>
      <c r="BX272" s="16">
        <f t="shared" si="470"/>
        <v>26.941860858559153</v>
      </c>
      <c r="BY272" s="17">
        <f t="shared" si="471"/>
        <v>1.3570196720684068E-2</v>
      </c>
      <c r="BZ272" s="18">
        <f t="shared" si="519"/>
        <v>0.44045141989321823</v>
      </c>
      <c r="CA272" s="19">
        <f t="shared" si="520"/>
        <v>952.41857878414828</v>
      </c>
      <c r="CB272" s="15">
        <f t="shared" si="472"/>
        <v>5.4048371575682968E-6</v>
      </c>
      <c r="CC272" s="16">
        <f t="shared" si="473"/>
        <v>26.841813656017706</v>
      </c>
      <c r="CD272" s="17">
        <f t="shared" si="474"/>
        <v>1.3526651070583161E-2</v>
      </c>
      <c r="CE272" s="18">
        <f t="shared" si="521"/>
        <v>0.44209310972015903</v>
      </c>
      <c r="CF272" s="19">
        <f t="shared" si="522"/>
        <v>943.11883969674818</v>
      </c>
      <c r="CG272" s="15">
        <f t="shared" si="475"/>
        <v>5.386237679393497E-6</v>
      </c>
      <c r="CH272" s="16">
        <f t="shared" si="476"/>
        <v>26.734866656512601</v>
      </c>
      <c r="CI272" s="17">
        <f t="shared" si="477"/>
        <v>1.3480102276599027E-2</v>
      </c>
      <c r="CJ272" s="18">
        <f t="shared" si="523"/>
        <v>0.44386160672423647</v>
      </c>
      <c r="CK272" s="19">
        <f t="shared" si="524"/>
        <v>933.21899225975233</v>
      </c>
      <c r="CL272" s="15">
        <f t="shared" si="478"/>
        <v>5.3664379845195053E-6</v>
      </c>
      <c r="CM272" s="16">
        <f t="shared" si="479"/>
        <v>26.621018410987151</v>
      </c>
      <c r="CN272" s="17">
        <f t="shared" si="480"/>
        <v>1.3430549708028209E-2</v>
      </c>
      <c r="CO272" s="18">
        <f t="shared" si="525"/>
        <v>0.44575983858003976</v>
      </c>
      <c r="CP272" s="19">
        <f t="shared" si="526"/>
        <v>922.70150342406828</v>
      </c>
      <c r="CQ272" s="15">
        <f t="shared" si="481"/>
        <v>5.3454030068481373E-6</v>
      </c>
      <c r="CR272" s="16">
        <f t="shared" si="482"/>
        <v>26.500067289376787</v>
      </c>
      <c r="CS272" s="17">
        <f t="shared" si="483"/>
        <v>1.3377905605173109E-2</v>
      </c>
      <c r="CT272" s="18">
        <f t="shared" si="527"/>
        <v>0.44779436746845219</v>
      </c>
      <c r="CU272" s="19">
        <f t="shared" si="528"/>
        <v>910.34635200596347</v>
      </c>
      <c r="CV272" s="15">
        <f t="shared" si="484"/>
        <v>5.3206927040119266E-6</v>
      </c>
      <c r="CW272" s="16">
        <f t="shared" si="485"/>
        <v>26.357983048068579</v>
      </c>
      <c r="CX272" s="17">
        <f t="shared" si="486"/>
        <v>1.3316063289749077E-2</v>
      </c>
      <c r="CY272" s="18">
        <f t="shared" si="529"/>
        <v>0.45020822906202757</v>
      </c>
      <c r="CZ272" s="20">
        <f t="shared" si="530"/>
        <v>854.03531467038363</v>
      </c>
      <c r="DA272" s="15">
        <f t="shared" si="487"/>
        <v>5.2080706293407675E-6</v>
      </c>
      <c r="DB272" s="16">
        <f t="shared" si="488"/>
        <v>25.710406118709411</v>
      </c>
      <c r="DC272" s="17">
        <f t="shared" si="489"/>
        <v>1.3034204750350024E-2</v>
      </c>
      <c r="DD272" s="18">
        <f t="shared" si="531"/>
        <v>0.46154778010614977</v>
      </c>
    </row>
    <row r="273" spans="2:108" x14ac:dyDescent="0.25">
      <c r="B273">
        <v>6</v>
      </c>
      <c r="C273">
        <f t="shared" si="490"/>
        <v>5.8656879980715088E-3</v>
      </c>
      <c r="D273" s="19">
        <f t="shared" si="428"/>
        <v>1019.9071640876512</v>
      </c>
      <c r="E273" s="15">
        <f t="shared" si="429"/>
        <v>5.539814328175303E-6</v>
      </c>
      <c r="F273" s="16">
        <f t="shared" si="430"/>
        <v>27.61793238700799</v>
      </c>
      <c r="G273" s="17">
        <f t="shared" si="426"/>
        <v>1.3864457564297579E-2</v>
      </c>
      <c r="H273" s="18">
        <f t="shared" si="491"/>
        <v>0.42966941563301703</v>
      </c>
      <c r="I273" s="19">
        <f t="shared" si="492"/>
        <v>1019.6002987039327</v>
      </c>
      <c r="J273" s="15">
        <f t="shared" si="431"/>
        <v>5.5392005974078656E-6</v>
      </c>
      <c r="K273" s="16">
        <f t="shared" si="432"/>
        <v>27.614403435095227</v>
      </c>
      <c r="L273" s="17">
        <f t="shared" si="433"/>
        <v>1.3862921584267029E-2</v>
      </c>
      <c r="M273" s="18">
        <f t="shared" si="493"/>
        <v>0.42972432475715283</v>
      </c>
      <c r="N273" s="19">
        <f t="shared" si="494"/>
        <v>1018.7001865977479</v>
      </c>
      <c r="O273" s="15">
        <f t="shared" si="434"/>
        <v>5.5374003731954962E-6</v>
      </c>
      <c r="P273" s="16">
        <f t="shared" si="435"/>
        <v>27.6040521458741</v>
      </c>
      <c r="Q273" s="17">
        <f t="shared" si="427"/>
        <v>1.3864457564297579E-2</v>
      </c>
      <c r="R273" s="18">
        <f t="shared" si="495"/>
        <v>0.4298854677932335</v>
      </c>
      <c r="S273" s="19">
        <f t="shared" si="496"/>
        <v>1017.2001786120624</v>
      </c>
      <c r="T273" s="15">
        <f t="shared" si="436"/>
        <v>5.534400357224126E-6</v>
      </c>
      <c r="U273" s="16">
        <f t="shared" si="437"/>
        <v>27.586802054038717</v>
      </c>
      <c r="V273" s="17">
        <f t="shared" si="438"/>
        <v>1.3850908054140682E-2</v>
      </c>
      <c r="W273" s="18">
        <f t="shared" si="497"/>
        <v>0.43015427618152019</v>
      </c>
      <c r="X273" s="19">
        <f t="shared" si="498"/>
        <v>1015.100272053012</v>
      </c>
      <c r="Y273" s="15">
        <f t="shared" si="439"/>
        <v>5.5302005441060242E-6</v>
      </c>
      <c r="Z273" s="16">
        <f t="shared" si="440"/>
        <v>27.562653128609636</v>
      </c>
      <c r="AA273" s="17">
        <f t="shared" si="441"/>
        <v>1.3840397208956259E-2</v>
      </c>
      <c r="AB273" s="18">
        <f t="shared" si="499"/>
        <v>0.43053115439749007</v>
      </c>
      <c r="AC273" s="19">
        <f t="shared" si="500"/>
        <v>1012.4003489687174</v>
      </c>
      <c r="AD273" s="15">
        <f t="shared" si="442"/>
        <v>5.5248006979374346E-6</v>
      </c>
      <c r="AE273" s="16">
        <f t="shared" si="443"/>
        <v>27.53160401314025</v>
      </c>
      <c r="AF273" s="17">
        <f t="shared" si="444"/>
        <v>1.3826883048801581E-2</v>
      </c>
      <c r="AG273" s="18">
        <f t="shared" si="501"/>
        <v>0.43101669136510284</v>
      </c>
      <c r="AH273" s="19">
        <f t="shared" si="502"/>
        <v>1009.1004463157478</v>
      </c>
      <c r="AI273" s="15">
        <f t="shared" si="445"/>
        <v>5.5182008926314963E-6</v>
      </c>
      <c r="AJ273" s="16">
        <f t="shared" si="446"/>
        <v>27.493655132631098</v>
      </c>
      <c r="AK273" s="17">
        <f t="shared" si="447"/>
        <v>1.3810365758658582E-2</v>
      </c>
      <c r="AL273" s="18">
        <f t="shared" si="503"/>
        <v>0.43161161411506677</v>
      </c>
      <c r="AM273" s="19">
        <f t="shared" si="504"/>
        <v>1005.2005652580583</v>
      </c>
      <c r="AN273" s="15">
        <f t="shared" si="448"/>
        <v>5.5104011305161169E-6</v>
      </c>
      <c r="AO273" s="16">
        <f t="shared" si="449"/>
        <v>27.448806500467668</v>
      </c>
      <c r="AP273" s="17">
        <f t="shared" si="450"/>
        <v>1.3790845344353304E-2</v>
      </c>
      <c r="AQ273" s="18">
        <f t="shared" si="505"/>
        <v>0.43231682475941957</v>
      </c>
      <c r="AR273" s="19">
        <f t="shared" si="506"/>
        <v>1000.7007058181948</v>
      </c>
      <c r="AS273" s="15">
        <f t="shared" si="451"/>
        <v>5.5014014116363908E-6</v>
      </c>
      <c r="AT273" s="16">
        <f t="shared" si="452"/>
        <v>27.397058116909239</v>
      </c>
      <c r="AU273" s="17">
        <f t="shared" si="453"/>
        <v>1.3768321805998606E-2</v>
      </c>
      <c r="AV273" s="18">
        <f t="shared" si="507"/>
        <v>0.43313339772031734</v>
      </c>
      <c r="AW273" s="19">
        <f t="shared" si="508"/>
        <v>995.60086799784403</v>
      </c>
      <c r="AX273" s="15">
        <f t="shared" si="454"/>
        <v>5.4912017359956882E-6</v>
      </c>
      <c r="AY273" s="16">
        <f t="shared" si="455"/>
        <v>27.338409981975204</v>
      </c>
      <c r="AZ273" s="17">
        <f t="shared" si="456"/>
        <v>1.3742795143602918E-2</v>
      </c>
      <c r="BA273" s="18">
        <f t="shared" si="509"/>
        <v>0.4340625836521505</v>
      </c>
      <c r="BB273" s="19">
        <f t="shared" si="510"/>
        <v>989.9010517979018</v>
      </c>
      <c r="BC273" s="15">
        <f t="shared" si="457"/>
        <v>5.4798021035958048E-6</v>
      </c>
      <c r="BD273" s="16">
        <f t="shared" si="458"/>
        <v>27.272862095675869</v>
      </c>
      <c r="BE273" s="17">
        <f t="shared" si="459"/>
        <v>1.3714265357170737E-2</v>
      </c>
      <c r="BF273" s="18">
        <f t="shared" si="511"/>
        <v>0.4351058142738658</v>
      </c>
      <c r="BG273" s="19">
        <f t="shared" si="512"/>
        <v>983.60125721893667</v>
      </c>
      <c r="BH273" s="15">
        <f t="shared" si="460"/>
        <v>5.4672025144378741E-6</v>
      </c>
      <c r="BI273" s="16">
        <f t="shared" si="461"/>
        <v>27.200414458017772</v>
      </c>
      <c r="BJ273" s="17">
        <f t="shared" si="462"/>
        <v>1.36827324467049E-2</v>
      </c>
      <c r="BK273" s="18">
        <f t="shared" si="513"/>
        <v>0.43626470795264033</v>
      </c>
      <c r="BL273" s="19">
        <f t="shared" si="514"/>
        <v>976.70148426132835</v>
      </c>
      <c r="BM273" s="15">
        <f t="shared" si="463"/>
        <v>5.4534029685226565E-6</v>
      </c>
      <c r="BN273" s="16">
        <f t="shared" si="464"/>
        <v>27.121067069005274</v>
      </c>
      <c r="BO273" s="17">
        <f t="shared" si="465"/>
        <v>1.364819641220731E-2</v>
      </c>
      <c r="BP273" s="18">
        <f t="shared" si="515"/>
        <v>0.4375410760765886</v>
      </c>
      <c r="BQ273" s="19">
        <f t="shared" si="516"/>
        <v>969.20173292533866</v>
      </c>
      <c r="BR273" s="15">
        <f t="shared" si="466"/>
        <v>5.4384034658506774E-6</v>
      </c>
      <c r="BS273" s="16">
        <f t="shared" si="467"/>
        <v>27.034819928641394</v>
      </c>
      <c r="BT273" s="17">
        <f t="shared" si="468"/>
        <v>1.3610657253679281E-2</v>
      </c>
      <c r="BU273" s="18">
        <f t="shared" si="517"/>
        <v>0.43893693026400127</v>
      </c>
      <c r="BV273" s="19">
        <f t="shared" si="518"/>
        <v>961.10200321115542</v>
      </c>
      <c r="BW273" s="15">
        <f t="shared" si="469"/>
        <v>5.422204006422311E-6</v>
      </c>
      <c r="BX273" s="16">
        <f t="shared" si="470"/>
        <v>26.941673036928286</v>
      </c>
      <c r="BY273" s="17">
        <f t="shared" si="471"/>
        <v>1.3570114971121748E-2</v>
      </c>
      <c r="BZ273" s="18">
        <f t="shared" si="519"/>
        <v>0.44045449046362745</v>
      </c>
      <c r="CA273" s="19">
        <f t="shared" si="520"/>
        <v>952.40229511382267</v>
      </c>
      <c r="CB273" s="15">
        <f t="shared" si="472"/>
        <v>5.4048045902276454E-6</v>
      </c>
      <c r="CC273" s="16">
        <f t="shared" si="473"/>
        <v>26.841626393808959</v>
      </c>
      <c r="CD273" s="17">
        <f t="shared" si="474"/>
        <v>1.352656956450991E-2</v>
      </c>
      <c r="CE273" s="18">
        <f t="shared" si="521"/>
        <v>0.44209619400912809</v>
      </c>
      <c r="CF273" s="19">
        <f t="shared" si="522"/>
        <v>943.10260652245074</v>
      </c>
      <c r="CG273" s="15">
        <f t="shared" si="475"/>
        <v>5.3862052130449024E-6</v>
      </c>
      <c r="CH273" s="16">
        <f t="shared" si="476"/>
        <v>26.734679975008184</v>
      </c>
      <c r="CI273" s="17">
        <f t="shared" si="477"/>
        <v>1.348002102327794E-2</v>
      </c>
      <c r="CJ273" s="18">
        <f t="shared" si="523"/>
        <v>0.44386470609750645</v>
      </c>
      <c r="CK273" s="19">
        <f t="shared" si="524"/>
        <v>933.20257155476622</v>
      </c>
      <c r="CL273" s="15">
        <f t="shared" si="478"/>
        <v>5.3664051431095329E-6</v>
      </c>
      <c r="CM273" s="16">
        <f t="shared" si="479"/>
        <v>26.62082957287981</v>
      </c>
      <c r="CN273" s="17">
        <f t="shared" si="480"/>
        <v>1.3430467516043435E-2</v>
      </c>
      <c r="CO273" s="18">
        <f t="shared" si="525"/>
        <v>0.44576300063192154</v>
      </c>
      <c r="CP273" s="19">
        <f t="shared" si="526"/>
        <v>922.66828969389587</v>
      </c>
      <c r="CQ273" s="15">
        <f t="shared" si="481"/>
        <v>5.3453365793877921E-6</v>
      </c>
      <c r="CR273" s="16">
        <f t="shared" si="482"/>
        <v>26.499685331479803</v>
      </c>
      <c r="CS273" s="17">
        <f t="shared" si="483"/>
        <v>1.3377739357596835E-2</v>
      </c>
      <c r="CT273" s="18">
        <f t="shared" si="527"/>
        <v>0.44780082183169234</v>
      </c>
      <c r="CU273" s="19">
        <f t="shared" si="528"/>
        <v>909.73414797945816</v>
      </c>
      <c r="CV273" s="15">
        <f t="shared" si="484"/>
        <v>5.3194682959589162E-6</v>
      </c>
      <c r="CW273" s="16">
        <f t="shared" si="485"/>
        <v>26.350942701763771</v>
      </c>
      <c r="CX273" s="17">
        <f t="shared" si="486"/>
        <v>1.3312998971617328E-2</v>
      </c>
      <c r="CY273" s="18">
        <f t="shared" si="529"/>
        <v>0.45032851401265511</v>
      </c>
      <c r="CZ273" s="20">
        <f t="shared" si="530"/>
        <v>845.84266157029526</v>
      </c>
      <c r="DA273" s="15">
        <f t="shared" si="487"/>
        <v>5.1916853231405905E-6</v>
      </c>
      <c r="DB273" s="16">
        <f t="shared" si="488"/>
        <v>25.616190608058396</v>
      </c>
      <c r="DC273" s="17">
        <f t="shared" si="489"/>
        <v>1.2993197350276165E-2</v>
      </c>
      <c r="DD273" s="18">
        <f t="shared" si="531"/>
        <v>0.46324533773514648</v>
      </c>
    </row>
    <row r="274" spans="2:108" x14ac:dyDescent="0.25">
      <c r="B274">
        <v>7</v>
      </c>
      <c r="C274">
        <f t="shared" si="490"/>
        <v>6.8433026644167602E-3</v>
      </c>
      <c r="D274" s="19">
        <f t="shared" si="428"/>
        <v>1019.8914970913395</v>
      </c>
      <c r="E274" s="15">
        <f t="shared" si="429"/>
        <v>5.5397829941826794E-6</v>
      </c>
      <c r="F274" s="16">
        <f t="shared" si="430"/>
        <v>27.617752216550404</v>
      </c>
      <c r="G274" s="17">
        <f t="shared" si="426"/>
        <v>1.3864379144916476E-2</v>
      </c>
      <c r="H274" s="18">
        <f t="shared" si="491"/>
        <v>0.42967221867558975</v>
      </c>
      <c r="I274" s="19">
        <f t="shared" si="492"/>
        <v>1019.5837067096762</v>
      </c>
      <c r="J274" s="15">
        <f t="shared" si="431"/>
        <v>5.539167413419353E-6</v>
      </c>
      <c r="K274" s="16">
        <f t="shared" si="432"/>
        <v>27.614212627161276</v>
      </c>
      <c r="L274" s="17">
        <f t="shared" si="433"/>
        <v>1.3862838534913153E-2</v>
      </c>
      <c r="M274" s="18">
        <f t="shared" si="493"/>
        <v>0.42972729405458249</v>
      </c>
      <c r="N274" s="19">
        <f t="shared" si="494"/>
        <v>1018.6835522187081</v>
      </c>
      <c r="O274" s="15">
        <f t="shared" si="434"/>
        <v>5.5373671044374169E-6</v>
      </c>
      <c r="P274" s="16">
        <f t="shared" si="435"/>
        <v>27.60386085051514</v>
      </c>
      <c r="Q274" s="17">
        <f t="shared" si="427"/>
        <v>1.3864379144916476E-2</v>
      </c>
      <c r="R274" s="18">
        <f t="shared" si="495"/>
        <v>0.4298884469089202</v>
      </c>
      <c r="S274" s="19">
        <f t="shared" si="496"/>
        <v>1017.1835429607698</v>
      </c>
      <c r="T274" s="15">
        <f t="shared" si="436"/>
        <v>5.5343670859215403E-6</v>
      </c>
      <c r="U274" s="16">
        <f t="shared" si="437"/>
        <v>27.586610744048855</v>
      </c>
      <c r="V274" s="17">
        <f t="shared" si="438"/>
        <v>1.385082478626644E-2</v>
      </c>
      <c r="W274" s="18">
        <f t="shared" si="497"/>
        <v>0.43015725925221993</v>
      </c>
      <c r="X274" s="19">
        <f t="shared" si="498"/>
        <v>1015.0836511293277</v>
      </c>
      <c r="Y274" s="15">
        <f t="shared" si="439"/>
        <v>5.5301673022586561E-6</v>
      </c>
      <c r="Z274" s="16">
        <f t="shared" si="440"/>
        <v>27.56246198798727</v>
      </c>
      <c r="AA274" s="17">
        <f t="shared" si="441"/>
        <v>1.3840314014799399E-2</v>
      </c>
      <c r="AB274" s="18">
        <f t="shared" si="499"/>
        <v>0.43053414005214008</v>
      </c>
      <c r="AC274" s="19">
        <f t="shared" si="500"/>
        <v>1012.3837411158606</v>
      </c>
      <c r="AD274" s="15">
        <f t="shared" si="442"/>
        <v>5.5247674822317215E-6</v>
      </c>
      <c r="AE274" s="16">
        <f t="shared" si="443"/>
        <v>27.531413022832396</v>
      </c>
      <c r="AF274" s="17">
        <f t="shared" si="444"/>
        <v>1.3826799920069271E-2</v>
      </c>
      <c r="AG274" s="18">
        <f t="shared" si="501"/>
        <v>0.4310196814045355</v>
      </c>
      <c r="AH274" s="19">
        <f t="shared" si="502"/>
        <v>1009.0838547036532</v>
      </c>
      <c r="AI274" s="15">
        <f t="shared" si="445"/>
        <v>5.5181677094073064E-6</v>
      </c>
      <c r="AJ274" s="16">
        <f t="shared" si="446"/>
        <v>27.49346432909201</v>
      </c>
      <c r="AK274" s="17">
        <f t="shared" si="447"/>
        <v>1.3810282711217573E-2</v>
      </c>
      <c r="AL274" s="18">
        <f t="shared" si="503"/>
        <v>0.43161460948234748</v>
      </c>
      <c r="AM274" s="19">
        <f t="shared" si="504"/>
        <v>1005.183993473339</v>
      </c>
      <c r="AN274" s="15">
        <f t="shared" si="448"/>
        <v>5.5103679869466782E-6</v>
      </c>
      <c r="AO274" s="16">
        <f t="shared" si="449"/>
        <v>27.448615924943397</v>
      </c>
      <c r="AP274" s="17">
        <f t="shared" si="450"/>
        <v>1.3790762396155985E-2</v>
      </c>
      <c r="AQ274" s="18">
        <f t="shared" si="505"/>
        <v>0.43231982633173038</v>
      </c>
      <c r="AR274" s="19">
        <f t="shared" si="506"/>
        <v>1000.6841574624073</v>
      </c>
      <c r="AS274" s="15">
        <f t="shared" si="451"/>
        <v>5.5013683149248147E-6</v>
      </c>
      <c r="AT274" s="16">
        <f t="shared" si="452"/>
        <v>27.396867810817682</v>
      </c>
      <c r="AU274" s="17">
        <f t="shared" si="453"/>
        <v>1.3768238975072155E-2</v>
      </c>
      <c r="AV274" s="18">
        <f t="shared" si="507"/>
        <v>0.43313640638264372</v>
      </c>
      <c r="AW274" s="19">
        <f t="shared" si="508"/>
        <v>995.58434667338952</v>
      </c>
      <c r="AX274" s="15">
        <f t="shared" si="454"/>
        <v>5.4911686933467794E-6</v>
      </c>
      <c r="AY274" s="16">
        <f t="shared" si="455"/>
        <v>27.338219986743979</v>
      </c>
      <c r="AZ274" s="17">
        <f t="shared" si="456"/>
        <v>1.3742712447978757E-2</v>
      </c>
      <c r="BA274" s="18">
        <f t="shared" si="509"/>
        <v>0.43406560030140517</v>
      </c>
      <c r="BB274" s="19">
        <f t="shared" si="510"/>
        <v>989.88456110754282</v>
      </c>
      <c r="BC274" s="15">
        <f t="shared" si="457"/>
        <v>5.4797691222150863E-6</v>
      </c>
      <c r="BD274" s="16">
        <f t="shared" si="458"/>
        <v>27.272672452736742</v>
      </c>
      <c r="BE274" s="17">
        <f t="shared" si="459"/>
        <v>1.3714182814882082E-2</v>
      </c>
      <c r="BF274" s="18">
        <f t="shared" si="511"/>
        <v>0.43510883982061382</v>
      </c>
      <c r="BG274" s="19">
        <f t="shared" si="512"/>
        <v>983.58480076566366</v>
      </c>
      <c r="BH274" s="15">
        <f t="shared" si="460"/>
        <v>5.4671696015313278E-6</v>
      </c>
      <c r="BI274" s="16">
        <f t="shared" si="461"/>
        <v>27.200225208805129</v>
      </c>
      <c r="BJ274" s="17">
        <f t="shared" si="462"/>
        <v>1.3682650075786113E-2</v>
      </c>
      <c r="BK274" s="18">
        <f t="shared" si="513"/>
        <v>0.43626774332282015</v>
      </c>
      <c r="BL274" s="19">
        <f t="shared" si="514"/>
        <v>976.68506564828363</v>
      </c>
      <c r="BM274" s="15">
        <f t="shared" si="463"/>
        <v>5.4533701312965678E-6</v>
      </c>
      <c r="BN274" s="16">
        <f t="shared" si="464"/>
        <v>27.120878254955262</v>
      </c>
      <c r="BO274" s="17">
        <f t="shared" si="465"/>
        <v>1.3648114230693514E-2</v>
      </c>
      <c r="BP274" s="18">
        <f t="shared" si="515"/>
        <v>0.43754412221328981</v>
      </c>
      <c r="BQ274" s="19">
        <f t="shared" si="516"/>
        <v>969.18535575576971</v>
      </c>
      <c r="BR274" s="15">
        <f t="shared" si="466"/>
        <v>5.4383707115115398E-6</v>
      </c>
      <c r="BS274" s="16">
        <f t="shared" si="467"/>
        <v>27.034631591191349</v>
      </c>
      <c r="BT274" s="17">
        <f t="shared" si="468"/>
        <v>1.3610575279606121E-2</v>
      </c>
      <c r="BU274" s="18">
        <f t="shared" si="517"/>
        <v>0.43893998812931362</v>
      </c>
      <c r="BV274" s="19">
        <f t="shared" si="518"/>
        <v>961.08567108831301</v>
      </c>
      <c r="BW274" s="15">
        <f t="shared" si="469"/>
        <v>5.4221713421766267E-6</v>
      </c>
      <c r="BX274" s="16">
        <f t="shared" si="470"/>
        <v>26.941485217515599</v>
      </c>
      <c r="BY274" s="17">
        <f t="shared" si="471"/>
        <v>1.3570033222524895E-2</v>
      </c>
      <c r="BZ274" s="18">
        <f t="shared" si="519"/>
        <v>0.44045756104058514</v>
      </c>
      <c r="CA274" s="19">
        <f t="shared" si="520"/>
        <v>952.38601161155066</v>
      </c>
      <c r="CB274" s="15">
        <f t="shared" si="472"/>
        <v>5.4047720232231019E-6</v>
      </c>
      <c r="CC274" s="16">
        <f t="shared" si="473"/>
        <v>26.84143913353283</v>
      </c>
      <c r="CD274" s="17">
        <f t="shared" si="474"/>
        <v>1.3526488059277829E-2</v>
      </c>
      <c r="CE274" s="18">
        <f t="shared" si="521"/>
        <v>0.44209927830930118</v>
      </c>
      <c r="CF274" s="19">
        <f t="shared" si="522"/>
        <v>943.0863701683769</v>
      </c>
      <c r="CG274" s="15">
        <f t="shared" si="475"/>
        <v>5.3861727403367549E-6</v>
      </c>
      <c r="CH274" s="16">
        <f t="shared" si="476"/>
        <v>26.734493256936332</v>
      </c>
      <c r="CI274" s="17">
        <f t="shared" si="477"/>
        <v>1.3479939754040845E-2</v>
      </c>
      <c r="CJ274" s="18">
        <f t="shared" si="523"/>
        <v>0.44386780612118332</v>
      </c>
      <c r="CK274" s="19">
        <f t="shared" si="524"/>
        <v>933.18592037545204</v>
      </c>
      <c r="CL274" s="15">
        <f t="shared" si="478"/>
        <v>5.3663718407509044E-6</v>
      </c>
      <c r="CM274" s="16">
        <f t="shared" si="479"/>
        <v>26.620638084317697</v>
      </c>
      <c r="CN274" s="17">
        <f t="shared" si="480"/>
        <v>1.3430384170445436E-2</v>
      </c>
      <c r="CO274" s="18">
        <f t="shared" si="525"/>
        <v>0.44576620711088588</v>
      </c>
      <c r="CP274" s="19">
        <f t="shared" si="526"/>
        <v>922.62730337787139</v>
      </c>
      <c r="CQ274" s="15">
        <f t="shared" si="481"/>
        <v>5.3452546067557433E-6</v>
      </c>
      <c r="CR274" s="16">
        <f t="shared" si="482"/>
        <v>26.499213988845518</v>
      </c>
      <c r="CS274" s="17">
        <f t="shared" si="483"/>
        <v>1.3377534205219673E-2</v>
      </c>
      <c r="CT274" s="18">
        <f t="shared" si="527"/>
        <v>0.44780878688375336</v>
      </c>
      <c r="CU274" s="19">
        <f t="shared" si="528"/>
        <v>909.02541863495355</v>
      </c>
      <c r="CV274" s="15">
        <f t="shared" si="484"/>
        <v>5.3180508372699073E-6</v>
      </c>
      <c r="CW274" s="16">
        <f t="shared" si="485"/>
        <v>26.342792314301967</v>
      </c>
      <c r="CX274" s="17">
        <f t="shared" si="486"/>
        <v>1.3309451506904846E-2</v>
      </c>
      <c r="CY274" s="18">
        <f t="shared" si="529"/>
        <v>0.45046784441584509</v>
      </c>
      <c r="CZ274" s="20">
        <f t="shared" si="530"/>
        <v>837.94675872824382</v>
      </c>
      <c r="DA274" s="15">
        <f t="shared" si="487"/>
        <v>5.175893517456488E-6</v>
      </c>
      <c r="DB274" s="16">
        <f t="shared" si="488"/>
        <v>25.525387725374802</v>
      </c>
      <c r="DC274" s="17">
        <f t="shared" si="489"/>
        <v>1.2953675300113342E-2</v>
      </c>
      <c r="DD274" s="18">
        <f t="shared" si="531"/>
        <v>0.46489326616266535</v>
      </c>
    </row>
    <row r="275" spans="2:108" x14ac:dyDescent="0.25">
      <c r="B275">
        <v>8</v>
      </c>
      <c r="C275">
        <f t="shared" si="490"/>
        <v>7.8209173307620117E-3</v>
      </c>
      <c r="D275" s="19">
        <f t="shared" si="428"/>
        <v>1019.8757828693056</v>
      </c>
      <c r="E275" s="15">
        <f t="shared" si="429"/>
        <v>5.5397515657386113E-6</v>
      </c>
      <c r="F275" s="16">
        <f t="shared" si="430"/>
        <v>27.617571502997013</v>
      </c>
      <c r="G275" s="17">
        <f t="shared" si="426"/>
        <v>1.386430048915235E-2</v>
      </c>
      <c r="H275" s="18">
        <f t="shared" si="491"/>
        <v>0.42967503020423636</v>
      </c>
      <c r="I275" s="19">
        <f t="shared" si="492"/>
        <v>1019.5671203403216</v>
      </c>
      <c r="J275" s="15">
        <f t="shared" si="431"/>
        <v>5.5391342406806432E-6</v>
      </c>
      <c r="K275" s="16">
        <f t="shared" si="432"/>
        <v>27.614021883913697</v>
      </c>
      <c r="L275" s="17">
        <f t="shared" si="433"/>
        <v>1.3862755513714086E-2</v>
      </c>
      <c r="M275" s="18">
        <f t="shared" si="493"/>
        <v>0.42973026238639545</v>
      </c>
      <c r="N275" s="19">
        <f t="shared" si="494"/>
        <v>1018.6669183579188</v>
      </c>
      <c r="O275" s="15">
        <f t="shared" si="434"/>
        <v>5.5373338367158384E-6</v>
      </c>
      <c r="P275" s="16">
        <f t="shared" si="435"/>
        <v>27.603669561116064</v>
      </c>
      <c r="Q275" s="17">
        <f t="shared" si="427"/>
        <v>1.386430048915235E-2</v>
      </c>
      <c r="R275" s="18">
        <f t="shared" si="495"/>
        <v>0.42989142597308039</v>
      </c>
      <c r="S275" s="19">
        <f t="shared" si="496"/>
        <v>1017.1669076567736</v>
      </c>
      <c r="T275" s="15">
        <f t="shared" si="436"/>
        <v>5.5343338153135479E-6</v>
      </c>
      <c r="U275" s="16">
        <f t="shared" si="437"/>
        <v>27.586419438052893</v>
      </c>
      <c r="V275" s="17">
        <f t="shared" si="438"/>
        <v>1.3850741520130551E-2</v>
      </c>
      <c r="W275" s="18">
        <f t="shared" si="497"/>
        <v>0.43016024230201683</v>
      </c>
      <c r="X275" s="19">
        <f t="shared" si="498"/>
        <v>1015.0670303307434</v>
      </c>
      <c r="Y275" s="15">
        <f t="shared" si="439"/>
        <v>5.5301340606614871E-6</v>
      </c>
      <c r="Z275" s="16">
        <f t="shared" si="440"/>
        <v>27.56227084880355</v>
      </c>
      <c r="AA275" s="17">
        <f t="shared" si="441"/>
        <v>1.384023082126871E-2</v>
      </c>
      <c r="AB275" s="18">
        <f t="shared" si="499"/>
        <v>0.43053712572572789</v>
      </c>
      <c r="AC275" s="19">
        <f t="shared" si="500"/>
        <v>1012.3671334472735</v>
      </c>
      <c r="AD275" s="15">
        <f t="shared" si="442"/>
        <v>5.5247342668945475E-6</v>
      </c>
      <c r="AE275" s="16">
        <f t="shared" si="443"/>
        <v>27.531222034643644</v>
      </c>
      <c r="AF275" s="17">
        <f t="shared" si="444"/>
        <v>1.3826716792259303E-2</v>
      </c>
      <c r="AG275" s="18">
        <f t="shared" si="501"/>
        <v>0.43102267145227707</v>
      </c>
      <c r="AH275" s="19">
        <f t="shared" si="502"/>
        <v>1009.0672632824583</v>
      </c>
      <c r="AI275" s="15">
        <f t="shared" si="445"/>
        <v>5.5181345265649166E-6</v>
      </c>
      <c r="AJ275" s="16">
        <f t="shared" si="446"/>
        <v>27.493273527748268</v>
      </c>
      <c r="AK275" s="17">
        <f t="shared" si="447"/>
        <v>1.3810199664732091E-2</v>
      </c>
      <c r="AL275" s="18">
        <f t="shared" si="503"/>
        <v>0.43161760485673911</v>
      </c>
      <c r="AM275" s="19">
        <f t="shared" si="504"/>
        <v>1005.1674218806802</v>
      </c>
      <c r="AN275" s="15">
        <f t="shared" si="448"/>
        <v>5.5103348437613605E-6</v>
      </c>
      <c r="AO275" s="16">
        <f t="shared" si="449"/>
        <v>27.448425351627822</v>
      </c>
      <c r="AP275" s="17">
        <f t="shared" si="450"/>
        <v>1.3790679448920002E-2</v>
      </c>
      <c r="AQ275" s="18">
        <f t="shared" si="505"/>
        <v>0.43232282791093346</v>
      </c>
      <c r="AR275" s="19">
        <f t="shared" si="506"/>
        <v>1000.6676092993251</v>
      </c>
      <c r="AS275" s="15">
        <f t="shared" si="451"/>
        <v>5.5013352185986505E-6</v>
      </c>
      <c r="AT275" s="16">
        <f t="shared" si="452"/>
        <v>27.39667750694224</v>
      </c>
      <c r="AU275" s="17">
        <f t="shared" si="453"/>
        <v>1.3768156145110275E-2</v>
      </c>
      <c r="AV275" s="18">
        <f t="shared" si="507"/>
        <v>0.43313941505173176</v>
      </c>
      <c r="AW275" s="19">
        <f t="shared" si="508"/>
        <v>995.56782554203915</v>
      </c>
      <c r="AX275" s="15">
        <f t="shared" si="454"/>
        <v>5.4911356510840787E-6</v>
      </c>
      <c r="AY275" s="16">
        <f t="shared" si="455"/>
        <v>27.33802999373345</v>
      </c>
      <c r="AZ275" s="17">
        <f t="shared" si="456"/>
        <v>1.3742629753321156E-2</v>
      </c>
      <c r="BA275" s="18">
        <f t="shared" si="509"/>
        <v>0.43406861695733057</v>
      </c>
      <c r="BB275" s="19">
        <f t="shared" si="510"/>
        <v>989.86807061050354</v>
      </c>
      <c r="BC275" s="15">
        <f t="shared" si="457"/>
        <v>5.4797361412210078E-6</v>
      </c>
      <c r="BD275" s="16">
        <f t="shared" si="458"/>
        <v>27.27248281202079</v>
      </c>
      <c r="BE275" s="17">
        <f t="shared" si="459"/>
        <v>1.3714100273561066E-2</v>
      </c>
      <c r="BF275" s="18">
        <f t="shared" si="511"/>
        <v>0.4351118653739699</v>
      </c>
      <c r="BG275" s="19">
        <f t="shared" si="512"/>
        <v>983.5683445057814</v>
      </c>
      <c r="BH275" s="15">
        <f t="shared" si="460"/>
        <v>5.467136689011563E-6</v>
      </c>
      <c r="BI275" s="16">
        <f t="shared" si="461"/>
        <v>27.200035961816486</v>
      </c>
      <c r="BJ275" s="17">
        <f t="shared" si="462"/>
        <v>1.3682567705835319E-2</v>
      </c>
      <c r="BK275" s="18">
        <f t="shared" si="513"/>
        <v>0.43627077869956682</v>
      </c>
      <c r="BL275" s="19">
        <f t="shared" si="514"/>
        <v>976.66864722858134</v>
      </c>
      <c r="BM275" s="15">
        <f t="shared" si="463"/>
        <v>5.4533372944571631E-6</v>
      </c>
      <c r="BN275" s="16">
        <f t="shared" si="464"/>
        <v>27.120689443128683</v>
      </c>
      <c r="BO275" s="17">
        <f t="shared" si="465"/>
        <v>1.364803205014747E-2</v>
      </c>
      <c r="BP275" s="18">
        <f t="shared" si="515"/>
        <v>0.43754716835653396</v>
      </c>
      <c r="BQ275" s="19">
        <f t="shared" si="516"/>
        <v>969.16897877939209</v>
      </c>
      <c r="BR275" s="15">
        <f t="shared" si="466"/>
        <v>5.4383379575587847E-6</v>
      </c>
      <c r="BS275" s="16">
        <f t="shared" si="467"/>
        <v>27.034443255963009</v>
      </c>
      <c r="BT275" s="17">
        <f t="shared" si="468"/>
        <v>1.361049330649996E-2</v>
      </c>
      <c r="BU275" s="18">
        <f t="shared" si="517"/>
        <v>0.43894304600115919</v>
      </c>
      <c r="BV275" s="19">
        <f t="shared" si="518"/>
        <v>961.06933915800732</v>
      </c>
      <c r="BW275" s="15">
        <f t="shared" si="469"/>
        <v>5.4221386783160153E-6</v>
      </c>
      <c r="BX275" s="16">
        <f t="shared" si="470"/>
        <v>26.941297400317083</v>
      </c>
      <c r="BY275" s="17">
        <f t="shared" si="471"/>
        <v>1.356995147489176E-2</v>
      </c>
      <c r="BZ275" s="18">
        <f t="shared" si="519"/>
        <v>0.44046063162415616</v>
      </c>
      <c r="CA275" s="19">
        <f t="shared" si="520"/>
        <v>952.36972823071176</v>
      </c>
      <c r="CB275" s="15">
        <f t="shared" si="472"/>
        <v>5.4047394564614247E-6</v>
      </c>
      <c r="CC275" s="16">
        <f t="shared" si="473"/>
        <v>26.841251874653185</v>
      </c>
      <c r="CD275" s="17">
        <f t="shared" si="474"/>
        <v>1.3526406554653571E-2</v>
      </c>
      <c r="CE275" s="18">
        <f t="shared" si="521"/>
        <v>0.44210236262950853</v>
      </c>
      <c r="CF275" s="19">
        <f t="shared" si="522"/>
        <v>943.0701275078784</v>
      </c>
      <c r="CG275" s="15">
        <f t="shared" si="475"/>
        <v>5.3861402550157574E-6</v>
      </c>
      <c r="CH275" s="16">
        <f t="shared" si="476"/>
        <v>26.734306466340598</v>
      </c>
      <c r="CI275" s="17">
        <f t="shared" si="477"/>
        <v>1.347985845323765E-2</v>
      </c>
      <c r="CJ275" s="18">
        <f t="shared" si="523"/>
        <v>0.44387090739227997</v>
      </c>
      <c r="CK275" s="19">
        <f t="shared" si="524"/>
        <v>933.16893704162351</v>
      </c>
      <c r="CL275" s="15">
        <f t="shared" si="478"/>
        <v>5.3663378740832478E-6</v>
      </c>
      <c r="CM275" s="16">
        <f t="shared" si="479"/>
        <v>26.62044277597867</v>
      </c>
      <c r="CN275" s="17">
        <f t="shared" si="480"/>
        <v>1.3430299162285516E-2</v>
      </c>
      <c r="CO275" s="18">
        <f t="shared" si="525"/>
        <v>0.44576947759959401</v>
      </c>
      <c r="CP275" s="19">
        <f t="shared" si="526"/>
        <v>922.57741797144593</v>
      </c>
      <c r="CQ275" s="15">
        <f t="shared" si="481"/>
        <v>5.3451548359428915E-6</v>
      </c>
      <c r="CR275" s="16">
        <f t="shared" si="482"/>
        <v>26.498640306671625</v>
      </c>
      <c r="CS275" s="17">
        <f t="shared" si="483"/>
        <v>1.3377284509450282E-2</v>
      </c>
      <c r="CT275" s="18">
        <f t="shared" si="527"/>
        <v>0.44781848171772881</v>
      </c>
      <c r="CU275" s="19">
        <f t="shared" si="528"/>
        <v>908.22672504673881</v>
      </c>
      <c r="CV275" s="15">
        <f t="shared" si="484"/>
        <v>5.3164534500934779E-6</v>
      </c>
      <c r="CW275" s="16">
        <f t="shared" si="485"/>
        <v>26.333607338037496</v>
      </c>
      <c r="CX275" s="17">
        <f t="shared" si="486"/>
        <v>1.3305453736328183E-2</v>
      </c>
      <c r="CY275" s="18">
        <f t="shared" si="529"/>
        <v>0.45062496441865196</v>
      </c>
      <c r="CZ275" s="20">
        <f t="shared" si="530"/>
        <v>830.33345549245155</v>
      </c>
      <c r="DA275" s="15">
        <f t="shared" si="487"/>
        <v>5.1606669109849037E-6</v>
      </c>
      <c r="DB275" s="16">
        <f t="shared" si="488"/>
        <v>25.43783473816319</v>
      </c>
      <c r="DC275" s="17">
        <f t="shared" si="489"/>
        <v>1.2915567770371804E-2</v>
      </c>
      <c r="DD275" s="18">
        <f t="shared" si="531"/>
        <v>0.46649335495190652</v>
      </c>
    </row>
    <row r="276" spans="2:108" x14ac:dyDescent="0.25">
      <c r="B276">
        <v>9</v>
      </c>
      <c r="C276">
        <f t="shared" si="490"/>
        <v>8.7985319971072631E-3</v>
      </c>
      <c r="D276" s="19">
        <f t="shared" si="428"/>
        <v>1019.8600241198353</v>
      </c>
      <c r="E276" s="15">
        <f t="shared" si="429"/>
        <v>5.5397200482396717E-6</v>
      </c>
      <c r="F276" s="16">
        <f t="shared" si="430"/>
        <v>27.617390277378107</v>
      </c>
      <c r="G276" s="17">
        <f t="shared" si="426"/>
        <v>1.3864221610511172E-2</v>
      </c>
      <c r="H276" s="18">
        <f t="shared" si="491"/>
        <v>0.42967784973651274</v>
      </c>
      <c r="I276" s="19">
        <f t="shared" si="492"/>
        <v>1019.5505391235066</v>
      </c>
      <c r="J276" s="15">
        <f t="shared" si="431"/>
        <v>5.5391010782470134E-6</v>
      </c>
      <c r="K276" s="16">
        <f t="shared" si="432"/>
        <v>27.613831199920327</v>
      </c>
      <c r="L276" s="17">
        <f t="shared" si="433"/>
        <v>1.3862672518305476E-2</v>
      </c>
      <c r="M276" s="18">
        <f t="shared" si="493"/>
        <v>0.42973322983708745</v>
      </c>
      <c r="N276" s="19">
        <f t="shared" si="494"/>
        <v>1018.6502850654757</v>
      </c>
      <c r="O276" s="15">
        <f t="shared" si="434"/>
        <v>5.5373005701309518E-6</v>
      </c>
      <c r="P276" s="16">
        <f t="shared" si="435"/>
        <v>27.603478278252972</v>
      </c>
      <c r="Q276" s="17">
        <f t="shared" si="427"/>
        <v>1.3864221610511172E-2</v>
      </c>
      <c r="R276" s="18">
        <f t="shared" si="495"/>
        <v>0.42989440497673892</v>
      </c>
      <c r="S276" s="19">
        <f t="shared" si="496"/>
        <v>1017.1502726987192</v>
      </c>
      <c r="T276" s="15">
        <f t="shared" si="436"/>
        <v>5.5343005453974383E-6</v>
      </c>
      <c r="U276" s="16">
        <f t="shared" si="437"/>
        <v>27.58622813603527</v>
      </c>
      <c r="V276" s="17">
        <f t="shared" si="438"/>
        <v>1.3850658255726234E-2</v>
      </c>
      <c r="W276" s="18">
        <f t="shared" si="497"/>
        <v>0.43016322533115176</v>
      </c>
      <c r="X276" s="19">
        <f t="shared" si="498"/>
        <v>1015.0504096608714</v>
      </c>
      <c r="Y276" s="15">
        <f t="shared" si="439"/>
        <v>5.5301008193217432E-6</v>
      </c>
      <c r="Z276" s="16">
        <f t="shared" si="440"/>
        <v>27.562079711100019</v>
      </c>
      <c r="AA276" s="17">
        <f t="shared" si="441"/>
        <v>1.3840147628382277E-2</v>
      </c>
      <c r="AB276" s="18">
        <f t="shared" si="499"/>
        <v>0.43054011141760451</v>
      </c>
      <c r="AC276" s="19">
        <f t="shared" si="500"/>
        <v>1012.3505259623182</v>
      </c>
      <c r="AD276" s="15">
        <f t="shared" si="442"/>
        <v>5.5247010519246367E-6</v>
      </c>
      <c r="AE276" s="16">
        <f t="shared" si="443"/>
        <v>27.531031048566661</v>
      </c>
      <c r="AF276" s="17">
        <f t="shared" si="444"/>
        <v>1.3826633665368482E-2</v>
      </c>
      <c r="AG276" s="18">
        <f t="shared" si="501"/>
        <v>0.4310256615084419</v>
      </c>
      <c r="AH276" s="19">
        <f t="shared" si="502"/>
        <v>1009.0506720520943</v>
      </c>
      <c r="AI276" s="15">
        <f t="shared" si="445"/>
        <v>5.5181013441041888E-6</v>
      </c>
      <c r="AJ276" s="16">
        <f t="shared" si="446"/>
        <v>27.493082728599084</v>
      </c>
      <c r="AK276" s="17">
        <f t="shared" si="447"/>
        <v>1.3810116619201791E-2</v>
      </c>
      <c r="AL276" s="18">
        <f t="shared" si="503"/>
        <v>0.43162060023825355</v>
      </c>
      <c r="AM276" s="19">
        <f t="shared" si="504"/>
        <v>1005.1508504800744</v>
      </c>
      <c r="AN276" s="15">
        <f t="shared" si="448"/>
        <v>5.5103017009601493E-6</v>
      </c>
      <c r="AO276" s="16">
        <f t="shared" si="449"/>
        <v>27.448234780520856</v>
      </c>
      <c r="AP276" s="17">
        <f t="shared" si="450"/>
        <v>1.379059650264532E-2</v>
      </c>
      <c r="AQ276" s="18">
        <f t="shared" si="505"/>
        <v>0.43232582949702963</v>
      </c>
      <c r="AR276" s="19">
        <f t="shared" si="506"/>
        <v>1000.6510613289438</v>
      </c>
      <c r="AS276" s="15">
        <f t="shared" si="451"/>
        <v>5.501302122657888E-6</v>
      </c>
      <c r="AT276" s="16">
        <f t="shared" si="452"/>
        <v>27.396487205282853</v>
      </c>
      <c r="AU276" s="17">
        <f t="shared" si="453"/>
        <v>1.3768073316112933E-2</v>
      </c>
      <c r="AV276" s="18">
        <f t="shared" si="507"/>
        <v>0.43314242372758177</v>
      </c>
      <c r="AW276" s="19">
        <f t="shared" si="508"/>
        <v>995.55130460378848</v>
      </c>
      <c r="AX276" s="15">
        <f t="shared" si="454"/>
        <v>5.4911026092075776E-6</v>
      </c>
      <c r="AY276" s="16">
        <f t="shared" si="455"/>
        <v>27.337840002943565</v>
      </c>
      <c r="AZ276" s="17">
        <f t="shared" si="456"/>
        <v>1.3742547059630093E-2</v>
      </c>
      <c r="BA276" s="18">
        <f t="shared" si="509"/>
        <v>0.43407163361992684</v>
      </c>
      <c r="BB276" s="19">
        <f t="shared" si="510"/>
        <v>989.85158030677997</v>
      </c>
      <c r="BC276" s="15">
        <f t="shared" si="457"/>
        <v>5.47970316061356E-6</v>
      </c>
      <c r="BD276" s="16">
        <f t="shared" si="458"/>
        <v>27.27229317352797</v>
      </c>
      <c r="BE276" s="17">
        <f t="shared" si="459"/>
        <v>1.3714017733207667E-2</v>
      </c>
      <c r="BF276" s="18">
        <f t="shared" si="511"/>
        <v>0.43511489093393413</v>
      </c>
      <c r="BG276" s="19">
        <f t="shared" si="512"/>
        <v>983.5518884392859</v>
      </c>
      <c r="BH276" s="15">
        <f t="shared" si="460"/>
        <v>5.4671037768785721E-6</v>
      </c>
      <c r="BI276" s="16">
        <f t="shared" si="461"/>
        <v>27.199846717051788</v>
      </c>
      <c r="BJ276" s="17">
        <f t="shared" si="462"/>
        <v>1.3682485336852504E-2</v>
      </c>
      <c r="BK276" s="18">
        <f t="shared" si="513"/>
        <v>0.43627381408288046</v>
      </c>
      <c r="BL276" s="19">
        <f t="shared" si="514"/>
        <v>976.65222900221761</v>
      </c>
      <c r="BM276" s="15">
        <f t="shared" si="463"/>
        <v>5.4533044580044357E-6</v>
      </c>
      <c r="BN276" s="16">
        <f t="shared" si="464"/>
        <v>27.120500633525502</v>
      </c>
      <c r="BO276" s="17">
        <f t="shared" si="465"/>
        <v>1.3647949870569161E-2</v>
      </c>
      <c r="BP276" s="18">
        <f t="shared" si="515"/>
        <v>0.43755021450632103</v>
      </c>
      <c r="BQ276" s="19">
        <f t="shared" si="516"/>
        <v>969.15260199619627</v>
      </c>
      <c r="BR276" s="15">
        <f t="shared" si="466"/>
        <v>5.4383052039923927E-6</v>
      </c>
      <c r="BS276" s="16">
        <f t="shared" si="467"/>
        <v>27.034254922956258</v>
      </c>
      <c r="BT276" s="17">
        <f t="shared" si="468"/>
        <v>1.361041133436075E-2</v>
      </c>
      <c r="BU276" s="18">
        <f t="shared" si="517"/>
        <v>0.43894610387953908</v>
      </c>
      <c r="BV276" s="19">
        <f t="shared" si="518"/>
        <v>961.05300741924236</v>
      </c>
      <c r="BW276" s="15">
        <f t="shared" si="469"/>
        <v>5.4221060148384848E-6</v>
      </c>
      <c r="BX276" s="16">
        <f t="shared" si="470"/>
        <v>26.941109585321286</v>
      </c>
      <c r="BY276" s="17">
        <f t="shared" si="471"/>
        <v>1.3569869728217358E-2</v>
      </c>
      <c r="BZ276" s="18">
        <f t="shared" si="519"/>
        <v>0.44046370221452719</v>
      </c>
      <c r="CA276" s="19">
        <f t="shared" si="520"/>
        <v>952.35344488210467</v>
      </c>
      <c r="CB276" s="15">
        <f t="shared" si="472"/>
        <v>5.4047068897642101E-6</v>
      </c>
      <c r="CC276" s="16">
        <f t="shared" si="473"/>
        <v>26.841064616144202</v>
      </c>
      <c r="CD276" s="17">
        <f t="shared" si="474"/>
        <v>1.3526325050190642E-2</v>
      </c>
      <c r="CE276" s="18">
        <f t="shared" si="521"/>
        <v>0.44210544698664667</v>
      </c>
      <c r="CF276" s="19">
        <f t="shared" si="522"/>
        <v>943.05387407999808</v>
      </c>
      <c r="CG276" s="15">
        <f t="shared" si="475"/>
        <v>5.3861077481599958E-6</v>
      </c>
      <c r="CH276" s="16">
        <f t="shared" si="476"/>
        <v>26.734119551919978</v>
      </c>
      <c r="CI276" s="17">
        <f t="shared" si="477"/>
        <v>1.3479777098539539E-2</v>
      </c>
      <c r="CJ276" s="18">
        <f t="shared" si="523"/>
        <v>0.44387401076261251</v>
      </c>
      <c r="CK276" s="19">
        <f t="shared" si="524"/>
        <v>933.15150694366207</v>
      </c>
      <c r="CL276" s="15">
        <f t="shared" si="478"/>
        <v>5.366303013887325E-6</v>
      </c>
      <c r="CM276" s="16">
        <f t="shared" si="479"/>
        <v>26.620242329852111</v>
      </c>
      <c r="CN276" s="17">
        <f t="shared" si="480"/>
        <v>1.3430211917898175E-2</v>
      </c>
      <c r="CO276" s="18">
        <f t="shared" si="525"/>
        <v>0.44577283417178509</v>
      </c>
      <c r="CP276" s="19">
        <f t="shared" si="526"/>
        <v>922.51762649236582</v>
      </c>
      <c r="CQ276" s="15">
        <f t="shared" si="481"/>
        <v>5.3450352529847326E-6</v>
      </c>
      <c r="CR276" s="16">
        <f t="shared" si="482"/>
        <v>26.497952704662204</v>
      </c>
      <c r="CS276" s="17">
        <f t="shared" si="483"/>
        <v>1.3376985229952707E-2</v>
      </c>
      <c r="CT276" s="18">
        <f t="shared" si="527"/>
        <v>0.44783010227163789</v>
      </c>
      <c r="CU276" s="19">
        <f t="shared" si="528"/>
        <v>907.34424467128031</v>
      </c>
      <c r="CV276" s="15">
        <f t="shared" si="484"/>
        <v>5.3146884893425606E-6</v>
      </c>
      <c r="CW276" s="16">
        <f t="shared" si="485"/>
        <v>26.323458813719725</v>
      </c>
      <c r="CX276" s="17">
        <f t="shared" si="486"/>
        <v>1.3301036580448193E-2</v>
      </c>
      <c r="CY276" s="18">
        <f t="shared" si="529"/>
        <v>0.45079869456718447</v>
      </c>
      <c r="CZ276" s="20">
        <f t="shared" si="530"/>
        <v>822.98931689841061</v>
      </c>
      <c r="DA276" s="15">
        <f t="shared" si="487"/>
        <v>5.1459786337968219E-6</v>
      </c>
      <c r="DB276" s="16">
        <f t="shared" si="488"/>
        <v>25.353377144331724</v>
      </c>
      <c r="DC276" s="17">
        <f t="shared" si="489"/>
        <v>1.2878807513853625E-2</v>
      </c>
      <c r="DD276" s="18">
        <f t="shared" si="531"/>
        <v>0.46804734541531956</v>
      </c>
    </row>
    <row r="277" spans="2:108" x14ac:dyDescent="0.25">
      <c r="B277">
        <v>10</v>
      </c>
      <c r="C277">
        <f t="shared" si="490"/>
        <v>9.7761466634525146E-3</v>
      </c>
      <c r="D277" s="19">
        <f t="shared" si="428"/>
        <v>1019.8442233793372</v>
      </c>
      <c r="E277" s="15">
        <f t="shared" si="429"/>
        <v>5.5396884467586759E-6</v>
      </c>
      <c r="F277" s="16">
        <f t="shared" si="430"/>
        <v>27.617208568862377</v>
      </c>
      <c r="G277" s="17">
        <f t="shared" si="426"/>
        <v>1.3864142521688645E-2</v>
      </c>
      <c r="H277" s="18">
        <f t="shared" si="491"/>
        <v>0.42968067681891403</v>
      </c>
      <c r="I277" s="19">
        <f t="shared" si="492"/>
        <v>1019.5339626197059</v>
      </c>
      <c r="J277" s="15">
        <f t="shared" si="431"/>
        <v>5.5390679252394126E-6</v>
      </c>
      <c r="K277" s="16">
        <f t="shared" si="432"/>
        <v>27.613640570126616</v>
      </c>
      <c r="L277" s="17">
        <f t="shared" si="433"/>
        <v>1.3862589546487329E-2</v>
      </c>
      <c r="M277" s="18">
        <f t="shared" si="493"/>
        <v>0.42973619648528244</v>
      </c>
      <c r="N277" s="19">
        <f t="shared" si="494"/>
        <v>1018.6336523851525</v>
      </c>
      <c r="O277" s="15">
        <f t="shared" si="434"/>
        <v>5.5372673047703056E-6</v>
      </c>
      <c r="P277" s="16">
        <f t="shared" si="435"/>
        <v>27.603287002429255</v>
      </c>
      <c r="Q277" s="17">
        <f t="shared" si="427"/>
        <v>1.3864142521688645E-2</v>
      </c>
      <c r="R277" s="18">
        <f t="shared" si="495"/>
        <v>0.42989738391205251</v>
      </c>
      <c r="S277" s="19">
        <f t="shared" si="496"/>
        <v>1017.1336380859118</v>
      </c>
      <c r="T277" s="15">
        <f t="shared" si="436"/>
        <v>5.534267276171824E-6</v>
      </c>
      <c r="U277" s="16">
        <f t="shared" si="437"/>
        <v>27.586036837987983</v>
      </c>
      <c r="V277" s="17">
        <f t="shared" si="438"/>
        <v>1.3850574993050013E-2</v>
      </c>
      <c r="W277" s="18">
        <f t="shared" si="497"/>
        <v>0.43016620833974789</v>
      </c>
      <c r="X277" s="19">
        <f t="shared" si="498"/>
        <v>1015.0337891231979</v>
      </c>
      <c r="Y277" s="15">
        <f t="shared" si="439"/>
        <v>5.5300675782463965E-6</v>
      </c>
      <c r="Z277" s="16">
        <f t="shared" si="440"/>
        <v>27.561888574916775</v>
      </c>
      <c r="AA277" s="17">
        <f t="shared" si="441"/>
        <v>1.3840064436157552E-2</v>
      </c>
      <c r="AB277" s="18">
        <f t="shared" si="499"/>
        <v>0.43054309712714345</v>
      </c>
      <c r="AC277" s="19">
        <f t="shared" si="500"/>
        <v>1012.3339186604184</v>
      </c>
      <c r="AD277" s="15">
        <f t="shared" si="442"/>
        <v>5.5246678373208374E-6</v>
      </c>
      <c r="AE277" s="16">
        <f t="shared" si="443"/>
        <v>27.530840064594813</v>
      </c>
      <c r="AF277" s="17">
        <f t="shared" si="444"/>
        <v>1.3826550539393925E-2</v>
      </c>
      <c r="AG277" s="18">
        <f t="shared" si="501"/>
        <v>0.43102865157313336</v>
      </c>
      <c r="AH277" s="19">
        <f t="shared" si="502"/>
        <v>1009.0340810124864</v>
      </c>
      <c r="AI277" s="15">
        <f t="shared" si="445"/>
        <v>5.518068162024974E-6</v>
      </c>
      <c r="AJ277" s="16">
        <f t="shared" si="446"/>
        <v>27.492891931643591</v>
      </c>
      <c r="AK277" s="17">
        <f t="shared" si="447"/>
        <v>1.3810033574626302E-2</v>
      </c>
      <c r="AL277" s="18">
        <f t="shared" si="503"/>
        <v>0.43162359562690378</v>
      </c>
      <c r="AM277" s="19">
        <f t="shared" si="504"/>
        <v>1005.1342792715132</v>
      </c>
      <c r="AN277" s="15">
        <f t="shared" si="448"/>
        <v>5.510268558543027E-6</v>
      </c>
      <c r="AO277" s="16">
        <f t="shared" si="449"/>
        <v>27.448044211622403</v>
      </c>
      <c r="AP277" s="17">
        <f t="shared" si="450"/>
        <v>1.3790513557331891E-2</v>
      </c>
      <c r="AQ277" s="18">
        <f t="shared" si="505"/>
        <v>0.43232883109001985</v>
      </c>
      <c r="AR277" s="19">
        <f t="shared" si="506"/>
        <v>1000.6345135512584</v>
      </c>
      <c r="AS277" s="15">
        <f t="shared" si="451"/>
        <v>5.501269027102517E-6</v>
      </c>
      <c r="AT277" s="16">
        <f t="shared" si="452"/>
        <v>27.396296905839471</v>
      </c>
      <c r="AU277" s="17">
        <f t="shared" si="453"/>
        <v>1.376799048808011E-2</v>
      </c>
      <c r="AV277" s="18">
        <f t="shared" si="507"/>
        <v>0.43314543241019404</v>
      </c>
      <c r="AW277" s="19">
        <f t="shared" si="508"/>
        <v>995.53478385863332</v>
      </c>
      <c r="AX277" s="15">
        <f t="shared" si="454"/>
        <v>5.4910695677172676E-6</v>
      </c>
      <c r="AY277" s="16">
        <f t="shared" si="455"/>
        <v>27.337650014374283</v>
      </c>
      <c r="AZ277" s="17">
        <f t="shared" si="456"/>
        <v>1.374246436690555E-2</v>
      </c>
      <c r="BA277" s="18">
        <f t="shared" si="509"/>
        <v>0.43407465028919406</v>
      </c>
      <c r="BB277" s="19">
        <f t="shared" si="510"/>
        <v>989.83509019636801</v>
      </c>
      <c r="BC277" s="15">
        <f t="shared" si="457"/>
        <v>5.4796701803927362E-6</v>
      </c>
      <c r="BD277" s="16">
        <f t="shared" si="458"/>
        <v>27.272103537258232</v>
      </c>
      <c r="BE277" s="17">
        <f t="shared" si="459"/>
        <v>1.3713935193821872E-2</v>
      </c>
      <c r="BF277" s="18">
        <f t="shared" si="511"/>
        <v>0.43511791650050663</v>
      </c>
      <c r="BG277" s="19">
        <f t="shared" si="512"/>
        <v>983.53543256617331</v>
      </c>
      <c r="BH277" s="15">
        <f t="shared" si="460"/>
        <v>5.4670708651323474E-6</v>
      </c>
      <c r="BI277" s="16">
        <f t="shared" si="461"/>
        <v>27.199657474510992</v>
      </c>
      <c r="BJ277" s="17">
        <f t="shared" si="462"/>
        <v>1.3682402968837644E-2</v>
      </c>
      <c r="BK277" s="18">
        <f t="shared" si="513"/>
        <v>0.4362768494727613</v>
      </c>
      <c r="BL277" s="19">
        <f t="shared" si="514"/>
        <v>976.63581096918858</v>
      </c>
      <c r="BM277" s="15">
        <f t="shared" si="463"/>
        <v>5.4532716219383781E-6</v>
      </c>
      <c r="BN277" s="16">
        <f t="shared" si="464"/>
        <v>27.120311826145667</v>
      </c>
      <c r="BO277" s="17">
        <f t="shared" si="465"/>
        <v>1.3647867691958568E-2</v>
      </c>
      <c r="BP277" s="18">
        <f t="shared" si="515"/>
        <v>0.43755326066265127</v>
      </c>
      <c r="BQ277" s="19">
        <f t="shared" si="516"/>
        <v>969.13622540615859</v>
      </c>
      <c r="BR277" s="15">
        <f t="shared" si="466"/>
        <v>5.4382724508123172E-6</v>
      </c>
      <c r="BS277" s="16">
        <f t="shared" si="467"/>
        <v>27.034066592170824</v>
      </c>
      <c r="BT277" s="17">
        <f t="shared" si="468"/>
        <v>1.3610329363188367E-2</v>
      </c>
      <c r="BU277" s="18">
        <f t="shared" si="517"/>
        <v>0.4389491617644572</v>
      </c>
      <c r="BV277" s="19">
        <f t="shared" si="518"/>
        <v>961.03667586979168</v>
      </c>
      <c r="BW277" s="15">
        <f t="shared" si="469"/>
        <v>5.422073351739584E-6</v>
      </c>
      <c r="BX277" s="16">
        <f t="shared" si="470"/>
        <v>26.940921772502605</v>
      </c>
      <c r="BY277" s="17">
        <f t="shared" si="471"/>
        <v>1.3569787982490554E-2</v>
      </c>
      <c r="BZ277" s="18">
        <f t="shared" si="519"/>
        <v>0.44046677281211616</v>
      </c>
      <c r="CA277" s="19">
        <f t="shared" si="520"/>
        <v>952.33716141638524</v>
      </c>
      <c r="CB277" s="15">
        <f t="shared" si="472"/>
        <v>5.4046743228327714E-6</v>
      </c>
      <c r="CC277" s="16">
        <f t="shared" si="473"/>
        <v>26.840877356288431</v>
      </c>
      <c r="CD277" s="17">
        <f t="shared" si="474"/>
        <v>1.3526243545141524E-2</v>
      </c>
      <c r="CE277" s="18">
        <f t="shared" si="521"/>
        <v>0.44210853140900513</v>
      </c>
      <c r="CF277" s="19">
        <f t="shared" si="522"/>
        <v>943.03760394468895</v>
      </c>
      <c r="CG277" s="15">
        <f t="shared" si="475"/>
        <v>5.3860752078893782E-6</v>
      </c>
      <c r="CH277" s="16">
        <f t="shared" si="476"/>
        <v>26.733932445363923</v>
      </c>
      <c r="CI277" s="17">
        <f t="shared" si="477"/>
        <v>1.3479695660214286E-2</v>
      </c>
      <c r="CJ277" s="18">
        <f t="shared" si="523"/>
        <v>0.44387711736646313</v>
      </c>
      <c r="CK277" s="19">
        <f t="shared" si="524"/>
        <v>933.13350453246721</v>
      </c>
      <c r="CL277" s="15">
        <f t="shared" si="478"/>
        <v>5.3662670090649342E-6</v>
      </c>
      <c r="CM277" s="16">
        <f t="shared" si="479"/>
        <v>26.62003530212337</v>
      </c>
      <c r="CN277" s="17">
        <f t="shared" si="480"/>
        <v>1.3430121808861557E-2</v>
      </c>
      <c r="CO277" s="18">
        <f t="shared" si="525"/>
        <v>0.44577630100931348</v>
      </c>
      <c r="CP277" s="19">
        <f t="shared" si="526"/>
        <v>922.44703280613271</v>
      </c>
      <c r="CQ277" s="15">
        <f t="shared" si="481"/>
        <v>5.3448940656122653E-6</v>
      </c>
      <c r="CR277" s="16">
        <f t="shared" si="482"/>
        <v>26.497140877270525</v>
      </c>
      <c r="CS277" s="17">
        <f t="shared" si="483"/>
        <v>1.3376631881226878E-2</v>
      </c>
      <c r="CT277" s="18">
        <f t="shared" si="527"/>
        <v>0.44784382302534209</v>
      </c>
      <c r="CU277" s="19">
        <f t="shared" si="528"/>
        <v>906.38379297813015</v>
      </c>
      <c r="CV277" s="15">
        <f t="shared" si="484"/>
        <v>5.312767585956261E-6</v>
      </c>
      <c r="CW277" s="16">
        <f t="shared" si="485"/>
        <v>26.312413619248495</v>
      </c>
      <c r="CX277" s="17">
        <f t="shared" si="486"/>
        <v>1.3296229147941112E-2</v>
      </c>
      <c r="CY277" s="18">
        <f t="shared" si="529"/>
        <v>0.45098792689383155</v>
      </c>
      <c r="CZ277" s="20">
        <f t="shared" si="530"/>
        <v>815.90158826921947</v>
      </c>
      <c r="DA277" s="15">
        <f t="shared" si="487"/>
        <v>5.1318031765384396E-6</v>
      </c>
      <c r="DB277" s="16">
        <f t="shared" si="488"/>
        <v>25.271868265096025</v>
      </c>
      <c r="DC277" s="17">
        <f t="shared" si="489"/>
        <v>1.2843330688463689E-2</v>
      </c>
      <c r="DD277" s="18">
        <f t="shared" si="531"/>
        <v>0.46955692967533003</v>
      </c>
    </row>
    <row r="278" spans="2:108" x14ac:dyDescent="0.25">
      <c r="B278">
        <v>11</v>
      </c>
      <c r="C278">
        <f t="shared" si="490"/>
        <v>1.0753761329797766E-2</v>
      </c>
      <c r="D278" s="19">
        <f t="shared" si="428"/>
        <v>1019.8283830322838</v>
      </c>
      <c r="E278" s="15">
        <f t="shared" si="429"/>
        <v>5.5396567660645682E-6</v>
      </c>
      <c r="F278" s="16">
        <f t="shared" si="430"/>
        <v>27.617026404871261</v>
      </c>
      <c r="G278" s="17">
        <f t="shared" si="426"/>
        <v>1.3864063234619974E-2</v>
      </c>
      <c r="H278" s="18">
        <f t="shared" si="491"/>
        <v>0.42968351102509711</v>
      </c>
      <c r="I278" s="19">
        <f t="shared" si="492"/>
        <v>1019.5173904200674</v>
      </c>
      <c r="J278" s="15">
        <f t="shared" si="431"/>
        <v>5.5390347808401349E-6</v>
      </c>
      <c r="K278" s="16">
        <f t="shared" si="432"/>
        <v>27.613449989830777</v>
      </c>
      <c r="L278" s="17">
        <f t="shared" si="433"/>
        <v>1.3862506596213174E-2</v>
      </c>
      <c r="M278" s="18">
        <f t="shared" si="493"/>
        <v>0.42973916240411875</v>
      </c>
      <c r="N278" s="19">
        <f t="shared" si="494"/>
        <v>1018.6170203549293</v>
      </c>
      <c r="O278" s="15">
        <f t="shared" si="434"/>
        <v>5.5372340407098593E-6</v>
      </c>
      <c r="P278" s="16">
        <f t="shared" si="435"/>
        <v>27.603095734081684</v>
      </c>
      <c r="Q278" s="17">
        <f t="shared" si="427"/>
        <v>1.3864063234619974E-2</v>
      </c>
      <c r="R278" s="18">
        <f t="shared" si="495"/>
        <v>0.42990036277221511</v>
      </c>
      <c r="S278" s="19">
        <f t="shared" si="496"/>
        <v>1017.1170038182238</v>
      </c>
      <c r="T278" s="15">
        <f t="shared" si="436"/>
        <v>5.5342340076364484E-6</v>
      </c>
      <c r="U278" s="16">
        <f t="shared" si="437"/>
        <v>27.585845543909571</v>
      </c>
      <c r="V278" s="17">
        <f t="shared" si="438"/>
        <v>1.3850491732101247E-2</v>
      </c>
      <c r="W278" s="18">
        <f t="shared" si="497"/>
        <v>0.43016919132782622</v>
      </c>
      <c r="X278" s="19">
        <f t="shared" si="498"/>
        <v>1015.0171687210948</v>
      </c>
      <c r="Y278" s="15">
        <f t="shared" si="439"/>
        <v>5.5300343374421901E-6</v>
      </c>
      <c r="Z278" s="16">
        <f t="shared" si="440"/>
        <v>27.56169744029259</v>
      </c>
      <c r="AA278" s="17">
        <f t="shared" si="441"/>
        <v>1.3839981244611405E-2</v>
      </c>
      <c r="AB278" s="18">
        <f t="shared" si="499"/>
        <v>0.43054608285373897</v>
      </c>
      <c r="AC278" s="19">
        <f t="shared" si="500"/>
        <v>1012.3173115410559</v>
      </c>
      <c r="AD278" s="15">
        <f t="shared" si="442"/>
        <v>5.5246346230821126E-6</v>
      </c>
      <c r="AE278" s="16">
        <f t="shared" si="443"/>
        <v>27.530649082722142</v>
      </c>
      <c r="AF278" s="17">
        <f t="shared" si="444"/>
        <v>1.3826467414333039E-2</v>
      </c>
      <c r="AG278" s="18">
        <f t="shared" si="501"/>
        <v>0.4310316416464442</v>
      </c>
      <c r="AH278" s="19">
        <f t="shared" si="502"/>
        <v>1009.0174901635537</v>
      </c>
      <c r="AI278" s="15">
        <f t="shared" si="445"/>
        <v>5.5180349803271078E-6</v>
      </c>
      <c r="AJ278" s="16">
        <f t="shared" si="446"/>
        <v>27.492701136880868</v>
      </c>
      <c r="AK278" s="17">
        <f t="shared" si="447"/>
        <v>1.3809950531005213E-2</v>
      </c>
      <c r="AL278" s="18">
        <f t="shared" si="503"/>
        <v>0.43162659102270368</v>
      </c>
      <c r="AM278" s="19">
        <f t="shared" si="504"/>
        <v>1005.1177082549874</v>
      </c>
      <c r="AN278" s="15">
        <f t="shared" si="448"/>
        <v>5.5102354165099756E-6</v>
      </c>
      <c r="AO278" s="16">
        <f t="shared" si="449"/>
        <v>27.447853644932355</v>
      </c>
      <c r="AP278" s="17">
        <f t="shared" si="450"/>
        <v>1.379043061297968E-2</v>
      </c>
      <c r="AQ278" s="18">
        <f t="shared" si="505"/>
        <v>0.43233183268990516</v>
      </c>
      <c r="AR278" s="19">
        <f t="shared" si="506"/>
        <v>1000.6179659662639</v>
      </c>
      <c r="AS278" s="15">
        <f t="shared" si="451"/>
        <v>5.5012359319325282E-6</v>
      </c>
      <c r="AT278" s="16">
        <f t="shared" si="452"/>
        <v>27.396106608612033</v>
      </c>
      <c r="AU278" s="17">
        <f t="shared" si="453"/>
        <v>1.3767907661011781E-2</v>
      </c>
      <c r="AV278" s="18">
        <f t="shared" si="507"/>
        <v>0.43314844109956885</v>
      </c>
      <c r="AW278" s="19">
        <f t="shared" si="508"/>
        <v>995.51826330656922</v>
      </c>
      <c r="AX278" s="15">
        <f t="shared" si="454"/>
        <v>5.4910365266131394E-6</v>
      </c>
      <c r="AY278" s="16">
        <f t="shared" si="455"/>
        <v>27.337460028025546</v>
      </c>
      <c r="AZ278" s="17">
        <f t="shared" si="456"/>
        <v>1.37423816751475E-2</v>
      </c>
      <c r="BA278" s="18">
        <f t="shared" si="509"/>
        <v>0.43407766696513261</v>
      </c>
      <c r="BB278" s="19">
        <f t="shared" si="510"/>
        <v>989.81860027926359</v>
      </c>
      <c r="BC278" s="15">
        <f t="shared" si="457"/>
        <v>5.4796372005585279E-6</v>
      </c>
      <c r="BD278" s="16">
        <f t="shared" si="458"/>
        <v>27.27191390321153</v>
      </c>
      <c r="BE278" s="17">
        <f t="shared" si="459"/>
        <v>1.3713852655403655E-2</v>
      </c>
      <c r="BF278" s="18">
        <f t="shared" si="511"/>
        <v>0.43512094207368757</v>
      </c>
      <c r="BG278" s="19">
        <f t="shared" si="512"/>
        <v>983.51897688643965</v>
      </c>
      <c r="BH278" s="15">
        <f t="shared" si="460"/>
        <v>5.4670379537728797E-6</v>
      </c>
      <c r="BI278" s="16">
        <f t="shared" si="461"/>
        <v>27.199468234194057</v>
      </c>
      <c r="BJ278" s="17">
        <f t="shared" si="462"/>
        <v>1.3682320601790719E-2</v>
      </c>
      <c r="BK278" s="18">
        <f t="shared" si="513"/>
        <v>0.43627988486920927</v>
      </c>
      <c r="BL278" s="19">
        <f t="shared" si="514"/>
        <v>976.61939312949005</v>
      </c>
      <c r="BM278" s="15">
        <f t="shared" si="463"/>
        <v>5.4532387862589808E-6</v>
      </c>
      <c r="BN278" s="16">
        <f t="shared" si="464"/>
        <v>27.120123020989134</v>
      </c>
      <c r="BO278" s="17">
        <f t="shared" si="465"/>
        <v>1.3647785514315667E-2</v>
      </c>
      <c r="BP278" s="18">
        <f t="shared" si="515"/>
        <v>0.43755630682552477</v>
      </c>
      <c r="BQ278" s="19">
        <f t="shared" si="516"/>
        <v>969.11984900922471</v>
      </c>
      <c r="BR278" s="15">
        <f t="shared" si="466"/>
        <v>5.4382396980184506E-6</v>
      </c>
      <c r="BS278" s="16">
        <f t="shared" si="467"/>
        <v>27.033878263606084</v>
      </c>
      <c r="BT278" s="17">
        <f t="shared" si="468"/>
        <v>1.3610247392982548E-2</v>
      </c>
      <c r="BU278" s="18">
        <f t="shared" si="517"/>
        <v>0.43895221965592296</v>
      </c>
      <c r="BV278" s="19">
        <f t="shared" si="518"/>
        <v>961.02034450538395</v>
      </c>
      <c r="BW278" s="15">
        <f t="shared" si="469"/>
        <v>5.4220406890107679E-6</v>
      </c>
      <c r="BX278" s="16">
        <f t="shared" si="470"/>
        <v>26.940733961811915</v>
      </c>
      <c r="BY278" s="17">
        <f t="shared" si="471"/>
        <v>1.3569706237689957E-2</v>
      </c>
      <c r="BZ278" s="18">
        <f t="shared" si="519"/>
        <v>0.44046984341772566</v>
      </c>
      <c r="CA278" s="19">
        <f t="shared" si="520"/>
        <v>952.3208776049446</v>
      </c>
      <c r="CB278" s="15">
        <f t="shared" si="472"/>
        <v>5.4046417552098895E-6</v>
      </c>
      <c r="CC278" s="16">
        <f t="shared" si="473"/>
        <v>26.84069009245686</v>
      </c>
      <c r="CD278" s="17">
        <f t="shared" si="474"/>
        <v>1.3526162038361935E-2</v>
      </c>
      <c r="CE278" s="18">
        <f t="shared" si="521"/>
        <v>0.44211161593989001</v>
      </c>
      <c r="CF278" s="19">
        <f t="shared" si="522"/>
        <v>943.02130956948179</v>
      </c>
      <c r="CG278" s="15">
        <f t="shared" si="475"/>
        <v>5.3860426191389645E-6</v>
      </c>
      <c r="CH278" s="16">
        <f t="shared" si="476"/>
        <v>26.733745060049038</v>
      </c>
      <c r="CI278" s="17">
        <f t="shared" si="477"/>
        <v>1.3479614100558956E-2</v>
      </c>
      <c r="CJ278" s="18">
        <f t="shared" si="523"/>
        <v>0.44388022864223914</v>
      </c>
      <c r="CK278" s="19">
        <f t="shared" si="524"/>
        <v>933.11479513344125</v>
      </c>
      <c r="CL278" s="15">
        <f t="shared" si="478"/>
        <v>5.3662295902668827E-6</v>
      </c>
      <c r="CM278" s="16">
        <f t="shared" si="479"/>
        <v>26.619820144034573</v>
      </c>
      <c r="CN278" s="17">
        <f t="shared" si="480"/>
        <v>1.3430028161077181E-2</v>
      </c>
      <c r="CO278" s="18">
        <f t="shared" si="525"/>
        <v>0.44577990405307699</v>
      </c>
      <c r="CP278" s="19">
        <f t="shared" si="526"/>
        <v>922.3648435096818</v>
      </c>
      <c r="CQ278" s="15">
        <f t="shared" si="481"/>
        <v>5.3447296870193645E-6</v>
      </c>
      <c r="CR278" s="16">
        <f t="shared" si="482"/>
        <v>26.496195700361341</v>
      </c>
      <c r="CS278" s="17">
        <f t="shared" si="483"/>
        <v>1.3376220491983349E-2</v>
      </c>
      <c r="CT278" s="18">
        <f t="shared" si="527"/>
        <v>0.44785979858822028</v>
      </c>
      <c r="CU278" s="19">
        <f t="shared" si="528"/>
        <v>905.35084388039945</v>
      </c>
      <c r="CV278" s="15">
        <f t="shared" si="484"/>
        <v>5.3107016877607996E-6</v>
      </c>
      <c r="CW278" s="16">
        <f t="shared" si="485"/>
        <v>26.300534704624592</v>
      </c>
      <c r="CX278" s="17">
        <f t="shared" si="486"/>
        <v>1.3291058837860961E-2</v>
      </c>
      <c r="CY278" s="18">
        <f t="shared" si="529"/>
        <v>0.45119162036014887</v>
      </c>
      <c r="CZ278" s="20">
        <f t="shared" si="530"/>
        <v>809.05816135808573</v>
      </c>
      <c r="DA278" s="15">
        <f t="shared" si="487"/>
        <v>5.1181163227161722E-6</v>
      </c>
      <c r="DB278" s="16">
        <f t="shared" si="488"/>
        <v>25.193168855617984</v>
      </c>
      <c r="DC278" s="17">
        <f t="shared" si="489"/>
        <v>1.280907668773979E-2</v>
      </c>
      <c r="DD278" s="18">
        <f t="shared" si="531"/>
        <v>0.47102375003816538</v>
      </c>
    </row>
    <row r="279" spans="2:108" x14ac:dyDescent="0.25">
      <c r="B279">
        <v>12</v>
      </c>
      <c r="C279">
        <f t="shared" si="490"/>
        <v>1.1731375996143018E-2</v>
      </c>
      <c r="D279" s="19">
        <f t="shared" si="428"/>
        <v>1019.8125053205345</v>
      </c>
      <c r="E279" s="15">
        <f t="shared" si="429"/>
        <v>5.5396250106410694E-6</v>
      </c>
      <c r="F279" s="16">
        <f t="shared" si="430"/>
        <v>27.616843811186143</v>
      </c>
      <c r="G279" s="17">
        <f t="shared" si="426"/>
        <v>1.3863983760526539E-2</v>
      </c>
      <c r="H279" s="18">
        <f t="shared" si="491"/>
        <v>0.42968635195421445</v>
      </c>
      <c r="I279" s="19">
        <f t="shared" si="492"/>
        <v>1019.5008221443878</v>
      </c>
      <c r="J279" s="15">
        <f t="shared" si="431"/>
        <v>5.5390016442887758E-6</v>
      </c>
      <c r="K279" s="16">
        <f t="shared" si="432"/>
        <v>27.613259454660458</v>
      </c>
      <c r="L279" s="17">
        <f t="shared" si="433"/>
        <v>1.3862423665579958E-2</v>
      </c>
      <c r="M279" s="18">
        <f t="shared" si="493"/>
        <v>0.42974212766161163</v>
      </c>
      <c r="N279" s="19">
        <f t="shared" si="494"/>
        <v>1018.6003890074819</v>
      </c>
      <c r="O279" s="15">
        <f t="shared" si="434"/>
        <v>5.5372007780149639E-6</v>
      </c>
      <c r="P279" s="16">
        <f t="shared" si="435"/>
        <v>27.60290447358604</v>
      </c>
      <c r="Q279" s="17">
        <f t="shared" si="427"/>
        <v>1.3863983760526539E-2</v>
      </c>
      <c r="R279" s="18">
        <f t="shared" si="495"/>
        <v>0.42990334155137</v>
      </c>
      <c r="S279" s="19">
        <f t="shared" si="496"/>
        <v>1017.1003698960109</v>
      </c>
      <c r="T279" s="15">
        <f t="shared" si="436"/>
        <v>5.5342007397920221E-6</v>
      </c>
      <c r="U279" s="16">
        <f t="shared" si="437"/>
        <v>27.585654253804123</v>
      </c>
      <c r="V279" s="17">
        <f t="shared" si="438"/>
        <v>1.385040847288172E-2</v>
      </c>
      <c r="W279" s="18">
        <f t="shared" si="497"/>
        <v>0.43017217429532129</v>
      </c>
      <c r="X279" s="19">
        <f t="shared" si="498"/>
        <v>1015.0005484578309</v>
      </c>
      <c r="Y279" s="15">
        <f t="shared" si="439"/>
        <v>5.5300010969156623E-6</v>
      </c>
      <c r="Z279" s="16">
        <f t="shared" si="440"/>
        <v>27.561506307265056</v>
      </c>
      <c r="AA279" s="17">
        <f t="shared" si="441"/>
        <v>1.3839898053760203E-2</v>
      </c>
      <c r="AB279" s="18">
        <f t="shared" si="499"/>
        <v>0.43054906859680364</v>
      </c>
      <c r="AC279" s="19">
        <f t="shared" si="500"/>
        <v>1012.3007046037679</v>
      </c>
      <c r="AD279" s="15">
        <f t="shared" si="442"/>
        <v>5.5246014092075366E-6</v>
      </c>
      <c r="AE279" s="16">
        <f t="shared" si="443"/>
        <v>27.530458102943328</v>
      </c>
      <c r="AF279" s="17">
        <f t="shared" si="444"/>
        <v>1.3826384290183506E-2</v>
      </c>
      <c r="AG279" s="18">
        <f t="shared" si="501"/>
        <v>0.43103463172845724</v>
      </c>
      <c r="AH279" s="19">
        <f t="shared" si="502"/>
        <v>1009.0008995052115</v>
      </c>
      <c r="AI279" s="15">
        <f t="shared" si="445"/>
        <v>5.5180017990104234E-6</v>
      </c>
      <c r="AJ279" s="16">
        <f t="shared" si="446"/>
        <v>27.492510344309931</v>
      </c>
      <c r="AK279" s="17">
        <f t="shared" si="447"/>
        <v>1.3809867488338104E-2</v>
      </c>
      <c r="AL279" s="18">
        <f t="shared" si="503"/>
        <v>0.43162958642566812</v>
      </c>
      <c r="AM279" s="19">
        <f t="shared" si="504"/>
        <v>1005.101137430487</v>
      </c>
      <c r="AN279" s="15">
        <f t="shared" si="448"/>
        <v>5.510202274860974E-6</v>
      </c>
      <c r="AO279" s="16">
        <f t="shared" si="449"/>
        <v>27.447663080450599</v>
      </c>
      <c r="AP279" s="17">
        <f t="shared" si="450"/>
        <v>1.3790347669588624E-2</v>
      </c>
      <c r="AQ279" s="18">
        <f t="shared" si="505"/>
        <v>0.43233483429668684</v>
      </c>
      <c r="AR279" s="19">
        <f t="shared" si="506"/>
        <v>1000.6014185739556</v>
      </c>
      <c r="AS279" s="15">
        <f t="shared" si="451"/>
        <v>5.5012028371479114E-6</v>
      </c>
      <c r="AT279" s="16">
        <f t="shared" si="452"/>
        <v>27.395916313600488</v>
      </c>
      <c r="AU279" s="17">
        <f t="shared" si="453"/>
        <v>1.376782483490792E-2</v>
      </c>
      <c r="AV279" s="18">
        <f t="shared" si="507"/>
        <v>0.43315144979570652</v>
      </c>
      <c r="AW279" s="19">
        <f t="shared" si="508"/>
        <v>995.50174294759188</v>
      </c>
      <c r="AX279" s="15">
        <f t="shared" si="454"/>
        <v>5.4910034858951845E-6</v>
      </c>
      <c r="AY279" s="16">
        <f t="shared" si="455"/>
        <v>27.337270043897306</v>
      </c>
      <c r="AZ279" s="17">
        <f t="shared" si="456"/>
        <v>1.3742298984355925E-2</v>
      </c>
      <c r="BA279" s="18">
        <f t="shared" si="509"/>
        <v>0.43408068364774266</v>
      </c>
      <c r="BB279" s="19">
        <f t="shared" si="510"/>
        <v>989.8021105554626</v>
      </c>
      <c r="BC279" s="15">
        <f t="shared" si="457"/>
        <v>5.4796042211109257E-6</v>
      </c>
      <c r="BD279" s="16">
        <f t="shared" si="458"/>
        <v>27.271724271387818</v>
      </c>
      <c r="BE279" s="17">
        <f t="shared" si="459"/>
        <v>1.3713770117952995E-2</v>
      </c>
      <c r="BF279" s="18">
        <f t="shared" si="511"/>
        <v>0.43512396765347705</v>
      </c>
      <c r="BG279" s="19">
        <f t="shared" si="512"/>
        <v>983.50252140008104</v>
      </c>
      <c r="BH279" s="15">
        <f t="shared" si="460"/>
        <v>5.4670050428001622E-6</v>
      </c>
      <c r="BI279" s="16">
        <f t="shared" si="461"/>
        <v>27.199278996100929</v>
      </c>
      <c r="BJ279" s="17">
        <f t="shared" si="462"/>
        <v>1.3682238235711712E-2</v>
      </c>
      <c r="BK279" s="18">
        <f t="shared" si="513"/>
        <v>0.43628292027222471</v>
      </c>
      <c r="BL279" s="19">
        <f t="shared" si="514"/>
        <v>976.60297548311712</v>
      </c>
      <c r="BM279" s="15">
        <f t="shared" si="463"/>
        <v>5.4532059509662345E-6</v>
      </c>
      <c r="BN279" s="16">
        <f t="shared" si="464"/>
        <v>27.119934218055846</v>
      </c>
      <c r="BO279" s="17">
        <f t="shared" si="465"/>
        <v>1.3647703337640435E-2</v>
      </c>
      <c r="BP279" s="18">
        <f t="shared" si="515"/>
        <v>0.43755935299494181</v>
      </c>
      <c r="BQ279" s="19">
        <f t="shared" si="516"/>
        <v>969.10347280528106</v>
      </c>
      <c r="BR279" s="15">
        <f t="shared" si="466"/>
        <v>5.4382069456105633E-6</v>
      </c>
      <c r="BS279" s="16">
        <f t="shared" si="467"/>
        <v>27.033689937260732</v>
      </c>
      <c r="BT279" s="17">
        <f t="shared" si="468"/>
        <v>1.3610165423742718E-2</v>
      </c>
      <c r="BU279" s="18">
        <f t="shared" si="517"/>
        <v>0.43895527755395697</v>
      </c>
      <c r="BV279" s="19">
        <f t="shared" si="518"/>
        <v>961.004013318641</v>
      </c>
      <c r="BW279" s="15">
        <f t="shared" si="469"/>
        <v>5.4220080266372822E-6</v>
      </c>
      <c r="BX279" s="16">
        <f t="shared" si="470"/>
        <v>26.94054615316437</v>
      </c>
      <c r="BY279" s="17">
        <f t="shared" si="471"/>
        <v>1.356962449377864E-2</v>
      </c>
      <c r="BZ279" s="18">
        <f t="shared" si="519"/>
        <v>0.44047291403274241</v>
      </c>
      <c r="CA279" s="19">
        <f t="shared" si="520"/>
        <v>952.3045931197064</v>
      </c>
      <c r="CB279" s="15">
        <f t="shared" si="472"/>
        <v>5.404609186239413E-6</v>
      </c>
      <c r="CC279" s="16">
        <f t="shared" si="473"/>
        <v>26.840502820876623</v>
      </c>
      <c r="CD279" s="17">
        <f t="shared" si="474"/>
        <v>1.3526080528209725E-2</v>
      </c>
      <c r="CE279" s="18">
        <f t="shared" si="521"/>
        <v>0.44211470064145136</v>
      </c>
      <c r="CF279" s="19">
        <f t="shared" si="522"/>
        <v>943.00498174427435</v>
      </c>
      <c r="CG279" s="15">
        <f t="shared" si="475"/>
        <v>5.3860099634885496E-6</v>
      </c>
      <c r="CH279" s="16">
        <f t="shared" si="476"/>
        <v>26.733557290059153</v>
      </c>
      <c r="CI279" s="17">
        <f t="shared" si="477"/>
        <v>1.3479532373473428E-2</v>
      </c>
      <c r="CJ279" s="18">
        <f t="shared" si="523"/>
        <v>0.44388334634876575</v>
      </c>
      <c r="CK279" s="19">
        <f t="shared" si="524"/>
        <v>933.09523659741808</v>
      </c>
      <c r="CL279" s="15">
        <f t="shared" si="478"/>
        <v>5.3661904731948362E-6</v>
      </c>
      <c r="CM279" s="16">
        <f t="shared" si="479"/>
        <v>26.619595220870309</v>
      </c>
      <c r="CN279" s="17">
        <f t="shared" si="480"/>
        <v>1.3429930263033438E-2</v>
      </c>
      <c r="CO279" s="18">
        <f t="shared" si="525"/>
        <v>0.44578367068535496</v>
      </c>
      <c r="CP279" s="19">
        <f t="shared" si="526"/>
        <v>922.27036033932677</v>
      </c>
      <c r="CQ279" s="15">
        <f t="shared" si="481"/>
        <v>5.3445407206786544E-6</v>
      </c>
      <c r="CR279" s="16">
        <f t="shared" si="482"/>
        <v>26.495109143902255</v>
      </c>
      <c r="CS279" s="17">
        <f t="shared" si="483"/>
        <v>1.3375747567142073E-2</v>
      </c>
      <c r="CT279" s="18">
        <f t="shared" si="527"/>
        <v>0.4478781651838919</v>
      </c>
      <c r="CU279" s="19">
        <f t="shared" si="528"/>
        <v>904.25054903114233</v>
      </c>
      <c r="CV279" s="15">
        <f t="shared" si="484"/>
        <v>5.3085010980622845E-6</v>
      </c>
      <c r="CW279" s="16">
        <f t="shared" si="485"/>
        <v>26.287881313858136</v>
      </c>
      <c r="CX279" s="17">
        <f t="shared" si="486"/>
        <v>1.3285551436225436E-2</v>
      </c>
      <c r="CY279" s="18">
        <f t="shared" si="529"/>
        <v>0.45140879662531852</v>
      </c>
      <c r="CZ279" s="20">
        <f t="shared" si="530"/>
        <v>802.44754199390309</v>
      </c>
      <c r="DA279" s="15">
        <f t="shared" si="487"/>
        <v>5.1048950839878065E-6</v>
      </c>
      <c r="DB279" s="16">
        <f t="shared" si="488"/>
        <v>25.117146732929882</v>
      </c>
      <c r="DC279" s="17">
        <f t="shared" si="489"/>
        <v>1.2775987978906249E-2</v>
      </c>
      <c r="DD279" s="18">
        <f t="shared" si="531"/>
        <v>0.4724493986476655</v>
      </c>
    </row>
    <row r="280" spans="2:108" x14ac:dyDescent="0.25">
      <c r="B280">
        <v>13</v>
      </c>
      <c r="C280">
        <f t="shared" si="490"/>
        <v>1.2708990662488269E-2</v>
      </c>
      <c r="D280" s="19">
        <f t="shared" si="428"/>
        <v>1019.7965923520793</v>
      </c>
      <c r="E280" s="15">
        <f t="shared" si="429"/>
        <v>5.5395931847041589E-6</v>
      </c>
      <c r="F280" s="16">
        <f t="shared" si="430"/>
        <v>27.616660812048913</v>
      </c>
      <c r="G280" s="17">
        <f t="shared" si="426"/>
        <v>1.3863904109959642E-2</v>
      </c>
      <c r="H280" s="18">
        <f t="shared" si="491"/>
        <v>0.42968919922935112</v>
      </c>
      <c r="I280" s="19">
        <f t="shared" si="492"/>
        <v>1019.48425743922</v>
      </c>
      <c r="J280" s="15">
        <f t="shared" si="431"/>
        <v>5.5389685148784398E-6</v>
      </c>
      <c r="K280" s="16">
        <f t="shared" si="432"/>
        <v>27.613068960551029</v>
      </c>
      <c r="L280" s="17">
        <f t="shared" si="433"/>
        <v>1.3862340752818531E-2</v>
      </c>
      <c r="M280" s="18">
        <f t="shared" si="493"/>
        <v>0.42974509232099117</v>
      </c>
      <c r="N280" s="19">
        <f t="shared" si="494"/>
        <v>1018.5837583706349</v>
      </c>
      <c r="O280" s="15">
        <f t="shared" si="434"/>
        <v>5.5371675167412703E-6</v>
      </c>
      <c r="P280" s="16">
        <f t="shared" si="435"/>
        <v>27.602713221262299</v>
      </c>
      <c r="Q280" s="17">
        <f t="shared" si="427"/>
        <v>1.3863904109959642E-2</v>
      </c>
      <c r="R280" s="18">
        <f t="shared" si="495"/>
        <v>0.42990632024452952</v>
      </c>
      <c r="S280" s="19">
        <f t="shared" si="496"/>
        <v>1017.0837363200366</v>
      </c>
      <c r="T280" s="15">
        <f t="shared" si="436"/>
        <v>5.5341674726400741E-6</v>
      </c>
      <c r="U280" s="16">
        <f t="shared" si="437"/>
        <v>27.585462967680421</v>
      </c>
      <c r="V280" s="17">
        <f t="shared" si="438"/>
        <v>1.385032521539525E-2</v>
      </c>
      <c r="W280" s="18">
        <f t="shared" si="497"/>
        <v>0.43017515724209443</v>
      </c>
      <c r="X280" s="19">
        <f t="shared" si="498"/>
        <v>1014.9839283365816</v>
      </c>
      <c r="Y280" s="15">
        <f t="shared" si="439"/>
        <v>5.529967856673164E-6</v>
      </c>
      <c r="Z280" s="16">
        <f t="shared" si="440"/>
        <v>27.561315175870689</v>
      </c>
      <c r="AA280" s="17">
        <f t="shared" si="441"/>
        <v>1.3839814863619841E-2</v>
      </c>
      <c r="AB280" s="18">
        <f t="shared" si="499"/>
        <v>0.43055205435576682</v>
      </c>
      <c r="AC280" s="19">
        <f t="shared" si="500"/>
        <v>1012.2840978481437</v>
      </c>
      <c r="AD280" s="15">
        <f t="shared" si="442"/>
        <v>5.5245681956962877E-6</v>
      </c>
      <c r="AE280" s="16">
        <f t="shared" si="443"/>
        <v>27.530267125253651</v>
      </c>
      <c r="AF280" s="17">
        <f t="shared" si="444"/>
        <v>1.3826301166943267E-2</v>
      </c>
      <c r="AG280" s="18">
        <f t="shared" si="501"/>
        <v>0.43103762181924582</v>
      </c>
      <c r="AH280" s="19">
        <f t="shared" si="502"/>
        <v>1008.984309037371</v>
      </c>
      <c r="AI280" s="15">
        <f t="shared" si="445"/>
        <v>5.517968618074742E-6</v>
      </c>
      <c r="AJ280" s="16">
        <f t="shared" si="446"/>
        <v>27.492319553929764</v>
      </c>
      <c r="AK280" s="17">
        <f t="shared" si="447"/>
        <v>1.3809784446624529E-2</v>
      </c>
      <c r="AL280" s="18">
        <f t="shared" si="503"/>
        <v>0.43163258183581255</v>
      </c>
      <c r="AM280" s="19">
        <f t="shared" si="504"/>
        <v>1005.0845667980012</v>
      </c>
      <c r="AN280" s="15">
        <f t="shared" si="448"/>
        <v>5.5101691335960028E-6</v>
      </c>
      <c r="AO280" s="16">
        <f t="shared" si="449"/>
        <v>27.447472518177015</v>
      </c>
      <c r="AP280" s="17">
        <f t="shared" si="450"/>
        <v>1.379026472715868E-2</v>
      </c>
      <c r="AQ280" s="18">
        <f t="shared" si="505"/>
        <v>0.43233783591036612</v>
      </c>
      <c r="AR280" s="19">
        <f t="shared" si="506"/>
        <v>1000.5848713743285</v>
      </c>
      <c r="AS280" s="15">
        <f t="shared" si="451"/>
        <v>5.5011697427486574E-6</v>
      </c>
      <c r="AT280" s="16">
        <f t="shared" si="452"/>
        <v>27.395726020804776</v>
      </c>
      <c r="AU280" s="17">
        <f t="shared" si="453"/>
        <v>1.3767742009768503E-2</v>
      </c>
      <c r="AV280" s="18">
        <f t="shared" si="507"/>
        <v>0.43315445849860729</v>
      </c>
      <c r="AW280" s="19">
        <f t="shared" si="508"/>
        <v>995.48522278169696</v>
      </c>
      <c r="AX280" s="15">
        <f t="shared" si="454"/>
        <v>5.4909704455633945E-6</v>
      </c>
      <c r="AY280" s="16">
        <f t="shared" si="455"/>
        <v>27.337080061989514</v>
      </c>
      <c r="AZ280" s="17">
        <f t="shared" si="456"/>
        <v>1.3742216294530801E-2</v>
      </c>
      <c r="BA280" s="18">
        <f t="shared" si="509"/>
        <v>0.43408370033702431</v>
      </c>
      <c r="BB280" s="19">
        <f t="shared" si="510"/>
        <v>989.78562102496107</v>
      </c>
      <c r="BC280" s="15">
        <f t="shared" si="457"/>
        <v>5.4795712420499229E-6</v>
      </c>
      <c r="BD280" s="16">
        <f t="shared" si="458"/>
        <v>27.271534641787049</v>
      </c>
      <c r="BE280" s="17">
        <f t="shared" si="459"/>
        <v>1.3713687581469876E-2</v>
      </c>
      <c r="BF280" s="18">
        <f t="shared" si="511"/>
        <v>0.4351269932398753</v>
      </c>
      <c r="BG280" s="19">
        <f t="shared" si="512"/>
        <v>983.48606610709362</v>
      </c>
      <c r="BH280" s="15">
        <f t="shared" si="460"/>
        <v>5.4669721322141872E-6</v>
      </c>
      <c r="BI280" s="16">
        <f t="shared" si="461"/>
        <v>27.199089760231576</v>
      </c>
      <c r="BJ280" s="17">
        <f t="shared" si="462"/>
        <v>1.3682155870600603E-2</v>
      </c>
      <c r="BK280" s="18">
        <f t="shared" si="513"/>
        <v>0.43628595568180756</v>
      </c>
      <c r="BL280" s="19">
        <f t="shared" si="514"/>
        <v>976.58655803006332</v>
      </c>
      <c r="BM280" s="15">
        <f t="shared" si="463"/>
        <v>5.4531731160601267E-6</v>
      </c>
      <c r="BN280" s="16">
        <f t="shared" si="464"/>
        <v>27.119745417345726</v>
      </c>
      <c r="BO280" s="17">
        <f t="shared" si="465"/>
        <v>1.3647621161932841E-2</v>
      </c>
      <c r="BP280" s="18">
        <f t="shared" si="515"/>
        <v>0.437562399170903</v>
      </c>
      <c r="BQ280" s="19">
        <f t="shared" si="516"/>
        <v>969.08709679411254</v>
      </c>
      <c r="BR280" s="15">
        <f t="shared" si="466"/>
        <v>5.438174193588226E-6</v>
      </c>
      <c r="BS280" s="16">
        <f t="shared" si="467"/>
        <v>27.033501613132294</v>
      </c>
      <c r="BT280" s="17">
        <f t="shared" si="468"/>
        <v>1.3610083455467803E-2</v>
      </c>
      <c r="BU280" s="18">
        <f t="shared" si="517"/>
        <v>0.43895833545859886</v>
      </c>
      <c r="BV280" s="19">
        <f t="shared" si="518"/>
        <v>960.98768229775953</v>
      </c>
      <c r="BW280" s="15">
        <f t="shared" si="469"/>
        <v>5.4219753645955191E-6</v>
      </c>
      <c r="BX280" s="16">
        <f t="shared" si="470"/>
        <v>26.940358346424233</v>
      </c>
      <c r="BY280" s="17">
        <f t="shared" si="471"/>
        <v>1.3569542750697525E-2</v>
      </c>
      <c r="BZ280" s="18">
        <f t="shared" si="519"/>
        <v>0.44047598465938514</v>
      </c>
      <c r="CA280" s="19">
        <f t="shared" si="520"/>
        <v>952.28830751226428</v>
      </c>
      <c r="CB280" s="15">
        <f t="shared" si="472"/>
        <v>5.4045766150245287E-6</v>
      </c>
      <c r="CC280" s="16">
        <f t="shared" si="473"/>
        <v>26.840315536391039</v>
      </c>
      <c r="CD280" s="17">
        <f t="shared" si="474"/>
        <v>1.3525999012440455E-2</v>
      </c>
      <c r="CE280" s="18">
        <f t="shared" si="521"/>
        <v>0.44211778559863696</v>
      </c>
      <c r="CF280" s="19">
        <f t="shared" si="522"/>
        <v>942.98860952119242</v>
      </c>
      <c r="CG280" s="15">
        <f t="shared" si="475"/>
        <v>5.3859772190423858E-6</v>
      </c>
      <c r="CH280" s="16">
        <f t="shared" si="476"/>
        <v>26.733369009493714</v>
      </c>
      <c r="CI280" s="17">
        <f t="shared" si="477"/>
        <v>1.3479450424159352E-2</v>
      </c>
      <c r="CJ280" s="18">
        <f t="shared" si="523"/>
        <v>0.4438864725767922</v>
      </c>
      <c r="CK280" s="19">
        <f t="shared" si="524"/>
        <v>933.07468080058163</v>
      </c>
      <c r="CL280" s="15">
        <f t="shared" si="478"/>
        <v>5.3661493616011638E-6</v>
      </c>
      <c r="CM280" s="16">
        <f t="shared" si="479"/>
        <v>26.619358829206689</v>
      </c>
      <c r="CN280" s="17">
        <f t="shared" si="480"/>
        <v>1.3429827373313294E-2</v>
      </c>
      <c r="CO280" s="18">
        <f t="shared" si="525"/>
        <v>0.445787629441244</v>
      </c>
      <c r="CP280" s="19">
        <f t="shared" si="526"/>
        <v>922.16297307101263</v>
      </c>
      <c r="CQ280" s="15">
        <f t="shared" si="481"/>
        <v>5.3443259461420259E-6</v>
      </c>
      <c r="CR280" s="16">
        <f t="shared" si="482"/>
        <v>26.493874190316646</v>
      </c>
      <c r="CS280" s="17">
        <f t="shared" si="483"/>
        <v>1.3375210052295441E-2</v>
      </c>
      <c r="CT280" s="18">
        <f t="shared" si="527"/>
        <v>0.44789904203799169</v>
      </c>
      <c r="CU280" s="19">
        <f t="shared" si="528"/>
        <v>903.0877560482445</v>
      </c>
      <c r="CV280" s="15">
        <f t="shared" si="484"/>
        <v>5.3061755120964891E-6</v>
      </c>
      <c r="CW280" s="16">
        <f t="shared" si="485"/>
        <v>26.27450919455481</v>
      </c>
      <c r="CX280" s="17">
        <f t="shared" si="486"/>
        <v>1.3279731207238535E-2</v>
      </c>
      <c r="CY280" s="18">
        <f t="shared" si="529"/>
        <v>0.4516385361130611</v>
      </c>
      <c r="CZ280" s="20">
        <f t="shared" si="530"/>
        <v>796.0588191878694</v>
      </c>
      <c r="DA280" s="15">
        <f t="shared" si="487"/>
        <v>5.0921176383757393E-6</v>
      </c>
      <c r="DB280" s="16">
        <f t="shared" si="488"/>
        <v>25.043676420660496</v>
      </c>
      <c r="DC280" s="17">
        <f t="shared" si="489"/>
        <v>1.274400994824056E-2</v>
      </c>
      <c r="DD280" s="18">
        <f t="shared" si="531"/>
        <v>0.47383541738816842</v>
      </c>
    </row>
    <row r="281" spans="2:108" x14ac:dyDescent="0.25">
      <c r="B281">
        <v>14</v>
      </c>
      <c r="C281">
        <f t="shared" si="490"/>
        <v>1.368660532883352E-2</v>
      </c>
      <c r="D281" s="19">
        <f t="shared" si="428"/>
        <v>1019.78064610924</v>
      </c>
      <c r="E281" s="15">
        <f t="shared" si="429"/>
        <v>5.5395612922184804E-6</v>
      </c>
      <c r="F281" s="16">
        <f t="shared" si="430"/>
        <v>27.616477430256261</v>
      </c>
      <c r="G281" s="17">
        <f t="shared" si="426"/>
        <v>1.3863824292841574E-2</v>
      </c>
      <c r="H281" s="18">
        <f t="shared" si="491"/>
        <v>0.42969205249605891</v>
      </c>
      <c r="I281" s="19">
        <f t="shared" si="492"/>
        <v>1019.467695976102</v>
      </c>
      <c r="J281" s="15">
        <f t="shared" si="431"/>
        <v>5.5389353919522046E-6</v>
      </c>
      <c r="K281" s="16">
        <f t="shared" si="432"/>
        <v>27.61287850372517</v>
      </c>
      <c r="L281" s="17">
        <f t="shared" si="433"/>
        <v>1.3862257856284824E-2</v>
      </c>
      <c r="M281" s="18">
        <f t="shared" si="493"/>
        <v>0.42974805644101949</v>
      </c>
      <c r="N281" s="19">
        <f t="shared" si="494"/>
        <v>1018.5671284677816</v>
      </c>
      <c r="O281" s="15">
        <f t="shared" si="434"/>
        <v>5.5371342569355636E-6</v>
      </c>
      <c r="P281" s="16">
        <f t="shared" si="435"/>
        <v>27.602521977379489</v>
      </c>
      <c r="Q281" s="17">
        <f t="shared" si="427"/>
        <v>1.3863824292841574E-2</v>
      </c>
      <c r="R281" s="18">
        <f t="shared" si="495"/>
        <v>0.42990929884749901</v>
      </c>
      <c r="S281" s="19">
        <f t="shared" si="496"/>
        <v>1017.0671030914041</v>
      </c>
      <c r="T281" s="15">
        <f t="shared" si="436"/>
        <v>5.5341342061828082E-6</v>
      </c>
      <c r="U281" s="16">
        <f t="shared" si="437"/>
        <v>27.585271685551145</v>
      </c>
      <c r="V281" s="17">
        <f t="shared" si="438"/>
        <v>1.3850241959647357E-2</v>
      </c>
      <c r="W281" s="18">
        <f t="shared" si="497"/>
        <v>0.4301781401679462</v>
      </c>
      <c r="X281" s="19">
        <f t="shared" si="498"/>
        <v>1014.9673083604371</v>
      </c>
      <c r="Y281" s="15">
        <f t="shared" si="439"/>
        <v>5.5299346167208746E-6</v>
      </c>
      <c r="Z281" s="16">
        <f t="shared" si="440"/>
        <v>27.561124046145025</v>
      </c>
      <c r="AA281" s="17">
        <f t="shared" si="441"/>
        <v>1.3839731674205782E-2</v>
      </c>
      <c r="AB281" s="18">
        <f t="shared" si="499"/>
        <v>0.43055504013007329</v>
      </c>
      <c r="AC281" s="19">
        <f t="shared" si="500"/>
        <v>1012.267491273822</v>
      </c>
      <c r="AD281" s="15">
        <f t="shared" si="442"/>
        <v>5.5245349825476443E-6</v>
      </c>
      <c r="AE281" s="16">
        <f t="shared" si="443"/>
        <v>27.530076149648952</v>
      </c>
      <c r="AF281" s="17">
        <f t="shared" si="444"/>
        <v>1.382621804461052E-2</v>
      </c>
      <c r="AG281" s="18">
        <f t="shared" si="501"/>
        <v>0.43104061191887455</v>
      </c>
      <c r="AH281" s="19">
        <f t="shared" si="502"/>
        <v>1008.9677187599407</v>
      </c>
      <c r="AI281" s="15">
        <f t="shared" si="445"/>
        <v>5.5179354375198816E-6</v>
      </c>
      <c r="AJ281" s="16">
        <f t="shared" si="446"/>
        <v>27.492128765739317</v>
      </c>
      <c r="AK281" s="17">
        <f t="shared" si="447"/>
        <v>1.3809701405864032E-2</v>
      </c>
      <c r="AL281" s="18">
        <f t="shared" si="503"/>
        <v>0.43163557725315282</v>
      </c>
      <c r="AM281" s="19">
        <f t="shared" si="504"/>
        <v>1005.0679963575183</v>
      </c>
      <c r="AN281" s="15">
        <f t="shared" si="448"/>
        <v>5.5101359927150374E-6</v>
      </c>
      <c r="AO281" s="16">
        <f t="shared" si="449"/>
        <v>27.447281958111461</v>
      </c>
      <c r="AP281" s="17">
        <f t="shared" si="450"/>
        <v>1.3790181785689784E-2</v>
      </c>
      <c r="AQ281" s="18">
        <f t="shared" si="505"/>
        <v>0.43234083753094477</v>
      </c>
      <c r="AR281" s="19">
        <f t="shared" si="506"/>
        <v>1000.5683243673776</v>
      </c>
      <c r="AS281" s="15">
        <f t="shared" si="451"/>
        <v>5.5011366487347559E-6</v>
      </c>
      <c r="AT281" s="16">
        <f t="shared" si="452"/>
        <v>27.395535730224843</v>
      </c>
      <c r="AU281" s="17">
        <f t="shared" si="453"/>
        <v>1.3767659185593506E-2</v>
      </c>
      <c r="AV281" s="18">
        <f t="shared" si="507"/>
        <v>0.43315746720827153</v>
      </c>
      <c r="AW281" s="19">
        <f t="shared" si="508"/>
        <v>995.46870280888015</v>
      </c>
      <c r="AX281" s="15">
        <f t="shared" si="454"/>
        <v>5.4909374056177609E-6</v>
      </c>
      <c r="AY281" s="16">
        <f t="shared" si="455"/>
        <v>27.336890082302119</v>
      </c>
      <c r="AZ281" s="17">
        <f t="shared" si="456"/>
        <v>1.374213360567211E-2</v>
      </c>
      <c r="BA281" s="18">
        <f t="shared" si="509"/>
        <v>0.43408671703297785</v>
      </c>
      <c r="BB281" s="19">
        <f t="shared" si="510"/>
        <v>989.76913168775479</v>
      </c>
      <c r="BC281" s="15">
        <f t="shared" si="457"/>
        <v>5.4795382633755102E-6</v>
      </c>
      <c r="BD281" s="16">
        <f t="shared" si="458"/>
        <v>27.271345014409178</v>
      </c>
      <c r="BE281" s="17">
        <f t="shared" si="459"/>
        <v>1.3713605045954272E-2</v>
      </c>
      <c r="BF281" s="18">
        <f t="shared" si="511"/>
        <v>0.43513001883288238</v>
      </c>
      <c r="BG281" s="19">
        <f t="shared" si="512"/>
        <v>983.4696110074733</v>
      </c>
      <c r="BH281" s="15">
        <f t="shared" si="460"/>
        <v>5.4669392220149471E-6</v>
      </c>
      <c r="BI281" s="16">
        <f t="shared" si="461"/>
        <v>27.198900526585945</v>
      </c>
      <c r="BJ281" s="17">
        <f t="shared" si="462"/>
        <v>1.3682073506457372E-2</v>
      </c>
      <c r="BK281" s="18">
        <f t="shared" si="513"/>
        <v>0.43628899109795793</v>
      </c>
      <c r="BL281" s="19">
        <f t="shared" si="514"/>
        <v>976.57014077031931</v>
      </c>
      <c r="BM281" s="15">
        <f t="shared" si="463"/>
        <v>5.4531402815406385E-6</v>
      </c>
      <c r="BN281" s="16">
        <f t="shared" si="464"/>
        <v>27.119556618858674</v>
      </c>
      <c r="BO281" s="17">
        <f t="shared" si="465"/>
        <v>1.3647538987192837E-2</v>
      </c>
      <c r="BP281" s="18">
        <f t="shared" si="515"/>
        <v>0.43756544535340947</v>
      </c>
      <c r="BQ281" s="19">
        <f t="shared" si="516"/>
        <v>969.07072097534251</v>
      </c>
      <c r="BR281" s="15">
        <f t="shared" si="466"/>
        <v>5.4381414419506856E-6</v>
      </c>
      <c r="BS281" s="16">
        <f t="shared" si="467"/>
        <v>27.033313291216437</v>
      </c>
      <c r="BT281" s="17">
        <f t="shared" si="468"/>
        <v>1.3610001488155913E-2</v>
      </c>
      <c r="BU281" s="18">
        <f t="shared" si="517"/>
        <v>0.4389613933699183</v>
      </c>
      <c r="BV281" s="19">
        <f t="shared" si="518"/>
        <v>960.97135142493414</v>
      </c>
      <c r="BW281" s="15">
        <f t="shared" si="469"/>
        <v>5.4219427028498686E-6</v>
      </c>
      <c r="BX281" s="16">
        <f t="shared" si="470"/>
        <v>26.940170541386742</v>
      </c>
      <c r="BY281" s="17">
        <f t="shared" si="471"/>
        <v>1.3569461008357491E-2</v>
      </c>
      <c r="BZ281" s="18">
        <f t="shared" si="519"/>
        <v>0.44047905530100134</v>
      </c>
      <c r="CA281" s="19">
        <f t="shared" si="520"/>
        <v>952.27202019272625</v>
      </c>
      <c r="CB281" s="15">
        <f t="shared" si="472"/>
        <v>5.4045440403854535E-6</v>
      </c>
      <c r="CC281" s="16">
        <f t="shared" si="473"/>
        <v>26.840128232216351</v>
      </c>
      <c r="CD281" s="17">
        <f t="shared" si="474"/>
        <v>1.3525917488101483E-2</v>
      </c>
      <c r="CE281" s="18">
        <f t="shared" si="521"/>
        <v>0.4421208709232014</v>
      </c>
      <c r="CF281" s="19">
        <f t="shared" si="522"/>
        <v>942.97218017672765</v>
      </c>
      <c r="CG281" s="15">
        <f t="shared" si="475"/>
        <v>5.3859443603534562E-6</v>
      </c>
      <c r="CH281" s="16">
        <f t="shared" si="476"/>
        <v>26.733180072032368</v>
      </c>
      <c r="CI281" s="17">
        <f t="shared" si="477"/>
        <v>1.3479368188930644E-2</v>
      </c>
      <c r="CJ281" s="18">
        <f t="shared" si="523"/>
        <v>0.44388960975624592</v>
      </c>
      <c r="CK281" s="19">
        <f t="shared" si="524"/>
        <v>933.05297500461108</v>
      </c>
      <c r="CL281" s="15">
        <f t="shared" si="478"/>
        <v>5.3661059500092224E-6</v>
      </c>
      <c r="CM281" s="16">
        <f t="shared" si="479"/>
        <v>26.619109212553028</v>
      </c>
      <c r="CN281" s="17">
        <f t="shared" si="480"/>
        <v>1.3429718727402328E-2</v>
      </c>
      <c r="CO281" s="18">
        <f t="shared" si="525"/>
        <v>0.4457918097470317</v>
      </c>
      <c r="CP281" s="19">
        <f t="shared" si="526"/>
        <v>922.04215288279522</v>
      </c>
      <c r="CQ281" s="15">
        <f t="shared" si="481"/>
        <v>5.3440843057655911E-6</v>
      </c>
      <c r="CR281" s="16">
        <f t="shared" si="482"/>
        <v>26.492484758152145</v>
      </c>
      <c r="CS281" s="17">
        <f t="shared" si="483"/>
        <v>1.3374605300484923E-2</v>
      </c>
      <c r="CT281" s="18">
        <f t="shared" si="527"/>
        <v>0.44792253267471899</v>
      </c>
      <c r="CU281" s="19">
        <f t="shared" si="528"/>
        <v>901.86702572689285</v>
      </c>
      <c r="CV281" s="15">
        <f t="shared" si="484"/>
        <v>5.3037340514537857E-6</v>
      </c>
      <c r="CW281" s="16">
        <f t="shared" si="485"/>
        <v>26.260470795859266</v>
      </c>
      <c r="CX281" s="17">
        <f t="shared" si="486"/>
        <v>1.327362097944561E-2</v>
      </c>
      <c r="CY281" s="18">
        <f t="shared" si="529"/>
        <v>0.4518799743525167</v>
      </c>
      <c r="CZ281" s="20">
        <f t="shared" si="530"/>
        <v>789.88163565688615</v>
      </c>
      <c r="DA281" s="15">
        <f t="shared" si="487"/>
        <v>5.0797632713137727E-6</v>
      </c>
      <c r="DB281" s="16">
        <f t="shared" si="488"/>
        <v>24.972638810054193</v>
      </c>
      <c r="DC281" s="17">
        <f t="shared" si="489"/>
        <v>1.2713090753531589E-2</v>
      </c>
      <c r="DD281" s="18">
        <f t="shared" si="531"/>
        <v>0.47518329800775055</v>
      </c>
    </row>
    <row r="282" spans="2:108" x14ac:dyDescent="0.25">
      <c r="B282">
        <v>15</v>
      </c>
      <c r="C282">
        <f t="shared" si="490"/>
        <v>1.4664219995178772E-2</v>
      </c>
      <c r="D282" s="19">
        <f t="shared" si="428"/>
        <v>1019.7646684563612</v>
      </c>
      <c r="E282" s="15">
        <f t="shared" si="429"/>
        <v>5.5395293369127227E-6</v>
      </c>
      <c r="F282" s="16">
        <f t="shared" si="430"/>
        <v>27.616293687248152</v>
      </c>
      <c r="G282" s="17">
        <f t="shared" si="426"/>
        <v>1.3863744318504099E-2</v>
      </c>
      <c r="H282" s="18">
        <f t="shared" si="491"/>
        <v>0.42969491142098126</v>
      </c>
      <c r="I282" s="19">
        <f t="shared" si="492"/>
        <v>1019.4511374499018</v>
      </c>
      <c r="J282" s="15">
        <f t="shared" si="431"/>
        <v>5.538902274899804E-6</v>
      </c>
      <c r="K282" s="16">
        <f t="shared" si="432"/>
        <v>27.61268808067387</v>
      </c>
      <c r="L282" s="17">
        <f t="shared" si="433"/>
        <v>1.3862174974451523E-2</v>
      </c>
      <c r="M282" s="18">
        <f t="shared" si="493"/>
        <v>0.42975102007628596</v>
      </c>
      <c r="N282" s="19">
        <f t="shared" si="494"/>
        <v>1018.5504993182723</v>
      </c>
      <c r="O282" s="15">
        <f t="shared" si="434"/>
        <v>5.5371009986365447E-6</v>
      </c>
      <c r="P282" s="16">
        <f t="shared" si="435"/>
        <v>27.602330742160131</v>
      </c>
      <c r="Q282" s="17">
        <f t="shared" si="427"/>
        <v>1.3863744318504099E-2</v>
      </c>
      <c r="R282" s="18">
        <f t="shared" si="495"/>
        <v>0.42991227735680815</v>
      </c>
      <c r="S282" s="19">
        <f t="shared" si="496"/>
        <v>1017.0504702114952</v>
      </c>
      <c r="T282" s="15">
        <f t="shared" si="436"/>
        <v>5.534100940422991E-6</v>
      </c>
      <c r="U282" s="16">
        <f t="shared" si="437"/>
        <v>27.585080407432194</v>
      </c>
      <c r="V282" s="17">
        <f t="shared" si="438"/>
        <v>1.3850158705644964E-2</v>
      </c>
      <c r="W282" s="18">
        <f t="shared" si="497"/>
        <v>0.4301811230726269</v>
      </c>
      <c r="X282" s="19">
        <f t="shared" si="498"/>
        <v>1014.9506885324096</v>
      </c>
      <c r="Y282" s="15">
        <f t="shared" si="439"/>
        <v>5.5299013770648196E-6</v>
      </c>
      <c r="Z282" s="16">
        <f t="shared" si="440"/>
        <v>27.56093291812271</v>
      </c>
      <c r="AA282" s="17">
        <f t="shared" si="441"/>
        <v>1.3839648485533106E-2</v>
      </c>
      <c r="AB282" s="18">
        <f t="shared" si="499"/>
        <v>0.43055802591918146</v>
      </c>
      <c r="AC282" s="19">
        <f t="shared" si="500"/>
        <v>1012.2508848804888</v>
      </c>
      <c r="AD282" s="15">
        <f t="shared" si="442"/>
        <v>5.524501769760978E-6</v>
      </c>
      <c r="AE282" s="16">
        <f t="shared" si="443"/>
        <v>27.529885176125621</v>
      </c>
      <c r="AF282" s="17">
        <f t="shared" si="444"/>
        <v>1.3826134923183691E-2</v>
      </c>
      <c r="AG282" s="18">
        <f t="shared" si="501"/>
        <v>0.43104360202739955</v>
      </c>
      <c r="AH282" s="19">
        <f t="shared" si="502"/>
        <v>1008.9511286728269</v>
      </c>
      <c r="AI282" s="15">
        <f t="shared" si="445"/>
        <v>5.517902257345654E-6</v>
      </c>
      <c r="AJ282" s="16">
        <f t="shared" si="446"/>
        <v>27.491937979737507</v>
      </c>
      <c r="AK282" s="17">
        <f t="shared" si="447"/>
        <v>1.3809618366056143E-2</v>
      </c>
      <c r="AL282" s="18">
        <f t="shared" si="503"/>
        <v>0.43163857267770545</v>
      </c>
      <c r="AM282" s="19">
        <f t="shared" si="504"/>
        <v>1005.0514261090253</v>
      </c>
      <c r="AN282" s="15">
        <f t="shared" si="448"/>
        <v>5.5101028522180514E-6</v>
      </c>
      <c r="AO282" s="16">
        <f t="shared" si="449"/>
        <v>27.44709140025379</v>
      </c>
      <c r="AP282" s="17">
        <f t="shared" si="450"/>
        <v>1.3790098845181871E-2</v>
      </c>
      <c r="AQ282" s="18">
        <f t="shared" si="505"/>
        <v>0.43234383915842439</v>
      </c>
      <c r="AR282" s="19">
        <f t="shared" si="506"/>
        <v>1000.5517775530978</v>
      </c>
      <c r="AS282" s="15">
        <f t="shared" si="451"/>
        <v>5.5011035551061959E-6</v>
      </c>
      <c r="AT282" s="16">
        <f t="shared" si="452"/>
        <v>27.395345441860627</v>
      </c>
      <c r="AU282" s="17">
        <f t="shared" si="453"/>
        <v>1.37675763623829E-2</v>
      </c>
      <c r="AV282" s="18">
        <f t="shared" si="507"/>
        <v>0.43316047592469958</v>
      </c>
      <c r="AW282" s="19">
        <f t="shared" si="508"/>
        <v>995.45218302913702</v>
      </c>
      <c r="AX282" s="15">
        <f t="shared" si="454"/>
        <v>5.4909043660582744E-6</v>
      </c>
      <c r="AY282" s="16">
        <f t="shared" si="455"/>
        <v>27.336700104835074</v>
      </c>
      <c r="AZ282" s="17">
        <f t="shared" si="456"/>
        <v>1.3742050917779827E-2</v>
      </c>
      <c r="BA282" s="18">
        <f t="shared" si="509"/>
        <v>0.43408973373560339</v>
      </c>
      <c r="BB282" s="19">
        <f t="shared" si="510"/>
        <v>989.75264254383967</v>
      </c>
      <c r="BC282" s="15">
        <f t="shared" si="457"/>
        <v>5.47950528508768E-6</v>
      </c>
      <c r="BD282" s="16">
        <f t="shared" si="458"/>
        <v>27.271155389254154</v>
      </c>
      <c r="BE282" s="17">
        <f t="shared" si="459"/>
        <v>1.3713522511406168E-2</v>
      </c>
      <c r="BF282" s="18">
        <f t="shared" si="511"/>
        <v>0.43513304443249851</v>
      </c>
      <c r="BG282" s="19">
        <f t="shared" si="512"/>
        <v>983.45315610121611</v>
      </c>
      <c r="BH282" s="15">
        <f t="shared" si="460"/>
        <v>5.4669063122024326E-6</v>
      </c>
      <c r="BI282" s="16">
        <f t="shared" si="461"/>
        <v>27.198711295163985</v>
      </c>
      <c r="BJ282" s="17">
        <f t="shared" si="462"/>
        <v>1.3681991143281997E-2</v>
      </c>
      <c r="BK282" s="18">
        <f t="shared" si="513"/>
        <v>0.43629202652067611</v>
      </c>
      <c r="BL282" s="19">
        <f t="shared" si="514"/>
        <v>976.55372370387056</v>
      </c>
      <c r="BM282" s="15">
        <f t="shared" si="463"/>
        <v>5.4531074474077413E-6</v>
      </c>
      <c r="BN282" s="16">
        <f t="shared" si="464"/>
        <v>27.119367822594512</v>
      </c>
      <c r="BO282" s="17">
        <f t="shared" si="465"/>
        <v>1.3647456813420351E-2</v>
      </c>
      <c r="BP282" s="18">
        <f t="shared" si="515"/>
        <v>0.4375684915424633</v>
      </c>
      <c r="BQ282" s="19">
        <f t="shared" si="516"/>
        <v>969.05434534835229</v>
      </c>
      <c r="BR282" s="15">
        <f t="shared" si="466"/>
        <v>5.4381086906967054E-6</v>
      </c>
      <c r="BS282" s="16">
        <f t="shared" si="467"/>
        <v>27.033124971506048</v>
      </c>
      <c r="BT282" s="17">
        <f t="shared" si="468"/>
        <v>1.3609919521803959E-2</v>
      </c>
      <c r="BU282" s="18">
        <f t="shared" si="517"/>
        <v>0.43896445128803019</v>
      </c>
      <c r="BV282" s="19">
        <f t="shared" si="518"/>
        <v>960.95502067452435</v>
      </c>
      <c r="BW282" s="15">
        <f t="shared" si="469"/>
        <v>5.4219100413490488E-6</v>
      </c>
      <c r="BX282" s="16">
        <f t="shared" si="470"/>
        <v>26.939982737757028</v>
      </c>
      <c r="BY282" s="17">
        <f t="shared" si="471"/>
        <v>1.3569379266630193E-2</v>
      </c>
      <c r="BZ282" s="18">
        <f t="shared" si="519"/>
        <v>0.4404821259624121</v>
      </c>
      <c r="CA282" s="19">
        <f t="shared" si="520"/>
        <v>952.25573040858103</v>
      </c>
      <c r="CB282" s="15">
        <f t="shared" si="472"/>
        <v>5.4045114608171633E-6</v>
      </c>
      <c r="CC282" s="16">
        <f t="shared" si="473"/>
        <v>26.839940899698682</v>
      </c>
      <c r="CD282" s="17">
        <f t="shared" si="474"/>
        <v>1.3525835951426198E-2</v>
      </c>
      <c r="CE282" s="18">
        <f t="shared" si="521"/>
        <v>0.44212395675771099</v>
      </c>
      <c r="CF282" s="19">
        <f t="shared" si="522"/>
        <v>942.95567919359576</v>
      </c>
      <c r="CG282" s="15">
        <f t="shared" si="475"/>
        <v>5.3859113583871926E-6</v>
      </c>
      <c r="CH282" s="16">
        <f t="shared" si="476"/>
        <v>26.73299031072635</v>
      </c>
      <c r="CI282" s="17">
        <f t="shared" si="477"/>
        <v>1.3479285595122674E-2</v>
      </c>
      <c r="CJ282" s="18">
        <f t="shared" si="523"/>
        <v>0.44389276065972122</v>
      </c>
      <c r="CK282" s="19">
        <f t="shared" si="524"/>
        <v>933.02996308753245</v>
      </c>
      <c r="CL282" s="15">
        <f t="shared" si="478"/>
        <v>5.3660599261750655E-6</v>
      </c>
      <c r="CM282" s="16">
        <f t="shared" si="479"/>
        <v>26.618844575506621</v>
      </c>
      <c r="CN282" s="17">
        <f t="shared" si="480"/>
        <v>1.3429603543849629E-2</v>
      </c>
      <c r="CO282" s="18">
        <f t="shared" si="525"/>
        <v>0.44579624168349347</v>
      </c>
      <c r="CP282" s="19">
        <f t="shared" si="526"/>
        <v>921.90744615123981</v>
      </c>
      <c r="CQ282" s="15">
        <f t="shared" si="481"/>
        <v>5.3438148923024803E-6</v>
      </c>
      <c r="CR282" s="16">
        <f t="shared" si="482"/>
        <v>26.490935630739258</v>
      </c>
      <c r="CS282" s="17">
        <f t="shared" si="483"/>
        <v>1.3373931041149631E-2</v>
      </c>
      <c r="CT282" s="18">
        <f t="shared" si="527"/>
        <v>0.44794872612759989</v>
      </c>
      <c r="CU282" s="19">
        <f t="shared" si="528"/>
        <v>900.59264829539552</v>
      </c>
      <c r="CV282" s="15">
        <f t="shared" si="484"/>
        <v>5.3011852965907913E-6</v>
      </c>
      <c r="CW282" s="16">
        <f t="shared" si="485"/>
        <v>26.24581545539705</v>
      </c>
      <c r="CX282" s="17">
        <f t="shared" si="486"/>
        <v>1.3267242227100056E-2</v>
      </c>
      <c r="CY282" s="18">
        <f t="shared" si="529"/>
        <v>0.4521322985709601</v>
      </c>
      <c r="CZ282" s="20">
        <f t="shared" si="530"/>
        <v>783.90615971785792</v>
      </c>
      <c r="DA282" s="15">
        <f t="shared" si="487"/>
        <v>5.0678123194357158E-6</v>
      </c>
      <c r="DB282" s="16">
        <f t="shared" si="488"/>
        <v>24.903920836755365</v>
      </c>
      <c r="DC282" s="17">
        <f t="shared" si="489"/>
        <v>1.2683181183399686E-2</v>
      </c>
      <c r="DD282" s="18">
        <f t="shared" si="531"/>
        <v>0.47649448243523845</v>
      </c>
    </row>
    <row r="283" spans="2:108" x14ac:dyDescent="0.25">
      <c r="B283">
        <v>16</v>
      </c>
      <c r="C283">
        <f t="shared" si="490"/>
        <v>1.5641834661524023E-2</v>
      </c>
      <c r="D283" s="19">
        <f t="shared" si="428"/>
        <v>1019.7486611470249</v>
      </c>
      <c r="E283" s="15">
        <f t="shared" si="429"/>
        <v>5.5394973222940503E-6</v>
      </c>
      <c r="F283" s="16">
        <f t="shared" si="430"/>
        <v>27.616109603190786</v>
      </c>
      <c r="G283" s="17">
        <f t="shared" si="426"/>
        <v>1.3863664195724575E-2</v>
      </c>
      <c r="H283" s="18">
        <f t="shared" si="491"/>
        <v>0.42969777569056378</v>
      </c>
      <c r="I283" s="19">
        <f t="shared" si="492"/>
        <v>1019.4345815772679</v>
      </c>
      <c r="J283" s="15">
        <f t="shared" si="431"/>
        <v>5.5388691631545357E-6</v>
      </c>
      <c r="K283" s="16">
        <f t="shared" si="432"/>
        <v>27.612497688138582</v>
      </c>
      <c r="L283" s="17">
        <f t="shared" si="433"/>
        <v>1.3862092105900347E-2</v>
      </c>
      <c r="M283" s="18">
        <f t="shared" si="493"/>
        <v>0.42975398327748487</v>
      </c>
      <c r="N283" s="19">
        <f t="shared" si="494"/>
        <v>1018.5338709377737</v>
      </c>
      <c r="O283" s="15">
        <f t="shared" si="434"/>
        <v>5.537067741875548E-6</v>
      </c>
      <c r="P283" s="16">
        <f t="shared" si="435"/>
        <v>27.602139515784398</v>
      </c>
      <c r="Q283" s="17">
        <f t="shared" si="427"/>
        <v>1.3863664195724575E-2</v>
      </c>
      <c r="R283" s="18">
        <f t="shared" si="495"/>
        <v>0.42991525576964584</v>
      </c>
      <c r="S283" s="19">
        <f t="shared" si="496"/>
        <v>1017.033837681915</v>
      </c>
      <c r="T283" s="15">
        <f t="shared" si="436"/>
        <v>5.5340676753638301E-6</v>
      </c>
      <c r="U283" s="16">
        <f t="shared" si="437"/>
        <v>27.584889133342021</v>
      </c>
      <c r="V283" s="17">
        <f t="shared" si="438"/>
        <v>1.38500754533961E-2</v>
      </c>
      <c r="W283" s="18">
        <f t="shared" si="497"/>
        <v>0.43018410595584711</v>
      </c>
      <c r="X283" s="19">
        <f t="shared" si="498"/>
        <v>1014.9340688554397</v>
      </c>
      <c r="Y283" s="15">
        <f t="shared" si="439"/>
        <v>5.5298681377108802E-6</v>
      </c>
      <c r="Z283" s="16">
        <f t="shared" si="440"/>
        <v>27.560741791837557</v>
      </c>
      <c r="AA283" s="17">
        <f t="shared" si="441"/>
        <v>1.3839565297616534E-2</v>
      </c>
      <c r="AB283" s="18">
        <f t="shared" si="499"/>
        <v>0.43056101172256284</v>
      </c>
      <c r="AC283" s="19">
        <f t="shared" si="500"/>
        <v>1012.2342786678748</v>
      </c>
      <c r="AD283" s="15">
        <f t="shared" si="442"/>
        <v>5.5244685573357499E-6</v>
      </c>
      <c r="AE283" s="16">
        <f t="shared" si="443"/>
        <v>27.52969420468056</v>
      </c>
      <c r="AF283" s="17">
        <f t="shared" si="444"/>
        <v>1.3826051802661431E-2</v>
      </c>
      <c r="AG283" s="18">
        <f t="shared" si="501"/>
        <v>0.43104659214486879</v>
      </c>
      <c r="AH283" s="19">
        <f t="shared" si="502"/>
        <v>1008.9345387759344</v>
      </c>
      <c r="AI283" s="15">
        <f t="shared" si="445"/>
        <v>5.5178690775518696E-6</v>
      </c>
      <c r="AJ283" s="16">
        <f t="shared" si="446"/>
        <v>27.491747195923246</v>
      </c>
      <c r="AK283" s="17">
        <f t="shared" si="447"/>
        <v>1.3809535327200388E-2</v>
      </c>
      <c r="AL283" s="18">
        <f t="shared" si="503"/>
        <v>0.4316415681094869</v>
      </c>
      <c r="AM283" s="19">
        <f t="shared" si="504"/>
        <v>1005.0348560525089</v>
      </c>
      <c r="AN283" s="15">
        <f t="shared" si="448"/>
        <v>5.5100697121050179E-6</v>
      </c>
      <c r="AO283" s="16">
        <f t="shared" si="449"/>
        <v>27.446900844603853</v>
      </c>
      <c r="AP283" s="17">
        <f t="shared" si="450"/>
        <v>1.3790015905634874E-2</v>
      </c>
      <c r="AQ283" s="18">
        <f t="shared" si="505"/>
        <v>0.43234684079280689</v>
      </c>
      <c r="AR283" s="19">
        <f t="shared" si="506"/>
        <v>1000.5352309314841</v>
      </c>
      <c r="AS283" s="15">
        <f t="shared" si="451"/>
        <v>5.5010704618629682E-6</v>
      </c>
      <c r="AT283" s="16">
        <f t="shared" si="452"/>
        <v>27.395155155712068</v>
      </c>
      <c r="AU283" s="17">
        <f t="shared" si="453"/>
        <v>1.3767493540136662E-2</v>
      </c>
      <c r="AV283" s="18">
        <f t="shared" si="507"/>
        <v>0.43316348464789178</v>
      </c>
      <c r="AW283" s="19">
        <f t="shared" si="508"/>
        <v>995.43566344246324</v>
      </c>
      <c r="AX283" s="15">
        <f t="shared" si="454"/>
        <v>5.4908713268849273E-6</v>
      </c>
      <c r="AY283" s="16">
        <f t="shared" si="455"/>
        <v>27.336510129588326</v>
      </c>
      <c r="AZ283" s="17">
        <f t="shared" si="456"/>
        <v>1.3741968230853928E-2</v>
      </c>
      <c r="BA283" s="18">
        <f t="shared" si="509"/>
        <v>0.4340927504449012</v>
      </c>
      <c r="BB283" s="19">
        <f t="shared" si="510"/>
        <v>989.73615359321161</v>
      </c>
      <c r="BC283" s="15">
        <f t="shared" si="457"/>
        <v>5.4794723071864237E-6</v>
      </c>
      <c r="BD283" s="16">
        <f t="shared" si="458"/>
        <v>27.270965766321932</v>
      </c>
      <c r="BE283" s="17">
        <f t="shared" si="459"/>
        <v>1.3713439977825537E-2</v>
      </c>
      <c r="BF283" s="18">
        <f t="shared" si="511"/>
        <v>0.43513607003872379</v>
      </c>
      <c r="BG283" s="19">
        <f t="shared" si="512"/>
        <v>983.43670138831772</v>
      </c>
      <c r="BH283" s="15">
        <f t="shared" si="460"/>
        <v>5.4668734027766352E-6</v>
      </c>
      <c r="BI283" s="16">
        <f t="shared" si="461"/>
        <v>27.198522065965655</v>
      </c>
      <c r="BJ283" s="17">
        <f t="shared" si="462"/>
        <v>1.3681908781074456E-2</v>
      </c>
      <c r="BK283" s="18">
        <f t="shared" si="513"/>
        <v>0.43629506194996215</v>
      </c>
      <c r="BL283" s="19">
        <f t="shared" si="514"/>
        <v>976.53730683069409</v>
      </c>
      <c r="BM283" s="15">
        <f t="shared" si="463"/>
        <v>5.4530746136613892E-6</v>
      </c>
      <c r="BN283" s="16">
        <f t="shared" si="464"/>
        <v>27.119179028552981</v>
      </c>
      <c r="BO283" s="17">
        <f t="shared" si="465"/>
        <v>1.3647374640615269E-2</v>
      </c>
      <c r="BP283" s="18">
        <f t="shared" si="515"/>
        <v>0.43757153773806817</v>
      </c>
      <c r="BQ283" s="19">
        <f t="shared" si="516"/>
        <v>969.03796991217632</v>
      </c>
      <c r="BR283" s="15">
        <f t="shared" si="466"/>
        <v>5.4380759398243534E-6</v>
      </c>
      <c r="BS283" s="16">
        <f t="shared" si="467"/>
        <v>27.032936653990028</v>
      </c>
      <c r="BT283" s="17">
        <f t="shared" si="468"/>
        <v>1.3609837556407102E-2</v>
      </c>
      <c r="BU283" s="18">
        <f t="shared" si="517"/>
        <v>0.43896750921311412</v>
      </c>
      <c r="BV283" s="19">
        <f t="shared" si="518"/>
        <v>960.93869001097255</v>
      </c>
      <c r="BW283" s="15">
        <f t="shared" si="469"/>
        <v>5.421877380021946E-6</v>
      </c>
      <c r="BX283" s="16">
        <f t="shared" si="470"/>
        <v>26.939794935126184</v>
      </c>
      <c r="BY283" s="17">
        <f t="shared" si="471"/>
        <v>1.3569297525337655E-2</v>
      </c>
      <c r="BZ283" s="18">
        <f t="shared" si="519"/>
        <v>0.44048519665030317</v>
      </c>
      <c r="CA283" s="19">
        <f t="shared" si="520"/>
        <v>952.23943722386139</v>
      </c>
      <c r="CB283" s="15">
        <f t="shared" si="472"/>
        <v>5.4044788744477237E-6</v>
      </c>
      <c r="CC283" s="16">
        <f t="shared" si="473"/>
        <v>26.839753528074404</v>
      </c>
      <c r="CD283" s="17">
        <f t="shared" si="474"/>
        <v>1.3525754397729718E-2</v>
      </c>
      <c r="CE283" s="18">
        <f t="shared" si="521"/>
        <v>0.44212704327949381</v>
      </c>
      <c r="CF283" s="19">
        <f t="shared" si="522"/>
        <v>942.93909025997834</v>
      </c>
      <c r="CG283" s="15">
        <f t="shared" si="475"/>
        <v>5.3858781805199567E-6</v>
      </c>
      <c r="CH283" s="16">
        <f t="shared" si="476"/>
        <v>26.732799537989749</v>
      </c>
      <c r="CI283" s="17">
        <f t="shared" si="477"/>
        <v>1.3479202561088479E-2</v>
      </c>
      <c r="CJ283" s="18">
        <f t="shared" si="523"/>
        <v>0.44389592840265024</v>
      </c>
      <c r="CK283" s="19">
        <f t="shared" si="524"/>
        <v>933.005486655048</v>
      </c>
      <c r="CL283" s="15">
        <f t="shared" si="478"/>
        <v>5.3660109733100969E-6</v>
      </c>
      <c r="CM283" s="16">
        <f t="shared" si="479"/>
        <v>26.618563096533052</v>
      </c>
      <c r="CN283" s="17">
        <f t="shared" si="480"/>
        <v>1.3429481029830421E-2</v>
      </c>
      <c r="CO283" s="18">
        <f t="shared" si="525"/>
        <v>0.445800955772232</v>
      </c>
      <c r="CP283" s="19">
        <f t="shared" si="526"/>
        <v>921.7584686551005</v>
      </c>
      <c r="CQ283" s="15">
        <f t="shared" si="481"/>
        <v>5.3435169373102009E-6</v>
      </c>
      <c r="CR283" s="16">
        <f t="shared" si="482"/>
        <v>26.489222389533655</v>
      </c>
      <c r="CS283" s="17">
        <f t="shared" si="483"/>
        <v>1.3373185351113502E-2</v>
      </c>
      <c r="CT283" s="18">
        <f t="shared" si="527"/>
        <v>0.44797769806963406</v>
      </c>
      <c r="CU283" s="19">
        <f t="shared" si="528"/>
        <v>899.26865876701561</v>
      </c>
      <c r="CV283" s="15">
        <f t="shared" si="484"/>
        <v>5.2985373175340313E-6</v>
      </c>
      <c r="CW283" s="16">
        <f t="shared" si="485"/>
        <v>26.23058957582068</v>
      </c>
      <c r="CX283" s="17">
        <f t="shared" si="486"/>
        <v>1.3260615147005172E-2</v>
      </c>
      <c r="CY283" s="18">
        <f t="shared" si="529"/>
        <v>0.45239474451830453</v>
      </c>
      <c r="CZ283" s="20">
        <f t="shared" si="530"/>
        <v>778.12305850592452</v>
      </c>
      <c r="DA283" s="15">
        <f t="shared" si="487"/>
        <v>5.0562461170118494E-6</v>
      </c>
      <c r="DB283" s="16">
        <f t="shared" si="488"/>
        <v>24.837415172818133</v>
      </c>
      <c r="DC283" s="17">
        <f t="shared" si="489"/>
        <v>1.2654234523243551E-2</v>
      </c>
      <c r="DD283" s="18">
        <f t="shared" si="531"/>
        <v>0.47777036326648792</v>
      </c>
    </row>
    <row r="284" spans="2:108" x14ac:dyDescent="0.25">
      <c r="B284">
        <v>17</v>
      </c>
      <c r="C284">
        <f t="shared" si="490"/>
        <v>1.6619449327869275E-2</v>
      </c>
      <c r="D284" s="19">
        <f t="shared" si="428"/>
        <v>1019.7326258308178</v>
      </c>
      <c r="E284" s="15">
        <f t="shared" si="429"/>
        <v>5.5394652516616364E-6</v>
      </c>
      <c r="F284" s="16">
        <f t="shared" si="430"/>
        <v>27.615925197054402</v>
      </c>
      <c r="G284" s="17">
        <f t="shared" si="426"/>
        <v>1.386358393275982E-2</v>
      </c>
      <c r="H284" s="18">
        <f t="shared" si="491"/>
        <v>0.42970064500984467</v>
      </c>
      <c r="I284" s="19">
        <f t="shared" si="492"/>
        <v>1019.4180280951816</v>
      </c>
      <c r="J284" s="15">
        <f t="shared" si="431"/>
        <v>5.5388360561903636E-6</v>
      </c>
      <c r="K284" s="16">
        <f t="shared" si="432"/>
        <v>27.612307323094587</v>
      </c>
      <c r="L284" s="17">
        <f t="shared" si="433"/>
        <v>1.3862009249314793E-2</v>
      </c>
      <c r="M284" s="18">
        <f t="shared" si="493"/>
        <v>0.42975694609167409</v>
      </c>
      <c r="N284" s="19">
        <f t="shared" si="494"/>
        <v>1018.5172433386017</v>
      </c>
      <c r="O284" s="15">
        <f t="shared" si="434"/>
        <v>5.5370344866772042E-6</v>
      </c>
      <c r="P284" s="16">
        <f t="shared" si="435"/>
        <v>27.601948298393921</v>
      </c>
      <c r="Q284" s="17">
        <f t="shared" si="427"/>
        <v>1.386358393275982E-2</v>
      </c>
      <c r="R284" s="18">
        <f t="shared" si="495"/>
        <v>0.42991823408380131</v>
      </c>
      <c r="S284" s="19">
        <f t="shared" si="496"/>
        <v>1017.0172055044427</v>
      </c>
      <c r="T284" s="15">
        <f t="shared" si="436"/>
        <v>5.5340344110088857E-6</v>
      </c>
      <c r="U284" s="16">
        <f t="shared" si="437"/>
        <v>27.584697863301088</v>
      </c>
      <c r="V284" s="17">
        <f t="shared" si="438"/>
        <v>1.3849992202909674E-2</v>
      </c>
      <c r="W284" s="18">
        <f t="shared" si="497"/>
        <v>0.43018708881728579</v>
      </c>
      <c r="X284" s="19">
        <f t="shared" si="498"/>
        <v>1014.9174493324018</v>
      </c>
      <c r="Y284" s="15">
        <f t="shared" si="439"/>
        <v>5.5298348986648041E-6</v>
      </c>
      <c r="Z284" s="16">
        <f t="shared" si="440"/>
        <v>27.560550667322619</v>
      </c>
      <c r="AA284" s="17">
        <f t="shared" si="441"/>
        <v>1.3839482110470451E-2</v>
      </c>
      <c r="AB284" s="18">
        <f t="shared" si="499"/>
        <v>0.43056399753970093</v>
      </c>
      <c r="AC284" s="19">
        <f t="shared" si="500"/>
        <v>1012.2176726357533</v>
      </c>
      <c r="AD284" s="15">
        <f t="shared" si="442"/>
        <v>5.5244353452715069E-6</v>
      </c>
      <c r="AE284" s="16">
        <f t="shared" si="443"/>
        <v>27.529503235311161</v>
      </c>
      <c r="AF284" s="17">
        <f t="shared" si="444"/>
        <v>1.3825968683042608E-2</v>
      </c>
      <c r="AG284" s="18">
        <f t="shared" si="501"/>
        <v>0.43104958227132256</v>
      </c>
      <c r="AH284" s="19">
        <f t="shared" si="502"/>
        <v>1008.9179490691666</v>
      </c>
      <c r="AI284" s="15">
        <f t="shared" si="445"/>
        <v>5.5178358981383335E-6</v>
      </c>
      <c r="AJ284" s="16">
        <f t="shared" si="446"/>
        <v>27.491556414295417</v>
      </c>
      <c r="AK284" s="17">
        <f t="shared" si="447"/>
        <v>1.3809452289296276E-2</v>
      </c>
      <c r="AL284" s="18">
        <f t="shared" si="503"/>
        <v>0.4316445635485141</v>
      </c>
      <c r="AM284" s="19">
        <f t="shared" si="504"/>
        <v>1005.0182861879542</v>
      </c>
      <c r="AN284" s="15">
        <f t="shared" si="448"/>
        <v>5.5100365723759089E-6</v>
      </c>
      <c r="AO284" s="16">
        <f t="shared" si="449"/>
        <v>27.446710291161473</v>
      </c>
      <c r="AP284" s="17">
        <f t="shared" si="450"/>
        <v>1.3789932967048722E-2</v>
      </c>
      <c r="AQ284" s="18">
        <f t="shared" si="505"/>
        <v>0.43234984243409436</v>
      </c>
      <c r="AR284" s="19">
        <f t="shared" si="506"/>
        <v>1000.518684502531</v>
      </c>
      <c r="AS284" s="15">
        <f t="shared" si="451"/>
        <v>5.5010373690050626E-6</v>
      </c>
      <c r="AT284" s="16">
        <f t="shared" si="452"/>
        <v>27.394964871779106</v>
      </c>
      <c r="AU284" s="17">
        <f t="shared" si="453"/>
        <v>1.3767410718854768E-2</v>
      </c>
      <c r="AV284" s="18">
        <f t="shared" si="507"/>
        <v>0.43316649337784857</v>
      </c>
      <c r="AW284" s="19">
        <f t="shared" si="508"/>
        <v>995.41914404885449</v>
      </c>
      <c r="AX284" s="15">
        <f t="shared" si="454"/>
        <v>5.4908382880977095E-6</v>
      </c>
      <c r="AY284" s="16">
        <f t="shared" si="455"/>
        <v>27.336320156561825</v>
      </c>
      <c r="AZ284" s="17">
        <f t="shared" si="456"/>
        <v>1.3741885544894396E-2</v>
      </c>
      <c r="BA284" s="18">
        <f t="shared" si="509"/>
        <v>0.43409576716087145</v>
      </c>
      <c r="BB284" s="19">
        <f t="shared" si="510"/>
        <v>989.71966483586652</v>
      </c>
      <c r="BC284" s="15">
        <f t="shared" si="457"/>
        <v>5.4794393296717338E-6</v>
      </c>
      <c r="BD284" s="16">
        <f t="shared" si="458"/>
        <v>27.270776145612466</v>
      </c>
      <c r="BE284" s="17">
        <f t="shared" si="459"/>
        <v>1.3713357445212364E-2</v>
      </c>
      <c r="BF284" s="18">
        <f t="shared" si="511"/>
        <v>0.43513909565155834</v>
      </c>
      <c r="BG284" s="19">
        <f t="shared" si="512"/>
        <v>983.42024686877369</v>
      </c>
      <c r="BH284" s="15">
        <f t="shared" si="460"/>
        <v>5.4668404937375482E-6</v>
      </c>
      <c r="BI284" s="16">
        <f t="shared" si="461"/>
        <v>27.198332838990897</v>
      </c>
      <c r="BJ284" s="17">
        <f t="shared" si="462"/>
        <v>1.3681826419834732E-2</v>
      </c>
      <c r="BK284" s="18">
        <f t="shared" si="513"/>
        <v>0.43629809738581637</v>
      </c>
      <c r="BL284" s="19">
        <f t="shared" si="514"/>
        <v>976.52089015075364</v>
      </c>
      <c r="BM284" s="15">
        <f t="shared" si="463"/>
        <v>5.4530417803015087E-6</v>
      </c>
      <c r="BN284" s="16">
        <f t="shared" si="464"/>
        <v>27.118990236733666</v>
      </c>
      <c r="BO284" s="17">
        <f t="shared" si="465"/>
        <v>1.3647292468777408E-2</v>
      </c>
      <c r="BP284" s="18">
        <f t="shared" si="515"/>
        <v>0.43757458394023019</v>
      </c>
      <c r="BQ284" s="19">
        <f t="shared" si="516"/>
        <v>969.02159466537137</v>
      </c>
      <c r="BR284" s="15">
        <f t="shared" si="466"/>
        <v>5.4380431893307436E-6</v>
      </c>
      <c r="BS284" s="16">
        <f t="shared" si="467"/>
        <v>27.032748338651771</v>
      </c>
      <c r="BT284" s="17">
        <f t="shared" si="468"/>
        <v>1.3609755591958123E-2</v>
      </c>
      <c r="BU284" s="18">
        <f t="shared" si="517"/>
        <v>0.43897056714543925</v>
      </c>
      <c r="BV284" s="19">
        <f t="shared" si="518"/>
        <v>960.92235938648389</v>
      </c>
      <c r="BW284" s="15">
        <f t="shared" si="469"/>
        <v>5.4218447187729685E-6</v>
      </c>
      <c r="BX284" s="16">
        <f t="shared" si="470"/>
        <v>26.939607132944566</v>
      </c>
      <c r="BY284" s="17">
        <f t="shared" si="471"/>
        <v>1.3569215784240638E-2</v>
      </c>
      <c r="BZ284" s="18">
        <f t="shared" si="519"/>
        <v>0.44048826737366203</v>
      </c>
      <c r="CA284" s="19">
        <f t="shared" si="520"/>
        <v>952.22313949883505</v>
      </c>
      <c r="CB284" s="15">
        <f t="shared" si="472"/>
        <v>5.4044462789976708E-6</v>
      </c>
      <c r="CC284" s="16">
        <f t="shared" si="473"/>
        <v>26.839566104236603</v>
      </c>
      <c r="CD284" s="17">
        <f t="shared" si="474"/>
        <v>1.3525672821307247E-2</v>
      </c>
      <c r="CE284" s="18">
        <f t="shared" si="521"/>
        <v>0.44213013070448887</v>
      </c>
      <c r="CF284" s="19">
        <f t="shared" si="522"/>
        <v>942.92239528401285</v>
      </c>
      <c r="CG284" s="15">
        <f t="shared" si="475"/>
        <v>5.3858447905680256E-6</v>
      </c>
      <c r="CH284" s="16">
        <f t="shared" si="476"/>
        <v>26.732607545766147</v>
      </c>
      <c r="CI284" s="17">
        <f t="shared" si="477"/>
        <v>1.3479118996271286E-2</v>
      </c>
      <c r="CJ284" s="18">
        <f t="shared" si="523"/>
        <v>0.44389911644056218</v>
      </c>
      <c r="CK284" s="19">
        <f t="shared" si="524"/>
        <v>932.97938604144883</v>
      </c>
      <c r="CL284" s="15">
        <f t="shared" si="478"/>
        <v>5.3659587720828982E-6</v>
      </c>
      <c r="CM284" s="16">
        <f t="shared" si="479"/>
        <v>26.618262939476661</v>
      </c>
      <c r="CN284" s="17">
        <f t="shared" si="480"/>
        <v>1.3429350386156027E-2</v>
      </c>
      <c r="CO284" s="18">
        <f t="shared" si="525"/>
        <v>0.44580598278330802</v>
      </c>
      <c r="CP284" s="19">
        <f t="shared" si="526"/>
        <v>921.59490016122095</v>
      </c>
      <c r="CQ284" s="15">
        <f t="shared" si="481"/>
        <v>5.3431898003224428E-6</v>
      </c>
      <c r="CR284" s="16">
        <f t="shared" si="482"/>
        <v>26.487341351854042</v>
      </c>
      <c r="CS284" s="17">
        <f t="shared" si="483"/>
        <v>1.3372366627485633E-2</v>
      </c>
      <c r="CT284" s="18">
        <f t="shared" si="527"/>
        <v>0.44800951186772359</v>
      </c>
      <c r="CU284" s="19">
        <f t="shared" si="528"/>
        <v>897.8988514375601</v>
      </c>
      <c r="CV284" s="15">
        <f t="shared" si="484"/>
        <v>5.2957977028751202E-6</v>
      </c>
      <c r="CW284" s="16">
        <f t="shared" si="485"/>
        <v>26.21483679153194</v>
      </c>
      <c r="CX284" s="17">
        <f t="shared" si="486"/>
        <v>1.3253758731080216E-2</v>
      </c>
      <c r="CY284" s="18">
        <f t="shared" si="529"/>
        <v>0.45266659350521327</v>
      </c>
      <c r="CZ284" s="20">
        <f t="shared" si="530"/>
        <v>772.5234724690248</v>
      </c>
      <c r="DA284" s="15">
        <f t="shared" si="487"/>
        <v>5.04504694493805E-6</v>
      </c>
      <c r="DB284" s="16">
        <f t="shared" si="488"/>
        <v>24.773019933393783</v>
      </c>
      <c r="DC284" s="17">
        <f t="shared" si="489"/>
        <v>1.262620642757566E-2</v>
      </c>
      <c r="DD284" s="18">
        <f t="shared" si="531"/>
        <v>0.47901228439742488</v>
      </c>
    </row>
    <row r="285" spans="2:108" x14ac:dyDescent="0.25">
      <c r="B285">
        <v>18</v>
      </c>
      <c r="C285">
        <f t="shared" si="490"/>
        <v>1.7597063994214526E-2</v>
      </c>
      <c r="D285" s="19">
        <f t="shared" si="428"/>
        <v>1019.7165640596785</v>
      </c>
      <c r="E285" s="15">
        <f t="shared" si="429"/>
        <v>5.5394331281193577E-6</v>
      </c>
      <c r="F285" s="16">
        <f t="shared" si="430"/>
        <v>27.615740486686303</v>
      </c>
      <c r="G285" s="17">
        <f t="shared" si="426"/>
        <v>1.386350353737789E-2</v>
      </c>
      <c r="H285" s="18">
        <f t="shared" si="491"/>
        <v>0.42970351910131982</v>
      </c>
      <c r="I285" s="19">
        <f t="shared" si="492"/>
        <v>1019.4014767596032</v>
      </c>
      <c r="J285" s="15">
        <f t="shared" si="431"/>
        <v>5.5388029535192069E-6</v>
      </c>
      <c r="K285" s="16">
        <f t="shared" si="432"/>
        <v>27.612116982735436</v>
      </c>
      <c r="L285" s="17">
        <f t="shared" si="433"/>
        <v>1.3861926403473338E-2</v>
      </c>
      <c r="M285" s="18">
        <f t="shared" si="493"/>
        <v>0.42975990856251678</v>
      </c>
      <c r="N285" s="19">
        <f t="shared" si="494"/>
        <v>1018.5006165300281</v>
      </c>
      <c r="O285" s="15">
        <f t="shared" si="434"/>
        <v>5.5370012330600574E-6</v>
      </c>
      <c r="P285" s="16">
        <f t="shared" si="435"/>
        <v>27.601757090095322</v>
      </c>
      <c r="Q285" s="17">
        <f t="shared" si="427"/>
        <v>1.386350353737789E-2</v>
      </c>
      <c r="R285" s="18">
        <f t="shared" si="495"/>
        <v>0.42992121229760877</v>
      </c>
      <c r="S285" s="19">
        <f t="shared" si="496"/>
        <v>1017.0005736809876</v>
      </c>
      <c r="T285" s="15">
        <f t="shared" si="436"/>
        <v>5.5340011473619752E-6</v>
      </c>
      <c r="U285" s="16">
        <f t="shared" si="437"/>
        <v>27.584506597331355</v>
      </c>
      <c r="V285" s="17">
        <f t="shared" si="438"/>
        <v>1.3849908954195241E-2</v>
      </c>
      <c r="W285" s="18">
        <f t="shared" si="497"/>
        <v>0.43019007165659884</v>
      </c>
      <c r="X285" s="19">
        <f t="shared" si="498"/>
        <v>1014.9008299661086</v>
      </c>
      <c r="Y285" s="15">
        <f t="shared" si="439"/>
        <v>5.5298016599322184E-6</v>
      </c>
      <c r="Z285" s="16">
        <f t="shared" si="440"/>
        <v>27.56035954461025</v>
      </c>
      <c r="AA285" s="17">
        <f t="shared" si="441"/>
        <v>1.3839398924108936E-2</v>
      </c>
      <c r="AB285" s="18">
        <f t="shared" si="499"/>
        <v>0.43056698337008986</v>
      </c>
      <c r="AC285" s="19">
        <f t="shared" si="500"/>
        <v>1012.2010667839381</v>
      </c>
      <c r="AD285" s="15">
        <f t="shared" si="442"/>
        <v>5.5244021335678763E-6</v>
      </c>
      <c r="AE285" s="16">
        <f t="shared" si="443"/>
        <v>27.529312268015289</v>
      </c>
      <c r="AF285" s="17">
        <f t="shared" si="444"/>
        <v>1.3825885564326283E-2</v>
      </c>
      <c r="AG285" s="18">
        <f t="shared" si="501"/>
        <v>0.43105257240679384</v>
      </c>
      <c r="AH285" s="19">
        <f t="shared" si="502"/>
        <v>1008.901359552427</v>
      </c>
      <c r="AI285" s="15">
        <f t="shared" si="445"/>
        <v>5.5178027191048544E-6</v>
      </c>
      <c r="AJ285" s="16">
        <f t="shared" si="446"/>
        <v>27.491365634852912</v>
      </c>
      <c r="AK285" s="17">
        <f t="shared" si="447"/>
        <v>1.380936925234333E-2</v>
      </c>
      <c r="AL285" s="18">
        <f t="shared" si="503"/>
        <v>0.43164755899480395</v>
      </c>
      <c r="AM285" s="19">
        <f t="shared" si="504"/>
        <v>1005.0017165153461</v>
      </c>
      <c r="AN285" s="15">
        <f t="shared" si="448"/>
        <v>5.5100034330306929E-6</v>
      </c>
      <c r="AO285" s="16">
        <f t="shared" si="449"/>
        <v>27.44651973992648</v>
      </c>
      <c r="AP285" s="17">
        <f t="shared" si="450"/>
        <v>1.3789850029423336E-2</v>
      </c>
      <c r="AQ285" s="18">
        <f t="shared" si="505"/>
        <v>0.43235284408228891</v>
      </c>
      <c r="AR285" s="19">
        <f t="shared" si="506"/>
        <v>1000.502138266233</v>
      </c>
      <c r="AS285" s="15">
        <f t="shared" si="451"/>
        <v>5.5010042765324663E-6</v>
      </c>
      <c r="AT285" s="16">
        <f t="shared" si="452"/>
        <v>27.394774590061679</v>
      </c>
      <c r="AU285" s="17">
        <f t="shared" si="453"/>
        <v>1.3767327898537187E-2</v>
      </c>
      <c r="AV285" s="18">
        <f t="shared" si="507"/>
        <v>0.43316950211457028</v>
      </c>
      <c r="AW285" s="19">
        <f t="shared" si="508"/>
        <v>995.40262484830635</v>
      </c>
      <c r="AX285" s="15">
        <f t="shared" si="454"/>
        <v>5.4908052496966133E-6</v>
      </c>
      <c r="AY285" s="16">
        <f t="shared" si="455"/>
        <v>27.336130185755522</v>
      </c>
      <c r="AZ285" s="17">
        <f t="shared" si="456"/>
        <v>1.3741802859901207E-2</v>
      </c>
      <c r="BA285" s="18">
        <f t="shared" si="509"/>
        <v>0.43409878388351431</v>
      </c>
      <c r="BB285" s="19">
        <f t="shared" si="510"/>
        <v>989.70317627180032</v>
      </c>
      <c r="BC285" s="15">
        <f t="shared" si="457"/>
        <v>5.4794063525436009E-6</v>
      </c>
      <c r="BD285" s="16">
        <f t="shared" si="458"/>
        <v>27.270586527125701</v>
      </c>
      <c r="BE285" s="17">
        <f t="shared" si="459"/>
        <v>1.3713274913566626E-2</v>
      </c>
      <c r="BF285" s="18">
        <f t="shared" si="511"/>
        <v>0.43514212127100249</v>
      </c>
      <c r="BG285" s="19">
        <f t="shared" si="512"/>
        <v>983.40379254257914</v>
      </c>
      <c r="BH285" s="15">
        <f t="shared" si="460"/>
        <v>5.4668075850851588E-6</v>
      </c>
      <c r="BI285" s="16">
        <f t="shared" si="461"/>
        <v>27.198143614239662</v>
      </c>
      <c r="BJ285" s="17">
        <f t="shared" si="462"/>
        <v>1.3681744059562795E-2</v>
      </c>
      <c r="BK285" s="18">
        <f t="shared" si="513"/>
        <v>0.43630113282823896</v>
      </c>
      <c r="BL285" s="19">
        <f t="shared" si="514"/>
        <v>976.50447366399351</v>
      </c>
      <c r="BM285" s="15">
        <f t="shared" si="463"/>
        <v>5.4530089473279878E-6</v>
      </c>
      <c r="BN285" s="16">
        <f t="shared" si="464"/>
        <v>27.118801447135922</v>
      </c>
      <c r="BO285" s="17">
        <f t="shared" si="465"/>
        <v>1.3647210297906486E-2</v>
      </c>
      <c r="BP285" s="18">
        <f t="shared" si="515"/>
        <v>0.43757763014895906</v>
      </c>
      <c r="BQ285" s="19">
        <f t="shared" si="516"/>
        <v>969.0052196058557</v>
      </c>
      <c r="BR285" s="15">
        <f t="shared" si="466"/>
        <v>5.4380104392117114E-6</v>
      </c>
      <c r="BS285" s="16">
        <f t="shared" si="467"/>
        <v>27.03256002546734</v>
      </c>
      <c r="BT285" s="17">
        <f t="shared" si="468"/>
        <v>1.3609673628446594E-2</v>
      </c>
      <c r="BU285" s="18">
        <f t="shared" si="517"/>
        <v>0.43897362508539362</v>
      </c>
      <c r="BV285" s="19">
        <f t="shared" si="518"/>
        <v>960.90602873848093</v>
      </c>
      <c r="BW285" s="15">
        <f t="shared" si="469"/>
        <v>5.4218120574769621E-6</v>
      </c>
      <c r="BX285" s="16">
        <f t="shared" si="470"/>
        <v>26.93941933049253</v>
      </c>
      <c r="BY285" s="17">
        <f t="shared" si="471"/>
        <v>1.3569134043025923E-2</v>
      </c>
      <c r="BZ285" s="18">
        <f t="shared" si="519"/>
        <v>0.44049133814425623</v>
      </c>
      <c r="CA285" s="19">
        <f t="shared" si="520"/>
        <v>952.20683587042026</v>
      </c>
      <c r="CB285" s="15">
        <f t="shared" si="472"/>
        <v>5.4044136717408409E-6</v>
      </c>
      <c r="CC285" s="16">
        <f t="shared" si="473"/>
        <v>26.839378612509833</v>
      </c>
      <c r="CD285" s="17">
        <f t="shared" si="474"/>
        <v>1.3525591215336032E-2</v>
      </c>
      <c r="CE285" s="18">
        <f t="shared" si="521"/>
        <v>0.4421332192909595</v>
      </c>
      <c r="CF285" s="19">
        <f t="shared" si="522"/>
        <v>942.90557442158592</v>
      </c>
      <c r="CG285" s="15">
        <f t="shared" si="475"/>
        <v>5.3858111488431725E-6</v>
      </c>
      <c r="CH285" s="16">
        <f t="shared" si="476"/>
        <v>26.732414105848235</v>
      </c>
      <c r="CI285" s="17">
        <f t="shared" si="477"/>
        <v>1.3479034801343624E-2</v>
      </c>
      <c r="CJ285" s="18">
        <f t="shared" si="523"/>
        <v>0.44390232856380352</v>
      </c>
      <c r="CK285" s="19">
        <f t="shared" si="524"/>
        <v>932.9515012085966</v>
      </c>
      <c r="CL285" s="15">
        <f t="shared" si="478"/>
        <v>5.3659030024171936E-6</v>
      </c>
      <c r="CM285" s="16">
        <f t="shared" si="479"/>
        <v>26.617942263898861</v>
      </c>
      <c r="CN285" s="17">
        <f t="shared" si="480"/>
        <v>1.3429210811773612E-2</v>
      </c>
      <c r="CO285" s="18">
        <f t="shared" si="525"/>
        <v>0.44581135356252521</v>
      </c>
      <c r="CP285" s="19">
        <f t="shared" si="526"/>
        <v>921.41647936908009</v>
      </c>
      <c r="CQ285" s="15">
        <f t="shared" si="481"/>
        <v>5.3428329587381607E-6</v>
      </c>
      <c r="CR285" s="16">
        <f t="shared" si="482"/>
        <v>26.485289512744423</v>
      </c>
      <c r="CS285" s="17">
        <f t="shared" si="483"/>
        <v>1.3371473562355763E-2</v>
      </c>
      <c r="CT285" s="18">
        <f t="shared" si="527"/>
        <v>0.44804421956602869</v>
      </c>
      <c r="CU285" s="19">
        <f t="shared" si="528"/>
        <v>896.48679357571359</v>
      </c>
      <c r="CV285" s="15">
        <f t="shared" si="484"/>
        <v>5.2929735871514275E-6</v>
      </c>
      <c r="CW285" s="16">
        <f t="shared" si="485"/>
        <v>26.198598126120707</v>
      </c>
      <c r="CX285" s="17">
        <f t="shared" si="486"/>
        <v>1.3246690834885813E-2</v>
      </c>
      <c r="CY285" s="18">
        <f t="shared" si="529"/>
        <v>0.45294716963830972</v>
      </c>
      <c r="CZ285" s="20">
        <f t="shared" si="530"/>
        <v>767.09899109094124</v>
      </c>
      <c r="DA285" s="15">
        <f t="shared" si="487"/>
        <v>5.0341979821818831E-6</v>
      </c>
      <c r="DB285" s="16">
        <f t="shared" si="488"/>
        <v>24.710638397545821</v>
      </c>
      <c r="DC285" s="17">
        <f t="shared" si="489"/>
        <v>1.2599054798506698E-2</v>
      </c>
      <c r="DD285" s="18">
        <f t="shared" si="531"/>
        <v>0.48022154178325266</v>
      </c>
    </row>
    <row r="286" spans="2:108" x14ac:dyDescent="0.25">
      <c r="B286">
        <v>19</v>
      </c>
      <c r="C286">
        <f t="shared" si="490"/>
        <v>1.8574678660559778E-2</v>
      </c>
      <c r="D286" s="19">
        <f t="shared" si="428"/>
        <v>1019.700477293852</v>
      </c>
      <c r="E286" s="15">
        <f t="shared" si="429"/>
        <v>5.5394009545877042E-6</v>
      </c>
      <c r="F286" s="16">
        <f t="shared" si="430"/>
        <v>27.615555488879295</v>
      </c>
      <c r="G286" s="17">
        <f t="shared" si="426"/>
        <v>1.3863423016887874E-2</v>
      </c>
      <c r="H286" s="18">
        <f t="shared" si="491"/>
        <v>0.42970639770387875</v>
      </c>
      <c r="I286" s="19">
        <f t="shared" si="492"/>
        <v>1019.3849273442047</v>
      </c>
      <c r="J286" s="15">
        <f t="shared" si="431"/>
        <v>5.5387698546884103E-6</v>
      </c>
      <c r="K286" s="16">
        <f t="shared" si="432"/>
        <v>27.611926664458352</v>
      </c>
      <c r="L286" s="17">
        <f t="shared" si="433"/>
        <v>1.3861843567243128E-2</v>
      </c>
      <c r="M286" s="18">
        <f t="shared" si="493"/>
        <v>0.42976287073050862</v>
      </c>
      <c r="N286" s="19">
        <f t="shared" si="494"/>
        <v>1018.4839905185648</v>
      </c>
      <c r="O286" s="15">
        <f t="shared" si="434"/>
        <v>5.53696798103713E-6</v>
      </c>
      <c r="P286" s="16">
        <f t="shared" si="435"/>
        <v>27.601565890963492</v>
      </c>
      <c r="Q286" s="17">
        <f t="shared" si="427"/>
        <v>1.3863423016887874E-2</v>
      </c>
      <c r="R286" s="18">
        <f t="shared" si="495"/>
        <v>0.42992419040989671</v>
      </c>
      <c r="S286" s="19">
        <f t="shared" si="496"/>
        <v>1016.9839422135499</v>
      </c>
      <c r="T286" s="15">
        <f t="shared" si="436"/>
        <v>5.5339678844271001E-6</v>
      </c>
      <c r="U286" s="16">
        <f t="shared" si="437"/>
        <v>27.584315335455823</v>
      </c>
      <c r="V286" s="17">
        <f t="shared" si="438"/>
        <v>1.3849825707262812E-2</v>
      </c>
      <c r="W286" s="18">
        <f t="shared" si="497"/>
        <v>0.43019305447342571</v>
      </c>
      <c r="X286" s="19">
        <f t="shared" si="498"/>
        <v>1014.884210759315</v>
      </c>
      <c r="Y286" s="15">
        <f t="shared" si="439"/>
        <v>5.5297684215186303E-6</v>
      </c>
      <c r="Z286" s="16">
        <f t="shared" si="440"/>
        <v>27.560168423732122</v>
      </c>
      <c r="AA286" s="17">
        <f t="shared" si="441"/>
        <v>1.3839315738545774E-2</v>
      </c>
      <c r="AB286" s="18">
        <f t="shared" si="499"/>
        <v>0.43056996921323454</v>
      </c>
      <c r="AC286" s="19">
        <f t="shared" si="500"/>
        <v>1012.184461112282</v>
      </c>
      <c r="AD286" s="15">
        <f t="shared" si="442"/>
        <v>5.5243689222245642E-6</v>
      </c>
      <c r="AE286" s="16">
        <f t="shared" si="443"/>
        <v>27.529121302791239</v>
      </c>
      <c r="AF286" s="17">
        <f t="shared" si="444"/>
        <v>1.3825802446511729E-2</v>
      </c>
      <c r="AG286" s="18">
        <f t="shared" si="501"/>
        <v>0.43105556255130889</v>
      </c>
      <c r="AH286" s="19">
        <f t="shared" si="502"/>
        <v>1008.8847702256189</v>
      </c>
      <c r="AI286" s="15">
        <f t="shared" si="445"/>
        <v>5.5177695404512381E-6</v>
      </c>
      <c r="AJ286" s="16">
        <f t="shared" si="446"/>
        <v>27.491174857594615</v>
      </c>
      <c r="AK286" s="17">
        <f t="shared" si="447"/>
        <v>1.3809286216341065E-2</v>
      </c>
      <c r="AL286" s="18">
        <f t="shared" si="503"/>
        <v>0.43165055444837341</v>
      </c>
      <c r="AM286" s="19">
        <f t="shared" si="504"/>
        <v>1004.9851470346679</v>
      </c>
      <c r="AN286" s="15">
        <f t="shared" si="448"/>
        <v>5.5099702940693362E-6</v>
      </c>
      <c r="AO286" s="16">
        <f t="shared" si="449"/>
        <v>27.44632919089868</v>
      </c>
      <c r="AP286" s="17">
        <f t="shared" si="450"/>
        <v>1.3789767092758632E-2</v>
      </c>
      <c r="AQ286" s="18">
        <f t="shared" si="505"/>
        <v>0.43235584573739311</v>
      </c>
      <c r="AR286" s="19">
        <f t="shared" si="506"/>
        <v>1000.485592222585</v>
      </c>
      <c r="AS286" s="15">
        <f t="shared" si="451"/>
        <v>5.5009711844451709E-6</v>
      </c>
      <c r="AT286" s="16">
        <f t="shared" si="452"/>
        <v>27.394584310559726</v>
      </c>
      <c r="AU286" s="17">
        <f t="shared" si="453"/>
        <v>1.3767245079183893E-2</v>
      </c>
      <c r="AV286" s="18">
        <f t="shared" si="507"/>
        <v>0.4331725108580573</v>
      </c>
      <c r="AW286" s="19">
        <f t="shared" si="508"/>
        <v>995.38610584081448</v>
      </c>
      <c r="AX286" s="15">
        <f t="shared" si="454"/>
        <v>5.4907722116816295E-6</v>
      </c>
      <c r="AY286" s="16">
        <f t="shared" si="455"/>
        <v>27.335940217169366</v>
      </c>
      <c r="AZ286" s="17">
        <f t="shared" si="456"/>
        <v>1.3741720175874342E-2</v>
      </c>
      <c r="BA286" s="18">
        <f t="shared" si="509"/>
        <v>0.43410180061283005</v>
      </c>
      <c r="BB286" s="19">
        <f t="shared" si="510"/>
        <v>989.6866879010089</v>
      </c>
      <c r="BC286" s="15">
        <f t="shared" si="457"/>
        <v>5.4793733758020183E-6</v>
      </c>
      <c r="BD286" s="16">
        <f t="shared" si="458"/>
        <v>27.270396910861599</v>
      </c>
      <c r="BE286" s="17">
        <f t="shared" si="459"/>
        <v>1.3713192382888305E-2</v>
      </c>
      <c r="BF286" s="18">
        <f t="shared" si="511"/>
        <v>0.43514514689705619</v>
      </c>
      <c r="BG286" s="19">
        <f t="shared" si="512"/>
        <v>983.38733840972839</v>
      </c>
      <c r="BH286" s="15">
        <f t="shared" si="460"/>
        <v>5.4667746768194577E-6</v>
      </c>
      <c r="BI286" s="16">
        <f t="shared" si="461"/>
        <v>27.197954391711875</v>
      </c>
      <c r="BJ286" s="17">
        <f t="shared" si="462"/>
        <v>1.3681661700258621E-2</v>
      </c>
      <c r="BK286" s="18">
        <f t="shared" si="513"/>
        <v>0.43630416827723051</v>
      </c>
      <c r="BL286" s="19">
        <f t="shared" si="514"/>
        <v>976.48805737032956</v>
      </c>
      <c r="BM286" s="15">
        <f t="shared" si="463"/>
        <v>5.4529761147406597E-6</v>
      </c>
      <c r="BN286" s="16">
        <f t="shared" si="464"/>
        <v>27.118612659758789</v>
      </c>
      <c r="BO286" s="17">
        <f t="shared" si="465"/>
        <v>1.3647128128002088E-2</v>
      </c>
      <c r="BP286" s="18">
        <f t="shared" si="515"/>
        <v>0.43758067636426973</v>
      </c>
      <c r="BQ286" s="19">
        <f t="shared" si="516"/>
        <v>968.98884473071689</v>
      </c>
      <c r="BR286" s="15">
        <f t="shared" si="466"/>
        <v>5.4379776894614349E-6</v>
      </c>
      <c r="BS286" s="16">
        <f t="shared" si="467"/>
        <v>27.032371714403244</v>
      </c>
      <c r="BT286" s="17">
        <f t="shared" si="468"/>
        <v>1.3609591665857951E-2</v>
      </c>
      <c r="BU286" s="18">
        <f t="shared" si="517"/>
        <v>0.4389766830335205</v>
      </c>
      <c r="BV286" s="19">
        <f t="shared" si="518"/>
        <v>960.8896979868498</v>
      </c>
      <c r="BW286" s="15">
        <f t="shared" si="469"/>
        <v>5.4217793959737002E-6</v>
      </c>
      <c r="BX286" s="16">
        <f t="shared" si="470"/>
        <v>26.939231526848772</v>
      </c>
      <c r="BY286" s="17">
        <f t="shared" si="471"/>
        <v>1.3569052301292512E-2</v>
      </c>
      <c r="BZ286" s="18">
        <f t="shared" si="519"/>
        <v>0.44049440897715159</v>
      </c>
      <c r="CA286" s="19">
        <f t="shared" si="520"/>
        <v>952.19052473348972</v>
      </c>
      <c r="CB286" s="15">
        <f t="shared" si="472"/>
        <v>5.4043810494669799E-6</v>
      </c>
      <c r="CC286" s="16">
        <f t="shared" si="473"/>
        <v>26.839191034435132</v>
      </c>
      <c r="CD286" s="17">
        <f t="shared" si="474"/>
        <v>1.3525509571781788E-2</v>
      </c>
      <c r="CE286" s="18">
        <f t="shared" si="521"/>
        <v>0.44213630934303783</v>
      </c>
      <c r="CF286" s="19">
        <f t="shared" si="522"/>
        <v>942.88860611565644</v>
      </c>
      <c r="CG286" s="15">
        <f t="shared" si="475"/>
        <v>5.3857772122313129E-6</v>
      </c>
      <c r="CH286" s="16">
        <f t="shared" si="476"/>
        <v>26.732218970330049</v>
      </c>
      <c r="CI286" s="17">
        <f t="shared" si="477"/>
        <v>1.3478949868404155E-2</v>
      </c>
      <c r="CJ286" s="18">
        <f t="shared" si="523"/>
        <v>0.44390556889005567</v>
      </c>
      <c r="CK286" s="19">
        <f t="shared" si="524"/>
        <v>932.921672550876</v>
      </c>
      <c r="CL286" s="15">
        <f t="shared" si="478"/>
        <v>5.3658433451017519E-6</v>
      </c>
      <c r="CM286" s="16">
        <f t="shared" si="479"/>
        <v>26.617599234335074</v>
      </c>
      <c r="CN286" s="17">
        <f t="shared" si="480"/>
        <v>1.3429061507795294E-2</v>
      </c>
      <c r="CO286" s="18">
        <f t="shared" si="525"/>
        <v>0.44581709887684895</v>
      </c>
      <c r="CP286" s="19">
        <f t="shared" si="526"/>
        <v>921.22299919181023</v>
      </c>
      <c r="CQ286" s="15">
        <f t="shared" si="481"/>
        <v>5.3424459983836213E-6</v>
      </c>
      <c r="CR286" s="16">
        <f t="shared" si="482"/>
        <v>26.483064490705814</v>
      </c>
      <c r="CS286" s="17">
        <f t="shared" si="483"/>
        <v>1.337050511917396E-2</v>
      </c>
      <c r="CT286" s="18">
        <f t="shared" si="527"/>
        <v>0.44808186280263956</v>
      </c>
      <c r="CU286" s="19">
        <f t="shared" si="528"/>
        <v>895.03583835051506</v>
      </c>
      <c r="CV286" s="15">
        <f t="shared" si="484"/>
        <v>5.2900716767010304E-6</v>
      </c>
      <c r="CW286" s="16">
        <f t="shared" si="485"/>
        <v>26.181912141030921</v>
      </c>
      <c r="CX286" s="17">
        <f t="shared" si="486"/>
        <v>1.3239428242330988E-2</v>
      </c>
      <c r="CY286" s="18">
        <f t="shared" si="529"/>
        <v>0.45323583723746497</v>
      </c>
      <c r="CZ286" s="20">
        <f t="shared" si="530"/>
        <v>761.8416297950597</v>
      </c>
      <c r="DA286" s="15">
        <f t="shared" si="487"/>
        <v>5.0236832595901196E-6</v>
      </c>
      <c r="DB286" s="16">
        <f t="shared" si="488"/>
        <v>24.650178742643185</v>
      </c>
      <c r="DC286" s="17">
        <f t="shared" si="489"/>
        <v>1.2572739670139953E-2</v>
      </c>
      <c r="DD286" s="18">
        <f t="shared" si="531"/>
        <v>0.48139938430505153</v>
      </c>
    </row>
    <row r="287" spans="2:108" x14ac:dyDescent="0.25">
      <c r="B287">
        <v>20</v>
      </c>
      <c r="C287">
        <f t="shared" si="490"/>
        <v>1.9552293326905029E-2</v>
      </c>
      <c r="D287" s="19">
        <f t="shared" si="428"/>
        <v>1019.6843669074756</v>
      </c>
      <c r="E287" s="15">
        <f t="shared" si="429"/>
        <v>5.5393687338149522E-6</v>
      </c>
      <c r="F287" s="16">
        <f t="shared" si="430"/>
        <v>27.615370219435967</v>
      </c>
      <c r="G287" s="17">
        <f t="shared" si="426"/>
        <v>1.3863342378167866E-2</v>
      </c>
      <c r="H287" s="18">
        <f t="shared" si="491"/>
        <v>0.42970928057180574</v>
      </c>
      <c r="I287" s="19">
        <f t="shared" si="492"/>
        <v>1019.368379639187</v>
      </c>
      <c r="J287" s="15">
        <f t="shared" si="431"/>
        <v>5.5387367592783749E-6</v>
      </c>
      <c r="K287" s="16">
        <f t="shared" si="432"/>
        <v>27.61173636585065</v>
      </c>
      <c r="L287" s="17">
        <f t="shared" si="433"/>
        <v>1.3861760739574035E-2</v>
      </c>
      <c r="M287" s="18">
        <f t="shared" si="493"/>
        <v>0.42976583263318863</v>
      </c>
      <c r="N287" s="19">
        <f t="shared" si="494"/>
        <v>1018.4673653082262</v>
      </c>
      <c r="O287" s="15">
        <f t="shared" si="434"/>
        <v>5.5369347306164527E-6</v>
      </c>
      <c r="P287" s="16">
        <f t="shared" si="435"/>
        <v>27.601374701044602</v>
      </c>
      <c r="Q287" s="17">
        <f t="shared" si="427"/>
        <v>1.3863342378167866E-2</v>
      </c>
      <c r="R287" s="18">
        <f t="shared" si="495"/>
        <v>0.42992716841994089</v>
      </c>
      <c r="S287" s="19">
        <f t="shared" si="496"/>
        <v>1016.9673111041858</v>
      </c>
      <c r="T287" s="15">
        <f t="shared" si="436"/>
        <v>5.5339346222083727E-6</v>
      </c>
      <c r="U287" s="16">
        <f t="shared" si="437"/>
        <v>27.584124077698135</v>
      </c>
      <c r="V287" s="17">
        <f t="shared" si="438"/>
        <v>1.3849742462122684E-2</v>
      </c>
      <c r="W287" s="18">
        <f t="shared" si="497"/>
        <v>0.43019603726739586</v>
      </c>
      <c r="X287" s="19">
        <f t="shared" si="498"/>
        <v>1014.8675917147216</v>
      </c>
      <c r="Y287" s="15">
        <f t="shared" si="439"/>
        <v>5.5297351834294432E-6</v>
      </c>
      <c r="Z287" s="16">
        <f t="shared" si="440"/>
        <v>27.559977304719297</v>
      </c>
      <c r="AA287" s="17">
        <f t="shared" si="441"/>
        <v>1.3839232553794491E-2</v>
      </c>
      <c r="AB287" s="18">
        <f t="shared" si="499"/>
        <v>0.4305729550686494</v>
      </c>
      <c r="AC287" s="19">
        <f t="shared" si="500"/>
        <v>1012.1678556206742</v>
      </c>
      <c r="AD287" s="15">
        <f t="shared" si="442"/>
        <v>5.5243357112413487E-6</v>
      </c>
      <c r="AE287" s="16">
        <f t="shared" si="443"/>
        <v>27.528930339637753</v>
      </c>
      <c r="AF287" s="17">
        <f t="shared" si="444"/>
        <v>1.3825719329598384E-2</v>
      </c>
      <c r="AG287" s="18">
        <f t="shared" si="501"/>
        <v>0.4310585527048868</v>
      </c>
      <c r="AH287" s="19">
        <f t="shared" si="502"/>
        <v>1008.8681810886462</v>
      </c>
      <c r="AI287" s="15">
        <f t="shared" si="445"/>
        <v>5.5177363621772934E-6</v>
      </c>
      <c r="AJ287" s="16">
        <f t="shared" si="446"/>
        <v>27.490984082519432</v>
      </c>
      <c r="AK287" s="17">
        <f t="shared" si="447"/>
        <v>1.3809203181289002E-2</v>
      </c>
      <c r="AL287" s="18">
        <f t="shared" si="503"/>
        <v>0.43165354990923904</v>
      </c>
      <c r="AM287" s="19">
        <f t="shared" si="504"/>
        <v>1004.9685777459025</v>
      </c>
      <c r="AN287" s="15">
        <f t="shared" si="448"/>
        <v>5.5099371554918049E-6</v>
      </c>
      <c r="AO287" s="16">
        <f t="shared" si="449"/>
        <v>27.446138644077877</v>
      </c>
      <c r="AP287" s="17">
        <f t="shared" si="450"/>
        <v>1.3789684157054527E-2</v>
      </c>
      <c r="AQ287" s="18">
        <f t="shared" si="505"/>
        <v>0.43235884739940933</v>
      </c>
      <c r="AR287" s="19">
        <f t="shared" si="506"/>
        <v>1000.469046371581</v>
      </c>
      <c r="AS287" s="15">
        <f t="shared" si="451"/>
        <v>5.5009380927431628E-6</v>
      </c>
      <c r="AT287" s="16">
        <f t="shared" si="452"/>
        <v>27.39439403327318</v>
      </c>
      <c r="AU287" s="17">
        <f t="shared" si="453"/>
        <v>1.3767162260794856E-2</v>
      </c>
      <c r="AV287" s="18">
        <f t="shared" si="507"/>
        <v>0.43317551960831008</v>
      </c>
      <c r="AW287" s="19">
        <f t="shared" si="508"/>
        <v>995.36958702637446</v>
      </c>
      <c r="AX287" s="15">
        <f t="shared" si="454"/>
        <v>5.4907391740527496E-6</v>
      </c>
      <c r="AY287" s="16">
        <f t="shared" si="455"/>
        <v>27.335750250803308</v>
      </c>
      <c r="AZ287" s="17">
        <f t="shared" si="456"/>
        <v>1.3741637492813773E-2</v>
      </c>
      <c r="BA287" s="18">
        <f t="shared" si="509"/>
        <v>0.43410481734881884</v>
      </c>
      <c r="BB287" s="19">
        <f t="shared" si="510"/>
        <v>989.67019972348805</v>
      </c>
      <c r="BC287" s="15">
        <f t="shared" si="457"/>
        <v>5.4793403994469758E-6</v>
      </c>
      <c r="BD287" s="16">
        <f t="shared" si="458"/>
        <v>27.270207296820111</v>
      </c>
      <c r="BE287" s="17">
        <f t="shared" si="459"/>
        <v>1.3713109853177375E-2</v>
      </c>
      <c r="BF287" s="18">
        <f t="shared" si="511"/>
        <v>0.43514817252971971</v>
      </c>
      <c r="BG287" s="19">
        <f t="shared" si="512"/>
        <v>983.37088447021472</v>
      </c>
      <c r="BH287" s="15">
        <f t="shared" si="460"/>
        <v>5.4667417689404298E-6</v>
      </c>
      <c r="BI287" s="16">
        <f t="shared" si="461"/>
        <v>27.197765171407468</v>
      </c>
      <c r="BJ287" s="17">
        <f t="shared" si="462"/>
        <v>1.368157934192217E-2</v>
      </c>
      <c r="BK287" s="18">
        <f t="shared" si="513"/>
        <v>0.43630720373279147</v>
      </c>
      <c r="BL287" s="19">
        <f t="shared" si="514"/>
        <v>976.47164126963844</v>
      </c>
      <c r="BM287" s="15">
        <f t="shared" si="463"/>
        <v>5.4529432825392771E-6</v>
      </c>
      <c r="BN287" s="16">
        <f t="shared" si="464"/>
        <v>27.118423874600843</v>
      </c>
      <c r="BO287" s="17">
        <f t="shared" si="465"/>
        <v>1.3647045959063591E-2</v>
      </c>
      <c r="BP287" s="18">
        <f t="shared" si="515"/>
        <v>0.4375837225861845</v>
      </c>
      <c r="BQ287" s="19">
        <f t="shared" si="516"/>
        <v>968.97247003598557</v>
      </c>
      <c r="BR287" s="15">
        <f t="shared" si="466"/>
        <v>5.4379449400719716E-6</v>
      </c>
      <c r="BS287" s="16">
        <f t="shared" si="467"/>
        <v>27.032183405413832</v>
      </c>
      <c r="BT287" s="17">
        <f t="shared" si="468"/>
        <v>1.360950970417231E-2</v>
      </c>
      <c r="BU287" s="18">
        <f t="shared" si="517"/>
        <v>0.43897974099056075</v>
      </c>
      <c r="BV287" s="19">
        <f t="shared" si="518"/>
        <v>960.8733670309955</v>
      </c>
      <c r="BW287" s="15">
        <f t="shared" si="469"/>
        <v>5.4217467340619914E-6</v>
      </c>
      <c r="BX287" s="16">
        <f t="shared" si="470"/>
        <v>26.939043720856446</v>
      </c>
      <c r="BY287" s="17">
        <f t="shared" si="471"/>
        <v>1.3568970558536883E-2</v>
      </c>
      <c r="BZ287" s="18">
        <f t="shared" si="519"/>
        <v>0.44049747989126603</v>
      </c>
      <c r="CA287" s="19">
        <f t="shared" si="520"/>
        <v>952.17420422319753</v>
      </c>
      <c r="CB287" s="15">
        <f t="shared" si="472"/>
        <v>5.4043484084463952E-6</v>
      </c>
      <c r="CC287" s="16">
        <f t="shared" si="473"/>
        <v>26.83900334856677</v>
      </c>
      <c r="CD287" s="17">
        <f t="shared" si="474"/>
        <v>1.3525427881310243E-2</v>
      </c>
      <c r="CE287" s="18">
        <f t="shared" si="521"/>
        <v>0.44213940121407624</v>
      </c>
      <c r="CF287" s="19">
        <f t="shared" si="522"/>
        <v>942.87146714549681</v>
      </c>
      <c r="CG287" s="15">
        <f t="shared" si="475"/>
        <v>5.385742934290994E-6</v>
      </c>
      <c r="CH287" s="16">
        <f t="shared" si="476"/>
        <v>26.732021872173213</v>
      </c>
      <c r="CI287" s="17">
        <f t="shared" si="477"/>
        <v>1.3478864081224156E-2</v>
      </c>
      <c r="CJ287" s="18">
        <f t="shared" si="523"/>
        <v>0.44390884185496104</v>
      </c>
      <c r="CK287" s="19">
        <f t="shared" si="524"/>
        <v>932.88974161347755</v>
      </c>
      <c r="CL287" s="15">
        <f t="shared" si="478"/>
        <v>5.3657794832269554E-6</v>
      </c>
      <c r="CM287" s="16">
        <f t="shared" si="479"/>
        <v>26.617232028554991</v>
      </c>
      <c r="CN287" s="17">
        <f t="shared" si="480"/>
        <v>1.3428901681093414E-2</v>
      </c>
      <c r="CO287" s="18">
        <f t="shared" si="525"/>
        <v>0.4458232492765371</v>
      </c>
      <c r="CP287" s="19">
        <f t="shared" si="526"/>
        <v>921.01430235283192</v>
      </c>
      <c r="CQ287" s="15">
        <f t="shared" si="481"/>
        <v>5.3420286047056647E-6</v>
      </c>
      <c r="CR287" s="16">
        <f t="shared" si="482"/>
        <v>26.480664477057566</v>
      </c>
      <c r="CS287" s="17">
        <f t="shared" si="483"/>
        <v>1.3369460510710061E-2</v>
      </c>
      <c r="CT287" s="18">
        <f t="shared" si="527"/>
        <v>0.44812247366371483</v>
      </c>
      <c r="CU287" s="19">
        <f t="shared" si="528"/>
        <v>893.54913703793579</v>
      </c>
      <c r="CV287" s="15">
        <f t="shared" si="484"/>
        <v>5.2870982740758722E-6</v>
      </c>
      <c r="CW287" s="16">
        <f t="shared" si="485"/>
        <v>26.164815075936261</v>
      </c>
      <c r="CX287" s="17">
        <f t="shared" si="486"/>
        <v>1.3231986726771811E-2</v>
      </c>
      <c r="CY287" s="18">
        <f t="shared" si="529"/>
        <v>0.45353199842148223</v>
      </c>
      <c r="CZ287" s="20">
        <f t="shared" si="530"/>
        <v>756.74380798143318</v>
      </c>
      <c r="DA287" s="15">
        <f t="shared" si="487"/>
        <v>5.0134876159628664E-6</v>
      </c>
      <c r="DB287" s="16">
        <f t="shared" si="488"/>
        <v>24.591553791786481</v>
      </c>
      <c r="DC287" s="17">
        <f t="shared" si="489"/>
        <v>1.2547223098638304E-2</v>
      </c>
      <c r="DD287" s="18">
        <f t="shared" si="531"/>
        <v>0.48254701472671108</v>
      </c>
    </row>
    <row r="288" spans="2:108" x14ac:dyDescent="0.25">
      <c r="B288">
        <v>21</v>
      </c>
      <c r="C288">
        <f t="shared" si="490"/>
        <v>2.0529907993250281E-2</v>
      </c>
      <c r="D288" s="19">
        <f t="shared" si="428"/>
        <v>1019.6682341938185</v>
      </c>
      <c r="E288" s="15">
        <f t="shared" si="429"/>
        <v>5.5393364683876372E-6</v>
      </c>
      <c r="F288" s="16">
        <f t="shared" si="430"/>
        <v>27.615184693228912</v>
      </c>
      <c r="G288" s="17">
        <f t="shared" si="426"/>
        <v>1.3863261627691172E-2</v>
      </c>
      <c r="H288" s="18">
        <f t="shared" si="491"/>
        <v>0.42971216747384339</v>
      </c>
      <c r="I288" s="19">
        <f t="shared" si="492"/>
        <v>1019.351833450172</v>
      </c>
      <c r="J288" s="15">
        <f t="shared" si="431"/>
        <v>5.5387036669003447E-6</v>
      </c>
      <c r="K288" s="16">
        <f t="shared" si="432"/>
        <v>27.611546084676977</v>
      </c>
      <c r="L288" s="17">
        <f t="shared" si="433"/>
        <v>1.3861677919493122E-2</v>
      </c>
      <c r="M288" s="18">
        <f t="shared" si="493"/>
        <v>0.42976879430533793</v>
      </c>
      <c r="N288" s="19">
        <f t="shared" si="494"/>
        <v>1018.4507409007709</v>
      </c>
      <c r="O288" s="15">
        <f t="shared" si="434"/>
        <v>5.5369014818015431E-6</v>
      </c>
      <c r="P288" s="16">
        <f t="shared" si="435"/>
        <v>27.601183520358866</v>
      </c>
      <c r="Q288" s="17">
        <f t="shared" si="427"/>
        <v>1.3863261627691172E-2</v>
      </c>
      <c r="R288" s="18">
        <f t="shared" si="495"/>
        <v>0.42993014632742138</v>
      </c>
      <c r="S288" s="19">
        <f t="shared" si="496"/>
        <v>1016.9506803549767</v>
      </c>
      <c r="T288" s="15">
        <f t="shared" si="436"/>
        <v>5.5339013607099546E-6</v>
      </c>
      <c r="U288" s="16">
        <f t="shared" si="437"/>
        <v>27.583932824082233</v>
      </c>
      <c r="V288" s="17">
        <f t="shared" si="438"/>
        <v>1.3849659218785266E-2</v>
      </c>
      <c r="W288" s="18">
        <f t="shared" si="497"/>
        <v>0.43019902003813415</v>
      </c>
      <c r="X288" s="19">
        <f t="shared" si="498"/>
        <v>1014.8509728349773</v>
      </c>
      <c r="Y288" s="15">
        <f t="shared" si="439"/>
        <v>5.5297019456699551E-6</v>
      </c>
      <c r="Z288" s="16">
        <f t="shared" si="440"/>
        <v>27.559786187602235</v>
      </c>
      <c r="AA288" s="17">
        <f t="shared" si="441"/>
        <v>1.3839149369868341E-2</v>
      </c>
      <c r="AB288" s="18">
        <f t="shared" si="499"/>
        <v>0.4305759409358581</v>
      </c>
      <c r="AC288" s="19">
        <f t="shared" si="500"/>
        <v>1012.1512503090397</v>
      </c>
      <c r="AD288" s="15">
        <f t="shared" si="442"/>
        <v>5.5243025006180799E-6</v>
      </c>
      <c r="AE288" s="16">
        <f t="shared" si="443"/>
        <v>27.528739378553958</v>
      </c>
      <c r="AF288" s="17">
        <f t="shared" si="444"/>
        <v>1.3825636213585875E-2</v>
      </c>
      <c r="AG288" s="18">
        <f t="shared" si="501"/>
        <v>0.43106154286754089</v>
      </c>
      <c r="AH288" s="19">
        <f t="shared" si="502"/>
        <v>1008.8515921414138</v>
      </c>
      <c r="AI288" s="15">
        <f t="shared" si="445"/>
        <v>5.5177031842828279E-6</v>
      </c>
      <c r="AJ288" s="16">
        <f t="shared" si="446"/>
        <v>27.490793309626255</v>
      </c>
      <c r="AK288" s="17">
        <f t="shared" si="447"/>
        <v>1.3809120147186658E-2</v>
      </c>
      <c r="AL288" s="18">
        <f t="shared" si="503"/>
        <v>0.43165654537741777</v>
      </c>
      <c r="AM288" s="19">
        <f t="shared" si="504"/>
        <v>1004.9520086490319</v>
      </c>
      <c r="AN288" s="15">
        <f t="shared" si="448"/>
        <v>5.5099040172980641E-6</v>
      </c>
      <c r="AO288" s="16">
        <f t="shared" si="449"/>
        <v>27.445948099463866</v>
      </c>
      <c r="AP288" s="17">
        <f t="shared" si="450"/>
        <v>1.378960122231093E-2</v>
      </c>
      <c r="AQ288" s="18">
        <f t="shared" si="505"/>
        <v>0.43236184906834035</v>
      </c>
      <c r="AR288" s="19">
        <f t="shared" si="506"/>
        <v>1000.4525007132155</v>
      </c>
      <c r="AS288" s="15">
        <f t="shared" si="451"/>
        <v>5.5009050014264319E-6</v>
      </c>
      <c r="AT288" s="16">
        <f t="shared" si="452"/>
        <v>27.394203758201975</v>
      </c>
      <c r="AU288" s="17">
        <f t="shared" si="453"/>
        <v>1.3767079443370051E-2</v>
      </c>
      <c r="AV288" s="18">
        <f t="shared" si="507"/>
        <v>0.43317852836532905</v>
      </c>
      <c r="AW288" s="19">
        <f t="shared" si="508"/>
        <v>995.35306840498185</v>
      </c>
      <c r="AX288" s="15">
        <f t="shared" si="454"/>
        <v>5.4907061368099643E-6</v>
      </c>
      <c r="AY288" s="16">
        <f t="shared" si="455"/>
        <v>27.335560286657291</v>
      </c>
      <c r="AZ288" s="17">
        <f t="shared" si="456"/>
        <v>1.3741554810719482E-2</v>
      </c>
      <c r="BA288" s="18">
        <f t="shared" si="509"/>
        <v>0.43410783409148096</v>
      </c>
      <c r="BB288" s="19">
        <f t="shared" si="510"/>
        <v>989.6537117392337</v>
      </c>
      <c r="BC288" s="15">
        <f t="shared" si="457"/>
        <v>5.4793074234784674E-6</v>
      </c>
      <c r="BD288" s="16">
        <f t="shared" si="458"/>
        <v>27.270017685001186</v>
      </c>
      <c r="BE288" s="17">
        <f t="shared" si="459"/>
        <v>1.3713027324433821E-2</v>
      </c>
      <c r="BF288" s="18">
        <f t="shared" si="511"/>
        <v>0.43515119816899311</v>
      </c>
      <c r="BG288" s="19">
        <f t="shared" si="512"/>
        <v>983.35443072402973</v>
      </c>
      <c r="BH288" s="15">
        <f t="shared" si="460"/>
        <v>5.4667088614480605E-6</v>
      </c>
      <c r="BI288" s="16">
        <f t="shared" si="461"/>
        <v>27.197575953326343</v>
      </c>
      <c r="BJ288" s="17">
        <f t="shared" si="462"/>
        <v>1.3681496984553409E-2</v>
      </c>
      <c r="BK288" s="18">
        <f t="shared" si="513"/>
        <v>0.43631023919492284</v>
      </c>
      <c r="BL288" s="19">
        <f t="shared" si="514"/>
        <v>976.4552253617436</v>
      </c>
      <c r="BM288" s="15">
        <f t="shared" si="463"/>
        <v>5.4529104507234876E-6</v>
      </c>
      <c r="BN288" s="16">
        <f t="shared" si="464"/>
        <v>27.118235091660051</v>
      </c>
      <c r="BO288" s="17">
        <f t="shared" si="465"/>
        <v>1.3646963791090117E-2</v>
      </c>
      <c r="BP288" s="18">
        <f t="shared" si="515"/>
        <v>0.43758676881473568</v>
      </c>
      <c r="BQ288" s="19">
        <f t="shared" si="516"/>
        <v>968.95609551637358</v>
      </c>
      <c r="BR288" s="15">
        <f t="shared" si="466"/>
        <v>5.4379121910327479E-6</v>
      </c>
      <c r="BS288" s="16">
        <f t="shared" si="467"/>
        <v>27.031995098438294</v>
      </c>
      <c r="BT288" s="17">
        <f t="shared" si="468"/>
        <v>1.3609427743363213E-2</v>
      </c>
      <c r="BU288" s="18">
        <f t="shared" si="517"/>
        <v>0.43898279895750131</v>
      </c>
      <c r="BV288" s="19">
        <f t="shared" si="518"/>
        <v>960.85703574672493</v>
      </c>
      <c r="BW288" s="15">
        <f t="shared" si="469"/>
        <v>5.4217140714934501E-6</v>
      </c>
      <c r="BX288" s="16">
        <f t="shared" si="470"/>
        <v>26.938855911087337</v>
      </c>
      <c r="BY288" s="17">
        <f t="shared" si="471"/>
        <v>1.3568888814137404E-2</v>
      </c>
      <c r="BZ288" s="18">
        <f t="shared" si="519"/>
        <v>0.44050055090995605</v>
      </c>
      <c r="CA288" s="19">
        <f t="shared" si="520"/>
        <v>952.15787219843855</v>
      </c>
      <c r="CB288" s="15">
        <f t="shared" si="472"/>
        <v>5.4043157443968769E-6</v>
      </c>
      <c r="CC288" s="16">
        <f t="shared" si="473"/>
        <v>26.838815530282041</v>
      </c>
      <c r="CD288" s="17">
        <f t="shared" si="474"/>
        <v>1.3525346133204332E-2</v>
      </c>
      <c r="CE288" s="18">
        <f t="shared" si="521"/>
        <v>0.4421424953097845</v>
      </c>
      <c r="CF288" s="19">
        <f t="shared" si="522"/>
        <v>942.85413268438833</v>
      </c>
      <c r="CG288" s="15">
        <f t="shared" si="475"/>
        <v>5.3857082653687767E-6</v>
      </c>
      <c r="CH288" s="16">
        <f t="shared" si="476"/>
        <v>26.731822525870463</v>
      </c>
      <c r="CI288" s="17">
        <f t="shared" si="477"/>
        <v>1.3478777315536278E-2</v>
      </c>
      <c r="CJ288" s="18">
        <f t="shared" si="523"/>
        <v>0.4439121522011335</v>
      </c>
      <c r="CK288" s="19">
        <f t="shared" si="524"/>
        <v>932.8555517308597</v>
      </c>
      <c r="CL288" s="15">
        <f t="shared" si="478"/>
        <v>5.3657111034617196E-6</v>
      </c>
      <c r="CM288" s="16">
        <f t="shared" si="479"/>
        <v>26.616838844904883</v>
      </c>
      <c r="CN288" s="17">
        <f t="shared" si="480"/>
        <v>1.3428730547496293E-2</v>
      </c>
      <c r="CO288" s="18">
        <f t="shared" si="525"/>
        <v>0.44582983497266254</v>
      </c>
      <c r="CP288" s="19">
        <f t="shared" si="526"/>
        <v>920.79027727849507</v>
      </c>
      <c r="CQ288" s="15">
        <f t="shared" si="481"/>
        <v>5.3415805545569904E-6</v>
      </c>
      <c r="CR288" s="16">
        <f t="shared" si="482"/>
        <v>26.478088188702692</v>
      </c>
      <c r="CS288" s="17">
        <f t="shared" si="483"/>
        <v>1.3368339178494759E-2</v>
      </c>
      <c r="CT288" s="18">
        <f t="shared" si="527"/>
        <v>0.44816607547900567</v>
      </c>
      <c r="CU288" s="19">
        <f t="shared" si="528"/>
        <v>892.02965054621177</v>
      </c>
      <c r="CV288" s="15">
        <f t="shared" si="484"/>
        <v>5.2840593010924236E-6</v>
      </c>
      <c r="CW288" s="16">
        <f t="shared" si="485"/>
        <v>26.147340981281435</v>
      </c>
      <c r="CX288" s="17">
        <f t="shared" si="486"/>
        <v>1.3224381108700139E-2</v>
      </c>
      <c r="CY288" s="18">
        <f t="shared" si="529"/>
        <v>0.45383509084969825</v>
      </c>
      <c r="CZ288" s="20">
        <f t="shared" si="530"/>
        <v>751.7983281503324</v>
      </c>
      <c r="DA288" s="15">
        <f t="shared" si="487"/>
        <v>5.0035966563006658E-6</v>
      </c>
      <c r="DB288" s="16">
        <f t="shared" si="488"/>
        <v>24.534680773728823</v>
      </c>
      <c r="DC288" s="17">
        <f t="shared" si="489"/>
        <v>1.2522469057729512E-2</v>
      </c>
      <c r="DD288" s="18">
        <f t="shared" si="531"/>
        <v>0.48366559072675452</v>
      </c>
    </row>
    <row r="289" spans="2:108" x14ac:dyDescent="0.25">
      <c r="B289">
        <v>22</v>
      </c>
      <c r="C289">
        <f t="shared" si="490"/>
        <v>2.1507522659595532E-2</v>
      </c>
      <c r="D289" s="19">
        <f t="shared" si="428"/>
        <v>1019.6520803701984</v>
      </c>
      <c r="E289" s="15">
        <f t="shared" si="429"/>
        <v>5.5393041607403969E-6</v>
      </c>
      <c r="F289" s="16">
        <f t="shared" si="430"/>
        <v>27.614998924257279</v>
      </c>
      <c r="G289" s="17">
        <f t="shared" si="426"/>
        <v>1.386318077155094E-2</v>
      </c>
      <c r="H289" s="18">
        <f t="shared" si="491"/>
        <v>0.42971505819231376</v>
      </c>
      <c r="I289" s="19">
        <f t="shared" si="492"/>
        <v>1019.3352885971683</v>
      </c>
      <c r="J289" s="15">
        <f t="shared" si="431"/>
        <v>5.5386705771943368E-6</v>
      </c>
      <c r="K289" s="16">
        <f t="shared" si="432"/>
        <v>27.611355818867434</v>
      </c>
      <c r="L289" s="17">
        <f t="shared" si="433"/>
        <v>1.3861595106099463E-2</v>
      </c>
      <c r="M289" s="18">
        <f t="shared" si="493"/>
        <v>0.42977175577916416</v>
      </c>
      <c r="N289" s="19">
        <f t="shared" si="494"/>
        <v>1018.434117295925</v>
      </c>
      <c r="O289" s="15">
        <f t="shared" si="434"/>
        <v>5.5368682345918508E-6</v>
      </c>
      <c r="P289" s="16">
        <f t="shared" si="435"/>
        <v>27.600992348903137</v>
      </c>
      <c r="Q289" s="17">
        <f t="shared" si="427"/>
        <v>1.386318077155094E-2</v>
      </c>
      <c r="R289" s="18">
        <f t="shared" si="495"/>
        <v>0.42993312413238199</v>
      </c>
      <c r="S289" s="19">
        <f t="shared" si="496"/>
        <v>1016.9340499680022</v>
      </c>
      <c r="T289" s="15">
        <f t="shared" si="436"/>
        <v>5.5338680999360054E-6</v>
      </c>
      <c r="U289" s="16">
        <f t="shared" si="437"/>
        <v>27.583741574632025</v>
      </c>
      <c r="V289" s="17">
        <f t="shared" si="438"/>
        <v>1.3849575977260975E-2</v>
      </c>
      <c r="W289" s="18">
        <f t="shared" si="497"/>
        <v>0.43020200278526577</v>
      </c>
      <c r="X289" s="19">
        <f t="shared" si="498"/>
        <v>1014.8343541226815</v>
      </c>
      <c r="Y289" s="15">
        <f t="shared" si="439"/>
        <v>5.5296687082453636E-6</v>
      </c>
      <c r="Z289" s="16">
        <f t="shared" si="440"/>
        <v>27.559595072410836</v>
      </c>
      <c r="AA289" s="17">
        <f t="shared" si="441"/>
        <v>1.3839066186780337E-2</v>
      </c>
      <c r="AB289" s="18">
        <f t="shared" si="499"/>
        <v>0.43057892681439325</v>
      </c>
      <c r="AC289" s="19">
        <f t="shared" si="500"/>
        <v>1012.1346451773368</v>
      </c>
      <c r="AD289" s="15">
        <f t="shared" si="442"/>
        <v>5.5242692903546738E-6</v>
      </c>
      <c r="AE289" s="16">
        <f t="shared" si="443"/>
        <v>27.528548419539373</v>
      </c>
      <c r="AF289" s="17">
        <f t="shared" si="444"/>
        <v>1.3825553098473994E-2</v>
      </c>
      <c r="AG289" s="18">
        <f t="shared" si="501"/>
        <v>0.43106453303927816</v>
      </c>
      <c r="AH289" s="19">
        <f t="shared" si="502"/>
        <v>1008.8350033838279</v>
      </c>
      <c r="AI289" s="15">
        <f t="shared" si="445"/>
        <v>5.517670006767657E-6</v>
      </c>
      <c r="AJ289" s="16">
        <f t="shared" si="446"/>
        <v>27.490602538914018</v>
      </c>
      <c r="AK289" s="17">
        <f t="shared" si="447"/>
        <v>1.3809037114033572E-2</v>
      </c>
      <c r="AL289" s="18">
        <f t="shared" si="503"/>
        <v>0.43165954085292568</v>
      </c>
      <c r="AM289" s="19">
        <f t="shared" si="504"/>
        <v>1004.9354397440371</v>
      </c>
      <c r="AN289" s="15">
        <f t="shared" si="448"/>
        <v>5.5098708794880751E-6</v>
      </c>
      <c r="AO289" s="16">
        <f t="shared" si="449"/>
        <v>27.445757557056425</v>
      </c>
      <c r="AP289" s="17">
        <f t="shared" si="450"/>
        <v>1.3789518288527747E-2</v>
      </c>
      <c r="AQ289" s="18">
        <f t="shared" si="505"/>
        <v>0.43236485074418901</v>
      </c>
      <c r="AR289" s="19">
        <f t="shared" si="506"/>
        <v>1000.4359552474824</v>
      </c>
      <c r="AS289" s="15">
        <f t="shared" si="451"/>
        <v>5.5008719104949655E-6</v>
      </c>
      <c r="AT289" s="16">
        <f t="shared" si="452"/>
        <v>27.394013485346047</v>
      </c>
      <c r="AU289" s="17">
        <f t="shared" si="453"/>
        <v>1.3766996626909443E-2</v>
      </c>
      <c r="AV289" s="18">
        <f t="shared" si="507"/>
        <v>0.43318153712911472</v>
      </c>
      <c r="AW289" s="19">
        <f t="shared" si="508"/>
        <v>995.33654997663223</v>
      </c>
      <c r="AX289" s="15">
        <f t="shared" si="454"/>
        <v>5.490673099953265E-6</v>
      </c>
      <c r="AY289" s="16">
        <f t="shared" si="455"/>
        <v>27.335370324731272</v>
      </c>
      <c r="AZ289" s="17">
        <f t="shared" si="456"/>
        <v>1.3741472129591445E-2</v>
      </c>
      <c r="BA289" s="18">
        <f t="shared" si="509"/>
        <v>0.43411085084081646</v>
      </c>
      <c r="BB289" s="19">
        <f t="shared" si="510"/>
        <v>989.63722394824151</v>
      </c>
      <c r="BC289" s="15">
        <f t="shared" si="457"/>
        <v>5.4792744478964831E-6</v>
      </c>
      <c r="BD289" s="16">
        <f t="shared" si="458"/>
        <v>27.269828075404774</v>
      </c>
      <c r="BE289" s="17">
        <f t="shared" si="459"/>
        <v>1.3712944796657618E-2</v>
      </c>
      <c r="BF289" s="18">
        <f t="shared" si="511"/>
        <v>0.43515422381487673</v>
      </c>
      <c r="BG289" s="19">
        <f t="shared" si="512"/>
        <v>983.33797717116261</v>
      </c>
      <c r="BH289" s="15">
        <f t="shared" si="460"/>
        <v>5.4666759543423262E-6</v>
      </c>
      <c r="BI289" s="16">
        <f t="shared" si="461"/>
        <v>27.197386737468371</v>
      </c>
      <c r="BJ289" s="17">
        <f t="shared" si="462"/>
        <v>1.3681414628152274E-2</v>
      </c>
      <c r="BK289" s="18">
        <f t="shared" si="513"/>
        <v>0.43631327466362607</v>
      </c>
      <c r="BL289" s="19">
        <f t="shared" si="514"/>
        <v>976.43880964639777</v>
      </c>
      <c r="BM289" s="15">
        <f t="shared" si="463"/>
        <v>5.4528776192927957E-6</v>
      </c>
      <c r="BN289" s="16">
        <f t="shared" si="464"/>
        <v>27.118046310933572</v>
      </c>
      <c r="BO289" s="17">
        <f t="shared" si="465"/>
        <v>1.3646881624080422E-2</v>
      </c>
      <c r="BP289" s="18">
        <f t="shared" si="515"/>
        <v>0.43758981504996836</v>
      </c>
      <c r="BQ289" s="19">
        <f t="shared" si="516"/>
        <v>968.93972116497469</v>
      </c>
      <c r="BR289" s="15">
        <f t="shared" si="466"/>
        <v>5.4378794423299505E-6</v>
      </c>
      <c r="BS289" s="16">
        <f t="shared" si="467"/>
        <v>27.031806793397209</v>
      </c>
      <c r="BT289" s="17">
        <f t="shared" si="468"/>
        <v>1.3609345783396088E-2</v>
      </c>
      <c r="BU289" s="18">
        <f t="shared" si="517"/>
        <v>0.43898585693563147</v>
      </c>
      <c r="BV289" s="19">
        <f t="shared" si="518"/>
        <v>960.84070398297843</v>
      </c>
      <c r="BW289" s="15">
        <f t="shared" si="469"/>
        <v>5.4216814079659573E-6</v>
      </c>
      <c r="BX289" s="16">
        <f t="shared" si="470"/>
        <v>26.938668095804253</v>
      </c>
      <c r="BY289" s="17">
        <f t="shared" si="471"/>
        <v>1.3568807067337964E-2</v>
      </c>
      <c r="BZ289" s="18">
        <f t="shared" si="519"/>
        <v>0.44050362206163191</v>
      </c>
      <c r="CA289" s="19">
        <f t="shared" si="520"/>
        <v>952.14152622652477</v>
      </c>
      <c r="CB289" s="15">
        <f t="shared" si="472"/>
        <v>5.40428305245305E-6</v>
      </c>
      <c r="CC289" s="16">
        <f t="shared" si="473"/>
        <v>26.838627551605036</v>
      </c>
      <c r="CD289" s="17">
        <f t="shared" si="474"/>
        <v>1.3525264315287513E-2</v>
      </c>
      <c r="CE289" s="18">
        <f t="shared" si="521"/>
        <v>0.44214559209113652</v>
      </c>
      <c r="CF289" s="19">
        <f t="shared" si="522"/>
        <v>942.83657636444275</v>
      </c>
      <c r="CG289" s="15">
        <f t="shared" si="475"/>
        <v>5.3856731527288854E-6</v>
      </c>
      <c r="CH289" s="16">
        <f t="shared" si="476"/>
        <v>26.731620628191092</v>
      </c>
      <c r="CI289" s="17">
        <f t="shared" si="477"/>
        <v>1.3478689439359046E-2</v>
      </c>
      <c r="CJ289" s="18">
        <f t="shared" si="523"/>
        <v>0.4439155049658095</v>
      </c>
      <c r="CK289" s="19">
        <f t="shared" si="524"/>
        <v>932.81894859176225</v>
      </c>
      <c r="CL289" s="15">
        <f t="shared" si="478"/>
        <v>5.3656378971835246E-6</v>
      </c>
      <c r="CM289" s="16">
        <f t="shared" si="479"/>
        <v>26.616417908805268</v>
      </c>
      <c r="CN289" s="17">
        <f t="shared" si="480"/>
        <v>1.3428547334616341E-2</v>
      </c>
      <c r="CO289" s="18">
        <f t="shared" si="525"/>
        <v>0.44583688572879621</v>
      </c>
      <c r="CP289" s="19">
        <f t="shared" si="526"/>
        <v>920.55085426828782</v>
      </c>
      <c r="CQ289" s="15">
        <f t="shared" si="481"/>
        <v>5.3411017085365761E-6</v>
      </c>
      <c r="CR289" s="16">
        <f t="shared" si="482"/>
        <v>26.475334824085309</v>
      </c>
      <c r="CS289" s="17">
        <f t="shared" si="483"/>
        <v>1.3367140773650015E-2</v>
      </c>
      <c r="CT289" s="18">
        <f t="shared" si="527"/>
        <v>0.44821268356245897</v>
      </c>
      <c r="CU289" s="19">
        <f t="shared" si="528"/>
        <v>890.48016029741325</v>
      </c>
      <c r="CV289" s="15">
        <f t="shared" si="484"/>
        <v>5.2809603205948272E-6</v>
      </c>
      <c r="CW289" s="16">
        <f t="shared" si="485"/>
        <v>26.12952184342025</v>
      </c>
      <c r="CX289" s="17">
        <f t="shared" si="486"/>
        <v>1.3216625310210109E-2</v>
      </c>
      <c r="CY289" s="18">
        <f t="shared" si="529"/>
        <v>0.45414458560810045</v>
      </c>
      <c r="CZ289" s="20">
        <f t="shared" si="530"/>
        <v>746.99835606624742</v>
      </c>
      <c r="DA289" s="15">
        <f t="shared" si="487"/>
        <v>4.9939967121324953E-6</v>
      </c>
      <c r="DB289" s="16">
        <f t="shared" si="488"/>
        <v>24.479481094761844</v>
      </c>
      <c r="DC289" s="17">
        <f t="shared" si="489"/>
        <v>1.2498443339419371E-2</v>
      </c>
      <c r="DD289" s="18">
        <f t="shared" si="531"/>
        <v>0.48475622599112722</v>
      </c>
    </row>
    <row r="290" spans="2:108" x14ac:dyDescent="0.25">
      <c r="B290">
        <v>23</v>
      </c>
      <c r="C290">
        <f t="shared" si="490"/>
        <v>2.2485137325940784E-2</v>
      </c>
      <c r="D290" s="19">
        <f t="shared" si="428"/>
        <v>1019.6359065825933</v>
      </c>
      <c r="E290" s="15">
        <f t="shared" si="429"/>
        <v>5.5392718131651873E-6</v>
      </c>
      <c r="F290" s="16">
        <f t="shared" si="430"/>
        <v>27.614812925699823</v>
      </c>
      <c r="G290" s="17">
        <f t="shared" si="426"/>
        <v>1.386309981548324E-2</v>
      </c>
      <c r="H290" s="18">
        <f t="shared" si="491"/>
        <v>0.42971795252229367</v>
      </c>
      <c r="I290" s="19">
        <f t="shared" si="492"/>
        <v>1019.3187449136035</v>
      </c>
      <c r="J290" s="15">
        <f t="shared" si="431"/>
        <v>5.538637489827207E-6</v>
      </c>
      <c r="K290" s="16">
        <f t="shared" si="432"/>
        <v>27.61116556650644</v>
      </c>
      <c r="L290" s="17">
        <f t="shared" si="433"/>
        <v>1.3861512298559298E-2</v>
      </c>
      <c r="M290" s="18">
        <f t="shared" si="493"/>
        <v>0.42977471708447484</v>
      </c>
      <c r="N290" s="19">
        <f t="shared" si="494"/>
        <v>1018.4174944915882</v>
      </c>
      <c r="O290" s="15">
        <f t="shared" si="434"/>
        <v>5.5368349889831769E-6</v>
      </c>
      <c r="P290" s="16">
        <f t="shared" si="435"/>
        <v>27.600801186653264</v>
      </c>
      <c r="Q290" s="17">
        <f t="shared" si="427"/>
        <v>1.386309981548324E-2</v>
      </c>
      <c r="R290" s="18">
        <f t="shared" si="495"/>
        <v>0.42993610183519393</v>
      </c>
      <c r="S290" s="19">
        <f t="shared" si="496"/>
        <v>1016.9174199453162</v>
      </c>
      <c r="T290" s="15">
        <f t="shared" si="436"/>
        <v>5.5338348398906324E-6</v>
      </c>
      <c r="U290" s="16">
        <f t="shared" si="437"/>
        <v>27.583550329371135</v>
      </c>
      <c r="V290" s="17">
        <f t="shared" si="438"/>
        <v>1.3849492737560086E-2</v>
      </c>
      <c r="W290" s="18">
        <f t="shared" si="497"/>
        <v>0.43020498550842057</v>
      </c>
      <c r="X290" s="19">
        <f t="shared" si="498"/>
        <v>1014.8177355803862</v>
      </c>
      <c r="Y290" s="15">
        <f t="shared" si="439"/>
        <v>5.5296354711607728E-6</v>
      </c>
      <c r="Z290" s="16">
        <f t="shared" si="440"/>
        <v>27.559403959174439</v>
      </c>
      <c r="AA290" s="17">
        <f t="shared" si="441"/>
        <v>1.3838983004543247E-2</v>
      </c>
      <c r="AB290" s="18">
        <f t="shared" si="499"/>
        <v>0.43058191270379603</v>
      </c>
      <c r="AC290" s="19">
        <f t="shared" si="500"/>
        <v>1012.1180402255559</v>
      </c>
      <c r="AD290" s="15">
        <f t="shared" si="442"/>
        <v>5.524236080451112E-6</v>
      </c>
      <c r="AE290" s="16">
        <f t="shared" si="443"/>
        <v>27.528357462593892</v>
      </c>
      <c r="AF290" s="17">
        <f t="shared" si="444"/>
        <v>1.382546998426269E-2</v>
      </c>
      <c r="AG290" s="18">
        <f t="shared" si="501"/>
        <v>0.43106752322009972</v>
      </c>
      <c r="AH290" s="19">
        <f t="shared" si="502"/>
        <v>1008.8184148157969</v>
      </c>
      <c r="AI290" s="15">
        <f t="shared" si="445"/>
        <v>5.5176368296315943E-6</v>
      </c>
      <c r="AJ290" s="16">
        <f t="shared" si="446"/>
        <v>27.490411770381662</v>
      </c>
      <c r="AK290" s="17">
        <f t="shared" si="447"/>
        <v>1.3808954081829278E-2</v>
      </c>
      <c r="AL290" s="18">
        <f t="shared" si="503"/>
        <v>0.43166253633577889</v>
      </c>
      <c r="AM290" s="19">
        <f t="shared" si="504"/>
        <v>1004.9188710308987</v>
      </c>
      <c r="AN290" s="15">
        <f t="shared" si="448"/>
        <v>5.5098377420617979E-6</v>
      </c>
      <c r="AO290" s="16">
        <f t="shared" si="449"/>
        <v>27.445567016855335</v>
      </c>
      <c r="AP290" s="17">
        <f t="shared" si="450"/>
        <v>1.3789435355704878E-2</v>
      </c>
      <c r="AQ290" s="18">
        <f t="shared" si="505"/>
        <v>0.43236785242695819</v>
      </c>
      <c r="AR290" s="19">
        <f t="shared" si="506"/>
        <v>1000.4194099743759</v>
      </c>
      <c r="AS290" s="15">
        <f t="shared" si="451"/>
        <v>5.5008388199487525E-6</v>
      </c>
      <c r="AT290" s="16">
        <f t="shared" si="452"/>
        <v>27.393823214705321</v>
      </c>
      <c r="AU290" s="17">
        <f t="shared" si="453"/>
        <v>1.3766913811413008E-2</v>
      </c>
      <c r="AV290" s="18">
        <f t="shared" si="507"/>
        <v>0.43318454589966765</v>
      </c>
      <c r="AW290" s="19">
        <f t="shared" si="508"/>
        <v>995.32003174132115</v>
      </c>
      <c r="AX290" s="15">
        <f t="shared" si="454"/>
        <v>5.4906400634826425E-6</v>
      </c>
      <c r="AY290" s="16">
        <f t="shared" si="455"/>
        <v>27.335180365025192</v>
      </c>
      <c r="AZ290" s="17">
        <f t="shared" si="456"/>
        <v>1.3741389449429641E-2</v>
      </c>
      <c r="BA290" s="18">
        <f t="shared" si="509"/>
        <v>0.4341138675968258</v>
      </c>
      <c r="BB290" s="19">
        <f t="shared" si="510"/>
        <v>989.62073635050717</v>
      </c>
      <c r="BC290" s="15">
        <f t="shared" si="457"/>
        <v>5.4792414727010143E-6</v>
      </c>
      <c r="BD290" s="16">
        <f t="shared" si="458"/>
        <v>27.269638468030834</v>
      </c>
      <c r="BE290" s="17">
        <f t="shared" si="459"/>
        <v>1.3712862269848745E-2</v>
      </c>
      <c r="BF290" s="18">
        <f t="shared" si="511"/>
        <v>0.43515724946737055</v>
      </c>
      <c r="BG290" s="19">
        <f t="shared" si="512"/>
        <v>983.32152381159938</v>
      </c>
      <c r="BH290" s="15">
        <f t="shared" si="460"/>
        <v>5.4666430476231997E-6</v>
      </c>
      <c r="BI290" s="16">
        <f t="shared" si="461"/>
        <v>27.197197523833392</v>
      </c>
      <c r="BJ290" s="17">
        <f t="shared" si="462"/>
        <v>1.3681332272718703E-2</v>
      </c>
      <c r="BK290" s="18">
        <f t="shared" si="513"/>
        <v>0.43631631013890315</v>
      </c>
      <c r="BL290" s="19">
        <f t="shared" si="514"/>
        <v>976.42239412326205</v>
      </c>
      <c r="BM290" s="15">
        <f t="shared" si="463"/>
        <v>5.4528447882465247E-6</v>
      </c>
      <c r="BN290" s="16">
        <f t="shared" si="464"/>
        <v>27.117857532417514</v>
      </c>
      <c r="BO290" s="17">
        <f t="shared" si="465"/>
        <v>1.3646799458032818E-2</v>
      </c>
      <c r="BP290" s="18">
        <f t="shared" si="515"/>
        <v>0.43759286129194486</v>
      </c>
      <c r="BQ290" s="19">
        <f t="shared" si="516"/>
        <v>968.92334697292756</v>
      </c>
      <c r="BR290" s="15">
        <f t="shared" si="466"/>
        <v>5.4378466939458551E-6</v>
      </c>
      <c r="BS290" s="16">
        <f t="shared" si="467"/>
        <v>27.031618490188666</v>
      </c>
      <c r="BT290" s="17">
        <f t="shared" si="468"/>
        <v>1.3609263824226574E-2</v>
      </c>
      <c r="BU290" s="18">
        <f t="shared" si="517"/>
        <v>0.43898891492660586</v>
      </c>
      <c r="BV290" s="19">
        <f t="shared" si="518"/>
        <v>960.82437155843058</v>
      </c>
      <c r="BW290" s="15">
        <f t="shared" si="469"/>
        <v>5.421648743116862E-6</v>
      </c>
      <c r="BX290" s="16">
        <f t="shared" si="470"/>
        <v>26.93848027292195</v>
      </c>
      <c r="BY290" s="17">
        <f t="shared" si="471"/>
        <v>1.3568725317230957E-2</v>
      </c>
      <c r="BZ290" s="18">
        <f t="shared" si="519"/>
        <v>0.44050669338039683</v>
      </c>
      <c r="CA290" s="19">
        <f t="shared" si="520"/>
        <v>952.12516356914421</v>
      </c>
      <c r="CB290" s="15">
        <f t="shared" si="472"/>
        <v>5.4042503271382891E-6</v>
      </c>
      <c r="CC290" s="16">
        <f t="shared" si="473"/>
        <v>26.838439381045156</v>
      </c>
      <c r="CD290" s="17">
        <f t="shared" si="474"/>
        <v>1.3525182413853476E-2</v>
      </c>
      <c r="CE290" s="18">
        <f t="shared" si="521"/>
        <v>0.44214869207703478</v>
      </c>
      <c r="CF290" s="19">
        <f t="shared" si="522"/>
        <v>942.81877034734907</v>
      </c>
      <c r="CG290" s="15">
        <f t="shared" si="475"/>
        <v>5.3856375406946991E-6</v>
      </c>
      <c r="CH290" s="16">
        <f t="shared" si="476"/>
        <v>26.731415858994513</v>
      </c>
      <c r="CI290" s="17">
        <f t="shared" si="477"/>
        <v>1.3478600313350934E-2</v>
      </c>
      <c r="CJ290" s="18">
        <f t="shared" si="523"/>
        <v>0.44391890546736845</v>
      </c>
      <c r="CK290" s="19">
        <f t="shared" si="524"/>
        <v>932.77978073669885</v>
      </c>
      <c r="CL290" s="15">
        <f t="shared" si="478"/>
        <v>5.3655595614733983E-6</v>
      </c>
      <c r="CM290" s="16">
        <f t="shared" si="479"/>
        <v>26.615967478472037</v>
      </c>
      <c r="CN290" s="17">
        <f t="shared" si="480"/>
        <v>1.3428351284340199E-2</v>
      </c>
      <c r="CO290" s="18">
        <f t="shared" si="525"/>
        <v>0.44584443076570562</v>
      </c>
      <c r="CP290" s="19">
        <f t="shared" si="526"/>
        <v>920.29600192527664</v>
      </c>
      <c r="CQ290" s="15">
        <f t="shared" si="481"/>
        <v>5.3405920038505541E-6</v>
      </c>
      <c r="CR290" s="16">
        <f t="shared" si="482"/>
        <v>26.47240402214068</v>
      </c>
      <c r="CS290" s="17">
        <f t="shared" si="483"/>
        <v>1.3365865139022022E-2</v>
      </c>
      <c r="CT290" s="18">
        <f t="shared" si="527"/>
        <v>0.44826230590138572</v>
      </c>
      <c r="CU290" s="19">
        <f t="shared" si="528"/>
        <v>888.90327850068354</v>
      </c>
      <c r="CV290" s="15">
        <f t="shared" si="484"/>
        <v>5.2778065570013676E-6</v>
      </c>
      <c r="CW290" s="16">
        <f t="shared" si="485"/>
        <v>26.11138770275786</v>
      </c>
      <c r="CX290" s="17">
        <f t="shared" si="486"/>
        <v>1.3208732406419642E-2</v>
      </c>
      <c r="CY290" s="18">
        <f t="shared" si="529"/>
        <v>0.45445998522953118</v>
      </c>
      <c r="CZ290" s="20">
        <f t="shared" si="530"/>
        <v>742.33740191724462</v>
      </c>
      <c r="DA290" s="15">
        <f t="shared" si="487"/>
        <v>4.9846748038344893E-6</v>
      </c>
      <c r="DB290" s="16">
        <f t="shared" si="488"/>
        <v>24.425880122048312</v>
      </c>
      <c r="DC290" s="17">
        <f t="shared" si="489"/>
        <v>1.2475113459687003E-2</v>
      </c>
      <c r="DD290" s="18">
        <f t="shared" si="531"/>
        <v>0.48581999135443182</v>
      </c>
    </row>
    <row r="291" spans="2:108" x14ac:dyDescent="0.25">
      <c r="B291">
        <v>24</v>
      </c>
      <c r="C291">
        <f t="shared" si="490"/>
        <v>2.3462751992286035E-2</v>
      </c>
      <c r="D291" s="19">
        <f t="shared" si="428"/>
        <v>1019.6197139099692</v>
      </c>
      <c r="E291" s="15">
        <f t="shared" si="429"/>
        <v>5.5392394278199391E-6</v>
      </c>
      <c r="F291" s="16">
        <f t="shared" si="430"/>
        <v>27.614626709964647</v>
      </c>
      <c r="G291" s="17">
        <f t="shared" si="426"/>
        <v>1.3863018764888707E-2</v>
      </c>
      <c r="H291" s="18">
        <f t="shared" si="491"/>
        <v>0.4297208502708415</v>
      </c>
      <c r="I291" s="19">
        <f t="shared" si="492"/>
        <v>1019.3022022454195</v>
      </c>
      <c r="J291" s="15">
        <f t="shared" si="431"/>
        <v>5.5386044044908396E-6</v>
      </c>
      <c r="K291" s="16">
        <f t="shared" si="432"/>
        <v>27.610975325822324</v>
      </c>
      <c r="L291" s="17">
        <f t="shared" si="433"/>
        <v>1.386142949610151E-2</v>
      </c>
      <c r="M291" s="18">
        <f t="shared" si="493"/>
        <v>0.429777678248839</v>
      </c>
      <c r="N291" s="19">
        <f t="shared" si="494"/>
        <v>1018.4008724840229</v>
      </c>
      <c r="O291" s="15">
        <f t="shared" si="434"/>
        <v>5.5368017449680465E-6</v>
      </c>
      <c r="P291" s="16">
        <f t="shared" si="435"/>
        <v>27.600610033566262</v>
      </c>
      <c r="Q291" s="17">
        <f t="shared" si="427"/>
        <v>1.3863018764888707E-2</v>
      </c>
      <c r="R291" s="18">
        <f t="shared" si="495"/>
        <v>0.42993907943652154</v>
      </c>
      <c r="S291" s="19">
        <f t="shared" si="496"/>
        <v>1016.900790288926</v>
      </c>
      <c r="T291" s="15">
        <f t="shared" si="436"/>
        <v>5.5338015805778523E-6</v>
      </c>
      <c r="U291" s="16">
        <f t="shared" si="437"/>
        <v>27.583359088322648</v>
      </c>
      <c r="V291" s="17">
        <f t="shared" si="438"/>
        <v>1.384940949969265E-2</v>
      </c>
      <c r="W291" s="18">
        <f t="shared" si="497"/>
        <v>0.4302079682072365</v>
      </c>
      <c r="X291" s="19">
        <f t="shared" si="498"/>
        <v>1014.8011172105973</v>
      </c>
      <c r="Y291" s="15">
        <f t="shared" si="439"/>
        <v>5.5296022344211954E-6</v>
      </c>
      <c r="Z291" s="16">
        <f t="shared" si="440"/>
        <v>27.55921284792187</v>
      </c>
      <c r="AA291" s="17">
        <f t="shared" si="441"/>
        <v>1.3838899823169623E-2</v>
      </c>
      <c r="AB291" s="18">
        <f t="shared" si="499"/>
        <v>0.4305848986036156</v>
      </c>
      <c r="AC291" s="19">
        <f t="shared" si="500"/>
        <v>1012.101435453718</v>
      </c>
      <c r="AD291" s="15">
        <f t="shared" si="442"/>
        <v>5.5242028709074366E-6</v>
      </c>
      <c r="AE291" s="16">
        <f t="shared" si="443"/>
        <v>27.528166507717756</v>
      </c>
      <c r="AF291" s="17">
        <f t="shared" si="444"/>
        <v>1.3825386870952073E-2</v>
      </c>
      <c r="AG291" s="18">
        <f t="shared" si="501"/>
        <v>0.43107051341000141</v>
      </c>
      <c r="AH291" s="19">
        <f t="shared" si="502"/>
        <v>1008.8018264372308</v>
      </c>
      <c r="AI291" s="15">
        <f t="shared" si="445"/>
        <v>5.517603652874462E-6</v>
      </c>
      <c r="AJ291" s="16">
        <f t="shared" si="446"/>
        <v>27.490221004028154</v>
      </c>
      <c r="AK291" s="17">
        <f t="shared" si="447"/>
        <v>1.3808871050573332E-2</v>
      </c>
      <c r="AL291" s="18">
        <f t="shared" si="503"/>
        <v>0.4316655318259931</v>
      </c>
      <c r="AM291" s="19">
        <f t="shared" si="504"/>
        <v>1004.9023025095961</v>
      </c>
      <c r="AN291" s="15">
        <f t="shared" si="448"/>
        <v>5.5098046050191927E-6</v>
      </c>
      <c r="AO291" s="16">
        <f t="shared" si="449"/>
        <v>27.445376478860354</v>
      </c>
      <c r="AP291" s="17">
        <f t="shared" si="450"/>
        <v>1.3789352423842221E-2</v>
      </c>
      <c r="AQ291" s="18">
        <f t="shared" si="505"/>
        <v>0.43237085411665116</v>
      </c>
      <c r="AR291" s="19">
        <f t="shared" si="506"/>
        <v>1000.4028648938896</v>
      </c>
      <c r="AS291" s="15">
        <f t="shared" si="451"/>
        <v>5.5008057297877794E-6</v>
      </c>
      <c r="AT291" s="16">
        <f t="shared" si="452"/>
        <v>27.39363294627973</v>
      </c>
      <c r="AU291" s="17">
        <f t="shared" si="453"/>
        <v>1.3766830996880709E-2</v>
      </c>
      <c r="AV291" s="18">
        <f t="shared" si="507"/>
        <v>0.43318755467698827</v>
      </c>
      <c r="AW291" s="19">
        <f t="shared" si="508"/>
        <v>995.30351369904429</v>
      </c>
      <c r="AX291" s="15">
        <f t="shared" si="454"/>
        <v>5.4906070273980892E-6</v>
      </c>
      <c r="AY291" s="16">
        <f t="shared" si="455"/>
        <v>27.33499040753901</v>
      </c>
      <c r="AZ291" s="17">
        <f t="shared" si="456"/>
        <v>1.374130677023405E-2</v>
      </c>
      <c r="BA291" s="18">
        <f t="shared" si="509"/>
        <v>0.43411688435950896</v>
      </c>
      <c r="BB291" s="19">
        <f t="shared" si="510"/>
        <v>989.60424894602613</v>
      </c>
      <c r="BC291" s="15">
        <f t="shared" si="457"/>
        <v>5.4792084978920534E-6</v>
      </c>
      <c r="BD291" s="16">
        <f t="shared" si="458"/>
        <v>27.269448862879301</v>
      </c>
      <c r="BE291" s="17">
        <f t="shared" si="459"/>
        <v>1.3712779744007184E-2</v>
      </c>
      <c r="BF291" s="18">
        <f t="shared" si="511"/>
        <v>0.43516027512647504</v>
      </c>
      <c r="BG291" s="19">
        <f t="shared" si="512"/>
        <v>983.30507064532151</v>
      </c>
      <c r="BH291" s="15">
        <f t="shared" si="460"/>
        <v>5.4666101412906438E-6</v>
      </c>
      <c r="BI291" s="16">
        <f t="shared" si="461"/>
        <v>27.197008312421197</v>
      </c>
      <c r="BJ291" s="17">
        <f t="shared" si="462"/>
        <v>1.3681249918252597E-2</v>
      </c>
      <c r="BK291" s="18">
        <f t="shared" si="513"/>
        <v>0.43631934562075675</v>
      </c>
      <c r="BL291" s="19">
        <f t="shared" si="514"/>
        <v>976.4059787918801</v>
      </c>
      <c r="BM291" s="15">
        <f t="shared" si="463"/>
        <v>5.4528119575837605E-6</v>
      </c>
      <c r="BN291" s="16">
        <f t="shared" si="464"/>
        <v>27.117668756106621</v>
      </c>
      <c r="BO291" s="17">
        <f t="shared" si="465"/>
        <v>1.3646717292945011E-2</v>
      </c>
      <c r="BP291" s="18">
        <f t="shared" si="515"/>
        <v>0.43759590754074928</v>
      </c>
      <c r="BQ291" s="19">
        <f t="shared" si="516"/>
        <v>968.90697292903849</v>
      </c>
      <c r="BR291" s="15">
        <f t="shared" si="466"/>
        <v>5.4378139458580773E-6</v>
      </c>
      <c r="BS291" s="16">
        <f t="shared" si="467"/>
        <v>27.031430188683942</v>
      </c>
      <c r="BT291" s="17">
        <f t="shared" si="468"/>
        <v>1.3609181865798655E-2</v>
      </c>
      <c r="BU291" s="18">
        <f t="shared" si="517"/>
        <v>0.43899197293251457</v>
      </c>
      <c r="BV291" s="19">
        <f t="shared" si="518"/>
        <v>960.80803825798148</v>
      </c>
      <c r="BW291" s="15">
        <f t="shared" si="469"/>
        <v>5.4216160765159627E-6</v>
      </c>
      <c r="BX291" s="16">
        <f t="shared" si="470"/>
        <v>26.938292439966787</v>
      </c>
      <c r="BY291" s="17">
        <f t="shared" si="471"/>
        <v>1.3568643562739723E-2</v>
      </c>
      <c r="BZ291" s="18">
        <f t="shared" si="519"/>
        <v>0.44050976490670724</v>
      </c>
      <c r="CA291" s="19">
        <f t="shared" si="520"/>
        <v>952.10878116964886</v>
      </c>
      <c r="CB291" s="15">
        <f t="shared" si="472"/>
        <v>5.4042175623392984E-6</v>
      </c>
      <c r="CC291" s="16">
        <f t="shared" si="473"/>
        <v>26.838250983450962</v>
      </c>
      <c r="CD291" s="17">
        <f t="shared" si="474"/>
        <v>1.3525100413602512E-2</v>
      </c>
      <c r="CE291" s="18">
        <f t="shared" si="521"/>
        <v>0.4421517958467221</v>
      </c>
      <c r="CF291" s="19">
        <f t="shared" si="522"/>
        <v>942.80068539996</v>
      </c>
      <c r="CG291" s="15">
        <f t="shared" si="475"/>
        <v>5.3856013707999212E-6</v>
      </c>
      <c r="CH291" s="16">
        <f t="shared" si="476"/>
        <v>26.73120788209954</v>
      </c>
      <c r="CI291" s="17">
        <f t="shared" si="477"/>
        <v>1.3478509791188718E-2</v>
      </c>
      <c r="CJ291" s="18">
        <f t="shared" si="523"/>
        <v>0.44392235929092877</v>
      </c>
      <c r="CK291" s="19">
        <f t="shared" si="524"/>
        <v>932.73789999343944</v>
      </c>
      <c r="CL291" s="15">
        <f t="shared" si="478"/>
        <v>5.3654757999868795E-6</v>
      </c>
      <c r="CM291" s="16">
        <f t="shared" si="479"/>
        <v>26.615485849924553</v>
      </c>
      <c r="CN291" s="17">
        <f t="shared" si="480"/>
        <v>1.3428141655008498E-2</v>
      </c>
      <c r="CO291" s="18">
        <f t="shared" si="525"/>
        <v>0.44585249867800314</v>
      </c>
      <c r="CP291" s="19">
        <f t="shared" si="526"/>
        <v>920.02572383048232</v>
      </c>
      <c r="CQ291" s="15">
        <f t="shared" si="481"/>
        <v>5.3400514476609649E-6</v>
      </c>
      <c r="CR291" s="16">
        <f t="shared" si="482"/>
        <v>26.469295824050548</v>
      </c>
      <c r="CS291" s="17">
        <f t="shared" si="483"/>
        <v>1.336451229253517E-2</v>
      </c>
      <c r="CT291" s="18">
        <f t="shared" si="527"/>
        <v>0.44831494379747266</v>
      </c>
      <c r="CU291" s="19">
        <f t="shared" si="528"/>
        <v>887.30145785064394</v>
      </c>
      <c r="CV291" s="15">
        <f t="shared" si="484"/>
        <v>5.274602915701289E-6</v>
      </c>
      <c r="CW291" s="16">
        <f t="shared" si="485"/>
        <v>26.092966765282405</v>
      </c>
      <c r="CX291" s="17">
        <f t="shared" si="486"/>
        <v>1.3200714674014735E-2</v>
      </c>
      <c r="CY291" s="18">
        <f t="shared" si="529"/>
        <v>0.45478082183842716</v>
      </c>
      <c r="CZ291" s="20">
        <f t="shared" si="530"/>
        <v>737.80930242565273</v>
      </c>
      <c r="DA291" s="15">
        <f t="shared" si="487"/>
        <v>4.9756186048513066E-6</v>
      </c>
      <c r="DB291" s="16">
        <f t="shared" si="488"/>
        <v>24.373806977895008</v>
      </c>
      <c r="DC291" s="17">
        <f t="shared" si="489"/>
        <v>1.2452448568941914E-2</v>
      </c>
      <c r="DD291" s="18">
        <f t="shared" si="531"/>
        <v>0.48685791597840622</v>
      </c>
    </row>
    <row r="292" spans="2:108" x14ac:dyDescent="0.25">
      <c r="B292">
        <v>25</v>
      </c>
      <c r="C292">
        <f t="shared" si="490"/>
        <v>2.4440366658631286E-2</v>
      </c>
      <c r="D292" s="19">
        <f t="shared" si="428"/>
        <v>1019.6035033683397</v>
      </c>
      <c r="E292" s="15">
        <f t="shared" si="429"/>
        <v>5.5392070067366794E-6</v>
      </c>
      <c r="F292" s="16">
        <f t="shared" si="430"/>
        <v>27.614440288735906</v>
      </c>
      <c r="G292" s="17">
        <f t="shared" si="426"/>
        <v>1.3862937624852884E-2</v>
      </c>
      <c r="H292" s="18">
        <f t="shared" si="491"/>
        <v>0.42972375125627105</v>
      </c>
      <c r="I292" s="19">
        <f t="shared" si="492"/>
        <v>1019.2856604502274</v>
      </c>
      <c r="J292" s="15">
        <f t="shared" si="431"/>
        <v>5.5385713209004553E-6</v>
      </c>
      <c r="K292" s="16">
        <f t="shared" si="432"/>
        <v>27.610785095177615</v>
      </c>
      <c r="L292" s="17">
        <f t="shared" si="433"/>
        <v>1.386134669801338E-2</v>
      </c>
      <c r="M292" s="18">
        <f t="shared" si="493"/>
        <v>0.42978063929773824</v>
      </c>
      <c r="N292" s="19">
        <f t="shared" si="494"/>
        <v>1018.3842512680296</v>
      </c>
      <c r="O292" s="15">
        <f t="shared" si="434"/>
        <v>5.5367685025360604E-6</v>
      </c>
      <c r="P292" s="16">
        <f t="shared" si="435"/>
        <v>27.60041888958234</v>
      </c>
      <c r="Q292" s="17">
        <f t="shared" si="427"/>
        <v>1.3862937624852884E-2</v>
      </c>
      <c r="R292" s="18">
        <f t="shared" si="495"/>
        <v>0.42994205693729121</v>
      </c>
      <c r="S292" s="19">
        <f t="shared" si="496"/>
        <v>1016.8841610007746</v>
      </c>
      <c r="T292" s="15">
        <f t="shared" si="436"/>
        <v>5.5337683220015496E-6</v>
      </c>
      <c r="U292" s="16">
        <f t="shared" si="437"/>
        <v>27.583167851508907</v>
      </c>
      <c r="V292" s="17">
        <f t="shared" si="438"/>
        <v>1.3849326263668393E-2</v>
      </c>
      <c r="W292" s="18">
        <f t="shared" si="497"/>
        <v>0.43021095088136335</v>
      </c>
      <c r="X292" s="19">
        <f t="shared" si="498"/>
        <v>1014.7844990157761</v>
      </c>
      <c r="Y292" s="15">
        <f t="shared" si="439"/>
        <v>5.5295689980315528E-6</v>
      </c>
      <c r="Z292" s="16">
        <f t="shared" si="440"/>
        <v>27.559021738681423</v>
      </c>
      <c r="AA292" s="17">
        <f t="shared" si="441"/>
        <v>1.3838816642671775E-2</v>
      </c>
      <c r="AB292" s="18">
        <f t="shared" si="499"/>
        <v>0.43058788451340951</v>
      </c>
      <c r="AC292" s="19">
        <f t="shared" si="500"/>
        <v>1012.0848308618735</v>
      </c>
      <c r="AD292" s="15">
        <f t="shared" si="442"/>
        <v>5.5241696617237477E-6</v>
      </c>
      <c r="AE292" s="16">
        <f t="shared" si="443"/>
        <v>27.527975554911542</v>
      </c>
      <c r="AF292" s="17">
        <f t="shared" si="444"/>
        <v>1.3825303758542393E-2</v>
      </c>
      <c r="AG292" s="18">
        <f t="shared" si="501"/>
        <v>0.43107350360897362</v>
      </c>
      <c r="AH292" s="19">
        <f t="shared" si="502"/>
        <v>1008.7852382480423</v>
      </c>
      <c r="AI292" s="15">
        <f t="shared" si="445"/>
        <v>5.5175704764960847E-6</v>
      </c>
      <c r="AJ292" s="16">
        <f t="shared" si="446"/>
        <v>27.490030239852487</v>
      </c>
      <c r="AK292" s="17">
        <f t="shared" si="447"/>
        <v>1.3808788020265292E-2</v>
      </c>
      <c r="AL292" s="18">
        <f t="shared" si="503"/>
        <v>0.43166852732358346</v>
      </c>
      <c r="AM292" s="19">
        <f t="shared" si="504"/>
        <v>1004.8857341801083</v>
      </c>
      <c r="AN292" s="15">
        <f t="shared" si="448"/>
        <v>5.5097714683602164E-6</v>
      </c>
      <c r="AO292" s="16">
        <f t="shared" si="449"/>
        <v>27.445185943071245</v>
      </c>
      <c r="AP292" s="17">
        <f t="shared" si="450"/>
        <v>1.378926949293967E-2</v>
      </c>
      <c r="AQ292" s="18">
        <f t="shared" si="505"/>
        <v>0.43237385581327098</v>
      </c>
      <c r="AR292" s="19">
        <f t="shared" si="506"/>
        <v>1000.3863200060173</v>
      </c>
      <c r="AS292" s="15">
        <f t="shared" si="451"/>
        <v>5.5007726400120344E-6</v>
      </c>
      <c r="AT292" s="16">
        <f t="shared" si="452"/>
        <v>27.393442680069199</v>
      </c>
      <c r="AU292" s="17">
        <f t="shared" si="453"/>
        <v>1.3766748183312518E-2</v>
      </c>
      <c r="AV292" s="18">
        <f t="shared" si="507"/>
        <v>0.43319056346107726</v>
      </c>
      <c r="AW292" s="19">
        <f t="shared" si="508"/>
        <v>995.28699584979699</v>
      </c>
      <c r="AX292" s="15">
        <f t="shared" si="454"/>
        <v>5.4905739916995948E-6</v>
      </c>
      <c r="AY292" s="16">
        <f t="shared" si="455"/>
        <v>27.334800452272667</v>
      </c>
      <c r="AZ292" s="17">
        <f t="shared" si="456"/>
        <v>1.3741224092004645E-2</v>
      </c>
      <c r="BA292" s="18">
        <f t="shared" si="509"/>
        <v>0.43411990112886623</v>
      </c>
      <c r="BB292" s="19">
        <f t="shared" si="510"/>
        <v>989.58776173479373</v>
      </c>
      <c r="BC292" s="15">
        <f t="shared" si="457"/>
        <v>5.4791755234695877E-6</v>
      </c>
      <c r="BD292" s="16">
        <f t="shared" si="458"/>
        <v>27.269259259950125</v>
      </c>
      <c r="BE292" s="17">
        <f t="shared" si="459"/>
        <v>1.37126972191329E-2</v>
      </c>
      <c r="BF292" s="18">
        <f t="shared" si="511"/>
        <v>0.43516330079219034</v>
      </c>
      <c r="BG292" s="19">
        <f t="shared" si="512"/>
        <v>983.28861767230421</v>
      </c>
      <c r="BH292" s="15">
        <f t="shared" si="460"/>
        <v>5.4665772353446094E-6</v>
      </c>
      <c r="BI292" s="16">
        <f t="shared" si="461"/>
        <v>27.196819103231498</v>
      </c>
      <c r="BJ292" s="17">
        <f t="shared" si="462"/>
        <v>1.3681167564753837E-2</v>
      </c>
      <c r="BK292" s="18">
        <f t="shared" si="513"/>
        <v>0.43632238110919097</v>
      </c>
      <c r="BL292" s="19">
        <f t="shared" si="514"/>
        <v>976.38956365164847</v>
      </c>
      <c r="BM292" s="15">
        <f t="shared" si="463"/>
        <v>5.4527791273032978E-6</v>
      </c>
      <c r="BN292" s="16">
        <f t="shared" si="464"/>
        <v>27.117479981993956</v>
      </c>
      <c r="BO292" s="17">
        <f t="shared" si="465"/>
        <v>1.364663512881399E-2</v>
      </c>
      <c r="BP292" s="18">
        <f t="shared" si="515"/>
        <v>0.43759895379649305</v>
      </c>
      <c r="BQ292" s="19">
        <f t="shared" si="516"/>
        <v>968.89059901936537</v>
      </c>
      <c r="BR292" s="15">
        <f t="shared" si="466"/>
        <v>5.437781198038731E-6</v>
      </c>
      <c r="BS292" s="16">
        <f t="shared" si="467"/>
        <v>27.0312418887227</v>
      </c>
      <c r="BT292" s="17">
        <f t="shared" si="468"/>
        <v>1.3609099908042535E-2</v>
      </c>
      <c r="BU292" s="18">
        <f t="shared" si="517"/>
        <v>0.43899503095596126</v>
      </c>
      <c r="BV292" s="19">
        <f t="shared" si="518"/>
        <v>960.79170382915891</v>
      </c>
      <c r="BW292" s="15">
        <f t="shared" si="469"/>
        <v>5.4215834076583178E-6</v>
      </c>
      <c r="BX292" s="16">
        <f t="shared" si="470"/>
        <v>26.938104594035327</v>
      </c>
      <c r="BY292" s="17">
        <f t="shared" si="471"/>
        <v>1.3568561802600545E-2</v>
      </c>
      <c r="BZ292" s="18">
        <f t="shared" si="519"/>
        <v>0.44051283668805019</v>
      </c>
      <c r="CA292" s="19">
        <f t="shared" si="520"/>
        <v>952.09237564170121</v>
      </c>
      <c r="CB292" s="15">
        <f t="shared" si="472"/>
        <v>5.404184751283403E-6</v>
      </c>
      <c r="CC292" s="16">
        <f t="shared" si="473"/>
        <v>26.838062319879562</v>
      </c>
      <c r="CD292" s="17">
        <f t="shared" si="474"/>
        <v>1.3525018297584689E-2</v>
      </c>
      <c r="CE292" s="18">
        <f t="shared" si="521"/>
        <v>0.44215490404193797</v>
      </c>
      <c r="CF292" s="19">
        <f t="shared" si="522"/>
        <v>942.78229097373946</v>
      </c>
      <c r="CG292" s="15">
        <f t="shared" si="475"/>
        <v>5.3855645819474791E-6</v>
      </c>
      <c r="CH292" s="16">
        <f t="shared" si="476"/>
        <v>26.730996346198005</v>
      </c>
      <c r="CI292" s="17">
        <f t="shared" si="477"/>
        <v>1.3478417719965155E-2</v>
      </c>
      <c r="CJ292" s="18">
        <f t="shared" si="523"/>
        <v>0.44392587227320851</v>
      </c>
      <c r="CK292" s="19">
        <f t="shared" si="524"/>
        <v>932.69316185560342</v>
      </c>
      <c r="CL292" s="15">
        <f t="shared" si="478"/>
        <v>5.3653863237112078E-6</v>
      </c>
      <c r="CM292" s="16">
        <f t="shared" si="479"/>
        <v>26.614971361339439</v>
      </c>
      <c r="CN292" s="17">
        <f t="shared" si="480"/>
        <v>1.3427917723310867E-2</v>
      </c>
      <c r="CO292" s="18">
        <f t="shared" si="525"/>
        <v>0.44586111736175449</v>
      </c>
      <c r="CP292" s="19">
        <f t="shared" si="526"/>
        <v>919.74005544587385</v>
      </c>
      <c r="CQ292" s="15">
        <f t="shared" si="481"/>
        <v>5.3394801108917482E-6</v>
      </c>
      <c r="CR292" s="16">
        <f t="shared" si="482"/>
        <v>26.466010637627548</v>
      </c>
      <c r="CS292" s="17">
        <f t="shared" si="483"/>
        <v>1.3363082411690349E-2</v>
      </c>
      <c r="CT292" s="18">
        <f t="shared" si="527"/>
        <v>0.44837059246272698</v>
      </c>
      <c r="CU292" s="19">
        <f t="shared" si="528"/>
        <v>885.67700068263355</v>
      </c>
      <c r="CV292" s="15">
        <f t="shared" si="484"/>
        <v>5.2713540013652681E-6</v>
      </c>
      <c r="CW292" s="16">
        <f t="shared" si="485"/>
        <v>26.074285507850284</v>
      </c>
      <c r="CX292" s="17">
        <f t="shared" si="486"/>
        <v>1.3192583637074977E-2</v>
      </c>
      <c r="CY292" s="18">
        <f t="shared" si="529"/>
        <v>0.45510665541133166</v>
      </c>
      <c r="CZ292" s="20">
        <f t="shared" si="530"/>
        <v>733.40820386721657</v>
      </c>
      <c r="DA292" s="15">
        <f t="shared" si="487"/>
        <v>4.9668164077344338E-6</v>
      </c>
      <c r="DB292" s="16">
        <f t="shared" si="488"/>
        <v>24.323194344472988</v>
      </c>
      <c r="DC292" s="17">
        <f t="shared" si="489"/>
        <v>1.243041936702827E-2</v>
      </c>
      <c r="DD292" s="18">
        <f t="shared" si="531"/>
        <v>0.48787098855765082</v>
      </c>
    </row>
    <row r="293" spans="2:108" x14ac:dyDescent="0.25">
      <c r="B293">
        <v>26</v>
      </c>
      <c r="C293">
        <f t="shared" si="490"/>
        <v>2.5417981324976538E-2</v>
      </c>
      <c r="D293" s="19">
        <f t="shared" si="428"/>
        <v>1019.5872759145768</v>
      </c>
      <c r="E293" s="15">
        <f t="shared" si="429"/>
        <v>5.5391745518291537E-6</v>
      </c>
      <c r="F293" s="16">
        <f t="shared" si="430"/>
        <v>27.614253673017632</v>
      </c>
      <c r="G293" s="17">
        <f t="shared" si="426"/>
        <v>1.386285640016529E-2</v>
      </c>
      <c r="H293" s="18">
        <f t="shared" si="491"/>
        <v>0.42972665530747045</v>
      </c>
      <c r="I293" s="19">
        <f t="shared" si="492"/>
        <v>1019.2691193965173</v>
      </c>
      <c r="J293" s="15">
        <f t="shared" si="431"/>
        <v>5.538538238793035E-6</v>
      </c>
      <c r="K293" s="16">
        <f t="shared" si="432"/>
        <v>27.610594873059949</v>
      </c>
      <c r="L293" s="17">
        <f t="shared" si="433"/>
        <v>1.3861263903636657E-2</v>
      </c>
      <c r="M293" s="18">
        <f t="shared" si="493"/>
        <v>0.42978360025470841</v>
      </c>
      <c r="N293" s="19">
        <f t="shared" si="494"/>
        <v>1018.3676308371072</v>
      </c>
      <c r="O293" s="15">
        <f t="shared" si="434"/>
        <v>5.5367352616742151E-6</v>
      </c>
      <c r="P293" s="16">
        <f t="shared" si="435"/>
        <v>27.600227754626729</v>
      </c>
      <c r="Q293" s="17">
        <f t="shared" si="427"/>
        <v>1.386285640016529E-2</v>
      </c>
      <c r="R293" s="18">
        <f t="shared" si="495"/>
        <v>0.4299450343386626</v>
      </c>
      <c r="S293" s="19">
        <f t="shared" si="496"/>
        <v>1016.8675320827251</v>
      </c>
      <c r="T293" s="15">
        <f t="shared" si="436"/>
        <v>5.5337350641654511E-6</v>
      </c>
      <c r="U293" s="16">
        <f t="shared" si="437"/>
        <v>27.582976618951339</v>
      </c>
      <c r="V293" s="17">
        <f t="shared" si="438"/>
        <v>1.3849243029496642E-2</v>
      </c>
      <c r="W293" s="18">
        <f t="shared" si="497"/>
        <v>0.43021393353046489</v>
      </c>
      <c r="X293" s="19">
        <f t="shared" si="498"/>
        <v>1014.7678809983397</v>
      </c>
      <c r="Y293" s="15">
        <f t="shared" si="439"/>
        <v>5.5295357619966806E-6</v>
      </c>
      <c r="Z293" s="16">
        <f t="shared" si="440"/>
        <v>27.558830631480905</v>
      </c>
      <c r="AA293" s="17">
        <f t="shared" si="441"/>
        <v>1.3838733463061812E-2</v>
      </c>
      <c r="AB293" s="18">
        <f t="shared" si="499"/>
        <v>0.4305908704327428</v>
      </c>
      <c r="AC293" s="19">
        <f t="shared" si="500"/>
        <v>1012.0682264501005</v>
      </c>
      <c r="AD293" s="15">
        <f t="shared" si="442"/>
        <v>5.5241364529002011E-6</v>
      </c>
      <c r="AE293" s="16">
        <f t="shared" si="443"/>
        <v>27.527784604176155</v>
      </c>
      <c r="AF293" s="17">
        <f t="shared" si="444"/>
        <v>1.3825220647034037E-2</v>
      </c>
      <c r="AG293" s="18">
        <f t="shared" si="501"/>
        <v>0.43107649381700175</v>
      </c>
      <c r="AH293" s="19">
        <f t="shared" si="502"/>
        <v>1008.768650248147</v>
      </c>
      <c r="AI293" s="15">
        <f t="shared" si="445"/>
        <v>5.5175373004962947E-6</v>
      </c>
      <c r="AJ293" s="16">
        <f t="shared" si="446"/>
        <v>27.489839477853689</v>
      </c>
      <c r="AK293" s="17">
        <f t="shared" si="447"/>
        <v>1.380870499090474E-2</v>
      </c>
      <c r="AL293" s="18">
        <f t="shared" si="503"/>
        <v>0.43167152282856475</v>
      </c>
      <c r="AM293" s="19">
        <f t="shared" si="504"/>
        <v>1004.8691660424137</v>
      </c>
      <c r="AN293" s="15">
        <f t="shared" si="448"/>
        <v>5.5097383320848275E-6</v>
      </c>
      <c r="AO293" s="16">
        <f t="shared" si="449"/>
        <v>27.444995409487756</v>
      </c>
      <c r="AP293" s="17">
        <f t="shared" si="450"/>
        <v>1.3789186562997121E-2</v>
      </c>
      <c r="AQ293" s="18">
        <f t="shared" si="505"/>
        <v>0.43237685751682114</v>
      </c>
      <c r="AR293" s="19">
        <f t="shared" si="506"/>
        <v>1000.3697753107523</v>
      </c>
      <c r="AS293" s="15">
        <f t="shared" si="451"/>
        <v>5.5007395506215047E-6</v>
      </c>
      <c r="AT293" s="16">
        <f t="shared" si="452"/>
        <v>27.393252416073651</v>
      </c>
      <c r="AU293" s="17">
        <f t="shared" si="453"/>
        <v>1.3766665370708404E-2</v>
      </c>
      <c r="AV293" s="18">
        <f t="shared" si="507"/>
        <v>0.43319357225193517</v>
      </c>
      <c r="AW293" s="19">
        <f t="shared" si="508"/>
        <v>995.27047819357483</v>
      </c>
      <c r="AX293" s="15">
        <f t="shared" si="454"/>
        <v>5.4905409563871501E-6</v>
      </c>
      <c r="AY293" s="16">
        <f t="shared" si="455"/>
        <v>27.334610499226109</v>
      </c>
      <c r="AZ293" s="17">
        <f t="shared" si="456"/>
        <v>1.3741141414741405E-2</v>
      </c>
      <c r="BA293" s="18">
        <f t="shared" si="509"/>
        <v>0.43412291790489799</v>
      </c>
      <c r="BB293" s="19">
        <f t="shared" si="510"/>
        <v>989.57127471680496</v>
      </c>
      <c r="BC293" s="15">
        <f t="shared" si="457"/>
        <v>5.4791425494336104E-6</v>
      </c>
      <c r="BD293" s="16">
        <f t="shared" si="458"/>
        <v>27.269069659243257</v>
      </c>
      <c r="BE293" s="17">
        <f t="shared" si="459"/>
        <v>1.3712614695225878E-2</v>
      </c>
      <c r="BF293" s="18">
        <f t="shared" si="511"/>
        <v>0.4351663264645167</v>
      </c>
      <c r="BG293" s="19">
        <f t="shared" si="512"/>
        <v>983.27216489251487</v>
      </c>
      <c r="BH293" s="15">
        <f t="shared" si="460"/>
        <v>5.4665443297850304E-6</v>
      </c>
      <c r="BI293" s="16">
        <f t="shared" si="461"/>
        <v>27.196629896263921</v>
      </c>
      <c r="BJ293" s="17">
        <f t="shared" si="462"/>
        <v>1.3681085212222256E-2</v>
      </c>
      <c r="BK293" s="18">
        <f t="shared" si="513"/>
        <v>0.43632541660421109</v>
      </c>
      <c r="BL293" s="19">
        <f t="shared" si="514"/>
        <v>976.37314870178113</v>
      </c>
      <c r="BM293" s="15">
        <f t="shared" si="463"/>
        <v>5.4527462974035629E-6</v>
      </c>
      <c r="BN293" s="16">
        <f t="shared" si="464"/>
        <v>27.117291210070483</v>
      </c>
      <c r="BO293" s="17">
        <f t="shared" si="465"/>
        <v>1.3646552965635812E-2</v>
      </c>
      <c r="BP293" s="18">
        <f t="shared" si="515"/>
        <v>0.43760200005932137</v>
      </c>
      <c r="BQ293" s="19">
        <f t="shared" si="516"/>
        <v>968.87422522676104</v>
      </c>
      <c r="BR293" s="15">
        <f t="shared" si="466"/>
        <v>5.4377484504535224E-6</v>
      </c>
      <c r="BS293" s="16">
        <f t="shared" si="467"/>
        <v>27.031053590107753</v>
      </c>
      <c r="BT293" s="17">
        <f t="shared" si="468"/>
        <v>1.3609017950872392E-2</v>
      </c>
      <c r="BU293" s="18">
        <f t="shared" si="517"/>
        <v>0.4389980890001482</v>
      </c>
      <c r="BV293" s="19">
        <f t="shared" si="518"/>
        <v>960.77536797845357</v>
      </c>
      <c r="BW293" s="15">
        <f t="shared" si="469"/>
        <v>5.421550735956908E-6</v>
      </c>
      <c r="BX293" s="16">
        <f t="shared" si="470"/>
        <v>26.937916731752217</v>
      </c>
      <c r="BY293" s="17">
        <f t="shared" si="471"/>
        <v>1.3568480035344294E-2</v>
      </c>
      <c r="BZ293" s="18">
        <f t="shared" si="519"/>
        <v>0.44051590877963259</v>
      </c>
      <c r="CA293" s="19">
        <f t="shared" si="520"/>
        <v>952.07594325929642</v>
      </c>
      <c r="CB293" s="15">
        <f t="shared" si="472"/>
        <v>5.4041518865185934E-6</v>
      </c>
      <c r="CC293" s="16">
        <f t="shared" si="473"/>
        <v>26.83787334748191</v>
      </c>
      <c r="CD293" s="17">
        <f t="shared" si="474"/>
        <v>1.3524936047149915E-2</v>
      </c>
      <c r="CE293" s="18">
        <f t="shared" si="521"/>
        <v>0.44215801736881255</v>
      </c>
      <c r="CF293" s="19">
        <f t="shared" si="522"/>
        <v>942.76355528719102</v>
      </c>
      <c r="CG293" s="15">
        <f t="shared" si="475"/>
        <v>5.385527110574383E-6</v>
      </c>
      <c r="CH293" s="16">
        <f t="shared" si="476"/>
        <v>26.730780885802695</v>
      </c>
      <c r="CI293" s="17">
        <f t="shared" si="477"/>
        <v>1.3478323940601552E-2</v>
      </c>
      <c r="CJ293" s="18">
        <f t="shared" si="523"/>
        <v>0.44392945048681687</v>
      </c>
      <c r="CK293" s="19">
        <f t="shared" si="524"/>
        <v>932.64542580912178</v>
      </c>
      <c r="CL293" s="15">
        <f t="shared" si="478"/>
        <v>5.3652908516182443E-6</v>
      </c>
      <c r="CM293" s="16">
        <f t="shared" si="479"/>
        <v>26.614422396804898</v>
      </c>
      <c r="CN293" s="17">
        <f t="shared" si="480"/>
        <v>1.3427678785919999E-2</v>
      </c>
      <c r="CO293" s="18">
        <f t="shared" si="525"/>
        <v>0.44587031395212617</v>
      </c>
      <c r="CP293" s="19">
        <f t="shared" si="526"/>
        <v>919.43906123158501</v>
      </c>
      <c r="CQ293" s="15">
        <f t="shared" si="481"/>
        <v>5.3388781224631702E-6</v>
      </c>
      <c r="CR293" s="16">
        <f t="shared" si="482"/>
        <v>26.462549204163224</v>
      </c>
      <c r="CS293" s="17">
        <f t="shared" si="483"/>
        <v>1.3361575819135474E-2</v>
      </c>
      <c r="CT293" s="18">
        <f t="shared" si="527"/>
        <v>0.44842924157325653</v>
      </c>
      <c r="CU293" s="19">
        <f t="shared" si="528"/>
        <v>884.03206761472552</v>
      </c>
      <c r="CV293" s="15">
        <f t="shared" si="484"/>
        <v>5.2680641352294515E-6</v>
      </c>
      <c r="CW293" s="16">
        <f t="shared" si="485"/>
        <v>26.055368777569342</v>
      </c>
      <c r="CX293" s="17">
        <f t="shared" si="486"/>
        <v>1.3184350110330176E-2</v>
      </c>
      <c r="CY293" s="18">
        <f t="shared" si="529"/>
        <v>0.45543707214513318</v>
      </c>
      <c r="CZ293" s="20">
        <f t="shared" si="530"/>
        <v>729.12854595710633</v>
      </c>
      <c r="DA293" s="15">
        <f t="shared" si="487"/>
        <v>4.9582570919142127E-6</v>
      </c>
      <c r="DB293" s="16">
        <f t="shared" si="488"/>
        <v>24.273978278506721</v>
      </c>
      <c r="DC293" s="17">
        <f t="shared" si="489"/>
        <v>1.2408998022568165E-2</v>
      </c>
      <c r="DD293" s="18">
        <f t="shared" si="531"/>
        <v>0.48886015854373183</v>
      </c>
    </row>
    <row r="294" spans="2:108" x14ac:dyDescent="0.25">
      <c r="B294">
        <v>27</v>
      </c>
      <c r="C294">
        <f t="shared" si="490"/>
        <v>2.6395595991321789E-2</v>
      </c>
      <c r="D294" s="19">
        <f t="shared" si="428"/>
        <v>1019.5710324499847</v>
      </c>
      <c r="E294" s="15">
        <f t="shared" si="429"/>
        <v>5.5391420648999701E-6</v>
      </c>
      <c r="F294" s="16">
        <f t="shared" si="430"/>
        <v>27.614066873174824</v>
      </c>
      <c r="G294" s="17">
        <f t="shared" si="426"/>
        <v>1.3862775095337296E-2</v>
      </c>
      <c r="H294" s="18">
        <f t="shared" si="491"/>
        <v>0.42972956226326336</v>
      </c>
      <c r="I294" s="19">
        <f t="shared" si="492"/>
        <v>1019.2525789629196</v>
      </c>
      <c r="J294" s="15">
        <f t="shared" si="431"/>
        <v>5.5385051579258396E-6</v>
      </c>
      <c r="K294" s="16">
        <f t="shared" si="432"/>
        <v>27.610404658073577</v>
      </c>
      <c r="L294" s="17">
        <f t="shared" si="433"/>
        <v>1.3861181112363837E-2</v>
      </c>
      <c r="M294" s="18">
        <f t="shared" si="493"/>
        <v>0.42978656114147112</v>
      </c>
      <c r="N294" s="19">
        <f t="shared" si="494"/>
        <v>1018.3510111836006</v>
      </c>
      <c r="O294" s="15">
        <f t="shared" si="434"/>
        <v>5.5367020223672013E-6</v>
      </c>
      <c r="P294" s="16">
        <f t="shared" si="435"/>
        <v>27.600036628611406</v>
      </c>
      <c r="Q294" s="17">
        <f t="shared" si="427"/>
        <v>1.3862775095337296E-2</v>
      </c>
      <c r="R294" s="18">
        <f t="shared" si="495"/>
        <v>0.42994801164200203</v>
      </c>
      <c r="S294" s="19">
        <f t="shared" si="496"/>
        <v>1016.8509035365473</v>
      </c>
      <c r="T294" s="15">
        <f t="shared" si="436"/>
        <v>5.5337018070730951E-6</v>
      </c>
      <c r="U294" s="16">
        <f t="shared" si="437"/>
        <v>27.582785390670296</v>
      </c>
      <c r="V294" s="17">
        <f t="shared" si="438"/>
        <v>1.3849159797186249E-2</v>
      </c>
      <c r="W294" s="18">
        <f t="shared" si="497"/>
        <v>0.43021691615422186</v>
      </c>
      <c r="X294" s="19">
        <f t="shared" si="498"/>
        <v>1014.7512631606622</v>
      </c>
      <c r="Y294" s="15">
        <f t="shared" si="439"/>
        <v>5.5295025263213256E-6</v>
      </c>
      <c r="Z294" s="16">
        <f t="shared" si="440"/>
        <v>27.558639526347616</v>
      </c>
      <c r="AA294" s="17">
        <f t="shared" si="441"/>
        <v>1.3838650284351609E-2</v>
      </c>
      <c r="AB294" s="18">
        <f t="shared" si="499"/>
        <v>0.43059385636118858</v>
      </c>
      <c r="AC294" s="19">
        <f t="shared" si="500"/>
        <v>1012.051622218504</v>
      </c>
      <c r="AD294" s="15">
        <f t="shared" si="442"/>
        <v>5.5241032444370085E-6</v>
      </c>
      <c r="AE294" s="16">
        <f t="shared" si="443"/>
        <v>27.527593655512796</v>
      </c>
      <c r="AF294" s="17">
        <f t="shared" si="444"/>
        <v>1.3825137536427539E-2</v>
      </c>
      <c r="AG294" s="18">
        <f t="shared" si="501"/>
        <v>0.43107948403406648</v>
      </c>
      <c r="AH294" s="19">
        <f t="shared" si="502"/>
        <v>1008.7520624374631</v>
      </c>
      <c r="AI294" s="15">
        <f t="shared" si="445"/>
        <v>5.5175041248749268E-6</v>
      </c>
      <c r="AJ294" s="16">
        <f t="shared" si="446"/>
        <v>27.489648718030825</v>
      </c>
      <c r="AK294" s="17">
        <f t="shared" si="447"/>
        <v>1.3808621962491264E-2</v>
      </c>
      <c r="AL294" s="18">
        <f t="shared" si="503"/>
        <v>0.43167451834095105</v>
      </c>
      <c r="AM294" s="19">
        <f t="shared" si="504"/>
        <v>1004.8525980964899</v>
      </c>
      <c r="AN294" s="15">
        <f t="shared" si="448"/>
        <v>5.509705196192981E-6</v>
      </c>
      <c r="AO294" s="16">
        <f t="shared" si="449"/>
        <v>27.444804878109636</v>
      </c>
      <c r="AP294" s="17">
        <f t="shared" si="450"/>
        <v>1.3789103634014461E-2</v>
      </c>
      <c r="AQ294" s="18">
        <f t="shared" si="505"/>
        <v>0.43237985922730504</v>
      </c>
      <c r="AR294" s="19">
        <f t="shared" si="506"/>
        <v>1000.353230808088</v>
      </c>
      <c r="AS294" s="15">
        <f t="shared" si="451"/>
        <v>5.5007064616161768E-6</v>
      </c>
      <c r="AT294" s="16">
        <f t="shared" si="452"/>
        <v>27.393062154293013</v>
      </c>
      <c r="AU294" s="17">
        <f t="shared" si="453"/>
        <v>1.3766582559068331E-2</v>
      </c>
      <c r="AV294" s="18">
        <f t="shared" si="507"/>
        <v>0.4331965810495626</v>
      </c>
      <c r="AW294" s="19">
        <f t="shared" si="508"/>
        <v>995.25396073037325</v>
      </c>
      <c r="AX294" s="15">
        <f t="shared" si="454"/>
        <v>5.4905079214607466E-6</v>
      </c>
      <c r="AY294" s="16">
        <f t="shared" si="455"/>
        <v>27.334420548399294</v>
      </c>
      <c r="AZ294" s="17">
        <f t="shared" si="456"/>
        <v>1.3741058738444308E-2</v>
      </c>
      <c r="BA294" s="18">
        <f t="shared" si="509"/>
        <v>0.43412593468760424</v>
      </c>
      <c r="BB294" s="19">
        <f t="shared" si="510"/>
        <v>989.55478789205449</v>
      </c>
      <c r="BC294" s="15">
        <f t="shared" si="457"/>
        <v>5.4791095757841097E-6</v>
      </c>
      <c r="BD294" s="16">
        <f t="shared" si="458"/>
        <v>27.268880060758626</v>
      </c>
      <c r="BE294" s="17">
        <f t="shared" si="459"/>
        <v>1.3712532172286091E-2</v>
      </c>
      <c r="BF294" s="18">
        <f t="shared" si="511"/>
        <v>0.43516935214345459</v>
      </c>
      <c r="BG294" s="19">
        <f t="shared" si="512"/>
        <v>983.25571230591038</v>
      </c>
      <c r="BH294" s="15">
        <f t="shared" si="460"/>
        <v>5.4665114246118212E-6</v>
      </c>
      <c r="BI294" s="16">
        <f t="shared" si="461"/>
        <v>27.196440691517971</v>
      </c>
      <c r="BJ294" s="17">
        <f t="shared" si="462"/>
        <v>1.368100286065764E-2</v>
      </c>
      <c r="BK294" s="18">
        <f t="shared" si="513"/>
        <v>0.4363284521058246</v>
      </c>
      <c r="BL294" s="19">
        <f t="shared" si="514"/>
        <v>976.35673394126889</v>
      </c>
      <c r="BM294" s="15">
        <f t="shared" si="463"/>
        <v>5.4527134678825382E-6</v>
      </c>
      <c r="BN294" s="16">
        <f t="shared" si="464"/>
        <v>27.117102440324594</v>
      </c>
      <c r="BO294" s="17">
        <f t="shared" si="465"/>
        <v>1.3646470803405432E-2</v>
      </c>
      <c r="BP294" s="18">
        <f t="shared" si="515"/>
        <v>0.43760504632942099</v>
      </c>
      <c r="BQ294" s="19">
        <f t="shared" si="516"/>
        <v>968.85785153037682</v>
      </c>
      <c r="BR294" s="15">
        <f t="shared" si="466"/>
        <v>5.4377157030607538E-6</v>
      </c>
      <c r="BS294" s="16">
        <f t="shared" si="467"/>
        <v>27.03086529259933</v>
      </c>
      <c r="BT294" s="17">
        <f t="shared" si="468"/>
        <v>1.3608935994183866E-2</v>
      </c>
      <c r="BU294" s="18">
        <f t="shared" si="517"/>
        <v>0.43900114706896937</v>
      </c>
      <c r="BV294" s="19">
        <f t="shared" si="518"/>
        <v>960.75903036760735</v>
      </c>
      <c r="BW294" s="15">
        <f t="shared" si="469"/>
        <v>5.4215180607352157E-6</v>
      </c>
      <c r="BX294" s="16">
        <f t="shared" si="470"/>
        <v>26.937728849227483</v>
      </c>
      <c r="BY294" s="17">
        <f t="shared" si="471"/>
        <v>1.3568398259277857E-2</v>
      </c>
      <c r="BZ294" s="18">
        <f t="shared" si="519"/>
        <v>0.44051898124508027</v>
      </c>
      <c r="CA294" s="19">
        <f t="shared" si="520"/>
        <v>952.05947994816324</v>
      </c>
      <c r="CB294" s="15">
        <f t="shared" si="472"/>
        <v>5.4041189598963272E-6</v>
      </c>
      <c r="CC294" s="16">
        <f t="shared" si="473"/>
        <v>26.837684019403877</v>
      </c>
      <c r="CD294" s="17">
        <f t="shared" si="474"/>
        <v>1.3524853641904883E-2</v>
      </c>
      <c r="CE294" s="18">
        <f t="shared" si="521"/>
        <v>0.44216113659950157</v>
      </c>
      <c r="CF294" s="19">
        <f t="shared" si="522"/>
        <v>942.74444541047774</v>
      </c>
      <c r="CG294" s="15">
        <f t="shared" si="475"/>
        <v>5.3854888908209558E-6</v>
      </c>
      <c r="CH294" s="16">
        <f t="shared" si="476"/>
        <v>26.730561122220493</v>
      </c>
      <c r="CI294" s="17">
        <f t="shared" si="477"/>
        <v>1.3478228288271327E-2</v>
      </c>
      <c r="CJ294" s="18">
        <f t="shared" si="523"/>
        <v>0.44393310022412835</v>
      </c>
      <c r="CK294" s="19">
        <f t="shared" si="524"/>
        <v>932.5945556109848</v>
      </c>
      <c r="CL294" s="15">
        <f t="shared" si="478"/>
        <v>5.36518911122197E-6</v>
      </c>
      <c r="CM294" s="16">
        <f t="shared" si="479"/>
        <v>26.613837389526324</v>
      </c>
      <c r="CN294" s="17">
        <f t="shared" si="480"/>
        <v>1.3427424160886891E-2</v>
      </c>
      <c r="CO294" s="18">
        <f t="shared" si="525"/>
        <v>0.44588011477021733</v>
      </c>
      <c r="CP294" s="19">
        <f t="shared" si="526"/>
        <v>919.12283196382555</v>
      </c>
      <c r="CQ294" s="15">
        <f t="shared" si="481"/>
        <v>5.3382456639276511E-6</v>
      </c>
      <c r="CR294" s="16">
        <f t="shared" si="482"/>
        <v>26.458912567583994</v>
      </c>
      <c r="CS294" s="17">
        <f t="shared" si="483"/>
        <v>1.3359992969240616E-2</v>
      </c>
      <c r="CT294" s="18">
        <f t="shared" si="527"/>
        <v>0.44849087578361713</v>
      </c>
      <c r="CU294" s="19">
        <f t="shared" si="528"/>
        <v>882.36868570483023</v>
      </c>
      <c r="CV294" s="15">
        <f t="shared" si="484"/>
        <v>5.2647373714096615E-6</v>
      </c>
      <c r="CW294" s="16">
        <f t="shared" si="485"/>
        <v>26.036239885605546</v>
      </c>
      <c r="CX294" s="17">
        <f t="shared" si="486"/>
        <v>1.3176024239989842E-2</v>
      </c>
      <c r="CY294" s="18">
        <f t="shared" si="529"/>
        <v>0.4557716829256318</v>
      </c>
      <c r="CZ294" s="20">
        <f t="shared" si="530"/>
        <v>724.96504656247396</v>
      </c>
      <c r="DA294" s="15">
        <f t="shared" si="487"/>
        <v>4.949930093124948E-6</v>
      </c>
      <c r="DB294" s="16">
        <f t="shared" si="488"/>
        <v>24.22609803546845</v>
      </c>
      <c r="DC294" s="17">
        <f t="shared" si="489"/>
        <v>1.2388158096442023E-2</v>
      </c>
      <c r="DD294" s="18">
        <f t="shared" si="531"/>
        <v>0.48982633737981734</v>
      </c>
    </row>
    <row r="295" spans="2:108" x14ac:dyDescent="0.25">
      <c r="B295">
        <v>28</v>
      </c>
      <c r="C295">
        <f t="shared" si="490"/>
        <v>2.7373210657667041E-2</v>
      </c>
      <c r="D295" s="19">
        <f t="shared" si="428"/>
        <v>1019.5547738236554</v>
      </c>
      <c r="E295" s="15">
        <f t="shared" si="429"/>
        <v>5.5391095476473111E-6</v>
      </c>
      <c r="F295" s="16">
        <f t="shared" si="430"/>
        <v>27.613879898972037</v>
      </c>
      <c r="G295" s="17">
        <f t="shared" si="426"/>
        <v>1.3862693714618938E-2</v>
      </c>
      <c r="H295" s="18">
        <f t="shared" si="491"/>
        <v>0.42973247197180892</v>
      </c>
      <c r="I295" s="19">
        <f t="shared" si="492"/>
        <v>1019.236039037515</v>
      </c>
      <c r="J295" s="15">
        <f t="shared" si="431"/>
        <v>5.5384720780750303E-6</v>
      </c>
      <c r="K295" s="16">
        <f t="shared" si="432"/>
        <v>27.610214448931423</v>
      </c>
      <c r="L295" s="17">
        <f t="shared" si="433"/>
        <v>1.386109832363472E-2</v>
      </c>
      <c r="M295" s="18">
        <f t="shared" si="493"/>
        <v>0.4297895219780577</v>
      </c>
      <c r="N295" s="19">
        <f t="shared" si="494"/>
        <v>1018.3343922988367</v>
      </c>
      <c r="O295" s="15">
        <f t="shared" si="434"/>
        <v>5.5366687845976742E-6</v>
      </c>
      <c r="P295" s="16">
        <f t="shared" si="435"/>
        <v>27.599845511436619</v>
      </c>
      <c r="Q295" s="17">
        <f t="shared" si="427"/>
        <v>1.3862693714618938E-2</v>
      </c>
      <c r="R295" s="18">
        <f t="shared" si="495"/>
        <v>0.42995098884885835</v>
      </c>
      <c r="S295" s="19">
        <f t="shared" si="496"/>
        <v>1016.834275363907</v>
      </c>
      <c r="T295" s="15">
        <f t="shared" si="436"/>
        <v>5.5336685507278144E-6</v>
      </c>
      <c r="U295" s="16">
        <f t="shared" si="437"/>
        <v>27.582594166684927</v>
      </c>
      <c r="V295" s="17">
        <f t="shared" si="438"/>
        <v>1.3849076566745557E-2</v>
      </c>
      <c r="W295" s="18">
        <f t="shared" si="497"/>
        <v>0.43021989875233368</v>
      </c>
      <c r="X295" s="19">
        <f t="shared" si="498"/>
        <v>1014.7346455050749</v>
      </c>
      <c r="Y295" s="15">
        <f t="shared" si="439"/>
        <v>5.5294692910101498E-6</v>
      </c>
      <c r="Z295" s="16">
        <f t="shared" si="440"/>
        <v>27.558448423308363</v>
      </c>
      <c r="AA295" s="17">
        <f t="shared" si="441"/>
        <v>1.3838567106552836E-2</v>
      </c>
      <c r="AB295" s="18">
        <f t="shared" si="499"/>
        <v>0.43059684229832734</v>
      </c>
      <c r="AC295" s="19">
        <f t="shared" si="500"/>
        <v>1012.0350181672143</v>
      </c>
      <c r="AD295" s="15">
        <f t="shared" si="442"/>
        <v>5.5240700363344293E-6</v>
      </c>
      <c r="AE295" s="16">
        <f t="shared" si="443"/>
        <v>27.527402708922963</v>
      </c>
      <c r="AF295" s="17">
        <f t="shared" si="444"/>
        <v>1.3825054426723543E-2</v>
      </c>
      <c r="AG295" s="18">
        <f t="shared" si="501"/>
        <v>0.4310824742601439</v>
      </c>
      <c r="AH295" s="19">
        <f t="shared" si="502"/>
        <v>1008.7354748159123</v>
      </c>
      <c r="AI295" s="15">
        <f t="shared" si="445"/>
        <v>5.5174709496318252E-6</v>
      </c>
      <c r="AJ295" s="16">
        <f t="shared" si="446"/>
        <v>27.489457960382992</v>
      </c>
      <c r="AK295" s="17">
        <f t="shared" si="447"/>
        <v>1.3808538935024471E-2</v>
      </c>
      <c r="AL295" s="18">
        <f t="shared" si="503"/>
        <v>0.43167751386075598</v>
      </c>
      <c r="AM295" s="19">
        <f t="shared" si="504"/>
        <v>1004.8360303423143</v>
      </c>
      <c r="AN295" s="15">
        <f t="shared" si="448"/>
        <v>5.5096720606846294E-6</v>
      </c>
      <c r="AO295" s="16">
        <f t="shared" si="449"/>
        <v>27.444614348936614</v>
      </c>
      <c r="AP295" s="17">
        <f t="shared" si="450"/>
        <v>1.3789020705991573E-2</v>
      </c>
      <c r="AQ295" s="18">
        <f t="shared" si="505"/>
        <v>0.43238286094472622</v>
      </c>
      <c r="AR295" s="19">
        <f t="shared" si="506"/>
        <v>1000.3366864980177</v>
      </c>
      <c r="AS295" s="15">
        <f t="shared" si="451"/>
        <v>5.5006733729960355E-6</v>
      </c>
      <c r="AT295" s="16">
        <f t="shared" si="452"/>
        <v>27.3928718947272</v>
      </c>
      <c r="AU295" s="17">
        <f t="shared" si="453"/>
        <v>1.3766499748392263E-2</v>
      </c>
      <c r="AV295" s="18">
        <f t="shared" si="507"/>
        <v>0.43319958985396029</v>
      </c>
      <c r="AW295" s="19">
        <f t="shared" si="508"/>
        <v>995.23744346018771</v>
      </c>
      <c r="AX295" s="15">
        <f t="shared" si="454"/>
        <v>5.4904748869203758E-6</v>
      </c>
      <c r="AY295" s="16">
        <f t="shared" si="455"/>
        <v>27.334230599792157</v>
      </c>
      <c r="AZ295" s="17">
        <f t="shared" si="456"/>
        <v>1.3740976063113331E-2</v>
      </c>
      <c r="BA295" s="18">
        <f t="shared" si="509"/>
        <v>0.43412895147698538</v>
      </c>
      <c r="BB295" s="19">
        <f t="shared" si="510"/>
        <v>989.5383012605364</v>
      </c>
      <c r="BC295" s="15">
        <f t="shared" si="457"/>
        <v>5.4790766025210737E-6</v>
      </c>
      <c r="BD295" s="16">
        <f t="shared" si="458"/>
        <v>27.268690464496167</v>
      </c>
      <c r="BE295" s="17">
        <f t="shared" si="459"/>
        <v>1.3712449650313506E-2</v>
      </c>
      <c r="BF295" s="18">
        <f t="shared" si="511"/>
        <v>0.43517237782900453</v>
      </c>
      <c r="BG295" s="19">
        <f t="shared" si="512"/>
        <v>983.23925991243414</v>
      </c>
      <c r="BH295" s="15">
        <f t="shared" si="460"/>
        <v>5.4664785198248693E-6</v>
      </c>
      <c r="BI295" s="16">
        <f t="shared" si="461"/>
        <v>27.196251488992992</v>
      </c>
      <c r="BJ295" s="17">
        <f t="shared" si="462"/>
        <v>1.3680920510059709E-2</v>
      </c>
      <c r="BK295" s="18">
        <f t="shared" si="513"/>
        <v>0.43633148761404134</v>
      </c>
      <c r="BL295" s="19">
        <f t="shared" si="514"/>
        <v>976.34031936883241</v>
      </c>
      <c r="BM295" s="15">
        <f t="shared" si="463"/>
        <v>5.4526806387376655E-6</v>
      </c>
      <c r="BN295" s="16">
        <f t="shared" si="464"/>
        <v>27.116913672741571</v>
      </c>
      <c r="BO295" s="17">
        <f t="shared" si="465"/>
        <v>1.3646388642116442E-2</v>
      </c>
      <c r="BP295" s="18">
        <f t="shared" si="515"/>
        <v>0.43760809260702876</v>
      </c>
      <c r="BQ295" s="19">
        <f t="shared" si="516"/>
        <v>968.84147790512679</v>
      </c>
      <c r="BR295" s="15">
        <f t="shared" si="466"/>
        <v>5.4376829558102537E-6</v>
      </c>
      <c r="BS295" s="16">
        <f t="shared" si="467"/>
        <v>27.030676995908955</v>
      </c>
      <c r="BT295" s="17">
        <f t="shared" si="468"/>
        <v>1.3608854037851396E-2</v>
      </c>
      <c r="BU295" s="18">
        <f t="shared" si="517"/>
        <v>0.43900420516711008</v>
      </c>
      <c r="BV295" s="19">
        <f t="shared" si="518"/>
        <v>960.74269060987501</v>
      </c>
      <c r="BW295" s="15">
        <f t="shared" si="469"/>
        <v>5.4214853812197507E-6</v>
      </c>
      <c r="BX295" s="16">
        <f t="shared" si="470"/>
        <v>26.937540942013563</v>
      </c>
      <c r="BY295" s="17">
        <f t="shared" si="471"/>
        <v>1.356831647246542E-2</v>
      </c>
      <c r="BZ295" s="18">
        <f t="shared" si="519"/>
        <v>0.44052205415714091</v>
      </c>
      <c r="CA295" s="19">
        <f t="shared" si="520"/>
        <v>952.04298127853588</v>
      </c>
      <c r="CB295" s="15">
        <f t="shared" si="472"/>
        <v>5.4040859625570726E-6</v>
      </c>
      <c r="CC295" s="16">
        <f t="shared" si="473"/>
        <v>26.837494284703162</v>
      </c>
      <c r="CD295" s="17">
        <f t="shared" si="474"/>
        <v>1.35247710596769E-2</v>
      </c>
      <c r="CE295" s="18">
        <f t="shared" si="521"/>
        <v>0.44216426257355979</v>
      </c>
      <c r="CF295" s="19">
        <f t="shared" si="522"/>
        <v>942.7249273515265</v>
      </c>
      <c r="CG295" s="15">
        <f t="shared" si="475"/>
        <v>5.3854498547030534E-6</v>
      </c>
      <c r="CH295" s="16">
        <f t="shared" si="476"/>
        <v>26.730336664542556</v>
      </c>
      <c r="CI295" s="17">
        <f t="shared" si="477"/>
        <v>1.3478130592830996E-2</v>
      </c>
      <c r="CJ295" s="18">
        <f t="shared" si="523"/>
        <v>0.44393682798087475</v>
      </c>
      <c r="CK295" s="19">
        <f t="shared" si="524"/>
        <v>932.54041952437683</v>
      </c>
      <c r="CL295" s="15">
        <f t="shared" si="478"/>
        <v>5.3650808390487537E-6</v>
      </c>
      <c r="CM295" s="16">
        <f t="shared" si="479"/>
        <v>26.613214824530331</v>
      </c>
      <c r="CN295" s="17">
        <f t="shared" si="480"/>
        <v>1.342715318881779E-2</v>
      </c>
      <c r="CO295" s="18">
        <f t="shared" si="525"/>
        <v>0.44589054527828242</v>
      </c>
      <c r="CP295" s="19">
        <f t="shared" si="526"/>
        <v>918.79148224077426</v>
      </c>
      <c r="CQ295" s="15">
        <f t="shared" si="481"/>
        <v>5.3375829644815492E-6</v>
      </c>
      <c r="CR295" s="16">
        <f t="shared" si="482"/>
        <v>26.455102045768903</v>
      </c>
      <c r="CS295" s="17">
        <f t="shared" si="483"/>
        <v>1.3358334435614022E-2</v>
      </c>
      <c r="CT295" s="18">
        <f t="shared" si="527"/>
        <v>0.44855547520429162</v>
      </c>
      <c r="CU295" s="19">
        <f t="shared" si="528"/>
        <v>880.68875614965259</v>
      </c>
      <c r="CV295" s="15">
        <f t="shared" si="484"/>
        <v>5.2613775122993058E-6</v>
      </c>
      <c r="CW295" s="16">
        <f t="shared" si="485"/>
        <v>26.016920695721005</v>
      </c>
      <c r="CX295" s="17">
        <f t="shared" si="486"/>
        <v>1.3167615542279411E-2</v>
      </c>
      <c r="CY295" s="18">
        <f t="shared" si="529"/>
        <v>0.45611012188962052</v>
      </c>
      <c r="CZ295" s="20">
        <f t="shared" si="530"/>
        <v>720.91268720259052</v>
      </c>
      <c r="DA295" s="15">
        <f t="shared" si="487"/>
        <v>4.9418253744051814E-6</v>
      </c>
      <c r="DB295" s="16">
        <f t="shared" si="488"/>
        <v>24.179495902829792</v>
      </c>
      <c r="DC295" s="17">
        <f t="shared" si="489"/>
        <v>1.2367874469211183E-2</v>
      </c>
      <c r="DD295" s="18">
        <f t="shared" si="531"/>
        <v>0.49077039973894243</v>
      </c>
    </row>
    <row r="296" spans="2:108" x14ac:dyDescent="0.25">
      <c r="B296">
        <v>29</v>
      </c>
      <c r="C296">
        <f t="shared" si="490"/>
        <v>2.8350825324012292E-2</v>
      </c>
      <c r="D296" s="19">
        <f t="shared" si="428"/>
        <v>1019.5385008356163</v>
      </c>
      <c r="E296" s="15">
        <f t="shared" si="429"/>
        <v>5.5390770016712329E-6</v>
      </c>
      <c r="F296" s="16">
        <f t="shared" si="430"/>
        <v>27.613692759609584</v>
      </c>
      <c r="G296" s="17">
        <f t="shared" si="426"/>
        <v>1.3862612262014665E-2</v>
      </c>
      <c r="H296" s="18">
        <f t="shared" si="491"/>
        <v>0.42973538429003921</v>
      </c>
      <c r="I296" s="19">
        <f t="shared" si="492"/>
        <v>1019.2194995171889</v>
      </c>
      <c r="J296" s="15">
        <f t="shared" si="431"/>
        <v>5.5384389990343784E-6</v>
      </c>
      <c r="K296" s="16">
        <f t="shared" si="432"/>
        <v>27.610024244447672</v>
      </c>
      <c r="L296" s="17">
        <f t="shared" si="433"/>
        <v>1.3861015536933176E-2</v>
      </c>
      <c r="M296" s="18">
        <f t="shared" si="493"/>
        <v>0.42979248278292431</v>
      </c>
      <c r="N296" s="19">
        <f t="shared" si="494"/>
        <v>1018.3177741732492</v>
      </c>
      <c r="O296" s="15">
        <f t="shared" si="434"/>
        <v>5.5366355483464986E-6</v>
      </c>
      <c r="P296" s="16">
        <f t="shared" si="435"/>
        <v>27.599654402992364</v>
      </c>
      <c r="Q296" s="17">
        <f t="shared" si="427"/>
        <v>1.3862612262014665E-2</v>
      </c>
      <c r="R296" s="18">
        <f t="shared" si="495"/>
        <v>0.42995396596094043</v>
      </c>
      <c r="S296" s="19">
        <f t="shared" si="496"/>
        <v>1016.8176475663563</v>
      </c>
      <c r="T296" s="15">
        <f t="shared" si="436"/>
        <v>5.5336352951327136E-6</v>
      </c>
      <c r="U296" s="16">
        <f t="shared" si="437"/>
        <v>27.582402947013097</v>
      </c>
      <c r="V296" s="17">
        <f t="shared" si="438"/>
        <v>1.3848993338182335E-2</v>
      </c>
      <c r="W296" s="18">
        <f t="shared" si="497"/>
        <v>0.43022288132451969</v>
      </c>
      <c r="X296" s="19">
        <f t="shared" si="498"/>
        <v>1014.7180280338667</v>
      </c>
      <c r="Y296" s="15">
        <f t="shared" si="439"/>
        <v>5.5294360560677341E-6</v>
      </c>
      <c r="Z296" s="16">
        <f t="shared" si="440"/>
        <v>27.558257322389466</v>
      </c>
      <c r="AA296" s="17">
        <f t="shared" si="441"/>
        <v>1.3838483929676954E-2</v>
      </c>
      <c r="AB296" s="18">
        <f t="shared" si="499"/>
        <v>0.43059982824374743</v>
      </c>
      <c r="AC296" s="19">
        <f t="shared" si="500"/>
        <v>1012.0184142963858</v>
      </c>
      <c r="AD296" s="15">
        <f t="shared" si="442"/>
        <v>5.5240368285927724E-6</v>
      </c>
      <c r="AE296" s="16">
        <f t="shared" si="443"/>
        <v>27.527211764408435</v>
      </c>
      <c r="AF296" s="17">
        <f t="shared" si="444"/>
        <v>1.3824971317922825E-2</v>
      </c>
      <c r="AG296" s="18">
        <f t="shared" si="501"/>
        <v>0.43108546449520563</v>
      </c>
      <c r="AH296" s="19">
        <f t="shared" si="502"/>
        <v>1008.7188873834199</v>
      </c>
      <c r="AI296" s="15">
        <f t="shared" si="445"/>
        <v>5.51743777476684E-6</v>
      </c>
      <c r="AJ296" s="16">
        <f t="shared" si="446"/>
        <v>27.489267204909329</v>
      </c>
      <c r="AK296" s="17">
        <f t="shared" si="447"/>
        <v>1.380845590850399E-2</v>
      </c>
      <c r="AL296" s="18">
        <f t="shared" si="503"/>
        <v>0.43168050938799263</v>
      </c>
      <c r="AM296" s="19">
        <f t="shared" si="504"/>
        <v>1004.8194627798636</v>
      </c>
      <c r="AN296" s="15">
        <f t="shared" si="448"/>
        <v>5.5096389255597272E-6</v>
      </c>
      <c r="AO296" s="16">
        <f t="shared" si="449"/>
        <v>27.444423821968428</v>
      </c>
      <c r="AP296" s="17">
        <f t="shared" si="450"/>
        <v>1.378893777892834E-2</v>
      </c>
      <c r="AQ296" s="18">
        <f t="shared" si="505"/>
        <v>0.43238586266908841</v>
      </c>
      <c r="AR296" s="19">
        <f t="shared" si="506"/>
        <v>1000.3201423805342</v>
      </c>
      <c r="AS296" s="15">
        <f t="shared" si="451"/>
        <v>5.5006402847610688E-6</v>
      </c>
      <c r="AT296" s="16">
        <f t="shared" si="452"/>
        <v>27.392681637376143</v>
      </c>
      <c r="AU296" s="17">
        <f t="shared" si="453"/>
        <v>1.3766416938680168E-2</v>
      </c>
      <c r="AV296" s="18">
        <f t="shared" si="507"/>
        <v>0.43320259866512872</v>
      </c>
      <c r="AW296" s="19">
        <f t="shared" si="508"/>
        <v>995.22092638301365</v>
      </c>
      <c r="AX296" s="15">
        <f t="shared" si="454"/>
        <v>5.4904418527660276E-6</v>
      </c>
      <c r="AY296" s="16">
        <f t="shared" si="455"/>
        <v>27.334040653404656</v>
      </c>
      <c r="AZ296" s="17">
        <f t="shared" si="456"/>
        <v>1.3740893388748452E-2</v>
      </c>
      <c r="BA296" s="18">
        <f t="shared" si="509"/>
        <v>0.43413196827304157</v>
      </c>
      <c r="BB296" s="19">
        <f t="shared" si="510"/>
        <v>989.5218148222441</v>
      </c>
      <c r="BC296" s="15">
        <f t="shared" si="457"/>
        <v>5.4790436296444889E-6</v>
      </c>
      <c r="BD296" s="16">
        <f t="shared" si="458"/>
        <v>27.268500870455807</v>
      </c>
      <c r="BE296" s="17">
        <f t="shared" si="459"/>
        <v>1.371236712930809E-2</v>
      </c>
      <c r="BF296" s="18">
        <f t="shared" si="511"/>
        <v>0.43517540352116696</v>
      </c>
      <c r="BG296" s="19">
        <f t="shared" si="512"/>
        <v>983.22280771201281</v>
      </c>
      <c r="BH296" s="15">
        <f t="shared" si="460"/>
        <v>5.4664456154240262E-6</v>
      </c>
      <c r="BI296" s="16">
        <f t="shared" si="461"/>
        <v>27.196062288688147</v>
      </c>
      <c r="BJ296" s="17">
        <f t="shared" si="462"/>
        <v>1.3680838160428088E-2</v>
      </c>
      <c r="BK296" s="18">
        <f t="shared" si="513"/>
        <v>0.43633452312887411</v>
      </c>
      <c r="BL296" s="19">
        <f t="shared" si="514"/>
        <v>976.32390498286918</v>
      </c>
      <c r="BM296" s="15">
        <f t="shared" si="463"/>
        <v>5.4526478099657389E-6</v>
      </c>
      <c r="BN296" s="16">
        <f t="shared" si="464"/>
        <v>27.116724907302995</v>
      </c>
      <c r="BO296" s="17">
        <f t="shared" si="465"/>
        <v>1.3646306481760824E-2</v>
      </c>
      <c r="BP296" s="18">
        <f t="shared" si="515"/>
        <v>0.43761113889244146</v>
      </c>
      <c r="BQ296" s="19">
        <f t="shared" si="516"/>
        <v>968.82510432111269</v>
      </c>
      <c r="BR296" s="15">
        <f t="shared" si="466"/>
        <v>5.4376502086422257E-6</v>
      </c>
      <c r="BS296" s="16">
        <f t="shared" si="467"/>
        <v>27.030488699692796</v>
      </c>
      <c r="BT296" s="17">
        <f t="shared" si="468"/>
        <v>1.3608772081725328E-2</v>
      </c>
      <c r="BU296" s="18">
        <f t="shared" si="517"/>
        <v>0.43900726330015494</v>
      </c>
      <c r="BV296" s="19">
        <f t="shared" si="518"/>
        <v>960.72634826627893</v>
      </c>
      <c r="BW296" s="15">
        <f t="shared" si="469"/>
        <v>5.4214526965325584E-6</v>
      </c>
      <c r="BX296" s="16">
        <f t="shared" si="470"/>
        <v>26.937353005062207</v>
      </c>
      <c r="BY296" s="17">
        <f t="shared" si="471"/>
        <v>1.3568234672709735E-2</v>
      </c>
      <c r="BZ296" s="18">
        <f t="shared" si="519"/>
        <v>0.44052512759838985</v>
      </c>
      <c r="CA296" s="19">
        <f t="shared" si="520"/>
        <v>952.02644245928104</v>
      </c>
      <c r="CB296" s="15">
        <f t="shared" si="472"/>
        <v>5.4040528849185626E-6</v>
      </c>
      <c r="CC296" s="16">
        <f t="shared" si="473"/>
        <v>26.837304088281734</v>
      </c>
      <c r="CD296" s="17">
        <f t="shared" si="474"/>
        <v>1.352468827648449E-2</v>
      </c>
      <c r="CE296" s="18">
        <f t="shared" si="521"/>
        <v>0.44216739619905915</v>
      </c>
      <c r="CF296" s="19">
        <f t="shared" si="522"/>
        <v>942.70496614298622</v>
      </c>
      <c r="CG296" s="15">
        <f t="shared" si="475"/>
        <v>5.3854099322859729E-6</v>
      </c>
      <c r="CH296" s="16">
        <f t="shared" si="476"/>
        <v>26.73010711064434</v>
      </c>
      <c r="CI296" s="17">
        <f t="shared" si="477"/>
        <v>1.3478030679255435E-2</v>
      </c>
      <c r="CJ296" s="18">
        <f t="shared" si="523"/>
        <v>0.44394064043957548</v>
      </c>
      <c r="CK296" s="19">
        <f t="shared" si="524"/>
        <v>932.48289051400093</v>
      </c>
      <c r="CL296" s="15">
        <f t="shared" si="478"/>
        <v>5.3649657810280026E-6</v>
      </c>
      <c r="CM296" s="16">
        <f t="shared" si="479"/>
        <v>26.612553240911012</v>
      </c>
      <c r="CN296" s="17">
        <f t="shared" si="480"/>
        <v>1.3426865233851858E-2</v>
      </c>
      <c r="CO296" s="18">
        <f t="shared" si="525"/>
        <v>0.44590163004260752</v>
      </c>
      <c r="CP296" s="19">
        <f t="shared" si="526"/>
        <v>918.44514816451408</v>
      </c>
      <c r="CQ296" s="15">
        <f t="shared" si="481"/>
        <v>5.3368902963290291E-6</v>
      </c>
      <c r="CR296" s="16">
        <f t="shared" si="482"/>
        <v>26.451119203891913</v>
      </c>
      <c r="CS296" s="17">
        <f t="shared" si="483"/>
        <v>1.3356600899499299E-2</v>
      </c>
      <c r="CT296" s="18">
        <f t="shared" si="527"/>
        <v>0.44862301584470937</v>
      </c>
      <c r="CU296" s="19">
        <f t="shared" si="528"/>
        <v>878.9940615508126</v>
      </c>
      <c r="CV296" s="15">
        <f t="shared" si="484"/>
        <v>5.2579881231016259E-6</v>
      </c>
      <c r="CW296" s="16">
        <f t="shared" si="485"/>
        <v>25.997431707834345</v>
      </c>
      <c r="CX296" s="17">
        <f t="shared" si="486"/>
        <v>1.3159132939810024E-2</v>
      </c>
      <c r="CY296" s="18">
        <f t="shared" si="529"/>
        <v>0.45645204507420228</v>
      </c>
      <c r="CZ296" s="20">
        <f t="shared" si="530"/>
        <v>716.96669929897337</v>
      </c>
      <c r="DA296" s="15">
        <f t="shared" si="487"/>
        <v>4.9339333985979474E-6</v>
      </c>
      <c r="DB296" s="16">
        <f t="shared" si="488"/>
        <v>24.134117041938193</v>
      </c>
      <c r="DC296" s="17">
        <f t="shared" si="489"/>
        <v>1.2348123272294462E-2</v>
      </c>
      <c r="DD296" s="18">
        <f t="shared" si="531"/>
        <v>0.49169318475986401</v>
      </c>
    </row>
    <row r="297" spans="2:108" x14ac:dyDescent="0.25">
      <c r="B297">
        <v>30</v>
      </c>
      <c r="C297">
        <f t="shared" si="490"/>
        <v>2.9328439990357544E-2</v>
      </c>
      <c r="D297" s="19">
        <f t="shared" si="428"/>
        <v>1019.5222142397852</v>
      </c>
      <c r="E297" s="15">
        <f t="shared" si="429"/>
        <v>5.539044428479571E-6</v>
      </c>
      <c r="F297" s="16">
        <f t="shared" si="430"/>
        <v>27.613505463757527</v>
      </c>
      <c r="G297" s="17">
        <f t="shared" si="426"/>
        <v>1.3862530741298123E-2</v>
      </c>
      <c r="H297" s="18">
        <f t="shared" si="491"/>
        <v>0.42973829908313083</v>
      </c>
      <c r="I297" s="19">
        <f t="shared" si="492"/>
        <v>1019.2029603070296</v>
      </c>
      <c r="J297" s="15">
        <f t="shared" si="431"/>
        <v>5.5384059206140596E-6</v>
      </c>
      <c r="K297" s="16">
        <f t="shared" si="432"/>
        <v>27.609834043530839</v>
      </c>
      <c r="L297" s="17">
        <f t="shared" si="433"/>
        <v>1.386093275178414E-2</v>
      </c>
      <c r="M297" s="18">
        <f t="shared" si="493"/>
        <v>0.4297954435730596</v>
      </c>
      <c r="N297" s="19">
        <f t="shared" si="494"/>
        <v>1018.3011567964923</v>
      </c>
      <c r="O297" s="15">
        <f t="shared" si="434"/>
        <v>5.5366023135929848E-6</v>
      </c>
      <c r="P297" s="16">
        <f t="shared" si="435"/>
        <v>27.599463303159659</v>
      </c>
      <c r="Q297" s="17">
        <f t="shared" si="427"/>
        <v>1.3862530741298123E-2</v>
      </c>
      <c r="R297" s="18">
        <f t="shared" si="495"/>
        <v>0.42995694298009707</v>
      </c>
      <c r="S297" s="19">
        <f t="shared" si="496"/>
        <v>1016.8010201453263</v>
      </c>
      <c r="T297" s="15">
        <f t="shared" si="436"/>
        <v>5.533602040290653E-6</v>
      </c>
      <c r="U297" s="16">
        <f t="shared" si="437"/>
        <v>27.582211731671251</v>
      </c>
      <c r="V297" s="17">
        <f t="shared" si="438"/>
        <v>1.3848910111503743E-2</v>
      </c>
      <c r="W297" s="18">
        <f t="shared" si="497"/>
        <v>0.43022586387052159</v>
      </c>
      <c r="X297" s="19">
        <f t="shared" si="498"/>
        <v>1014.7014107492844</v>
      </c>
      <c r="Y297" s="15">
        <f t="shared" si="439"/>
        <v>5.5294028214985694E-6</v>
      </c>
      <c r="Z297" s="16">
        <f t="shared" si="440"/>
        <v>27.55806622361677</v>
      </c>
      <c r="AA297" s="17">
        <f t="shared" si="441"/>
        <v>1.3838400753735209E-2</v>
      </c>
      <c r="AB297" s="18">
        <f t="shared" si="499"/>
        <v>0.43060281419704444</v>
      </c>
      <c r="AC297" s="19">
        <f t="shared" si="500"/>
        <v>1012.001810606196</v>
      </c>
      <c r="AD297" s="15">
        <f t="shared" si="442"/>
        <v>5.5240036212123921E-6</v>
      </c>
      <c r="AE297" s="16">
        <f t="shared" si="443"/>
        <v>27.527020821971256</v>
      </c>
      <c r="AF297" s="17">
        <f t="shared" si="444"/>
        <v>1.3824888210026273E-2</v>
      </c>
      <c r="AG297" s="18">
        <f t="shared" si="501"/>
        <v>0.43108845473921914</v>
      </c>
      <c r="AH297" s="19">
        <f t="shared" si="502"/>
        <v>1008.7023001399145</v>
      </c>
      <c r="AI297" s="15">
        <f t="shared" si="445"/>
        <v>5.5174046002798297E-6</v>
      </c>
      <c r="AJ297" s="16">
        <f t="shared" si="446"/>
        <v>27.489076451609016</v>
      </c>
      <c r="AK297" s="17">
        <f t="shared" si="447"/>
        <v>1.3808372882929461E-2</v>
      </c>
      <c r="AL297" s="18">
        <f t="shared" si="503"/>
        <v>0.4316835049226731</v>
      </c>
      <c r="AM297" s="19">
        <f t="shared" si="504"/>
        <v>1004.8028954091141</v>
      </c>
      <c r="AN297" s="15">
        <f t="shared" si="448"/>
        <v>5.5096057908182285E-6</v>
      </c>
      <c r="AO297" s="16">
        <f t="shared" si="449"/>
        <v>27.444233297204811</v>
      </c>
      <c r="AP297" s="17">
        <f t="shared" si="450"/>
        <v>1.3788854852824647E-2</v>
      </c>
      <c r="AQ297" s="18">
        <f t="shared" si="505"/>
        <v>0.43238886440039509</v>
      </c>
      <c r="AR297" s="19">
        <f t="shared" si="506"/>
        <v>1000.3035984556304</v>
      </c>
      <c r="AS297" s="15">
        <f t="shared" si="451"/>
        <v>5.5006071969112615E-6</v>
      </c>
      <c r="AT297" s="16">
        <f t="shared" si="452"/>
        <v>27.392491382239747</v>
      </c>
      <c r="AU297" s="17">
        <f t="shared" si="453"/>
        <v>1.3766334129932011E-2</v>
      </c>
      <c r="AV297" s="18">
        <f t="shared" si="507"/>
        <v>0.43320560748306886</v>
      </c>
      <c r="AW297" s="19">
        <f t="shared" si="508"/>
        <v>995.20440949884619</v>
      </c>
      <c r="AX297" s="15">
        <f t="shared" si="454"/>
        <v>5.4904088189976926E-6</v>
      </c>
      <c r="AY297" s="16">
        <f t="shared" si="455"/>
        <v>27.333850709236728</v>
      </c>
      <c r="AZ297" s="17">
        <f t="shared" si="456"/>
        <v>1.3740810715349645E-2</v>
      </c>
      <c r="BA297" s="18">
        <f t="shared" si="509"/>
        <v>0.43413498507577314</v>
      </c>
      <c r="BB297" s="19">
        <f t="shared" si="510"/>
        <v>989.50532857717008</v>
      </c>
      <c r="BC297" s="15">
        <f t="shared" si="457"/>
        <v>5.4790106571543408E-6</v>
      </c>
      <c r="BD297" s="16">
        <f t="shared" si="458"/>
        <v>27.268311278637455</v>
      </c>
      <c r="BE297" s="17">
        <f t="shared" si="459"/>
        <v>1.3712284609269805E-2</v>
      </c>
      <c r="BF297" s="18">
        <f t="shared" si="511"/>
        <v>0.43517842921994282</v>
      </c>
      <c r="BG297" s="19">
        <f t="shared" si="512"/>
        <v>983.20635570455204</v>
      </c>
      <c r="BH297" s="15">
        <f t="shared" si="460"/>
        <v>5.466412711409105E-6</v>
      </c>
      <c r="BI297" s="16">
        <f t="shared" si="461"/>
        <v>27.195873090602348</v>
      </c>
      <c r="BJ297" s="17">
        <f t="shared" si="462"/>
        <v>1.3680755811762311E-2</v>
      </c>
      <c r="BK297" s="18">
        <f t="shared" si="513"/>
        <v>0.43633755865033974</v>
      </c>
      <c r="BL297" s="19">
        <f t="shared" si="514"/>
        <v>976.30749078139354</v>
      </c>
      <c r="BM297" s="15">
        <f t="shared" si="463"/>
        <v>5.4526149815627883E-6</v>
      </c>
      <c r="BN297" s="16">
        <f t="shared" si="464"/>
        <v>27.116536143986025</v>
      </c>
      <c r="BO297" s="17">
        <f t="shared" si="465"/>
        <v>1.3646224322328638E-2</v>
      </c>
      <c r="BP297" s="18">
        <f t="shared" si="515"/>
        <v>0.43761418518602713</v>
      </c>
      <c r="BQ297" s="19">
        <f t="shared" si="516"/>
        <v>968.80873074301098</v>
      </c>
      <c r="BR297" s="15">
        <f t="shared" si="466"/>
        <v>5.4376174614860224E-6</v>
      </c>
      <c r="BS297" s="16">
        <f t="shared" si="467"/>
        <v>27.030300403544626</v>
      </c>
      <c r="BT297" s="17">
        <f t="shared" si="468"/>
        <v>1.3608690125628852E-2</v>
      </c>
      <c r="BU297" s="18">
        <f t="shared" si="517"/>
        <v>0.4390103214747022</v>
      </c>
      <c r="BV297" s="19">
        <f t="shared" si="518"/>
        <v>960.71000284187539</v>
      </c>
      <c r="BW297" s="15">
        <f t="shared" si="469"/>
        <v>5.4214200056837512E-6</v>
      </c>
      <c r="BX297" s="16">
        <f t="shared" si="470"/>
        <v>26.937165032681566</v>
      </c>
      <c r="BY297" s="17">
        <f t="shared" si="471"/>
        <v>1.3568152857533419E-2</v>
      </c>
      <c r="BZ297" s="18">
        <f t="shared" si="519"/>
        <v>0.44052820166193241</v>
      </c>
      <c r="CA297" s="19">
        <f t="shared" si="520"/>
        <v>952.00985833335403</v>
      </c>
      <c r="CB297" s="15">
        <f t="shared" si="472"/>
        <v>5.4040197166667083E-6</v>
      </c>
      <c r="CC297" s="16">
        <f t="shared" si="473"/>
        <v>26.837113370833571</v>
      </c>
      <c r="CD297" s="17">
        <f t="shared" si="474"/>
        <v>1.3524605266514647E-2</v>
      </c>
      <c r="CE297" s="18">
        <f t="shared" si="521"/>
        <v>0.44217053845345505</v>
      </c>
      <c r="CF297" s="19">
        <f t="shared" si="522"/>
        <v>942.68452592947983</v>
      </c>
      <c r="CG297" s="15">
        <f t="shared" si="475"/>
        <v>5.3853690518589598E-6</v>
      </c>
      <c r="CH297" s="16">
        <f t="shared" si="476"/>
        <v>26.729872048189016</v>
      </c>
      <c r="CI297" s="17">
        <f t="shared" si="477"/>
        <v>1.3477928368074599E-2</v>
      </c>
      <c r="CJ297" s="18">
        <f t="shared" si="523"/>
        <v>0.44394454445291198</v>
      </c>
      <c r="CK297" s="19">
        <f t="shared" si="524"/>
        <v>932.42184640512039</v>
      </c>
      <c r="CL297" s="15">
        <f t="shared" si="478"/>
        <v>5.3648436928102408E-6</v>
      </c>
      <c r="CM297" s="16">
        <f t="shared" si="479"/>
        <v>26.611851233658882</v>
      </c>
      <c r="CN297" s="17">
        <f t="shared" si="480"/>
        <v>1.3426559684457242E-2</v>
      </c>
      <c r="CO297" s="18">
        <f t="shared" si="525"/>
        <v>0.44591339270335889</v>
      </c>
      <c r="CP297" s="19">
        <f t="shared" si="526"/>
        <v>918.08398518778768</v>
      </c>
      <c r="CQ297" s="15">
        <f t="shared" si="481"/>
        <v>5.3361679703755756E-6</v>
      </c>
      <c r="CR297" s="16">
        <f t="shared" si="482"/>
        <v>26.446965829659558</v>
      </c>
      <c r="CS297" s="17">
        <f t="shared" si="483"/>
        <v>1.3354793138997597E-2</v>
      </c>
      <c r="CT297" s="18">
        <f t="shared" si="527"/>
        <v>0.4486934700240679</v>
      </c>
      <c r="CU297" s="19">
        <f t="shared" si="528"/>
        <v>877.28627277205953</v>
      </c>
      <c r="CV297" s="15">
        <f t="shared" si="484"/>
        <v>5.2545725455441199E-6</v>
      </c>
      <c r="CW297" s="16">
        <f t="shared" si="485"/>
        <v>25.977792136878683</v>
      </c>
      <c r="CX297" s="17">
        <f t="shared" si="486"/>
        <v>1.3150584795901525E-2</v>
      </c>
      <c r="CY297" s="18">
        <f t="shared" si="529"/>
        <v>0.45679712914754683</v>
      </c>
      <c r="CZ297" s="20">
        <f t="shared" si="530"/>
        <v>713.1225511392953</v>
      </c>
      <c r="DA297" s="15">
        <f t="shared" si="487"/>
        <v>4.9262451022785907E-6</v>
      </c>
      <c r="DB297" s="16">
        <f t="shared" si="488"/>
        <v>24.089909338101897</v>
      </c>
      <c r="DC297" s="17">
        <f t="shared" si="489"/>
        <v>1.2328881822717474E-2</v>
      </c>
      <c r="DD297" s="18">
        <f t="shared" si="531"/>
        <v>0.4925954972752461</v>
      </c>
    </row>
    <row r="298" spans="2:108" x14ac:dyDescent="0.25">
      <c r="B298">
        <v>31</v>
      </c>
      <c r="C298">
        <f t="shared" si="490"/>
        <v>3.0306054656702795E-2</v>
      </c>
      <c r="D298" s="19">
        <f t="shared" si="428"/>
        <v>1019.5059147467425</v>
      </c>
      <c r="E298" s="15">
        <f t="shared" si="429"/>
        <v>5.5390118294934859E-6</v>
      </c>
      <c r="F298" s="16">
        <f t="shared" si="430"/>
        <v>27.613318019587538</v>
      </c>
      <c r="G298" s="17">
        <f t="shared" si="426"/>
        <v>1.3862449156026047E-2</v>
      </c>
      <c r="H298" s="18">
        <f t="shared" si="491"/>
        <v>0.42974121622400924</v>
      </c>
      <c r="I298" s="19">
        <f t="shared" si="492"/>
        <v>1019.1864213197646</v>
      </c>
      <c r="J298" s="15">
        <f t="shared" si="431"/>
        <v>5.5383728426395299E-6</v>
      </c>
      <c r="K298" s="16">
        <f t="shared" si="432"/>
        <v>27.609643845177292</v>
      </c>
      <c r="L298" s="17">
        <f t="shared" si="433"/>
        <v>1.3860849967750773E-2</v>
      </c>
      <c r="M298" s="18">
        <f t="shared" si="493"/>
        <v>0.42979840436408567</v>
      </c>
      <c r="N298" s="19">
        <f t="shared" si="494"/>
        <v>1018.2845401575461</v>
      </c>
      <c r="O298" s="15">
        <f t="shared" si="434"/>
        <v>5.536569080315093E-6</v>
      </c>
      <c r="P298" s="16">
        <f t="shared" si="435"/>
        <v>27.59927221181178</v>
      </c>
      <c r="Q298" s="17">
        <f t="shared" si="427"/>
        <v>1.3862449156026047E-2</v>
      </c>
      <c r="R298" s="18">
        <f t="shared" si="495"/>
        <v>0.42995991990829768</v>
      </c>
      <c r="S298" s="19">
        <f t="shared" si="496"/>
        <v>1016.784393102121</v>
      </c>
      <c r="T298" s="15">
        <f t="shared" si="436"/>
        <v>5.5335687862042424E-6</v>
      </c>
      <c r="U298" s="16">
        <f t="shared" si="437"/>
        <v>27.582020520674391</v>
      </c>
      <c r="V298" s="17">
        <f t="shared" si="438"/>
        <v>1.384882688671631E-2</v>
      </c>
      <c r="W298" s="18">
        <f t="shared" si="497"/>
        <v>0.43022884639010328</v>
      </c>
      <c r="X298" s="19">
        <f t="shared" si="498"/>
        <v>1014.6847936535323</v>
      </c>
      <c r="Y298" s="15">
        <f t="shared" si="439"/>
        <v>5.5293695873070645E-6</v>
      </c>
      <c r="Z298" s="16">
        <f t="shared" si="440"/>
        <v>27.55787512701562</v>
      </c>
      <c r="AA298" s="17">
        <f t="shared" si="441"/>
        <v>1.3838317578738627E-2</v>
      </c>
      <c r="AB298" s="18">
        <f t="shared" si="499"/>
        <v>0.43060580015782191</v>
      </c>
      <c r="AC298" s="19">
        <f t="shared" si="500"/>
        <v>1011.9852070968446</v>
      </c>
      <c r="AD298" s="15">
        <f t="shared" si="442"/>
        <v>5.5239704141936898E-6</v>
      </c>
      <c r="AE298" s="16">
        <f t="shared" si="443"/>
        <v>27.526829881613715</v>
      </c>
      <c r="AF298" s="17">
        <f t="shared" si="444"/>
        <v>1.382480510303489E-2</v>
      </c>
      <c r="AG298" s="18">
        <f t="shared" si="501"/>
        <v>0.43109144499214813</v>
      </c>
      <c r="AH298" s="19">
        <f t="shared" si="502"/>
        <v>1008.6857130853291</v>
      </c>
      <c r="AI298" s="15">
        <f t="shared" si="445"/>
        <v>5.5173714261706587E-6</v>
      </c>
      <c r="AJ298" s="16">
        <f t="shared" si="446"/>
        <v>27.488885700481283</v>
      </c>
      <c r="AK298" s="17">
        <f t="shared" si="447"/>
        <v>1.380828985830055E-2</v>
      </c>
      <c r="AL298" s="18">
        <f t="shared" si="503"/>
        <v>0.43168650046480911</v>
      </c>
      <c r="AM298" s="19">
        <f t="shared" si="504"/>
        <v>1004.7863282300417</v>
      </c>
      <c r="AN298" s="15">
        <f t="shared" si="448"/>
        <v>5.5095726564600834E-6</v>
      </c>
      <c r="AO298" s="16">
        <f t="shared" si="449"/>
        <v>27.444042774645478</v>
      </c>
      <c r="AP298" s="17">
        <f t="shared" si="450"/>
        <v>1.378877192768037E-2</v>
      </c>
      <c r="AQ298" s="18">
        <f t="shared" si="505"/>
        <v>0.43239186613865022</v>
      </c>
      <c r="AR298" s="19">
        <f t="shared" si="506"/>
        <v>1000.287054723299</v>
      </c>
      <c r="AS298" s="15">
        <f t="shared" si="451"/>
        <v>5.5005741094465984E-6</v>
      </c>
      <c r="AT298" s="16">
        <f t="shared" si="452"/>
        <v>27.392301129317936</v>
      </c>
      <c r="AU298" s="17">
        <f t="shared" si="453"/>
        <v>1.3766251322147751E-2</v>
      </c>
      <c r="AV298" s="18">
        <f t="shared" si="507"/>
        <v>0.43320861630778129</v>
      </c>
      <c r="AW298" s="19">
        <f t="shared" si="508"/>
        <v>995.18789280768067</v>
      </c>
      <c r="AX298" s="15">
        <f t="shared" si="454"/>
        <v>5.4903757856153615E-6</v>
      </c>
      <c r="AY298" s="16">
        <f t="shared" si="455"/>
        <v>27.333660767288329</v>
      </c>
      <c r="AZ298" s="17">
        <f t="shared" si="456"/>
        <v>1.3740728042916888E-2</v>
      </c>
      <c r="BA298" s="18">
        <f t="shared" si="509"/>
        <v>0.43413800188518026</v>
      </c>
      <c r="BB298" s="19">
        <f t="shared" si="510"/>
        <v>989.48884252530547</v>
      </c>
      <c r="BC298" s="15">
        <f t="shared" si="457"/>
        <v>5.4789776850506117E-6</v>
      </c>
      <c r="BD298" s="16">
        <f t="shared" si="458"/>
        <v>27.26812168904101</v>
      </c>
      <c r="BE298" s="17">
        <f t="shared" si="459"/>
        <v>1.371220209019861E-2</v>
      </c>
      <c r="BF298" s="18">
        <f t="shared" si="511"/>
        <v>0.43518145492533311</v>
      </c>
      <c r="BG298" s="19">
        <f t="shared" si="512"/>
        <v>983.18990388993143</v>
      </c>
      <c r="BH298" s="15">
        <f t="shared" si="460"/>
        <v>5.4663798077798632E-6</v>
      </c>
      <c r="BI298" s="16">
        <f t="shared" si="461"/>
        <v>27.195683894734209</v>
      </c>
      <c r="BJ298" s="17">
        <f t="shared" si="462"/>
        <v>1.3680673464061774E-2</v>
      </c>
      <c r="BK298" s="18">
        <f t="shared" si="513"/>
        <v>0.43634059417845994</v>
      </c>
      <c r="BL298" s="19">
        <f t="shared" si="514"/>
        <v>976.29107676196963</v>
      </c>
      <c r="BM298" s="15">
        <f t="shared" si="463"/>
        <v>5.4525821535239399E-6</v>
      </c>
      <c r="BN298" s="16">
        <f t="shared" si="464"/>
        <v>27.116347382762648</v>
      </c>
      <c r="BO298" s="17">
        <f t="shared" si="465"/>
        <v>1.364614216380769E-2</v>
      </c>
      <c r="BP298" s="18">
        <f t="shared" si="515"/>
        <v>0.43761723148823728</v>
      </c>
      <c r="BQ298" s="19">
        <f t="shared" si="516"/>
        <v>968.79235712942284</v>
      </c>
      <c r="BR298" s="15">
        <f t="shared" si="466"/>
        <v>5.4375847142588461E-6</v>
      </c>
      <c r="BS298" s="16">
        <f t="shared" si="467"/>
        <v>27.030112106988362</v>
      </c>
      <c r="BT298" s="17">
        <f t="shared" si="468"/>
        <v>1.3608608169354755E-2</v>
      </c>
      <c r="BU298" s="18">
        <f t="shared" si="517"/>
        <v>0.43901337969848503</v>
      </c>
      <c r="BV298" s="19">
        <f t="shared" si="518"/>
        <v>960.69365378205077</v>
      </c>
      <c r="BW298" s="15">
        <f t="shared" si="469"/>
        <v>5.421387307564102E-6</v>
      </c>
      <c r="BX298" s="16">
        <f t="shared" si="470"/>
        <v>26.936977018493582</v>
      </c>
      <c r="BY298" s="17">
        <f t="shared" si="471"/>
        <v>1.3568071024160411E-2</v>
      </c>
      <c r="BZ298" s="18">
        <f t="shared" si="519"/>
        <v>0.44053127645210138</v>
      </c>
      <c r="CA298" s="19">
        <f t="shared" si="520"/>
        <v>951.99322337455339</v>
      </c>
      <c r="CB298" s="15">
        <f t="shared" si="472"/>
        <v>5.4039864467491071E-6</v>
      </c>
      <c r="CC298" s="16">
        <f t="shared" si="473"/>
        <v>26.836922068807361</v>
      </c>
      <c r="CD298" s="17">
        <f t="shared" si="474"/>
        <v>1.3524522002106595E-2</v>
      </c>
      <c r="CE298" s="18">
        <f t="shared" si="521"/>
        <v>0.44217369038420629</v>
      </c>
      <c r="CF298" s="19">
        <f t="shared" si="522"/>
        <v>942.66357005465329</v>
      </c>
      <c r="CG298" s="15">
        <f t="shared" si="475"/>
        <v>5.3853271401093068E-6</v>
      </c>
      <c r="CH298" s="16">
        <f t="shared" si="476"/>
        <v>26.729631055628513</v>
      </c>
      <c r="CI298" s="17">
        <f t="shared" si="477"/>
        <v>1.3477823475809246E-2</v>
      </c>
      <c r="CJ298" s="18">
        <f t="shared" si="523"/>
        <v>0.44394854702714381</v>
      </c>
      <c r="CK298" s="19">
        <f t="shared" si="524"/>
        <v>932.35717000958573</v>
      </c>
      <c r="CL298" s="15">
        <f t="shared" si="478"/>
        <v>5.3647143400191722E-6</v>
      </c>
      <c r="CM298" s="16">
        <f t="shared" si="479"/>
        <v>26.611107455110236</v>
      </c>
      <c r="CN298" s="17">
        <f t="shared" si="480"/>
        <v>1.3426235954061897E-2</v>
      </c>
      <c r="CO298" s="18">
        <f t="shared" si="525"/>
        <v>0.44592585595076811</v>
      </c>
      <c r="CP298" s="19">
        <f t="shared" si="526"/>
        <v>917.70816611503699</v>
      </c>
      <c r="CQ298" s="15">
        <f t="shared" si="481"/>
        <v>5.3354163322300746E-6</v>
      </c>
      <c r="CR298" s="16">
        <f t="shared" si="482"/>
        <v>26.442643910322925</v>
      </c>
      <c r="CS298" s="17">
        <f t="shared" si="483"/>
        <v>1.335291201906204E-2</v>
      </c>
      <c r="CT298" s="18">
        <f t="shared" si="527"/>
        <v>0.44876680675207792</v>
      </c>
      <c r="CU298" s="19">
        <f t="shared" si="528"/>
        <v>875.56695541020611</v>
      </c>
      <c r="CV298" s="15">
        <f t="shared" si="484"/>
        <v>5.2511339108204132E-6</v>
      </c>
      <c r="CW298" s="16">
        <f t="shared" si="485"/>
        <v>25.958019987217369</v>
      </c>
      <c r="CX298" s="17">
        <f t="shared" si="486"/>
        <v>1.3141978946971989E-2</v>
      </c>
      <c r="CY298" s="18">
        <f t="shared" si="529"/>
        <v>0.45714507021573353</v>
      </c>
      <c r="CZ298" s="20">
        <f t="shared" si="530"/>
        <v>709.37593552025442</v>
      </c>
      <c r="DA298" s="15">
        <f t="shared" si="487"/>
        <v>4.9187518710405092E-6</v>
      </c>
      <c r="DB298" s="16">
        <f t="shared" si="488"/>
        <v>24.046823258482924</v>
      </c>
      <c r="DC298" s="17">
        <f t="shared" si="489"/>
        <v>1.2310128561260411E-2</v>
      </c>
      <c r="DD298" s="18">
        <f t="shared" si="531"/>
        <v>0.49347810902763473</v>
      </c>
    </row>
    <row r="299" spans="2:108" x14ac:dyDescent="0.25">
      <c r="B299">
        <v>32</v>
      </c>
      <c r="C299">
        <f t="shared" si="490"/>
        <v>3.1283669323048047E-2</v>
      </c>
      <c r="D299" s="19">
        <f t="shared" si="428"/>
        <v>1019.4896030263347</v>
      </c>
      <c r="E299" s="15">
        <f t="shared" si="429"/>
        <v>5.5389792060526702E-6</v>
      </c>
      <c r="F299" s="16">
        <f t="shared" si="430"/>
        <v>27.613130434802848</v>
      </c>
      <c r="G299" s="17">
        <f t="shared" si="426"/>
        <v>1.3862367509551275E-2</v>
      </c>
      <c r="H299" s="18">
        <f t="shared" si="491"/>
        <v>0.42974413559288371</v>
      </c>
      <c r="I299" s="19">
        <f t="shared" si="492"/>
        <v>1019.1698824752344</v>
      </c>
      <c r="J299" s="15">
        <f t="shared" si="431"/>
        <v>5.538339764950469E-6</v>
      </c>
      <c r="K299" s="16">
        <f t="shared" si="432"/>
        <v>27.609453648465195</v>
      </c>
      <c r="L299" s="17">
        <f t="shared" si="433"/>
        <v>1.386076718443185E-2</v>
      </c>
      <c r="M299" s="18">
        <f t="shared" si="493"/>
        <v>0.42980136517035206</v>
      </c>
      <c r="N299" s="19">
        <f t="shared" si="494"/>
        <v>1018.2679242448122</v>
      </c>
      <c r="O299" s="15">
        <f t="shared" si="434"/>
        <v>5.5365358484896256E-6</v>
      </c>
      <c r="P299" s="16">
        <f t="shared" si="435"/>
        <v>27.599081128815339</v>
      </c>
      <c r="Q299" s="17">
        <f t="shared" si="427"/>
        <v>1.3862367509551275E-2</v>
      </c>
      <c r="R299" s="18">
        <f t="shared" si="495"/>
        <v>0.42996289674761567</v>
      </c>
      <c r="S299" s="19">
        <f t="shared" si="496"/>
        <v>1016.7677664379125</v>
      </c>
      <c r="T299" s="15">
        <f t="shared" si="436"/>
        <v>5.5335355328758263E-6</v>
      </c>
      <c r="U299" s="16">
        <f t="shared" si="437"/>
        <v>27.581829314035993</v>
      </c>
      <c r="V299" s="17">
        <f t="shared" si="438"/>
        <v>1.3848743663825904E-2</v>
      </c>
      <c r="W299" s="18">
        <f t="shared" si="497"/>
        <v>0.43023182888305267</v>
      </c>
      <c r="X299" s="19">
        <f t="shared" si="498"/>
        <v>1014.6681767487729</v>
      </c>
      <c r="Y299" s="15">
        <f t="shared" si="439"/>
        <v>5.5293363534975461E-6</v>
      </c>
      <c r="Z299" s="16">
        <f t="shared" si="440"/>
        <v>27.557684032610887</v>
      </c>
      <c r="AA299" s="17">
        <f t="shared" si="441"/>
        <v>1.383823440469804E-2</v>
      </c>
      <c r="AB299" s="18">
        <f t="shared" si="499"/>
        <v>0.43060878612569053</v>
      </c>
      <c r="AC299" s="19">
        <f t="shared" si="500"/>
        <v>1011.968603768552</v>
      </c>
      <c r="AD299" s="15">
        <f t="shared" si="442"/>
        <v>5.5239372075371042E-6</v>
      </c>
      <c r="AE299" s="16">
        <f t="shared" si="443"/>
        <v>27.526638943338348</v>
      </c>
      <c r="AF299" s="17">
        <f t="shared" si="444"/>
        <v>1.3824721996949774E-2</v>
      </c>
      <c r="AG299" s="18">
        <f t="shared" si="501"/>
        <v>0.43109443525395241</v>
      </c>
      <c r="AH299" s="19">
        <f t="shared" si="502"/>
        <v>1008.6691262196001</v>
      </c>
      <c r="AI299" s="15">
        <f t="shared" si="445"/>
        <v>5.5173382524392009E-6</v>
      </c>
      <c r="AJ299" s="16">
        <f t="shared" si="446"/>
        <v>27.488694951525403</v>
      </c>
      <c r="AK299" s="17">
        <f t="shared" si="447"/>
        <v>1.380820683461694E-2</v>
      </c>
      <c r="AL299" s="18">
        <f t="shared" si="503"/>
        <v>0.43168949601441148</v>
      </c>
      <c r="AM299" s="19">
        <f t="shared" si="504"/>
        <v>1004.7697612426221</v>
      </c>
      <c r="AN299" s="15">
        <f t="shared" si="448"/>
        <v>5.5095395224852444E-6</v>
      </c>
      <c r="AO299" s="16">
        <f t="shared" si="449"/>
        <v>27.443852254290153</v>
      </c>
      <c r="AP299" s="17">
        <f t="shared" si="450"/>
        <v>1.3788689003495395E-2</v>
      </c>
      <c r="AQ299" s="18">
        <f t="shared" si="505"/>
        <v>0.43239486788385761</v>
      </c>
      <c r="AR299" s="19">
        <f t="shared" si="506"/>
        <v>1000.2705111835322</v>
      </c>
      <c r="AS299" s="15">
        <f t="shared" si="451"/>
        <v>5.5005410223670652E-6</v>
      </c>
      <c r="AT299" s="16">
        <f t="shared" si="452"/>
        <v>27.39211087861062</v>
      </c>
      <c r="AU299" s="17">
        <f t="shared" si="453"/>
        <v>1.3766168515327351E-2</v>
      </c>
      <c r="AV299" s="18">
        <f t="shared" si="507"/>
        <v>0.43321162513926692</v>
      </c>
      <c r="AW299" s="19">
        <f t="shared" si="508"/>
        <v>995.17137630951231</v>
      </c>
      <c r="AX299" s="15">
        <f t="shared" si="454"/>
        <v>5.4903427526190251E-6</v>
      </c>
      <c r="AY299" s="16">
        <f t="shared" si="455"/>
        <v>27.333470827559388</v>
      </c>
      <c r="AZ299" s="17">
        <f t="shared" si="456"/>
        <v>1.3740645371450156E-2</v>
      </c>
      <c r="BA299" s="18">
        <f t="shared" si="509"/>
        <v>0.43414101870126343</v>
      </c>
      <c r="BB299" s="19">
        <f t="shared" si="510"/>
        <v>989.47235666663994</v>
      </c>
      <c r="BC299" s="15">
        <f t="shared" si="457"/>
        <v>5.4789447133332804E-6</v>
      </c>
      <c r="BD299" s="16">
        <f t="shared" si="458"/>
        <v>27.267932101666361</v>
      </c>
      <c r="BE299" s="17">
        <f t="shared" si="459"/>
        <v>1.3712119572094448E-2</v>
      </c>
      <c r="BF299" s="18">
        <f t="shared" si="511"/>
        <v>0.435184480637339</v>
      </c>
      <c r="BG299" s="19">
        <f t="shared" si="512"/>
        <v>983.17345226799875</v>
      </c>
      <c r="BH299" s="15">
        <f t="shared" si="460"/>
        <v>5.4663469045359978E-6</v>
      </c>
      <c r="BI299" s="16">
        <f t="shared" si="461"/>
        <v>27.195494701081984</v>
      </c>
      <c r="BJ299" s="17">
        <f t="shared" si="462"/>
        <v>1.3680591117325716E-2</v>
      </c>
      <c r="BK299" s="18">
        <f t="shared" si="513"/>
        <v>0.43634362971326207</v>
      </c>
      <c r="BL299" s="19">
        <f t="shared" si="514"/>
        <v>976.2746629216366</v>
      </c>
      <c r="BM299" s="15">
        <f t="shared" si="463"/>
        <v>5.4525493258432738E-6</v>
      </c>
      <c r="BN299" s="16">
        <f t="shared" si="464"/>
        <v>27.116158623598821</v>
      </c>
      <c r="BO299" s="17">
        <f t="shared" si="465"/>
        <v>1.3646060006183161E-2</v>
      </c>
      <c r="BP299" s="18">
        <f t="shared" si="515"/>
        <v>0.43762027779962076</v>
      </c>
      <c r="BQ299" s="19">
        <f t="shared" si="516"/>
        <v>968.77598343218892</v>
      </c>
      <c r="BR299" s="15">
        <f t="shared" si="466"/>
        <v>5.4375519668643783E-6</v>
      </c>
      <c r="BS299" s="16">
        <f t="shared" si="467"/>
        <v>27.029923809470169</v>
      </c>
      <c r="BT299" s="17">
        <f t="shared" si="468"/>
        <v>1.3608526212661978E-2</v>
      </c>
      <c r="BU299" s="18">
        <f t="shared" si="517"/>
        <v>0.43901643798049989</v>
      </c>
      <c r="BV299" s="19">
        <f t="shared" si="518"/>
        <v>960.67730046886402</v>
      </c>
      <c r="BW299" s="15">
        <f t="shared" si="469"/>
        <v>5.4213546009377281E-6</v>
      </c>
      <c r="BX299" s="16">
        <f t="shared" si="470"/>
        <v>26.936788955391936</v>
      </c>
      <c r="BY299" s="17">
        <f t="shared" si="471"/>
        <v>1.3567989169497677E-2</v>
      </c>
      <c r="BZ299" s="18">
        <f t="shared" si="519"/>
        <v>0.4405343520851458</v>
      </c>
      <c r="CA299" s="19">
        <f t="shared" si="520"/>
        <v>951.97653168553472</v>
      </c>
      <c r="CB299" s="15">
        <f t="shared" si="472"/>
        <v>5.4039530633710698E-6</v>
      </c>
      <c r="CC299" s="16">
        <f t="shared" si="473"/>
        <v>26.836730114383649</v>
      </c>
      <c r="CD299" s="17">
        <f t="shared" si="474"/>
        <v>1.3524438453741844E-2</v>
      </c>
      <c r="CE299" s="18">
        <f t="shared" si="521"/>
        <v>0.44217685310915661</v>
      </c>
      <c r="CF299" s="19">
        <f t="shared" si="522"/>
        <v>942.6420611475836</v>
      </c>
      <c r="CG299" s="15">
        <f t="shared" si="475"/>
        <v>5.3852841222951678E-6</v>
      </c>
      <c r="CH299" s="16">
        <f t="shared" si="476"/>
        <v>26.729383703197211</v>
      </c>
      <c r="CI299" s="17">
        <f t="shared" si="477"/>
        <v>1.3477715815403444E-2</v>
      </c>
      <c r="CJ299" s="18">
        <f t="shared" si="523"/>
        <v>0.44395265530564731</v>
      </c>
      <c r="CK299" s="19">
        <f t="shared" si="524"/>
        <v>932.28874922187538</v>
      </c>
      <c r="CL299" s="15">
        <f t="shared" si="478"/>
        <v>5.364577498443751E-6</v>
      </c>
      <c r="CM299" s="16">
        <f t="shared" si="479"/>
        <v>26.610320616051567</v>
      </c>
      <c r="CN299" s="17">
        <f t="shared" si="480"/>
        <v>1.3425893481534288E-2</v>
      </c>
      <c r="CO299" s="18">
        <f t="shared" si="525"/>
        <v>0.44593904150707142</v>
      </c>
      <c r="CP299" s="19">
        <f t="shared" si="526"/>
        <v>917.31787924782975</v>
      </c>
      <c r="CQ299" s="15">
        <f t="shared" si="481"/>
        <v>5.33463575849566E-6</v>
      </c>
      <c r="CR299" s="16">
        <f t="shared" si="482"/>
        <v>26.438155611350041</v>
      </c>
      <c r="CS299" s="17">
        <f t="shared" si="483"/>
        <v>1.3350958482214865E-2</v>
      </c>
      <c r="CT299" s="18">
        <f t="shared" si="527"/>
        <v>0.44884299208162282</v>
      </c>
      <c r="CU299" s="19">
        <f t="shared" si="528"/>
        <v>873.8375759011758</v>
      </c>
      <c r="CV299" s="15">
        <f t="shared" si="484"/>
        <v>5.2476751518023519E-6</v>
      </c>
      <c r="CW299" s="16">
        <f t="shared" si="485"/>
        <v>25.938132122863522</v>
      </c>
      <c r="CX299" s="17">
        <f t="shared" si="486"/>
        <v>1.3133322733100859E-2</v>
      </c>
      <c r="CY299" s="18">
        <f t="shared" si="529"/>
        <v>0.45749558270072727</v>
      </c>
      <c r="CZ299" s="20">
        <f t="shared" si="530"/>
        <v>705.72275803596972</v>
      </c>
      <c r="DA299" s="15">
        <f t="shared" si="487"/>
        <v>4.9114455160719398E-6</v>
      </c>
      <c r="DB299" s="16">
        <f t="shared" si="488"/>
        <v>24.004811717413652</v>
      </c>
      <c r="DC299" s="17">
        <f t="shared" si="489"/>
        <v>1.2291842993836928E-2</v>
      </c>
      <c r="DD299" s="18">
        <f t="shared" si="531"/>
        <v>0.49434175986931833</v>
      </c>
    </row>
    <row r="300" spans="2:108" x14ac:dyDescent="0.25">
      <c r="B300">
        <v>33</v>
      </c>
      <c r="C300">
        <f t="shared" si="490"/>
        <v>3.2261283989393298E-2</v>
      </c>
      <c r="D300" s="19">
        <f t="shared" si="428"/>
        <v>1019.4732797101166</v>
      </c>
      <c r="E300" s="15">
        <f t="shared" si="429"/>
        <v>5.5389465594202338E-6</v>
      </c>
      <c r="F300" s="16">
        <f t="shared" si="430"/>
        <v>27.612942716666339</v>
      </c>
      <c r="G300" s="17">
        <f t="shared" si="426"/>
        <v>1.3862285805034982E-2</v>
      </c>
      <c r="H300" s="18">
        <f t="shared" si="491"/>
        <v>0.42974705707681016</v>
      </c>
      <c r="I300" s="19">
        <f t="shared" si="492"/>
        <v>1019.1533436999015</v>
      </c>
      <c r="J300" s="15">
        <f t="shared" si="431"/>
        <v>5.5383066873998031E-6</v>
      </c>
      <c r="K300" s="16">
        <f t="shared" si="432"/>
        <v>27.609263452548866</v>
      </c>
      <c r="L300" s="17">
        <f t="shared" si="433"/>
        <v>1.3860684401459284E-2</v>
      </c>
      <c r="M300" s="18">
        <f t="shared" si="493"/>
        <v>0.42980432600502366</v>
      </c>
      <c r="N300" s="19">
        <f t="shared" si="494"/>
        <v>1018.2513090462013</v>
      </c>
      <c r="O300" s="15">
        <f t="shared" si="434"/>
        <v>5.5365026180924031E-6</v>
      </c>
      <c r="P300" s="16">
        <f t="shared" si="435"/>
        <v>27.598890054031315</v>
      </c>
      <c r="Q300" s="17">
        <f t="shared" si="427"/>
        <v>1.3862285805034982E-2</v>
      </c>
      <c r="R300" s="18">
        <f t="shared" si="495"/>
        <v>0.42996587350021237</v>
      </c>
      <c r="S300" s="19">
        <f t="shared" si="496"/>
        <v>1016.7511401537377</v>
      </c>
      <c r="T300" s="15">
        <f t="shared" si="436"/>
        <v>5.5335022803074758E-6</v>
      </c>
      <c r="U300" s="16">
        <f t="shared" si="437"/>
        <v>27.58163811176798</v>
      </c>
      <c r="V300" s="17">
        <f t="shared" si="438"/>
        <v>1.3848660442837711E-2</v>
      </c>
      <c r="W300" s="18">
        <f t="shared" si="497"/>
        <v>0.43023481134918173</v>
      </c>
      <c r="X300" s="19">
        <f t="shared" si="498"/>
        <v>1014.6515600371262</v>
      </c>
      <c r="Y300" s="15">
        <f t="shared" si="439"/>
        <v>5.5293031200742526E-6</v>
      </c>
      <c r="Z300" s="16">
        <f t="shared" si="440"/>
        <v>27.55749294042695</v>
      </c>
      <c r="AA300" s="17">
        <f t="shared" si="441"/>
        <v>1.3838151231624058E-2</v>
      </c>
      <c r="AB300" s="18">
        <f t="shared" si="499"/>
        <v>0.43061177210026885</v>
      </c>
      <c r="AC300" s="19">
        <f t="shared" si="500"/>
        <v>1011.9520006215586</v>
      </c>
      <c r="AD300" s="15">
        <f t="shared" si="442"/>
        <v>5.5239040012431181E-6</v>
      </c>
      <c r="AE300" s="16">
        <f t="shared" si="443"/>
        <v>27.526448007147923</v>
      </c>
      <c r="AF300" s="17">
        <f t="shared" si="444"/>
        <v>1.3824638891772136E-2</v>
      </c>
      <c r="AG300" s="18">
        <f t="shared" si="501"/>
        <v>0.43109742552458813</v>
      </c>
      <c r="AH300" s="19">
        <f t="shared" si="502"/>
        <v>1008.6525395426686</v>
      </c>
      <c r="AI300" s="15">
        <f t="shared" si="445"/>
        <v>5.5173050790853377E-6</v>
      </c>
      <c r="AJ300" s="16">
        <f t="shared" si="446"/>
        <v>27.488504204740686</v>
      </c>
      <c r="AK300" s="17">
        <f t="shared" si="447"/>
        <v>1.3808123811878332E-2</v>
      </c>
      <c r="AL300" s="18">
        <f t="shared" si="503"/>
        <v>0.43169249157149048</v>
      </c>
      <c r="AM300" s="19">
        <f t="shared" si="504"/>
        <v>1004.7531944468307</v>
      </c>
      <c r="AN300" s="15">
        <f t="shared" si="448"/>
        <v>5.5095063888936615E-6</v>
      </c>
      <c r="AO300" s="16">
        <f t="shared" si="449"/>
        <v>27.443661736138552</v>
      </c>
      <c r="AP300" s="17">
        <f t="shared" si="450"/>
        <v>1.3788606080269588E-2</v>
      </c>
      <c r="AQ300" s="18">
        <f t="shared" si="505"/>
        <v>0.43239786963602111</v>
      </c>
      <c r="AR300" s="19">
        <f t="shared" si="506"/>
        <v>1000.2539678363225</v>
      </c>
      <c r="AS300" s="15">
        <f t="shared" si="451"/>
        <v>5.5005079356726456E-6</v>
      </c>
      <c r="AT300" s="16">
        <f t="shared" si="452"/>
        <v>27.39192063011771</v>
      </c>
      <c r="AU300" s="17">
        <f t="shared" si="453"/>
        <v>1.3766085709470775E-2</v>
      </c>
      <c r="AV300" s="18">
        <f t="shared" si="507"/>
        <v>0.43321463397752641</v>
      </c>
      <c r="AW300" s="19">
        <f t="shared" si="508"/>
        <v>995.154860004336</v>
      </c>
      <c r="AX300" s="15">
        <f t="shared" si="454"/>
        <v>5.4903097200086722E-6</v>
      </c>
      <c r="AY300" s="16">
        <f t="shared" si="455"/>
        <v>27.333280890049863</v>
      </c>
      <c r="AZ300" s="17">
        <f t="shared" si="456"/>
        <v>1.3740562700949425E-2</v>
      </c>
      <c r="BA300" s="18">
        <f t="shared" si="509"/>
        <v>0.4341440355240227</v>
      </c>
      <c r="BB300" s="19">
        <f t="shared" si="510"/>
        <v>989.45587100116131</v>
      </c>
      <c r="BC300" s="15">
        <f t="shared" si="457"/>
        <v>5.4789117420023232E-6</v>
      </c>
      <c r="BD300" s="16">
        <f t="shared" si="458"/>
        <v>27.267742516513355</v>
      </c>
      <c r="BE300" s="17">
        <f t="shared" si="459"/>
        <v>1.3712037054957264E-2</v>
      </c>
      <c r="BF300" s="18">
        <f t="shared" si="511"/>
        <v>0.43518750635596226</v>
      </c>
      <c r="BG300" s="19">
        <f t="shared" si="512"/>
        <v>983.15700083856359</v>
      </c>
      <c r="BH300" s="15">
        <f t="shared" si="460"/>
        <v>5.4663140016771274E-6</v>
      </c>
      <c r="BI300" s="16">
        <f t="shared" si="461"/>
        <v>27.195305509643482</v>
      </c>
      <c r="BJ300" s="17">
        <f t="shared" si="462"/>
        <v>1.368050877155318E-2</v>
      </c>
      <c r="BK300" s="18">
        <f t="shared" si="513"/>
        <v>0.43634666525478072</v>
      </c>
      <c r="BL300" s="19">
        <f t="shared" si="514"/>
        <v>976.2582492568265</v>
      </c>
      <c r="BM300" s="15">
        <f t="shared" si="463"/>
        <v>5.4525164985136537E-6</v>
      </c>
      <c r="BN300" s="16">
        <f t="shared" si="464"/>
        <v>27.115969866453504</v>
      </c>
      <c r="BO300" s="17">
        <f t="shared" si="465"/>
        <v>1.3645977849437194E-2</v>
      </c>
      <c r="BP300" s="18">
        <f t="shared" si="515"/>
        <v>0.43762332412083949</v>
      </c>
      <c r="BQ300" s="19">
        <f t="shared" si="516"/>
        <v>968.75960959566942</v>
      </c>
      <c r="BR300" s="15">
        <f t="shared" si="466"/>
        <v>5.4375192191913392E-6</v>
      </c>
      <c r="BS300" s="16">
        <f t="shared" si="467"/>
        <v>27.0297355103502</v>
      </c>
      <c r="BT300" s="17">
        <f t="shared" si="468"/>
        <v>1.360844425527202E-2</v>
      </c>
      <c r="BU300" s="18">
        <f t="shared" si="517"/>
        <v>0.4390194963311409</v>
      </c>
      <c r="BV300" s="19">
        <f t="shared" si="518"/>
        <v>960.66094221745232</v>
      </c>
      <c r="BW300" s="15">
        <f t="shared" si="469"/>
        <v>5.4213218844349051E-6</v>
      </c>
      <c r="BX300" s="16">
        <f t="shared" si="470"/>
        <v>26.936600835500698</v>
      </c>
      <c r="BY300" s="17">
        <f t="shared" si="471"/>
        <v>1.3567907290117221E-2</v>
      </c>
      <c r="BZ300" s="18">
        <f t="shared" si="519"/>
        <v>0.44053742868990775</v>
      </c>
      <c r="CA300" s="19">
        <f t="shared" si="520"/>
        <v>951.95977699704292</v>
      </c>
      <c r="CB300" s="15">
        <f t="shared" si="472"/>
        <v>5.4039195539940865E-6</v>
      </c>
      <c r="CC300" s="16">
        <f t="shared" si="473"/>
        <v>26.836537435465992</v>
      </c>
      <c r="CD300" s="17">
        <f t="shared" si="474"/>
        <v>1.3524354590040344E-2</v>
      </c>
      <c r="CE300" s="18">
        <f t="shared" si="521"/>
        <v>0.44218002781668642</v>
      </c>
      <c r="CF300" s="19">
        <f t="shared" si="522"/>
        <v>942.61996120816173</v>
      </c>
      <c r="CG300" s="15">
        <f t="shared" si="475"/>
        <v>5.3852399224163238E-6</v>
      </c>
      <c r="CH300" s="16">
        <f t="shared" si="476"/>
        <v>26.729129553893859</v>
      </c>
      <c r="CI300" s="17">
        <f t="shared" si="477"/>
        <v>1.3477605196651934E-2</v>
      </c>
      <c r="CJ300" s="18">
        <f t="shared" si="523"/>
        <v>0.44395687655265204</v>
      </c>
      <c r="CK300" s="19">
        <f t="shared" si="524"/>
        <v>932.2164770879516</v>
      </c>
      <c r="CL300" s="15">
        <f t="shared" si="478"/>
        <v>5.3644329541759039E-6</v>
      </c>
      <c r="CM300" s="16">
        <f t="shared" si="479"/>
        <v>26.609489486511443</v>
      </c>
      <c r="CN300" s="17">
        <f t="shared" si="480"/>
        <v>1.342553173152806E-2</v>
      </c>
      <c r="CO300" s="18">
        <f t="shared" si="525"/>
        <v>0.44595297011365664</v>
      </c>
      <c r="CP300" s="19">
        <f t="shared" si="526"/>
        <v>916.91332666537789</v>
      </c>
      <c r="CQ300" s="15">
        <f t="shared" si="481"/>
        <v>5.3338266533307559E-6</v>
      </c>
      <c r="CR300" s="16">
        <f t="shared" si="482"/>
        <v>26.433503256651846</v>
      </c>
      <c r="CS300" s="17">
        <f t="shared" si="483"/>
        <v>1.334893353994075E-2</v>
      </c>
      <c r="CT300" s="18">
        <f t="shared" si="527"/>
        <v>0.44892198943519673</v>
      </c>
      <c r="CU300" s="19">
        <f t="shared" si="528"/>
        <v>872.09950728138926</v>
      </c>
      <c r="CV300" s="15">
        <f t="shared" si="484"/>
        <v>5.2441990145627786E-6</v>
      </c>
      <c r="CW300" s="16">
        <f t="shared" si="485"/>
        <v>25.918144333735974</v>
      </c>
      <c r="CX300" s="17">
        <f t="shared" si="486"/>
        <v>1.312462302686691E-2</v>
      </c>
      <c r="CY300" s="18">
        <f t="shared" si="529"/>
        <v>0.45784839828490104</v>
      </c>
      <c r="CZ300" s="20">
        <f t="shared" si="530"/>
        <v>702.15912597983072</v>
      </c>
      <c r="DA300" s="15">
        <f t="shared" si="487"/>
        <v>4.9043182519596621E-6</v>
      </c>
      <c r="DB300" s="16">
        <f t="shared" si="488"/>
        <v>23.963829948768051</v>
      </c>
      <c r="DC300" s="17">
        <f t="shared" si="489"/>
        <v>1.2274005635943608E-2</v>
      </c>
      <c r="DD300" s="18">
        <f t="shared" si="531"/>
        <v>0.49518715894276089</v>
      </c>
    </row>
    <row r="301" spans="2:108" x14ac:dyDescent="0.25">
      <c r="B301">
        <v>34</v>
      </c>
      <c r="C301">
        <f t="shared" si="490"/>
        <v>3.323889865573855E-2</v>
      </c>
      <c r="D301" s="19">
        <f t="shared" si="428"/>
        <v>1019.4569453936444</v>
      </c>
      <c r="E301" s="15">
        <f t="shared" si="429"/>
        <v>5.538913890787289E-6</v>
      </c>
      <c r="F301" s="16">
        <f t="shared" si="430"/>
        <v>27.612754872026912</v>
      </c>
      <c r="G301" s="17">
        <f t="shared" si="426"/>
        <v>1.3862204045458159E-2</v>
      </c>
      <c r="H301" s="18">
        <f t="shared" si="491"/>
        <v>0.42974998056928149</v>
      </c>
      <c r="I301" s="19">
        <f t="shared" si="492"/>
        <v>1019.1368049263905</v>
      </c>
      <c r="J301" s="15">
        <f t="shared" si="431"/>
        <v>5.5382736098527812E-6</v>
      </c>
      <c r="K301" s="16">
        <f t="shared" si="432"/>
        <v>27.609073256653488</v>
      </c>
      <c r="L301" s="17">
        <f t="shared" si="433"/>
        <v>1.3860601618495842E-2</v>
      </c>
      <c r="M301" s="18">
        <f t="shared" si="493"/>
        <v>0.4298072868801629</v>
      </c>
      <c r="N301" s="19">
        <f t="shared" si="494"/>
        <v>1018.2346945492135</v>
      </c>
      <c r="O301" s="15">
        <f t="shared" si="434"/>
        <v>5.5364693890984279E-6</v>
      </c>
      <c r="P301" s="16">
        <f t="shared" si="435"/>
        <v>27.598698987315956</v>
      </c>
      <c r="Q301" s="17">
        <f t="shared" si="427"/>
        <v>1.3862204045458159E-2</v>
      </c>
      <c r="R301" s="18">
        <f t="shared" si="495"/>
        <v>0.42996885016832287</v>
      </c>
      <c r="S301" s="19">
        <f t="shared" si="496"/>
        <v>1016.7345142504953</v>
      </c>
      <c r="T301" s="15">
        <f t="shared" si="436"/>
        <v>5.5334690285009907E-6</v>
      </c>
      <c r="U301" s="16">
        <f t="shared" si="437"/>
        <v>27.581446913880697</v>
      </c>
      <c r="V301" s="17">
        <f t="shared" si="438"/>
        <v>1.3848577223756233E-2</v>
      </c>
      <c r="W301" s="18">
        <f t="shared" si="497"/>
        <v>0.43023779378832727</v>
      </c>
      <c r="X301" s="19">
        <f t="shared" si="498"/>
        <v>1014.6349435206696</v>
      </c>
      <c r="Y301" s="15">
        <f t="shared" si="439"/>
        <v>5.5292698870413397E-6</v>
      </c>
      <c r="Z301" s="16">
        <f t="shared" si="440"/>
        <v>27.557301850487697</v>
      </c>
      <c r="AA301" s="17">
        <f t="shared" si="441"/>
        <v>1.3838068059527078E-2</v>
      </c>
      <c r="AB301" s="18">
        <f t="shared" si="499"/>
        <v>0.4306147580811831</v>
      </c>
      <c r="AC301" s="19">
        <f t="shared" si="500"/>
        <v>1011.9353976561232</v>
      </c>
      <c r="AD301" s="15">
        <f t="shared" si="442"/>
        <v>5.5238707953122466E-6</v>
      </c>
      <c r="AE301" s="16">
        <f t="shared" si="443"/>
        <v>27.526257073045414</v>
      </c>
      <c r="AF301" s="17">
        <f t="shared" si="444"/>
        <v>1.3824555787503259E-2</v>
      </c>
      <c r="AG301" s="18">
        <f t="shared" si="501"/>
        <v>0.43110041580400815</v>
      </c>
      <c r="AH301" s="19">
        <f t="shared" si="502"/>
        <v>1008.6359530544797</v>
      </c>
      <c r="AI301" s="15">
        <f t="shared" si="445"/>
        <v>5.5172719061089598E-6</v>
      </c>
      <c r="AJ301" s="16">
        <f t="shared" si="446"/>
        <v>27.488313460126516</v>
      </c>
      <c r="AK301" s="17">
        <f t="shared" si="447"/>
        <v>1.3808040790084455E-2</v>
      </c>
      <c r="AL301" s="18">
        <f t="shared" si="503"/>
        <v>0.43169548713605516</v>
      </c>
      <c r="AM301" s="19">
        <f t="shared" si="504"/>
        <v>1004.7366278426426</v>
      </c>
      <c r="AN301" s="15">
        <f t="shared" si="448"/>
        <v>5.5094732556852857E-6</v>
      </c>
      <c r="AO301" s="16">
        <f t="shared" si="449"/>
        <v>27.443471220190389</v>
      </c>
      <c r="AP301" s="17">
        <f t="shared" si="450"/>
        <v>1.3788523158002832E-2</v>
      </c>
      <c r="AQ301" s="18">
        <f t="shared" si="505"/>
        <v>0.43240087139514466</v>
      </c>
      <c r="AR301" s="19">
        <f t="shared" si="506"/>
        <v>1000.237424681662</v>
      </c>
      <c r="AS301" s="15">
        <f t="shared" si="451"/>
        <v>5.5004748493633244E-6</v>
      </c>
      <c r="AT301" s="16">
        <f t="shared" si="452"/>
        <v>27.391730383839111</v>
      </c>
      <c r="AU301" s="17">
        <f t="shared" si="453"/>
        <v>1.376600290457798E-2</v>
      </c>
      <c r="AV301" s="18">
        <f t="shared" si="507"/>
        <v>0.43321764282256081</v>
      </c>
      <c r="AW301" s="19">
        <f t="shared" si="508"/>
        <v>995.13834389214674</v>
      </c>
      <c r="AX301" s="15">
        <f t="shared" si="454"/>
        <v>5.4902766877842945E-6</v>
      </c>
      <c r="AY301" s="16">
        <f t="shared" si="455"/>
        <v>27.333090954759687</v>
      </c>
      <c r="AZ301" s="17">
        <f t="shared" si="456"/>
        <v>1.3740480031414671E-2</v>
      </c>
      <c r="BA301" s="18">
        <f t="shared" si="509"/>
        <v>0.43414705235345857</v>
      </c>
      <c r="BB301" s="19">
        <f t="shared" si="510"/>
        <v>989.4393855288547</v>
      </c>
      <c r="BC301" s="15">
        <f t="shared" si="457"/>
        <v>5.4788787710577104E-6</v>
      </c>
      <c r="BD301" s="16">
        <f t="shared" si="458"/>
        <v>27.267552933581829</v>
      </c>
      <c r="BE301" s="17">
        <f t="shared" si="459"/>
        <v>1.3711954538786982E-2</v>
      </c>
      <c r="BF301" s="18">
        <f t="shared" si="511"/>
        <v>0.43519053208120501</v>
      </c>
      <c r="BG301" s="19">
        <f t="shared" si="512"/>
        <v>983.14054960138935</v>
      </c>
      <c r="BH301" s="15">
        <f t="shared" si="460"/>
        <v>5.4662810992027795E-6</v>
      </c>
      <c r="BI301" s="16">
        <f t="shared" si="461"/>
        <v>27.195116320415977</v>
      </c>
      <c r="BJ301" s="17">
        <f t="shared" si="462"/>
        <v>1.3680426426742987E-2</v>
      </c>
      <c r="BK301" s="18">
        <f t="shared" si="513"/>
        <v>0.43634970080305902</v>
      </c>
      <c r="BL301" s="19">
        <f t="shared" si="514"/>
        <v>976.24183576327357</v>
      </c>
      <c r="BM301" s="15">
        <f t="shared" si="463"/>
        <v>5.4524836715265475E-6</v>
      </c>
      <c r="BN301" s="16">
        <f t="shared" si="464"/>
        <v>27.115781111277645</v>
      </c>
      <c r="BO301" s="17">
        <f t="shared" si="465"/>
        <v>1.3645895693548434E-2</v>
      </c>
      <c r="BP301" s="18">
        <f t="shared" si="515"/>
        <v>0.4376263704526846</v>
      </c>
      <c r="BQ301" s="19">
        <f t="shared" si="516"/>
        <v>968.74323555599221</v>
      </c>
      <c r="BR301" s="15">
        <f t="shared" si="466"/>
        <v>5.4374864711119851E-6</v>
      </c>
      <c r="BS301" s="16">
        <f t="shared" si="467"/>
        <v>27.029547208893909</v>
      </c>
      <c r="BT301" s="17">
        <f t="shared" si="468"/>
        <v>1.3608362296865182E-2</v>
      </c>
      <c r="BU301" s="18">
        <f t="shared" si="517"/>
        <v>0.43902255476234064</v>
      </c>
      <c r="BV301" s="19">
        <f t="shared" si="518"/>
        <v>960.64457827251385</v>
      </c>
      <c r="BW301" s="15">
        <f t="shared" si="469"/>
        <v>5.4212891565450286E-6</v>
      </c>
      <c r="BX301" s="16">
        <f t="shared" si="470"/>
        <v>26.93641265013391</v>
      </c>
      <c r="BY301" s="17">
        <f t="shared" si="471"/>
        <v>1.3567825382238458E-2</v>
      </c>
      <c r="BZ301" s="18">
        <f t="shared" si="519"/>
        <v>0.44054050640848441</v>
      </c>
      <c r="CA301" s="19">
        <f t="shared" si="520"/>
        <v>951.94295266831432</v>
      </c>
      <c r="CB301" s="15">
        <f t="shared" si="472"/>
        <v>5.4038859053366296E-6</v>
      </c>
      <c r="CC301" s="16">
        <f t="shared" si="473"/>
        <v>26.836343955685614</v>
      </c>
      <c r="CD301" s="17">
        <f t="shared" si="474"/>
        <v>1.3524270377762498E-2</v>
      </c>
      <c r="CE301" s="18">
        <f t="shared" si="521"/>
        <v>0.4421832157656414</v>
      </c>
      <c r="CF301" s="19">
        <f t="shared" si="522"/>
        <v>942.59723169111533</v>
      </c>
      <c r="CG301" s="15">
        <f t="shared" si="475"/>
        <v>5.3851944633822309E-6</v>
      </c>
      <c r="CH301" s="16">
        <f t="shared" si="476"/>
        <v>26.728868164447825</v>
      </c>
      <c r="CI301" s="17">
        <f t="shared" si="477"/>
        <v>1.3477491426620709E-2</v>
      </c>
      <c r="CJ301" s="18">
        <f t="shared" si="523"/>
        <v>0.44396121813723805</v>
      </c>
      <c r="CK301" s="19">
        <f t="shared" si="524"/>
        <v>932.14025184952527</v>
      </c>
      <c r="CL301" s="15">
        <f t="shared" si="478"/>
        <v>5.3642805036990509E-6</v>
      </c>
      <c r="CM301" s="16">
        <f t="shared" si="479"/>
        <v>26.608612896269541</v>
      </c>
      <c r="CN301" s="17">
        <f t="shared" si="480"/>
        <v>1.3425150194703578E-2</v>
      </c>
      <c r="CO301" s="18">
        <f t="shared" si="525"/>
        <v>0.4459676615229185</v>
      </c>
      <c r="CP301" s="19">
        <f t="shared" si="526"/>
        <v>916.49472263142184</v>
      </c>
      <c r="CQ301" s="15">
        <f t="shared" si="481"/>
        <v>5.3329894452628438E-6</v>
      </c>
      <c r="CR301" s="16">
        <f t="shared" si="482"/>
        <v>26.428689310261351</v>
      </c>
      <c r="CS301" s="17">
        <f t="shared" si="483"/>
        <v>1.334683826471266E-2</v>
      </c>
      <c r="CT301" s="18">
        <f t="shared" si="527"/>
        <v>0.44900375990687186</v>
      </c>
      <c r="CU301" s="19">
        <f t="shared" si="528"/>
        <v>870.3540346236133</v>
      </c>
      <c r="CV301" s="15">
        <f t="shared" si="484"/>
        <v>5.2407080692472269E-6</v>
      </c>
      <c r="CW301" s="16">
        <f t="shared" si="485"/>
        <v>25.898071398171552</v>
      </c>
      <c r="CX301" s="17">
        <f t="shared" si="486"/>
        <v>1.3115886260556785E-2</v>
      </c>
      <c r="CY301" s="18">
        <f t="shared" si="529"/>
        <v>0.45820326491785407</v>
      </c>
      <c r="CZ301" s="20">
        <f t="shared" si="530"/>
        <v>698.68133782908353</v>
      </c>
      <c r="DA301" s="15">
        <f t="shared" si="487"/>
        <v>4.8973626756581676E-6</v>
      </c>
      <c r="DB301" s="16">
        <f t="shared" si="488"/>
        <v>24.134787363949329</v>
      </c>
      <c r="DC301" s="17">
        <f t="shared" si="489"/>
        <v>1.2256597960026233E-2</v>
      </c>
      <c r="DD301" s="18">
        <f t="shared" si="531"/>
        <v>0.49167952842390794</v>
      </c>
    </row>
    <row r="302" spans="2:108" x14ac:dyDescent="0.25">
      <c r="B302">
        <v>35</v>
      </c>
      <c r="C302">
        <f t="shared" si="490"/>
        <v>3.4216513322083801E-2</v>
      </c>
      <c r="D302" s="19">
        <f t="shared" si="428"/>
        <v>1019.4406006386288</v>
      </c>
      <c r="E302" s="15">
        <f t="shared" si="429"/>
        <v>5.5388812012772588E-6</v>
      </c>
      <c r="F302" s="16">
        <f t="shared" si="430"/>
        <v>27.612566907344231</v>
      </c>
      <c r="G302" s="17">
        <f t="shared" si="426"/>
        <v>1.3862122233632392E-2</v>
      </c>
      <c r="H302" s="18">
        <f t="shared" si="491"/>
        <v>0.42975290596984278</v>
      </c>
      <c r="I302" s="19">
        <f t="shared" si="492"/>
        <v>1019.12026609306</v>
      </c>
      <c r="J302" s="15">
        <f t="shared" si="431"/>
        <v>5.5382405321861201E-6</v>
      </c>
      <c r="K302" s="16">
        <f t="shared" si="432"/>
        <v>27.608883060070191</v>
      </c>
      <c r="L302" s="17">
        <f t="shared" si="433"/>
        <v>1.3860518835232977E-2</v>
      </c>
      <c r="M302" s="18">
        <f t="shared" si="493"/>
        <v>0.42981024780680605</v>
      </c>
      <c r="N302" s="19">
        <f t="shared" si="494"/>
        <v>1018.2180807410109</v>
      </c>
      <c r="O302" s="15">
        <f t="shared" si="434"/>
        <v>5.5364361614820221E-6</v>
      </c>
      <c r="P302" s="16">
        <f t="shared" si="435"/>
        <v>27.598507928521624</v>
      </c>
      <c r="Q302" s="17">
        <f t="shared" si="427"/>
        <v>1.3862122233632392E-2</v>
      </c>
      <c r="R302" s="18">
        <f t="shared" si="495"/>
        <v>0.42997182675424289</v>
      </c>
      <c r="S302" s="19">
        <f t="shared" si="496"/>
        <v>1016.7178887289456</v>
      </c>
      <c r="T302" s="15">
        <f t="shared" si="436"/>
        <v>5.5334357774578915E-6</v>
      </c>
      <c r="U302" s="16">
        <f t="shared" si="437"/>
        <v>27.581255720382874</v>
      </c>
      <c r="V302" s="17">
        <f t="shared" si="438"/>
        <v>1.3848494006585275E-2</v>
      </c>
      <c r="W302" s="18">
        <f t="shared" si="497"/>
        <v>0.430240776200351</v>
      </c>
      <c r="X302" s="19">
        <f t="shared" si="498"/>
        <v>1014.6183272014381</v>
      </c>
      <c r="Y302" s="15">
        <f t="shared" si="439"/>
        <v>5.5292366544028765E-6</v>
      </c>
      <c r="Z302" s="16">
        <f t="shared" si="440"/>
        <v>27.557110762816535</v>
      </c>
      <c r="AA302" s="17">
        <f t="shared" si="441"/>
        <v>1.3837984888417285E-2</v>
      </c>
      <c r="AB302" s="18">
        <f t="shared" si="499"/>
        <v>0.43061774406806674</v>
      </c>
      <c r="AC302" s="19">
        <f t="shared" si="500"/>
        <v>1011.918794872523</v>
      </c>
      <c r="AD302" s="15">
        <f t="shared" si="442"/>
        <v>5.523837589745047E-6</v>
      </c>
      <c r="AE302" s="16">
        <f t="shared" si="443"/>
        <v>27.526066141034015</v>
      </c>
      <c r="AF302" s="17">
        <f t="shared" si="444"/>
        <v>1.3824472684144542E-2</v>
      </c>
      <c r="AG302" s="18">
        <f t="shared" si="501"/>
        <v>0.43110340609216202</v>
      </c>
      <c r="AH302" s="19">
        <f t="shared" si="502"/>
        <v>1008.6193667549832</v>
      </c>
      <c r="AI302" s="15">
        <f t="shared" si="445"/>
        <v>5.5172387335099664E-6</v>
      </c>
      <c r="AJ302" s="16">
        <f t="shared" si="446"/>
        <v>27.488122717682305</v>
      </c>
      <c r="AK302" s="17">
        <f t="shared" si="447"/>
        <v>1.3807957769235055E-2</v>
      </c>
      <c r="AL302" s="18">
        <f t="shared" si="503"/>
        <v>0.43169848270811428</v>
      </c>
      <c r="AM302" s="19">
        <f t="shared" si="504"/>
        <v>1004.7200614300331</v>
      </c>
      <c r="AN302" s="15">
        <f t="shared" si="448"/>
        <v>5.5094401228600669E-6</v>
      </c>
      <c r="AO302" s="16">
        <f t="shared" si="449"/>
        <v>27.443280706445378</v>
      </c>
      <c r="AP302" s="17">
        <f t="shared" si="450"/>
        <v>1.3788440236695003E-2</v>
      </c>
      <c r="AQ302" s="18">
        <f t="shared" si="505"/>
        <v>0.43240387316123219</v>
      </c>
      <c r="AR302" s="19">
        <f t="shared" si="506"/>
        <v>1000.2208817195425</v>
      </c>
      <c r="AS302" s="15">
        <f t="shared" si="451"/>
        <v>5.5004417634390857E-6</v>
      </c>
      <c r="AT302" s="16">
        <f t="shared" si="452"/>
        <v>27.39154013977474</v>
      </c>
      <c r="AU302" s="17">
        <f t="shared" si="453"/>
        <v>1.3765920100648929E-2</v>
      </c>
      <c r="AV302" s="18">
        <f t="shared" si="507"/>
        <v>0.43322065167437079</v>
      </c>
      <c r="AW302" s="19">
        <f t="shared" si="508"/>
        <v>995.12182797293917</v>
      </c>
      <c r="AX302" s="15">
        <f t="shared" si="454"/>
        <v>5.4902436559458783E-6</v>
      </c>
      <c r="AY302" s="16">
        <f t="shared" si="455"/>
        <v>27.332901021688798</v>
      </c>
      <c r="AZ302" s="17">
        <f t="shared" si="456"/>
        <v>1.3740397362845857E-2</v>
      </c>
      <c r="BA302" s="18">
        <f t="shared" si="509"/>
        <v>0.43415006918957139</v>
      </c>
      <c r="BB302" s="19">
        <f t="shared" si="510"/>
        <v>989.42290024970225</v>
      </c>
      <c r="BC302" s="15">
        <f t="shared" si="457"/>
        <v>5.4788458004994048E-6</v>
      </c>
      <c r="BD302" s="16">
        <f t="shared" si="458"/>
        <v>27.267363352871577</v>
      </c>
      <c r="BE302" s="17">
        <f t="shared" si="459"/>
        <v>1.3711872023583507E-2</v>
      </c>
      <c r="BF302" s="18">
        <f t="shared" si="511"/>
        <v>0.43519355781306984</v>
      </c>
      <c r="BG302" s="19">
        <f t="shared" si="512"/>
        <v>983.12409855618466</v>
      </c>
      <c r="BH302" s="15">
        <f t="shared" si="460"/>
        <v>5.4662481971123696E-6</v>
      </c>
      <c r="BI302" s="16">
        <f t="shared" si="461"/>
        <v>27.194927133396121</v>
      </c>
      <c r="BJ302" s="17">
        <f t="shared" si="462"/>
        <v>1.3680344082893673E-2</v>
      </c>
      <c r="BK302" s="18">
        <f t="shared" si="513"/>
        <v>0.43635273635815003</v>
      </c>
      <c r="BL302" s="19">
        <f t="shared" si="514"/>
        <v>976.22542243591568</v>
      </c>
      <c r="BM302" s="15">
        <f t="shared" si="463"/>
        <v>5.4524508448718323E-6</v>
      </c>
      <c r="BN302" s="16">
        <f t="shared" si="464"/>
        <v>27.115592358013032</v>
      </c>
      <c r="BO302" s="17">
        <f t="shared" si="465"/>
        <v>1.3645813538491548E-2</v>
      </c>
      <c r="BP302" s="18">
        <f t="shared" si="515"/>
        <v>0.43762941679609518</v>
      </c>
      <c r="BQ302" s="19">
        <f t="shared" si="516"/>
        <v>968.72686124027064</v>
      </c>
      <c r="BR302" s="15">
        <f t="shared" si="466"/>
        <v>5.4374537224805418E-6</v>
      </c>
      <c r="BS302" s="16">
        <f t="shared" si="467"/>
        <v>27.029358904263113</v>
      </c>
      <c r="BT302" s="17">
        <f t="shared" si="468"/>
        <v>1.3608280337076634E-2</v>
      </c>
      <c r="BU302" s="18">
        <f t="shared" si="517"/>
        <v>0.43902561328771594</v>
      </c>
      <c r="BV302" s="19">
        <f t="shared" si="518"/>
        <v>960.62820780488266</v>
      </c>
      <c r="BW302" s="15">
        <f t="shared" si="469"/>
        <v>5.4212564156097655E-6</v>
      </c>
      <c r="BX302" s="16">
        <f t="shared" si="470"/>
        <v>26.936224389756148</v>
      </c>
      <c r="BY302" s="17">
        <f t="shared" si="471"/>
        <v>1.356774344171109E-2</v>
      </c>
      <c r="BZ302" s="18">
        <f t="shared" si="519"/>
        <v>0.44054358539687399</v>
      </c>
      <c r="CA302" s="19">
        <f t="shared" si="520"/>
        <v>951.92605168860075</v>
      </c>
      <c r="CB302" s="15">
        <f t="shared" si="472"/>
        <v>5.403852103377202E-6</v>
      </c>
      <c r="CC302" s="16">
        <f t="shared" si="473"/>
        <v>26.836149594418906</v>
      </c>
      <c r="CD302" s="17">
        <f t="shared" si="474"/>
        <v>1.3524185781816803E-2</v>
      </c>
      <c r="CE302" s="18">
        <f t="shared" si="521"/>
        <v>0.44218641828505018</v>
      </c>
      <c r="CF302" s="19">
        <f t="shared" si="522"/>
        <v>942.5738335883799</v>
      </c>
      <c r="CG302" s="15">
        <f t="shared" si="475"/>
        <v>5.3851476671767602E-6</v>
      </c>
      <c r="CH302" s="16">
        <f t="shared" si="476"/>
        <v>26.728599086266367</v>
      </c>
      <c r="CI302" s="17">
        <f t="shared" si="477"/>
        <v>1.3477374310059308E-2</v>
      </c>
      <c r="CJ302" s="18">
        <f t="shared" si="523"/>
        <v>0.4439656875176507</v>
      </c>
      <c r="CK302" s="19">
        <f t="shared" si="524"/>
        <v>932.05997696612735</v>
      </c>
      <c r="CL302" s="15">
        <f t="shared" si="478"/>
        <v>5.3641199539322553E-6</v>
      </c>
      <c r="CM302" s="16">
        <f t="shared" si="479"/>
        <v>26.607689735110462</v>
      </c>
      <c r="CN302" s="17">
        <f t="shared" si="480"/>
        <v>1.3424748387838432E-2</v>
      </c>
      <c r="CO302" s="18">
        <f t="shared" si="525"/>
        <v>0.44598313449435728</v>
      </c>
      <c r="CP302" s="19">
        <f t="shared" si="526"/>
        <v>916.06229211928689</v>
      </c>
      <c r="CQ302" s="15">
        <f t="shared" si="481"/>
        <v>5.3321245842385749E-6</v>
      </c>
      <c r="CR302" s="16">
        <f t="shared" si="482"/>
        <v>26.423716359371799</v>
      </c>
      <c r="CS302" s="17">
        <f t="shared" si="483"/>
        <v>1.334467378260917E-2</v>
      </c>
      <c r="CT302" s="18">
        <f t="shared" si="527"/>
        <v>0.44908826254143219</v>
      </c>
      <c r="CU302" s="19">
        <f t="shared" si="528"/>
        <v>868.60236016535066</v>
      </c>
      <c r="CV302" s="15">
        <f t="shared" si="484"/>
        <v>5.2372047203307018E-6</v>
      </c>
      <c r="CW302" s="16">
        <f t="shared" si="485"/>
        <v>25.87792714190153</v>
      </c>
      <c r="CX302" s="17">
        <f t="shared" si="486"/>
        <v>1.3107118451834559E-2</v>
      </c>
      <c r="CY302" s="18">
        <f t="shared" si="529"/>
        <v>0.45855994588158244</v>
      </c>
      <c r="CZ302" s="20">
        <f t="shared" si="530"/>
        <v>695.28587328275501</v>
      </c>
      <c r="DA302" s="15">
        <f t="shared" si="487"/>
        <v>4.8905717465655106E-6</v>
      </c>
      <c r="DB302" s="16">
        <f t="shared" si="488"/>
        <v>24.816596644851813</v>
      </c>
      <c r="DC302" s="17">
        <f t="shared" si="489"/>
        <v>1.2239602345615755E-2</v>
      </c>
      <c r="DD302" s="18">
        <f t="shared" si="531"/>
        <v>0.47817116261103487</v>
      </c>
    </row>
    <row r="303" spans="2:108" x14ac:dyDescent="0.25">
      <c r="B303">
        <v>36</v>
      </c>
      <c r="C303">
        <f t="shared" si="490"/>
        <v>3.5194127988429053E-2</v>
      </c>
      <c r="D303" s="19">
        <f t="shared" si="428"/>
        <v>1019.4242459749548</v>
      </c>
      <c r="E303" s="15">
        <f t="shared" si="429"/>
        <v>5.5388484919499102E-6</v>
      </c>
      <c r="F303" s="16">
        <f t="shared" si="430"/>
        <v>27.612378828711982</v>
      </c>
      <c r="G303" s="17">
        <f t="shared" si="426"/>
        <v>1.3862040372209948E-2</v>
      </c>
      <c r="H303" s="18">
        <f t="shared" si="491"/>
        <v>0.42975583318372979</v>
      </c>
      <c r="I303" s="19">
        <f t="shared" si="492"/>
        <v>1019.1037271436016</v>
      </c>
      <c r="J303" s="15">
        <f t="shared" si="431"/>
        <v>5.5382074542872042E-6</v>
      </c>
      <c r="K303" s="16">
        <f t="shared" si="432"/>
        <v>27.608692862151418</v>
      </c>
      <c r="L303" s="17">
        <f t="shared" si="433"/>
        <v>1.386043605138885E-2</v>
      </c>
      <c r="M303" s="18">
        <f t="shared" si="493"/>
        <v>0.42981320879503565</v>
      </c>
      <c r="N303" s="19">
        <f t="shared" si="494"/>
        <v>1018.2014676084848</v>
      </c>
      <c r="O303" s="15">
        <f t="shared" si="434"/>
        <v>5.5364029352169702E-6</v>
      </c>
      <c r="P303" s="16">
        <f t="shared" si="435"/>
        <v>27.598316877497574</v>
      </c>
      <c r="Q303" s="17">
        <f t="shared" si="427"/>
        <v>1.3862040372209948E-2</v>
      </c>
      <c r="R303" s="18">
        <f t="shared" si="495"/>
        <v>0.42997480326031673</v>
      </c>
      <c r="S303" s="19">
        <f t="shared" si="496"/>
        <v>1016.7012635897087</v>
      </c>
      <c r="T303" s="15">
        <f t="shared" si="436"/>
        <v>5.5334025271794183E-6</v>
      </c>
      <c r="U303" s="16">
        <f t="shared" si="437"/>
        <v>27.581064531281648</v>
      </c>
      <c r="V303" s="17">
        <f t="shared" si="438"/>
        <v>1.3848410791327943E-2</v>
      </c>
      <c r="W303" s="18">
        <f t="shared" si="497"/>
        <v>0.43024375858513964</v>
      </c>
      <c r="X303" s="19">
        <f t="shared" si="498"/>
        <v>1014.6017110814237</v>
      </c>
      <c r="Y303" s="15">
        <f t="shared" si="439"/>
        <v>5.5292034221628483E-6</v>
      </c>
      <c r="Z303" s="16">
        <f t="shared" si="440"/>
        <v>27.556919677436369</v>
      </c>
      <c r="AA303" s="17">
        <f t="shared" si="441"/>
        <v>1.3837901718304653E-2</v>
      </c>
      <c r="AB303" s="18">
        <f t="shared" si="499"/>
        <v>0.4306207300605614</v>
      </c>
      <c r="AC303" s="19">
        <f t="shared" si="500"/>
        <v>1011.9021922710518</v>
      </c>
      <c r="AD303" s="15">
        <f t="shared" si="442"/>
        <v>5.5238043845421038E-6</v>
      </c>
      <c r="AE303" s="16">
        <f t="shared" si="443"/>
        <v>27.525875211117096</v>
      </c>
      <c r="AF303" s="17">
        <f t="shared" si="444"/>
        <v>1.3824389581697448E-2</v>
      </c>
      <c r="AG303" s="18">
        <f t="shared" si="501"/>
        <v>0.43110639638899645</v>
      </c>
      <c r="AH303" s="19">
        <f t="shared" si="502"/>
        <v>1008.6027806441331</v>
      </c>
      <c r="AI303" s="15">
        <f t="shared" si="445"/>
        <v>5.517205561288267E-6</v>
      </c>
      <c r="AJ303" s="16">
        <f t="shared" si="446"/>
        <v>27.487931977407527</v>
      </c>
      <c r="AK303" s="17">
        <f t="shared" si="447"/>
        <v>1.3807874749329907E-2</v>
      </c>
      <c r="AL303" s="18">
        <f t="shared" si="503"/>
        <v>0.43170147828767558</v>
      </c>
      <c r="AM303" s="19">
        <f t="shared" si="504"/>
        <v>1004.703495208977</v>
      </c>
      <c r="AN303" s="15">
        <f t="shared" si="448"/>
        <v>5.5094069904179543E-6</v>
      </c>
      <c r="AO303" s="16">
        <f t="shared" si="449"/>
        <v>27.443090194903235</v>
      </c>
      <c r="AP303" s="17">
        <f t="shared" si="450"/>
        <v>1.378835731634597E-2</v>
      </c>
      <c r="AQ303" s="18">
        <f t="shared" si="505"/>
        <v>0.43240687493428764</v>
      </c>
      <c r="AR303" s="19">
        <f t="shared" si="506"/>
        <v>1000.2043389499557</v>
      </c>
      <c r="AS303" s="15">
        <f t="shared" si="451"/>
        <v>5.5004086778999123E-6</v>
      </c>
      <c r="AT303" s="16">
        <f t="shared" si="452"/>
        <v>27.391349897924492</v>
      </c>
      <c r="AU303" s="17">
        <f t="shared" si="453"/>
        <v>1.376583729768358E-2</v>
      </c>
      <c r="AV303" s="18">
        <f t="shared" si="507"/>
        <v>0.43322366053295741</v>
      </c>
      <c r="AW303" s="19">
        <f t="shared" si="508"/>
        <v>995.10531224670785</v>
      </c>
      <c r="AX303" s="15">
        <f t="shared" si="454"/>
        <v>5.4902106244934161E-6</v>
      </c>
      <c r="AY303" s="16">
        <f t="shared" si="455"/>
        <v>27.33271109083714</v>
      </c>
      <c r="AZ303" s="17">
        <f t="shared" si="456"/>
        <v>1.3740314695242971E-2</v>
      </c>
      <c r="BA303" s="18">
        <f t="shared" si="509"/>
        <v>0.43415308603236152</v>
      </c>
      <c r="BB303" s="19">
        <f t="shared" si="510"/>
        <v>989.40641516368237</v>
      </c>
      <c r="BC303" s="15">
        <f t="shared" si="457"/>
        <v>5.4788128303273648E-6</v>
      </c>
      <c r="BD303" s="16">
        <f t="shared" si="458"/>
        <v>27.267173774382346</v>
      </c>
      <c r="BE303" s="17">
        <f t="shared" si="459"/>
        <v>1.3711789509346737E-2</v>
      </c>
      <c r="BF303" s="18">
        <f t="shared" si="511"/>
        <v>0.43519658355156021</v>
      </c>
      <c r="BG303" s="19">
        <f t="shared" si="512"/>
        <v>983.10764770259311</v>
      </c>
      <c r="BH303" s="15">
        <f t="shared" si="460"/>
        <v>5.4662152954051871E-6</v>
      </c>
      <c r="BI303" s="16">
        <f t="shared" si="461"/>
        <v>27.194737948579821</v>
      </c>
      <c r="BJ303" s="17">
        <f t="shared" si="462"/>
        <v>1.368026174000346E-2</v>
      </c>
      <c r="BK303" s="18">
        <f t="shared" si="513"/>
        <v>0.43635577192011893</v>
      </c>
      <c r="BL303" s="19">
        <f t="shared" si="514"/>
        <v>976.20900926878664</v>
      </c>
      <c r="BM303" s="15">
        <f t="shared" si="463"/>
        <v>5.4524180185375733E-6</v>
      </c>
      <c r="BN303" s="16">
        <f t="shared" si="464"/>
        <v>27.115403606591045</v>
      </c>
      <c r="BO303" s="17">
        <f t="shared" si="465"/>
        <v>1.3645731384236663E-2</v>
      </c>
      <c r="BP303" s="18">
        <f t="shared" si="515"/>
        <v>0.4376324631521783</v>
      </c>
      <c r="BQ303" s="19">
        <f t="shared" si="516"/>
        <v>968.71048656579217</v>
      </c>
      <c r="BR303" s="15">
        <f t="shared" si="466"/>
        <v>5.4374209731315844E-6</v>
      </c>
      <c r="BS303" s="16">
        <f t="shared" si="467"/>
        <v>27.02917059550661</v>
      </c>
      <c r="BT303" s="17">
        <f t="shared" si="468"/>
        <v>1.3608198375492368E-2</v>
      </c>
      <c r="BU303" s="18">
        <f t="shared" si="517"/>
        <v>0.43902867192271988</v>
      </c>
      <c r="BV303" s="19">
        <f t="shared" si="518"/>
        <v>960.61182990820782</v>
      </c>
      <c r="BW303" s="15">
        <f t="shared" si="469"/>
        <v>5.4212236598164163E-6</v>
      </c>
      <c r="BX303" s="16">
        <f t="shared" si="470"/>
        <v>26.936036043944391</v>
      </c>
      <c r="BY303" s="17">
        <f t="shared" si="471"/>
        <v>1.3567661463998487E-2</v>
      </c>
      <c r="BZ303" s="18">
        <f t="shared" si="519"/>
        <v>0.44054666582560048</v>
      </c>
      <c r="CA303" s="19">
        <f t="shared" si="520"/>
        <v>951.90906667976162</v>
      </c>
      <c r="CB303" s="15">
        <f t="shared" si="472"/>
        <v>5.4038181333595243E-6</v>
      </c>
      <c r="CC303" s="16">
        <f t="shared" si="473"/>
        <v>26.835954266817257</v>
      </c>
      <c r="CD303" s="17">
        <f t="shared" si="474"/>
        <v>1.3524100765272808E-2</v>
      </c>
      <c r="CE303" s="18">
        <f t="shared" si="521"/>
        <v>0.44218963677363854</v>
      </c>
      <c r="CF303" s="19">
        <f t="shared" si="522"/>
        <v>942.54972750956892</v>
      </c>
      <c r="CG303" s="15">
        <f t="shared" si="475"/>
        <v>5.3850994550191384E-6</v>
      </c>
      <c r="CH303" s="16">
        <f t="shared" si="476"/>
        <v>26.728321866360041</v>
      </c>
      <c r="CI303" s="17">
        <f t="shared" si="477"/>
        <v>1.3477253649803598E-2</v>
      </c>
      <c r="CJ303" s="18">
        <f t="shared" si="523"/>
        <v>0.44397029222597928</v>
      </c>
      <c r="CK303" s="19">
        <f t="shared" si="524"/>
        <v>931.97556111720132</v>
      </c>
      <c r="CL303" s="15">
        <f t="shared" si="478"/>
        <v>5.363951122234403E-6</v>
      </c>
      <c r="CM303" s="16">
        <f t="shared" si="479"/>
        <v>26.606718952847814</v>
      </c>
      <c r="CN303" s="17">
        <f t="shared" si="480"/>
        <v>1.3424325853837881E-2</v>
      </c>
      <c r="CO303" s="18">
        <f t="shared" si="525"/>
        <v>0.44599940679449224</v>
      </c>
      <c r="CP303" s="19">
        <f t="shared" si="526"/>
        <v>915.61626944742056</v>
      </c>
      <c r="CQ303" s="15">
        <f t="shared" si="481"/>
        <v>5.331232538894842E-6</v>
      </c>
      <c r="CR303" s="16">
        <f t="shared" si="482"/>
        <v>26.418587098645336</v>
      </c>
      <c r="CS303" s="17">
        <f t="shared" si="483"/>
        <v>1.334244126648481E-2</v>
      </c>
      <c r="CT303" s="18">
        <f t="shared" si="527"/>
        <v>0.44917545459220948</v>
      </c>
      <c r="CU303" s="19">
        <f t="shared" si="528"/>
        <v>866.84560814686154</v>
      </c>
      <c r="CV303" s="15">
        <f t="shared" si="484"/>
        <v>5.2336912162937229E-6</v>
      </c>
      <c r="CW303" s="16">
        <f t="shared" si="485"/>
        <v>25.857724493688906</v>
      </c>
      <c r="CX303" s="17">
        <f t="shared" si="486"/>
        <v>1.3098325227957916E-2</v>
      </c>
      <c r="CY303" s="18">
        <f t="shared" si="529"/>
        <v>0.45891821891033663</v>
      </c>
      <c r="CZ303" s="20">
        <f t="shared" si="530"/>
        <v>691.96938382481369</v>
      </c>
      <c r="DA303" s="15">
        <f t="shared" si="487"/>
        <v>4.8839387676496282E-6</v>
      </c>
      <c r="DB303" s="16">
        <f t="shared" si="488"/>
        <v>25.482547728006153</v>
      </c>
      <c r="DC303" s="17">
        <f t="shared" si="489"/>
        <v>1.2223002032093261E-2</v>
      </c>
      <c r="DD303" s="18">
        <f t="shared" si="531"/>
        <v>0.46567482170066293</v>
      </c>
    </row>
    <row r="304" spans="2:108" x14ac:dyDescent="0.25">
      <c r="B304">
        <v>37</v>
      </c>
      <c r="C304">
        <f t="shared" si="490"/>
        <v>3.6171742654774304E-2</v>
      </c>
      <c r="D304" s="19">
        <f t="shared" si="428"/>
        <v>1019.4078819025797</v>
      </c>
      <c r="E304" s="15">
        <f t="shared" si="429"/>
        <v>5.5388157638051598E-6</v>
      </c>
      <c r="F304" s="16">
        <f t="shared" si="430"/>
        <v>27.612190641879664</v>
      </c>
      <c r="G304" s="17">
        <f t="shared" si="426"/>
        <v>1.3861958463693312E-2</v>
      </c>
      <c r="H304" s="18">
        <f t="shared" si="491"/>
        <v>0.42975876212152997</v>
      </c>
      <c r="I304" s="19">
        <f t="shared" si="492"/>
        <v>1019.0871880266662</v>
      </c>
      <c r="J304" s="15">
        <f t="shared" si="431"/>
        <v>5.5381743760533326E-6</v>
      </c>
      <c r="K304" s="16">
        <f t="shared" si="432"/>
        <v>27.608502662306663</v>
      </c>
      <c r="L304" s="17">
        <f t="shared" si="433"/>
        <v>1.3860353266706432E-2</v>
      </c>
      <c r="M304" s="18">
        <f t="shared" si="493"/>
        <v>0.42981616985404664</v>
      </c>
      <c r="N304" s="19">
        <f t="shared" si="494"/>
        <v>1018.1848551383156</v>
      </c>
      <c r="O304" s="15">
        <f t="shared" si="434"/>
        <v>5.5363697102766313E-6</v>
      </c>
      <c r="P304" s="16">
        <f t="shared" si="435"/>
        <v>27.598125834090631</v>
      </c>
      <c r="Q304" s="17">
        <f t="shared" si="427"/>
        <v>1.3861958463693312E-2</v>
      </c>
      <c r="R304" s="18">
        <f t="shared" si="495"/>
        <v>0.42997777968892675</v>
      </c>
      <c r="S304" s="19">
        <f t="shared" si="496"/>
        <v>1016.6846388332656</v>
      </c>
      <c r="T304" s="15">
        <f t="shared" si="436"/>
        <v>5.5333692776665316E-6</v>
      </c>
      <c r="U304" s="16">
        <f t="shared" si="437"/>
        <v>27.580873346582553</v>
      </c>
      <c r="V304" s="17">
        <f t="shared" si="438"/>
        <v>1.3848327577986638E-2</v>
      </c>
      <c r="W304" s="18">
        <f t="shared" si="497"/>
        <v>0.43024674094260484</v>
      </c>
      <c r="X304" s="19">
        <f t="shared" si="498"/>
        <v>1014.5850951625753</v>
      </c>
      <c r="Y304" s="15">
        <f t="shared" si="439"/>
        <v>5.5291701903251514E-6</v>
      </c>
      <c r="Z304" s="16">
        <f t="shared" si="440"/>
        <v>27.556728594369616</v>
      </c>
      <c r="AA304" s="17">
        <f t="shared" si="441"/>
        <v>1.3837818549198931E-2</v>
      </c>
      <c r="AB304" s="18">
        <f t="shared" si="499"/>
        <v>0.43062371605831595</v>
      </c>
      <c r="AC304" s="19">
        <f t="shared" si="500"/>
        <v>1011.8855898520194</v>
      </c>
      <c r="AD304" s="15">
        <f t="shared" si="442"/>
        <v>5.5237711797040395E-6</v>
      </c>
      <c r="AE304" s="16">
        <f t="shared" si="443"/>
        <v>27.525684283298222</v>
      </c>
      <c r="AF304" s="17">
        <f t="shared" si="444"/>
        <v>1.3824306480163532E-2</v>
      </c>
      <c r="AG304" s="18">
        <f t="shared" si="501"/>
        <v>0.43110938669445509</v>
      </c>
      <c r="AH304" s="19">
        <f t="shared" si="502"/>
        <v>1008.5861947218882</v>
      </c>
      <c r="AI304" s="15">
        <f t="shared" si="445"/>
        <v>5.5171723894437766E-6</v>
      </c>
      <c r="AJ304" s="16">
        <f t="shared" si="446"/>
        <v>27.487741239301712</v>
      </c>
      <c r="AK304" s="17">
        <f t="shared" si="447"/>
        <v>1.3807791730368797E-2</v>
      </c>
      <c r="AL304" s="18">
        <f t="shared" si="503"/>
        <v>0.43170447387474581</v>
      </c>
      <c r="AM304" s="19">
        <f t="shared" si="504"/>
        <v>1004.6869291794493</v>
      </c>
      <c r="AN304" s="15">
        <f t="shared" si="448"/>
        <v>5.5093738583588988E-6</v>
      </c>
      <c r="AO304" s="16">
        <f t="shared" si="449"/>
        <v>27.442899685563667</v>
      </c>
      <c r="AP304" s="17">
        <f t="shared" si="450"/>
        <v>1.378827439695561E-2</v>
      </c>
      <c r="AQ304" s="18">
        <f t="shared" si="505"/>
        <v>0.43240987671431497</v>
      </c>
      <c r="AR304" s="19">
        <f t="shared" si="506"/>
        <v>1000.1877963728933</v>
      </c>
      <c r="AS304" s="15">
        <f t="shared" si="451"/>
        <v>5.5003755927457874E-6</v>
      </c>
      <c r="AT304" s="16">
        <f t="shared" si="452"/>
        <v>27.391159658288274</v>
      </c>
      <c r="AU304" s="17">
        <f t="shared" si="453"/>
        <v>1.3765754495681888E-2</v>
      </c>
      <c r="AV304" s="18">
        <f t="shared" si="507"/>
        <v>0.43322666939832161</v>
      </c>
      <c r="AW304" s="19">
        <f t="shared" si="508"/>
        <v>995.08879671344698</v>
      </c>
      <c r="AX304" s="15">
        <f t="shared" si="454"/>
        <v>5.4901775934268943E-6</v>
      </c>
      <c r="AY304" s="16">
        <f t="shared" si="455"/>
        <v>27.332521162204639</v>
      </c>
      <c r="AZ304" s="17">
        <f t="shared" si="456"/>
        <v>1.3740232028605975E-2</v>
      </c>
      <c r="BA304" s="18">
        <f t="shared" si="509"/>
        <v>0.43415610288182949</v>
      </c>
      <c r="BB304" s="19">
        <f t="shared" si="510"/>
        <v>989.38993027076879</v>
      </c>
      <c r="BC304" s="15">
        <f t="shared" si="457"/>
        <v>5.478779860541538E-6</v>
      </c>
      <c r="BD304" s="16">
        <f t="shared" si="458"/>
        <v>27.266984198113839</v>
      </c>
      <c r="BE304" s="17">
        <f t="shared" si="459"/>
        <v>1.371170699607654E-2</v>
      </c>
      <c r="BF304" s="18">
        <f t="shared" si="511"/>
        <v>0.43519960929668028</v>
      </c>
      <c r="BG304" s="19">
        <f t="shared" si="512"/>
        <v>983.09119704018258</v>
      </c>
      <c r="BH304" s="15">
        <f t="shared" si="460"/>
        <v>5.4661823940803654E-6</v>
      </c>
      <c r="BI304" s="16">
        <f t="shared" si="461"/>
        <v>27.194548765962097</v>
      </c>
      <c r="BJ304" s="17">
        <f t="shared" si="462"/>
        <v>1.368017939807018E-2</v>
      </c>
      <c r="BK304" s="18">
        <f t="shared" si="513"/>
        <v>0.43635880748904493</v>
      </c>
      <c r="BL304" s="19">
        <f t="shared" si="514"/>
        <v>976.19259625490042</v>
      </c>
      <c r="BM304" s="15">
        <f t="shared" si="463"/>
        <v>5.4523851925098013E-6</v>
      </c>
      <c r="BN304" s="16">
        <f t="shared" si="464"/>
        <v>27.115214856931352</v>
      </c>
      <c r="BO304" s="17">
        <f t="shared" si="465"/>
        <v>1.3645649230748822E-2</v>
      </c>
      <c r="BP304" s="18">
        <f t="shared" si="515"/>
        <v>0.43763550952223018</v>
      </c>
      <c r="BQ304" s="19">
        <f t="shared" si="516"/>
        <v>968.6941114391816</v>
      </c>
      <c r="BR304" s="15">
        <f t="shared" si="466"/>
        <v>5.4373882228783635E-6</v>
      </c>
      <c r="BS304" s="16">
        <f t="shared" si="467"/>
        <v>27.02898228155059</v>
      </c>
      <c r="BT304" s="17">
        <f t="shared" si="468"/>
        <v>1.3608116411645006E-2</v>
      </c>
      <c r="BU304" s="18">
        <f t="shared" si="517"/>
        <v>0.43903173068479812</v>
      </c>
      <c r="BV304" s="19">
        <f t="shared" si="518"/>
        <v>960.59544359574897</v>
      </c>
      <c r="BW304" s="15">
        <f t="shared" si="469"/>
        <v>5.4211908871914984E-6</v>
      </c>
      <c r="BX304" s="16">
        <f t="shared" si="470"/>
        <v>26.935847601351114</v>
      </c>
      <c r="BY304" s="17">
        <f t="shared" si="471"/>
        <v>1.3567579444161624E-2</v>
      </c>
      <c r="BZ304" s="18">
        <f t="shared" si="519"/>
        <v>0.44054974788031787</v>
      </c>
      <c r="CA304" s="19">
        <f t="shared" si="520"/>
        <v>951.89198989987017</v>
      </c>
      <c r="CB304" s="15">
        <f t="shared" si="472"/>
        <v>5.4037839797997408E-6</v>
      </c>
      <c r="CC304" s="16">
        <f t="shared" si="473"/>
        <v>26.835757883848508</v>
      </c>
      <c r="CD304" s="17">
        <f t="shared" si="474"/>
        <v>1.352401528937917E-2</v>
      </c>
      <c r="CE304" s="18">
        <f t="shared" si="521"/>
        <v>0.44219287269915236</v>
      </c>
      <c r="CF304" s="19">
        <f t="shared" si="522"/>
        <v>942.5248737603298</v>
      </c>
      <c r="CG304" s="15">
        <f t="shared" si="475"/>
        <v>5.3850497475206604E-6</v>
      </c>
      <c r="CH304" s="16">
        <f t="shared" si="476"/>
        <v>26.728036048243794</v>
      </c>
      <c r="CI304" s="17">
        <f t="shared" si="477"/>
        <v>1.3477129247167976E-2</v>
      </c>
      <c r="CJ304" s="18">
        <f t="shared" si="523"/>
        <v>0.44397503985324094</v>
      </c>
      <c r="CK304" s="19">
        <f t="shared" si="524"/>
        <v>931.88691818626251</v>
      </c>
      <c r="CL304" s="15">
        <f t="shared" si="478"/>
        <v>5.3637738363725257E-6</v>
      </c>
      <c r="CM304" s="16">
        <f t="shared" si="479"/>
        <v>26.605699559142018</v>
      </c>
      <c r="CN304" s="17">
        <f t="shared" si="480"/>
        <v>1.3423882161655592E-2</v>
      </c>
      <c r="CO304" s="18">
        <f t="shared" si="525"/>
        <v>0.4460164952001951</v>
      </c>
      <c r="CP304" s="19">
        <f t="shared" si="526"/>
        <v>915.15689701819167</v>
      </c>
      <c r="CQ304" s="15">
        <f t="shared" si="481"/>
        <v>5.3303137940363846E-6</v>
      </c>
      <c r="CR304" s="16">
        <f t="shared" si="482"/>
        <v>26.413304315709205</v>
      </c>
      <c r="CS304" s="17">
        <f t="shared" si="483"/>
        <v>1.3340141929657271E-2</v>
      </c>
      <c r="CT304" s="18">
        <f t="shared" si="527"/>
        <v>0.44926529175905866</v>
      </c>
      <c r="CU304" s="19">
        <f t="shared" si="528"/>
        <v>865.08482937497422</v>
      </c>
      <c r="CV304" s="15">
        <f t="shared" si="484"/>
        <v>5.2301696587499487E-6</v>
      </c>
      <c r="CW304" s="16">
        <f t="shared" si="485"/>
        <v>25.837475537812203</v>
      </c>
      <c r="CX304" s="17">
        <f t="shared" si="486"/>
        <v>1.3089511848621796E-2</v>
      </c>
      <c r="CY304" s="18">
        <f t="shared" si="529"/>
        <v>0.4592778753617624</v>
      </c>
      <c r="CZ304" s="20">
        <f t="shared" si="530"/>
        <v>688.72868378572798</v>
      </c>
      <c r="DA304" s="15">
        <f t="shared" si="487"/>
        <v>4.8774573675714562E-6</v>
      </c>
      <c r="DB304" s="16">
        <f t="shared" si="488"/>
        <v>26.133280295854263</v>
      </c>
      <c r="DC304" s="17">
        <f t="shared" si="489"/>
        <v>1.2206781073949586E-2</v>
      </c>
      <c r="DD304" s="18">
        <f t="shared" si="531"/>
        <v>0.45407927115833185</v>
      </c>
    </row>
    <row r="305" spans="2:108" x14ac:dyDescent="0.25">
      <c r="B305">
        <v>38</v>
      </c>
      <c r="C305">
        <f t="shared" si="490"/>
        <v>3.7149357321119555E-2</v>
      </c>
      <c r="D305" s="19">
        <f t="shared" si="428"/>
        <v>1019.3915088933135</v>
      </c>
      <c r="E305" s="15">
        <f t="shared" si="429"/>
        <v>5.5387830177866276E-6</v>
      </c>
      <c r="F305" s="16">
        <f t="shared" si="430"/>
        <v>27.612002352273102</v>
      </c>
      <c r="G305" s="17">
        <f t="shared" si="426"/>
        <v>1.386187651044408E-2</v>
      </c>
      <c r="H305" s="18">
        <f t="shared" si="491"/>
        <v>0.42976169269886383</v>
      </c>
      <c r="I305" s="19">
        <f t="shared" si="492"/>
        <v>1019.0706486955146</v>
      </c>
      <c r="J305" s="15">
        <f t="shared" si="431"/>
        <v>5.53814129739103E-6</v>
      </c>
      <c r="K305" s="16">
        <f t="shared" si="432"/>
        <v>27.608312459998416</v>
      </c>
      <c r="L305" s="17">
        <f t="shared" si="433"/>
        <v>1.3860270480951781E-2</v>
      </c>
      <c r="M305" s="18">
        <f t="shared" si="493"/>
        <v>0.42981913099220914</v>
      </c>
      <c r="N305" s="19">
        <f t="shared" si="494"/>
        <v>1018.168243317028</v>
      </c>
      <c r="O305" s="15">
        <f t="shared" si="434"/>
        <v>5.5363364866340569E-6</v>
      </c>
      <c r="P305" s="16">
        <f t="shared" si="435"/>
        <v>27.597934798145822</v>
      </c>
      <c r="Q305" s="17">
        <f t="shared" si="427"/>
        <v>1.386187651044408E-2</v>
      </c>
      <c r="R305" s="18">
        <f t="shared" si="495"/>
        <v>0.42998075604248326</v>
      </c>
      <c r="S305" s="19">
        <f t="shared" si="496"/>
        <v>1016.6680144599586</v>
      </c>
      <c r="T305" s="15">
        <f t="shared" si="436"/>
        <v>5.5333360289199174E-6</v>
      </c>
      <c r="U305" s="16">
        <f t="shared" si="437"/>
        <v>27.580682166289524</v>
      </c>
      <c r="V305" s="17">
        <f t="shared" si="438"/>
        <v>1.3848244366563081E-2</v>
      </c>
      <c r="W305" s="18">
        <f t="shared" si="497"/>
        <v>0.43024972327268329</v>
      </c>
      <c r="X305" s="19">
        <f t="shared" si="498"/>
        <v>1014.5684794467984</v>
      </c>
      <c r="Y305" s="15">
        <f t="shared" si="439"/>
        <v>5.5291369588935975E-6</v>
      </c>
      <c r="Z305" s="16">
        <f t="shared" si="440"/>
        <v>27.556537513638183</v>
      </c>
      <c r="AA305" s="17">
        <f t="shared" si="441"/>
        <v>1.3837735381109665E-2</v>
      </c>
      <c r="AB305" s="18">
        <f t="shared" si="499"/>
        <v>0.43062670206098763</v>
      </c>
      <c r="AC305" s="19">
        <f t="shared" si="500"/>
        <v>1011.8689876157507</v>
      </c>
      <c r="AD305" s="15">
        <f t="shared" si="442"/>
        <v>5.5237379752315021E-6</v>
      </c>
      <c r="AE305" s="16">
        <f t="shared" si="443"/>
        <v>27.525493357581134</v>
      </c>
      <c r="AF305" s="17">
        <f t="shared" si="444"/>
        <v>1.382422337954442E-2</v>
      </c>
      <c r="AG305" s="18">
        <f t="shared" si="501"/>
        <v>0.43111237700847888</v>
      </c>
      <c r="AH305" s="19">
        <f t="shared" si="502"/>
        <v>1008.5696089882121</v>
      </c>
      <c r="AI305" s="15">
        <f t="shared" si="445"/>
        <v>5.5171392179764244E-6</v>
      </c>
      <c r="AJ305" s="16">
        <f t="shared" si="446"/>
        <v>27.487550503364439</v>
      </c>
      <c r="AK305" s="17">
        <f t="shared" si="447"/>
        <v>1.3807708712351548E-2</v>
      </c>
      <c r="AL305" s="18">
        <f t="shared" si="503"/>
        <v>0.43170746946933103</v>
      </c>
      <c r="AM305" s="19">
        <f t="shared" si="504"/>
        <v>1004.6703633414251</v>
      </c>
      <c r="AN305" s="15">
        <f t="shared" si="448"/>
        <v>5.5093407266828505E-6</v>
      </c>
      <c r="AO305" s="16">
        <f t="shared" si="449"/>
        <v>27.442709178426387</v>
      </c>
      <c r="AP305" s="17">
        <f t="shared" si="450"/>
        <v>1.3788191478523802E-2</v>
      </c>
      <c r="AQ305" s="18">
        <f t="shared" si="505"/>
        <v>0.43241287850131815</v>
      </c>
      <c r="AR305" s="19">
        <f t="shared" si="506"/>
        <v>1000.1712539883467</v>
      </c>
      <c r="AS305" s="15">
        <f t="shared" si="451"/>
        <v>5.500342507976694E-6</v>
      </c>
      <c r="AT305" s="16">
        <f t="shared" si="452"/>
        <v>27.390969420865986</v>
      </c>
      <c r="AU305" s="17">
        <f t="shared" si="453"/>
        <v>1.3765671694643811E-2</v>
      </c>
      <c r="AV305" s="18">
        <f t="shared" si="507"/>
        <v>0.43322967827046438</v>
      </c>
      <c r="AW305" s="19">
        <f t="shared" si="508"/>
        <v>995.07228137315042</v>
      </c>
      <c r="AX305" s="15">
        <f t="shared" si="454"/>
        <v>5.4901445627463011E-6</v>
      </c>
      <c r="AY305" s="16">
        <f t="shared" si="455"/>
        <v>27.33233123579123</v>
      </c>
      <c r="AZ305" s="17">
        <f t="shared" si="456"/>
        <v>1.3740149362934839E-2</v>
      </c>
      <c r="BA305" s="18">
        <f t="shared" si="509"/>
        <v>0.43415911973797572</v>
      </c>
      <c r="BB305" s="19">
        <f t="shared" si="510"/>
        <v>989.37344557092968</v>
      </c>
      <c r="BC305" s="15">
        <f t="shared" si="457"/>
        <v>5.4787468911418599E-6</v>
      </c>
      <c r="BD305" s="16">
        <f t="shared" si="458"/>
        <v>27.266794624065689</v>
      </c>
      <c r="BE305" s="17">
        <f t="shared" si="459"/>
        <v>1.3711624483772757E-2</v>
      </c>
      <c r="BF305" s="18">
        <f t="shared" si="511"/>
        <v>0.43520263504843532</v>
      </c>
      <c r="BG305" s="19">
        <f t="shared" si="512"/>
        <v>983.07474656843203</v>
      </c>
      <c r="BH305" s="15">
        <f t="shared" si="460"/>
        <v>5.4661494931368644E-6</v>
      </c>
      <c r="BI305" s="16">
        <f t="shared" si="461"/>
        <v>27.194359585536965</v>
      </c>
      <c r="BJ305" s="17">
        <f t="shared" si="462"/>
        <v>1.3680097057091228E-2</v>
      </c>
      <c r="BK305" s="18">
        <f t="shared" si="513"/>
        <v>0.43636184306502351</v>
      </c>
      <c r="BL305" s="19">
        <f t="shared" si="514"/>
        <v>976.17618338612601</v>
      </c>
      <c r="BM305" s="15">
        <f t="shared" si="463"/>
        <v>5.4523523667722517E-6</v>
      </c>
      <c r="BN305" s="16">
        <f t="shared" si="464"/>
        <v>27.115026108940448</v>
      </c>
      <c r="BO305" s="17">
        <f t="shared" si="465"/>
        <v>1.3645567077987319E-2</v>
      </c>
      <c r="BP305" s="18">
        <f t="shared" si="515"/>
        <v>0.43763855590775969</v>
      </c>
      <c r="BQ305" s="19">
        <f t="shared" si="516"/>
        <v>968.67773575553952</v>
      </c>
      <c r="BR305" s="15">
        <f t="shared" si="466"/>
        <v>5.4373554715110791E-6</v>
      </c>
      <c r="BS305" s="16">
        <f t="shared" si="467"/>
        <v>27.028793961188704</v>
      </c>
      <c r="BT305" s="17">
        <f t="shared" si="468"/>
        <v>1.3608034445009487E-2</v>
      </c>
      <c r="BU305" s="18">
        <f t="shared" si="517"/>
        <v>0.43903478959355002</v>
      </c>
      <c r="BV305" s="19">
        <f t="shared" si="518"/>
        <v>960.57904779729927</v>
      </c>
      <c r="BW305" s="15">
        <f t="shared" si="469"/>
        <v>5.4211580955945993E-6</v>
      </c>
      <c r="BX305" s="16">
        <f t="shared" si="470"/>
        <v>26.935659049668942</v>
      </c>
      <c r="BY305" s="17">
        <f t="shared" si="471"/>
        <v>1.3567497376843705E-2</v>
      </c>
      <c r="BZ305" s="18">
        <f t="shared" si="519"/>
        <v>0.44055283176238996</v>
      </c>
      <c r="CA305" s="19">
        <f t="shared" si="520"/>
        <v>951.87481324777866</v>
      </c>
      <c r="CB305" s="15">
        <f t="shared" si="472"/>
        <v>5.4037496264955573E-6</v>
      </c>
      <c r="CC305" s="16">
        <f t="shared" si="473"/>
        <v>26.835560352349454</v>
      </c>
      <c r="CD305" s="17">
        <f t="shared" si="474"/>
        <v>1.3523929313586511E-2</v>
      </c>
      <c r="CE305" s="18">
        <f t="shared" si="521"/>
        <v>0.44219612759749877</v>
      </c>
      <c r="CF305" s="19">
        <f t="shared" si="522"/>
        <v>942.49923241840554</v>
      </c>
      <c r="CG305" s="15">
        <f t="shared" si="475"/>
        <v>5.3849984648368114E-6</v>
      </c>
      <c r="CH305" s="16">
        <f t="shared" si="476"/>
        <v>26.727741172811662</v>
      </c>
      <c r="CI305" s="17">
        <f t="shared" si="477"/>
        <v>1.3477000902326093E-2</v>
      </c>
      <c r="CJ305" s="18">
        <f t="shared" si="523"/>
        <v>0.44397993803490493</v>
      </c>
      <c r="CK305" s="19">
        <f t="shared" si="524"/>
        <v>931.79396722901254</v>
      </c>
      <c r="CL305" s="15">
        <f t="shared" si="478"/>
        <v>5.3635879344580249E-6</v>
      </c>
      <c r="CM305" s="16">
        <f t="shared" si="479"/>
        <v>26.604630623133644</v>
      </c>
      <c r="CN305" s="17">
        <f t="shared" si="480"/>
        <v>1.3423416906134012E-2</v>
      </c>
      <c r="CO305" s="18">
        <f t="shared" si="525"/>
        <v>0.44603441550507739</v>
      </c>
      <c r="CP305" s="19">
        <f t="shared" si="526"/>
        <v>914.68442415317668</v>
      </c>
      <c r="CQ305" s="15">
        <f t="shared" si="481"/>
        <v>5.3293688483063539E-6</v>
      </c>
      <c r="CR305" s="16">
        <f t="shared" si="482"/>
        <v>26.407870877761532</v>
      </c>
      <c r="CS305" s="17">
        <f t="shared" si="483"/>
        <v>1.3337777020077549E-2</v>
      </c>
      <c r="CT305" s="18">
        <f t="shared" si="527"/>
        <v>0.44935772840781824</v>
      </c>
      <c r="CU305" s="19">
        <f t="shared" si="528"/>
        <v>863.32100552795589</v>
      </c>
      <c r="CV305" s="15">
        <f t="shared" si="484"/>
        <v>5.2266420110559127E-6</v>
      </c>
      <c r="CW305" s="16">
        <f t="shared" si="485"/>
        <v>25.817191563571491</v>
      </c>
      <c r="CX305" s="17">
        <f t="shared" si="486"/>
        <v>1.308068322750592E-2</v>
      </c>
      <c r="CY305" s="18">
        <f t="shared" si="529"/>
        <v>0.45963871943615475</v>
      </c>
      <c r="CZ305" s="20">
        <f t="shared" si="530"/>
        <v>685.56074187680895</v>
      </c>
      <c r="DA305" s="15">
        <f t="shared" si="487"/>
        <v>4.8711214837536179E-6</v>
      </c>
      <c r="DB305" s="16">
        <f t="shared" si="488"/>
        <v>26.769403031164956</v>
      </c>
      <c r="DC305" s="17">
        <f t="shared" si="489"/>
        <v>1.2190924298411468E-2</v>
      </c>
      <c r="DD305" s="18">
        <f t="shared" si="531"/>
        <v>0.44328896150216041</v>
      </c>
    </row>
    <row r="306" spans="2:108" x14ac:dyDescent="0.25">
      <c r="B306">
        <v>39</v>
      </c>
      <c r="C306">
        <f t="shared" si="490"/>
        <v>3.8126971987464807E-2</v>
      </c>
      <c r="D306" s="19">
        <f t="shared" si="428"/>
        <v>1019.375127392492</v>
      </c>
      <c r="E306" s="15">
        <f t="shared" si="429"/>
        <v>5.538750254784984E-6</v>
      </c>
      <c r="F306" s="16">
        <f t="shared" si="430"/>
        <v>27.61181396501366</v>
      </c>
      <c r="G306" s="17">
        <f t="shared" si="426"/>
        <v>1.3861794514691324E-2</v>
      </c>
      <c r="H306" s="18">
        <f t="shared" si="491"/>
        <v>0.42976462483608607</v>
      </c>
      <c r="I306" s="19">
        <f t="shared" si="492"/>
        <v>1019.0541091076913</v>
      </c>
      <c r="J306" s="15">
        <f t="shared" si="431"/>
        <v>5.538108218215383E-6</v>
      </c>
      <c r="K306" s="16">
        <f t="shared" si="432"/>
        <v>27.608122254738447</v>
      </c>
      <c r="L306" s="17">
        <f t="shared" si="433"/>
        <v>1.3860187693912387E-2</v>
      </c>
      <c r="M306" s="18">
        <f t="shared" si="493"/>
        <v>0.42982209221712675</v>
      </c>
      <c r="N306" s="19">
        <f t="shared" si="494"/>
        <v>1018.1516321310409</v>
      </c>
      <c r="O306" s="15">
        <f t="shared" si="434"/>
        <v>5.5363032642620828E-6</v>
      </c>
      <c r="P306" s="16">
        <f t="shared" si="435"/>
        <v>27.59774376950697</v>
      </c>
      <c r="Q306" s="17">
        <f t="shared" si="427"/>
        <v>1.3861794514691324E-2</v>
      </c>
      <c r="R306" s="18">
        <f t="shared" si="495"/>
        <v>0.42998373232341569</v>
      </c>
      <c r="S306" s="19">
        <f t="shared" si="496"/>
        <v>1016.6513904699931</v>
      </c>
      <c r="T306" s="15">
        <f t="shared" si="436"/>
        <v>5.5333027809399867E-6</v>
      </c>
      <c r="U306" s="16">
        <f t="shared" si="437"/>
        <v>27.580490990404918</v>
      </c>
      <c r="V306" s="17">
        <f t="shared" si="438"/>
        <v>1.3848161157058296E-2</v>
      </c>
      <c r="W306" s="18">
        <f t="shared" si="497"/>
        <v>0.43025270557533613</v>
      </c>
      <c r="X306" s="19">
        <f t="shared" si="498"/>
        <v>1014.5518639359551</v>
      </c>
      <c r="Y306" s="15">
        <f t="shared" si="439"/>
        <v>5.5291037278719101E-6</v>
      </c>
      <c r="Z306" s="16">
        <f t="shared" si="440"/>
        <v>27.556346435263485</v>
      </c>
      <c r="AA306" s="17">
        <f t="shared" si="441"/>
        <v>1.3837652214046165E-2</v>
      </c>
      <c r="AB306" s="18">
        <f t="shared" si="499"/>
        <v>0.43062968806824098</v>
      </c>
      <c r="AC306" s="19">
        <f t="shared" si="500"/>
        <v>1011.8523855625848</v>
      </c>
      <c r="AD306" s="15">
        <f t="shared" si="442"/>
        <v>5.5237047711251701E-6</v>
      </c>
      <c r="AE306" s="16">
        <f t="shared" si="443"/>
        <v>27.525302433969724</v>
      </c>
      <c r="AF306" s="17">
        <f t="shared" si="444"/>
        <v>1.382414027984181E-2</v>
      </c>
      <c r="AG306" s="18">
        <f t="shared" si="501"/>
        <v>0.43111536733100625</v>
      </c>
      <c r="AH306" s="19">
        <f t="shared" si="502"/>
        <v>1008.5530234430729</v>
      </c>
      <c r="AI306" s="15">
        <f t="shared" si="445"/>
        <v>5.5171060468861466E-6</v>
      </c>
      <c r="AJ306" s="16">
        <f t="shared" si="446"/>
        <v>27.487359769595336</v>
      </c>
      <c r="AK306" s="17">
        <f t="shared" si="447"/>
        <v>1.3807625695278002E-2</v>
      </c>
      <c r="AL306" s="18">
        <f t="shared" si="503"/>
        <v>0.43171046507143657</v>
      </c>
      <c r="AM306" s="19">
        <f t="shared" si="504"/>
        <v>1004.6537976948794</v>
      </c>
      <c r="AN306" s="15">
        <f t="shared" si="448"/>
        <v>5.5093075953897593E-6</v>
      </c>
      <c r="AO306" s="16">
        <f t="shared" si="449"/>
        <v>27.442518673491112</v>
      </c>
      <c r="AP306" s="17">
        <f t="shared" si="450"/>
        <v>1.3788108561050417E-2</v>
      </c>
      <c r="AQ306" s="18">
        <f t="shared" si="505"/>
        <v>0.43241588029530115</v>
      </c>
      <c r="AR306" s="19">
        <f t="shared" si="506"/>
        <v>1000.1547117963071</v>
      </c>
      <c r="AS306" s="15">
        <f t="shared" si="451"/>
        <v>5.5003094235926144E-6</v>
      </c>
      <c r="AT306" s="16">
        <f t="shared" si="452"/>
        <v>27.390779185657529</v>
      </c>
      <c r="AU306" s="17">
        <f t="shared" si="453"/>
        <v>1.3765588894569308E-2</v>
      </c>
      <c r="AV306" s="18">
        <f t="shared" si="507"/>
        <v>0.43323268714938662</v>
      </c>
      <c r="AW306" s="19">
        <f t="shared" si="508"/>
        <v>995.05576622581168</v>
      </c>
      <c r="AX306" s="15">
        <f t="shared" si="454"/>
        <v>5.4901115324516236E-6</v>
      </c>
      <c r="AY306" s="16">
        <f t="shared" si="455"/>
        <v>27.332141311596835</v>
      </c>
      <c r="AZ306" s="17">
        <f t="shared" si="456"/>
        <v>1.3740066698229532E-2</v>
      </c>
      <c r="BA306" s="18">
        <f t="shared" si="509"/>
        <v>0.43416213660080089</v>
      </c>
      <c r="BB306" s="19">
        <f t="shared" si="510"/>
        <v>989.35696106412649</v>
      </c>
      <c r="BC306" s="15">
        <f t="shared" si="457"/>
        <v>5.4787139221282535E-6</v>
      </c>
      <c r="BD306" s="16">
        <f t="shared" si="458"/>
        <v>27.266605052237452</v>
      </c>
      <c r="BE306" s="17">
        <f t="shared" si="459"/>
        <v>1.371154197243519E-2</v>
      </c>
      <c r="BF306" s="18">
        <f t="shared" si="511"/>
        <v>0.43520566080683182</v>
      </c>
      <c r="BG306" s="19">
        <f t="shared" si="512"/>
        <v>983.0582962867179</v>
      </c>
      <c r="BH306" s="15">
        <f t="shared" si="460"/>
        <v>5.4661165925734363E-6</v>
      </c>
      <c r="BI306" s="16">
        <f t="shared" si="461"/>
        <v>27.194170407297257</v>
      </c>
      <c r="BJ306" s="17">
        <f t="shared" si="462"/>
        <v>1.3680014717063481E-2</v>
      </c>
      <c r="BK306" s="18">
        <f t="shared" si="513"/>
        <v>0.43636487864816909</v>
      </c>
      <c r="BL306" s="19">
        <f t="shared" si="514"/>
        <v>976.15977065305322</v>
      </c>
      <c r="BM306" s="15">
        <f t="shared" si="463"/>
        <v>5.4523195413061066E-6</v>
      </c>
      <c r="BN306" s="16">
        <f t="shared" si="464"/>
        <v>27.114837362510109</v>
      </c>
      <c r="BO306" s="17">
        <f t="shared" si="465"/>
        <v>1.3645484925905059E-2</v>
      </c>
      <c r="BP306" s="18">
        <f t="shared" si="515"/>
        <v>0.43764160231051336</v>
      </c>
      <c r="BQ306" s="19">
        <f t="shared" si="516"/>
        <v>968.66135939755952</v>
      </c>
      <c r="BR306" s="15">
        <f t="shared" si="466"/>
        <v>5.4373227187951192E-6</v>
      </c>
      <c r="BS306" s="16">
        <f t="shared" si="467"/>
        <v>27.028605633071933</v>
      </c>
      <c r="BT306" s="17">
        <f t="shared" si="468"/>
        <v>1.3607952474998646E-2</v>
      </c>
      <c r="BU306" s="18">
        <f t="shared" si="517"/>
        <v>0.43903784867089363</v>
      </c>
      <c r="BV306" s="19">
        <f t="shared" si="518"/>
        <v>960.56264135624497</v>
      </c>
      <c r="BW306" s="15">
        <f t="shared" si="469"/>
        <v>5.4211252827124907E-6</v>
      </c>
      <c r="BX306" s="16">
        <f t="shared" si="470"/>
        <v>26.935470375596815</v>
      </c>
      <c r="BY306" s="17">
        <f t="shared" si="471"/>
        <v>1.3567415256255433E-2</v>
      </c>
      <c r="BZ306" s="18">
        <f t="shared" si="519"/>
        <v>0.44055591768944441</v>
      </c>
      <c r="CA306" s="19">
        <f t="shared" si="520"/>
        <v>951.85752826858572</v>
      </c>
      <c r="CB306" s="15">
        <f t="shared" si="472"/>
        <v>5.4037150565371722E-6</v>
      </c>
      <c r="CC306" s="16">
        <f t="shared" si="473"/>
        <v>26.835361575088733</v>
      </c>
      <c r="CD306" s="17">
        <f t="shared" si="474"/>
        <v>1.3523842795574781E-2</v>
      </c>
      <c r="CE306" s="18">
        <f t="shared" si="521"/>
        <v>0.44219940307171585</v>
      </c>
      <c r="CF306" s="19">
        <f t="shared" si="522"/>
        <v>942.47276340725421</v>
      </c>
      <c r="CG306" s="15">
        <f t="shared" si="475"/>
        <v>5.3849455268145095E-6</v>
      </c>
      <c r="CH306" s="16">
        <f t="shared" si="476"/>
        <v>26.727436779183421</v>
      </c>
      <c r="CI306" s="17">
        <f t="shared" si="477"/>
        <v>1.3476868414679349E-2</v>
      </c>
      <c r="CJ306" s="18">
        <f t="shared" si="523"/>
        <v>0.44398499443688322</v>
      </c>
      <c r="CK306" s="19">
        <f t="shared" si="524"/>
        <v>931.69663242714682</v>
      </c>
      <c r="CL306" s="15">
        <f t="shared" si="478"/>
        <v>5.363393264854294E-6</v>
      </c>
      <c r="CM306" s="16">
        <f t="shared" si="479"/>
        <v>26.603511272912186</v>
      </c>
      <c r="CN306" s="17">
        <f t="shared" si="480"/>
        <v>1.3422929707773182E-2</v>
      </c>
      <c r="CO306" s="18">
        <f t="shared" si="525"/>
        <v>0.44605318252859744</v>
      </c>
      <c r="CP306" s="19">
        <f t="shared" si="526"/>
        <v>914.19910601857521</v>
      </c>
      <c r="CQ306" s="15">
        <f t="shared" si="481"/>
        <v>5.3283982120371512E-6</v>
      </c>
      <c r="CR306" s="16">
        <f t="shared" si="482"/>
        <v>26.402289719213613</v>
      </c>
      <c r="CS306" s="17">
        <f t="shared" si="483"/>
        <v>1.3335347814951255E-2</v>
      </c>
      <c r="CT306" s="18">
        <f t="shared" si="527"/>
        <v>0.44945271777251533</v>
      </c>
      <c r="CU306" s="19">
        <f t="shared" si="528"/>
        <v>861.55505321588066</v>
      </c>
      <c r="CV306" s="15">
        <f t="shared" si="484"/>
        <v>5.2231101064317624E-6</v>
      </c>
      <c r="CW306" s="16">
        <f t="shared" si="485"/>
        <v>25.796883111982627</v>
      </c>
      <c r="CX306" s="17">
        <f t="shared" si="486"/>
        <v>1.3071843952598522E-2</v>
      </c>
      <c r="CY306" s="18">
        <f t="shared" si="529"/>
        <v>0.46000056744087364</v>
      </c>
      <c r="CZ306" s="20">
        <f t="shared" si="530"/>
        <v>682.46267317291222</v>
      </c>
      <c r="DA306" s="15">
        <f t="shared" si="487"/>
        <v>4.864925346345825E-6</v>
      </c>
      <c r="DB306" s="16">
        <f t="shared" si="488"/>
        <v>27.391495226907153</v>
      </c>
      <c r="DC306" s="17">
        <f t="shared" si="489"/>
        <v>1.217541726531182E-2</v>
      </c>
      <c r="DD306" s="18">
        <f t="shared" si="531"/>
        <v>0.43322136201097722</v>
      </c>
    </row>
    <row r="307" spans="2:108" x14ac:dyDescent="0.25">
      <c r="B307">
        <v>40</v>
      </c>
      <c r="C307">
        <f t="shared" si="490"/>
        <v>3.9104586653810058E-2</v>
      </c>
      <c r="D307" s="19">
        <f t="shared" si="428"/>
        <v>1019.3587378205468</v>
      </c>
      <c r="E307" s="15">
        <f t="shared" si="429"/>
        <v>5.5387174756410947E-6</v>
      </c>
      <c r="F307" s="16">
        <f t="shared" si="430"/>
        <v>27.611625484936287</v>
      </c>
      <c r="G307" s="17">
        <f t="shared" si="426"/>
        <v>1.3861712478539474E-2</v>
      </c>
      <c r="H307" s="18">
        <f t="shared" si="491"/>
        <v>0.42976755845800507</v>
      </c>
      <c r="I307" s="19">
        <f t="shared" si="492"/>
        <v>1019.0375692247202</v>
      </c>
      <c r="J307" s="15">
        <f t="shared" si="431"/>
        <v>5.5380751384494405E-6</v>
      </c>
      <c r="K307" s="16">
        <f t="shared" si="432"/>
        <v>27.607932046084279</v>
      </c>
      <c r="L307" s="17">
        <f t="shared" si="433"/>
        <v>1.3860104905395666E-2</v>
      </c>
      <c r="M307" s="18">
        <f t="shared" si="493"/>
        <v>0.42982505353569112</v>
      </c>
      <c r="N307" s="19">
        <f t="shared" si="494"/>
        <v>1018.1350215667122</v>
      </c>
      <c r="O307" s="15">
        <f t="shared" si="434"/>
        <v>5.5362700431334243E-6</v>
      </c>
      <c r="P307" s="16">
        <f t="shared" si="435"/>
        <v>27.59755274801719</v>
      </c>
      <c r="Q307" s="17">
        <f t="shared" si="427"/>
        <v>1.3861712478539474E-2</v>
      </c>
      <c r="R307" s="18">
        <f t="shared" si="495"/>
        <v>0.42998670853416454</v>
      </c>
      <c r="S307" s="19">
        <f t="shared" si="496"/>
        <v>1016.6347668634394</v>
      </c>
      <c r="T307" s="15">
        <f t="shared" si="436"/>
        <v>5.53326953372688E-6</v>
      </c>
      <c r="U307" s="16">
        <f t="shared" si="437"/>
        <v>27.580299818929554</v>
      </c>
      <c r="V307" s="17">
        <f t="shared" si="438"/>
        <v>1.3848077949472638E-2</v>
      </c>
      <c r="W307" s="18">
        <f t="shared" si="497"/>
        <v>0.43025568785054868</v>
      </c>
      <c r="X307" s="19">
        <f t="shared" si="498"/>
        <v>1014.5352486318634</v>
      </c>
      <c r="Y307" s="15">
        <f t="shared" si="439"/>
        <v>5.5290704972637273E-6</v>
      </c>
      <c r="Z307" s="16">
        <f t="shared" si="440"/>
        <v>27.556155359266427</v>
      </c>
      <c r="AA307" s="17">
        <f t="shared" si="441"/>
        <v>1.3837569048017541E-2</v>
      </c>
      <c r="AB307" s="18">
        <f t="shared" si="499"/>
        <v>0.43063267407974865</v>
      </c>
      <c r="AC307" s="19">
        <f t="shared" si="500"/>
        <v>1011.835783692874</v>
      </c>
      <c r="AD307" s="15">
        <f t="shared" si="442"/>
        <v>5.523671567385749E-6</v>
      </c>
      <c r="AE307" s="16">
        <f t="shared" si="443"/>
        <v>27.525111512468051</v>
      </c>
      <c r="AF307" s="17">
        <f t="shared" si="444"/>
        <v>1.3824057181057461E-2</v>
      </c>
      <c r="AG307" s="18">
        <f t="shared" si="501"/>
        <v>0.43111835766197326</v>
      </c>
      <c r="AH307" s="19">
        <f t="shared" si="502"/>
        <v>1008.5364380864437</v>
      </c>
      <c r="AI307" s="15">
        <f t="shared" si="445"/>
        <v>5.5170728761728874E-6</v>
      </c>
      <c r="AJ307" s="16">
        <f t="shared" si="446"/>
        <v>27.4871690379941</v>
      </c>
      <c r="AK307" s="17">
        <f t="shared" si="447"/>
        <v>1.3807542679148016E-2</v>
      </c>
      <c r="AL307" s="18">
        <f t="shared" si="503"/>
        <v>0.43171346068106664</v>
      </c>
      <c r="AM307" s="19">
        <f t="shared" si="504"/>
        <v>1004.6372322397875</v>
      </c>
      <c r="AN307" s="15">
        <f t="shared" si="448"/>
        <v>5.5092744644795761E-6</v>
      </c>
      <c r="AO307" s="16">
        <f t="shared" si="449"/>
        <v>27.442328170757555</v>
      </c>
      <c r="AP307" s="17">
        <f t="shared" si="450"/>
        <v>1.3788025644535334E-2</v>
      </c>
      <c r="AQ307" s="18">
        <f t="shared" si="505"/>
        <v>0.43241888209626778</v>
      </c>
      <c r="AR307" s="19">
        <f t="shared" si="506"/>
        <v>1000.1381697967654</v>
      </c>
      <c r="AS307" s="15">
        <f t="shared" si="451"/>
        <v>5.5002763395935307E-6</v>
      </c>
      <c r="AT307" s="16">
        <f t="shared" si="452"/>
        <v>27.390588952662803</v>
      </c>
      <c r="AU307" s="17">
        <f t="shared" si="453"/>
        <v>1.3765506095458331E-2</v>
      </c>
      <c r="AV307" s="18">
        <f t="shared" si="507"/>
        <v>0.43323569603508932</v>
      </c>
      <c r="AW307" s="19">
        <f t="shared" si="508"/>
        <v>995.03925127142384</v>
      </c>
      <c r="AX307" s="15">
        <f t="shared" si="454"/>
        <v>5.4900785025428485E-6</v>
      </c>
      <c r="AY307" s="16">
        <f t="shared" si="455"/>
        <v>27.331951389621373</v>
      </c>
      <c r="AZ307" s="17">
        <f t="shared" si="456"/>
        <v>1.373998403449002E-2</v>
      </c>
      <c r="BA307" s="18">
        <f t="shared" si="509"/>
        <v>0.43416515347030571</v>
      </c>
      <c r="BB307" s="19">
        <f t="shared" si="510"/>
        <v>989.34047675031263</v>
      </c>
      <c r="BC307" s="15">
        <f t="shared" si="457"/>
        <v>5.4786809535006257E-6</v>
      </c>
      <c r="BD307" s="16">
        <f t="shared" si="458"/>
        <v>27.266415482628595</v>
      </c>
      <c r="BE307" s="17">
        <f t="shared" si="459"/>
        <v>1.3711459462063612E-2</v>
      </c>
      <c r="BF307" s="18">
        <f t="shared" si="511"/>
        <v>0.43520868657187756</v>
      </c>
      <c r="BG307" s="19">
        <f t="shared" si="512"/>
        <v>983.04184619429839</v>
      </c>
      <c r="BH307" s="15">
        <f t="shared" si="460"/>
        <v>5.4660836923885973E-6</v>
      </c>
      <c r="BI307" s="16">
        <f t="shared" si="461"/>
        <v>27.193981231234432</v>
      </c>
      <c r="BJ307" s="17">
        <f t="shared" si="462"/>
        <v>1.3679932377983227E-2</v>
      </c>
      <c r="BK307" s="18">
        <f t="shared" si="513"/>
        <v>0.43636791423861815</v>
      </c>
      <c r="BL307" s="19">
        <f t="shared" si="514"/>
        <v>976.14335804484983</v>
      </c>
      <c r="BM307" s="15">
        <f t="shared" si="463"/>
        <v>5.4522867160897008E-6</v>
      </c>
      <c r="BN307" s="16">
        <f t="shared" si="464"/>
        <v>27.114648617515773</v>
      </c>
      <c r="BO307" s="17">
        <f t="shared" si="465"/>
        <v>1.3645402774447819E-2</v>
      </c>
      <c r="BP307" s="18">
        <f t="shared" si="515"/>
        <v>0.43764464873250153</v>
      </c>
      <c r="BQ307" s="19">
        <f t="shared" si="516"/>
        <v>968.64498223462567</v>
      </c>
      <c r="BR307" s="15">
        <f t="shared" si="466"/>
        <v>5.4372899644692521E-6</v>
      </c>
      <c r="BS307" s="16">
        <f t="shared" si="467"/>
        <v>27.028417295698194</v>
      </c>
      <c r="BT307" s="17">
        <f t="shared" si="468"/>
        <v>1.3607870500958699E-2</v>
      </c>
      <c r="BU307" s="18">
        <f t="shared" si="517"/>
        <v>0.4390409079412344</v>
      </c>
      <c r="BV307" s="19">
        <f t="shared" si="518"/>
        <v>960.54622302677035</v>
      </c>
      <c r="BW307" s="15">
        <f t="shared" si="469"/>
        <v>5.4210924460535405E-6</v>
      </c>
      <c r="BX307" s="16">
        <f t="shared" si="470"/>
        <v>26.935281564807859</v>
      </c>
      <c r="BY307" s="17">
        <f t="shared" si="471"/>
        <v>1.3567333076161011E-2</v>
      </c>
      <c r="BZ307" s="18">
        <f t="shared" si="519"/>
        <v>0.44055900589589947</v>
      </c>
      <c r="CA307" s="19">
        <f t="shared" si="520"/>
        <v>951.84012615994845</v>
      </c>
      <c r="CB307" s="15">
        <f t="shared" si="472"/>
        <v>5.4036802523198976E-6</v>
      </c>
      <c r="CC307" s="16">
        <f t="shared" si="473"/>
        <v>26.835161450839408</v>
      </c>
      <c r="CD307" s="17">
        <f t="shared" si="474"/>
        <v>1.352375569128484E-2</v>
      </c>
      <c r="CE307" s="18">
        <f t="shared" si="521"/>
        <v>0.44220270079078322</v>
      </c>
      <c r="CF307" s="19">
        <f t="shared" si="522"/>
        <v>942.44542656710314</v>
      </c>
      <c r="CG307" s="15">
        <f t="shared" si="475"/>
        <v>5.3848908531342069E-6</v>
      </c>
      <c r="CH307" s="16">
        <f t="shared" si="476"/>
        <v>26.727122405521683</v>
      </c>
      <c r="CI307" s="17">
        <f t="shared" si="477"/>
        <v>1.3476731583212529E-2</v>
      </c>
      <c r="CJ307" s="18">
        <f t="shared" si="523"/>
        <v>0.44399021674201355</v>
      </c>
      <c r="CK307" s="19">
        <f t="shared" si="524"/>
        <v>931.59484302946032</v>
      </c>
      <c r="CL307" s="15">
        <f t="shared" si="478"/>
        <v>5.3631896860589211E-6</v>
      </c>
      <c r="CM307" s="16">
        <f t="shared" si="479"/>
        <v>26.602340694838794</v>
      </c>
      <c r="CN307" s="17">
        <f t="shared" si="480"/>
        <v>1.3422420212435933E-2</v>
      </c>
      <c r="CO307" s="18">
        <f t="shared" si="525"/>
        <v>0.44607281012757544</v>
      </c>
      <c r="CP307" s="19">
        <f t="shared" si="526"/>
        <v>913.70120263479089</v>
      </c>
      <c r="CQ307" s="15">
        <f t="shared" si="481"/>
        <v>5.327402405269582E-6</v>
      </c>
      <c r="CR307" s="16">
        <f t="shared" si="482"/>
        <v>26.396563830300096</v>
      </c>
      <c r="CS307" s="17">
        <f t="shared" si="483"/>
        <v>1.3332855615781153E-2</v>
      </c>
      <c r="CT307" s="18">
        <f t="shared" si="527"/>
        <v>0.4495502121414941</v>
      </c>
      <c r="CU307" s="19">
        <f t="shared" si="528"/>
        <v>859.78782781013831</v>
      </c>
      <c r="CV307" s="15">
        <f t="shared" si="484"/>
        <v>5.2195756556202774E-6</v>
      </c>
      <c r="CW307" s="16">
        <f t="shared" si="485"/>
        <v>25.776560019816589</v>
      </c>
      <c r="CX307" s="17">
        <f t="shared" si="486"/>
        <v>1.3062998305364516E-2</v>
      </c>
      <c r="CY307" s="18">
        <f t="shared" si="529"/>
        <v>0.46036324709717158</v>
      </c>
      <c r="CZ307" s="20">
        <f t="shared" si="530"/>
        <v>679.43173152022871</v>
      </c>
      <c r="DA307" s="15">
        <f t="shared" si="487"/>
        <v>4.858863463040458E-6</v>
      </c>
      <c r="DB307" s="16">
        <f t="shared" si="488"/>
        <v>28.000108310765796</v>
      </c>
      <c r="DC307" s="17">
        <f t="shared" si="489"/>
        <v>1.2160246229087821E-2</v>
      </c>
      <c r="DD307" s="18">
        <f t="shared" si="531"/>
        <v>0.42380482025333105</v>
      </c>
    </row>
    <row r="308" spans="2:108" x14ac:dyDescent="0.25">
      <c r="B308">
        <v>41</v>
      </c>
      <c r="C308">
        <f t="shared" si="490"/>
        <v>4.008220132015531E-2</v>
      </c>
      <c r="D308" s="19">
        <f t="shared" si="428"/>
        <v>1019.34234057448</v>
      </c>
      <c r="E308" s="15">
        <f t="shared" si="429"/>
        <v>5.5386846811489599E-6</v>
      </c>
      <c r="F308" s="16">
        <f t="shared" si="430"/>
        <v>27.611436916606518</v>
      </c>
      <c r="G308" s="17">
        <f t="shared" si="426"/>
        <v>1.3861630403975669E-2</v>
      </c>
      <c r="H308" s="18">
        <f t="shared" si="491"/>
        <v>0.42977049349361846</v>
      </c>
      <c r="I308" s="19">
        <f t="shared" si="492"/>
        <v>1019.0210290118206</v>
      </c>
      <c r="J308" s="15">
        <f t="shared" si="431"/>
        <v>5.5380420580236416E-6</v>
      </c>
      <c r="K308" s="16">
        <f t="shared" si="432"/>
        <v>27.607741833635934</v>
      </c>
      <c r="L308" s="17">
        <f t="shared" si="433"/>
        <v>1.3860022115227525E-2</v>
      </c>
      <c r="M308" s="18">
        <f t="shared" si="493"/>
        <v>0.42982801495413259</v>
      </c>
      <c r="N308" s="19">
        <f t="shared" si="494"/>
        <v>1018.11841161038</v>
      </c>
      <c r="O308" s="15">
        <f t="shared" si="434"/>
        <v>5.5362368232207612E-6</v>
      </c>
      <c r="P308" s="16">
        <f t="shared" si="435"/>
        <v>27.597361733519371</v>
      </c>
      <c r="Q308" s="17">
        <f t="shared" si="427"/>
        <v>1.3861630403975669E-2</v>
      </c>
      <c r="R308" s="18">
        <f t="shared" si="495"/>
        <v>0.42998968467717386</v>
      </c>
      <c r="S308" s="19">
        <f t="shared" si="496"/>
        <v>1016.6181436402353</v>
      </c>
      <c r="T308" s="15">
        <f t="shared" si="436"/>
        <v>5.5332362872804711E-6</v>
      </c>
      <c r="U308" s="16">
        <f t="shared" si="437"/>
        <v>27.580108651862705</v>
      </c>
      <c r="V308" s="17">
        <f t="shared" si="438"/>
        <v>1.3847994743805787E-2</v>
      </c>
      <c r="W308" s="18">
        <f t="shared" si="497"/>
        <v>0.43025867009833019</v>
      </c>
      <c r="X308" s="19">
        <f t="shared" si="498"/>
        <v>1014.5186335362973</v>
      </c>
      <c r="Y308" s="15">
        <f t="shared" si="439"/>
        <v>5.5290372670725955E-6</v>
      </c>
      <c r="Z308" s="16">
        <f t="shared" si="440"/>
        <v>27.555964285667418</v>
      </c>
      <c r="AA308" s="17">
        <f t="shared" si="441"/>
        <v>1.3837485883032668E-2</v>
      </c>
      <c r="AB308" s="18">
        <f t="shared" si="499"/>
        <v>0.43063566009519105</v>
      </c>
      <c r="AC308" s="19">
        <f t="shared" si="500"/>
        <v>1011.8191820069831</v>
      </c>
      <c r="AD308" s="15">
        <f t="shared" si="442"/>
        <v>5.5236383640139665E-6</v>
      </c>
      <c r="AE308" s="16">
        <f t="shared" si="443"/>
        <v>27.524920593080303</v>
      </c>
      <c r="AF308" s="17">
        <f t="shared" si="444"/>
        <v>1.3823974083193202E-2</v>
      </c>
      <c r="AG308" s="18">
        <f t="shared" si="501"/>
        <v>0.43112134800131369</v>
      </c>
      <c r="AH308" s="19">
        <f t="shared" si="502"/>
        <v>1008.5198529183023</v>
      </c>
      <c r="AI308" s="15">
        <f t="shared" si="445"/>
        <v>5.5170397058366053E-6</v>
      </c>
      <c r="AJ308" s="16">
        <f t="shared" si="446"/>
        <v>27.486978308560474</v>
      </c>
      <c r="AK308" s="17">
        <f t="shared" si="447"/>
        <v>1.3807459663961491E-2</v>
      </c>
      <c r="AL308" s="18">
        <f t="shared" si="503"/>
        <v>0.43171645629822469</v>
      </c>
      <c r="AM308" s="19">
        <f t="shared" si="504"/>
        <v>1004.620666976125</v>
      </c>
      <c r="AN308" s="15">
        <f t="shared" si="448"/>
        <v>5.5092413339522501E-6</v>
      </c>
      <c r="AO308" s="16">
        <f t="shared" si="449"/>
        <v>27.442137670225435</v>
      </c>
      <c r="AP308" s="17">
        <f t="shared" si="450"/>
        <v>1.3787942728978424E-2</v>
      </c>
      <c r="AQ308" s="18">
        <f t="shared" si="505"/>
        <v>0.43242188390422193</v>
      </c>
      <c r="AR308" s="19">
        <f t="shared" si="506"/>
        <v>1000.1216279897127</v>
      </c>
      <c r="AS308" s="15">
        <f t="shared" si="451"/>
        <v>5.5002432559794252E-6</v>
      </c>
      <c r="AT308" s="16">
        <f t="shared" si="452"/>
        <v>27.390398721881695</v>
      </c>
      <c r="AU308" s="17">
        <f t="shared" si="453"/>
        <v>1.3765423297310836E-2</v>
      </c>
      <c r="AV308" s="18">
        <f t="shared" si="507"/>
        <v>0.43323870492757383</v>
      </c>
      <c r="AW308" s="19">
        <f t="shared" si="508"/>
        <v>995.02273650997915</v>
      </c>
      <c r="AX308" s="15">
        <f t="shared" si="454"/>
        <v>5.4900454730199587E-6</v>
      </c>
      <c r="AY308" s="16">
        <f t="shared" si="455"/>
        <v>27.331761469864759</v>
      </c>
      <c r="AZ308" s="17">
        <f t="shared" si="456"/>
        <v>1.3739901371716262E-2</v>
      </c>
      <c r="BA308" s="18">
        <f t="shared" si="509"/>
        <v>0.43416817034649086</v>
      </c>
      <c r="BB308" s="19">
        <f t="shared" si="510"/>
        <v>989.32399262943204</v>
      </c>
      <c r="BC308" s="15">
        <f t="shared" si="457"/>
        <v>5.4786479852588645E-6</v>
      </c>
      <c r="BD308" s="16">
        <f t="shared" si="458"/>
        <v>27.266225915238469</v>
      </c>
      <c r="BE308" s="17">
        <f t="shared" si="459"/>
        <v>1.3711376952657738E-2</v>
      </c>
      <c r="BF308" s="18">
        <f t="shared" si="511"/>
        <v>0.43521171234358247</v>
      </c>
      <c r="BG308" s="19">
        <f t="shared" si="512"/>
        <v>983.02539629029604</v>
      </c>
      <c r="BH308" s="15">
        <f t="shared" si="460"/>
        <v>5.4660507925805931E-6</v>
      </c>
      <c r="BI308" s="16">
        <f t="shared" si="461"/>
        <v>27.193792057338406</v>
      </c>
      <c r="BJ308" s="17">
        <f t="shared" si="462"/>
        <v>1.3679850039846075E-2</v>
      </c>
      <c r="BK308" s="18">
        <f t="shared" si="513"/>
        <v>0.43637094983653196</v>
      </c>
      <c r="BL308" s="19">
        <f t="shared" si="514"/>
        <v>976.12694554910911</v>
      </c>
      <c r="BM308" s="15">
        <f t="shared" si="463"/>
        <v>5.4522538910982186E-6</v>
      </c>
      <c r="BN308" s="16">
        <f t="shared" si="464"/>
        <v>27.114459873814752</v>
      </c>
      <c r="BO308" s="17">
        <f t="shared" si="465"/>
        <v>1.3645320623553494E-2</v>
      </c>
      <c r="BP308" s="18">
        <f t="shared" si="515"/>
        <v>0.43764769517602714</v>
      </c>
      <c r="BQ308" s="19">
        <f t="shared" si="516"/>
        <v>968.62860412189366</v>
      </c>
      <c r="BR308" s="15">
        <f t="shared" si="466"/>
        <v>5.4372572082437873E-6</v>
      </c>
      <c r="BS308" s="16">
        <f t="shared" si="467"/>
        <v>27.028228947401779</v>
      </c>
      <c r="BT308" s="17">
        <f t="shared" si="468"/>
        <v>1.3607788522164642E-2</v>
      </c>
      <c r="BU308" s="18">
        <f t="shared" si="517"/>
        <v>0.43904396743163715</v>
      </c>
      <c r="BV308" s="19">
        <f t="shared" si="518"/>
        <v>960.52979147121664</v>
      </c>
      <c r="BW308" s="15">
        <f t="shared" si="469"/>
        <v>5.4210595829424332E-6</v>
      </c>
      <c r="BX308" s="16">
        <f t="shared" si="470"/>
        <v>26.935092601918988</v>
      </c>
      <c r="BY308" s="17">
        <f t="shared" si="471"/>
        <v>1.3567250829864945E-2</v>
      </c>
      <c r="BZ308" s="18">
        <f t="shared" si="519"/>
        <v>0.44056209663346263</v>
      </c>
      <c r="CA308" s="19">
        <f t="shared" si="520"/>
        <v>951.82259777918273</v>
      </c>
      <c r="CB308" s="15">
        <f t="shared" si="472"/>
        <v>5.4036451955583658E-6</v>
      </c>
      <c r="CC308" s="16">
        <f t="shared" si="473"/>
        <v>26.834959874460601</v>
      </c>
      <c r="CD308" s="17">
        <f t="shared" si="474"/>
        <v>1.3523667954954017E-2</v>
      </c>
      <c r="CE308" s="18">
        <f t="shared" si="521"/>
        <v>0.44220602248828306</v>
      </c>
      <c r="CF308" s="19">
        <f t="shared" si="522"/>
        <v>942.41718172334299</v>
      </c>
      <c r="CG308" s="15">
        <f t="shared" si="475"/>
        <v>5.3848343634466861E-6</v>
      </c>
      <c r="CH308" s="16">
        <f t="shared" si="476"/>
        <v>26.726797589818446</v>
      </c>
      <c r="CI308" s="17">
        <f t="shared" si="477"/>
        <v>1.3476590206836163E-2</v>
      </c>
      <c r="CJ308" s="18">
        <f t="shared" si="523"/>
        <v>0.44399561263705101</v>
      </c>
      <c r="CK308" s="19">
        <f t="shared" si="524"/>
        <v>931.48853328172561</v>
      </c>
      <c r="CL308" s="15">
        <f t="shared" si="478"/>
        <v>5.3629770665634512E-6</v>
      </c>
      <c r="CM308" s="16">
        <f t="shared" si="479"/>
        <v>26.601118132739842</v>
      </c>
      <c r="CN308" s="17">
        <f t="shared" si="480"/>
        <v>1.3421888090996897E-2</v>
      </c>
      <c r="CO308" s="18">
        <f t="shared" si="525"/>
        <v>0.44609331120983498</v>
      </c>
      <c r="CP308" s="19">
        <f t="shared" si="526"/>
        <v>913.19097796458141</v>
      </c>
      <c r="CQ308" s="15">
        <f t="shared" si="481"/>
        <v>5.3263819559291632E-6</v>
      </c>
      <c r="CR308" s="16">
        <f t="shared" si="482"/>
        <v>26.390696246592686</v>
      </c>
      <c r="CS308" s="17">
        <f t="shared" si="483"/>
        <v>1.3330301743803024E-2</v>
      </c>
      <c r="CT308" s="18">
        <f t="shared" si="527"/>
        <v>0.44965016302857103</v>
      </c>
      <c r="CU308" s="19">
        <f t="shared" si="528"/>
        <v>858.02012705497987</v>
      </c>
      <c r="CV308" s="15">
        <f t="shared" si="484"/>
        <v>5.2160402541099604E-6</v>
      </c>
      <c r="CW308" s="16">
        <f t="shared" si="485"/>
        <v>25.756231461132266</v>
      </c>
      <c r="CX308" s="17">
        <f t="shared" si="486"/>
        <v>1.3054150278822681E-2</v>
      </c>
      <c r="CY308" s="18">
        <f t="shared" si="529"/>
        <v>0.4607265968868659</v>
      </c>
      <c r="CZ308" s="20">
        <f t="shared" si="530"/>
        <v>676.46530234700163</v>
      </c>
      <c r="DA308" s="15">
        <f t="shared" si="487"/>
        <v>4.852930604694004E-6</v>
      </c>
      <c r="DB308" s="16">
        <f t="shared" si="488"/>
        <v>28.595767288749528</v>
      </c>
      <c r="DC308" s="17">
        <f t="shared" si="489"/>
        <v>1.2145398102795746E-2</v>
      </c>
      <c r="DD308" s="18">
        <f t="shared" si="531"/>
        <v>0.41497683030825977</v>
      </c>
    </row>
    <row r="309" spans="2:108" x14ac:dyDescent="0.25">
      <c r="B309">
        <v>42</v>
      </c>
      <c r="C309">
        <f t="shared" si="490"/>
        <v>4.1059815986500561E-2</v>
      </c>
      <c r="D309" s="19">
        <f t="shared" si="428"/>
        <v>1019.3259360292489</v>
      </c>
      <c r="E309" s="15">
        <f t="shared" si="429"/>
        <v>5.5386518720584986E-6</v>
      </c>
      <c r="F309" s="16">
        <f t="shared" si="430"/>
        <v>27.611248264336361</v>
      </c>
      <c r="G309" s="17">
        <f t="shared" si="426"/>
        <v>1.3861548292876726E-2</v>
      </c>
      <c r="H309" s="18">
        <f t="shared" si="491"/>
        <v>0.42977342987586631</v>
      </c>
      <c r="I309" s="19">
        <f t="shared" si="492"/>
        <v>1019.004488437642</v>
      </c>
      <c r="J309" s="15">
        <f t="shared" si="431"/>
        <v>5.5380089768752846E-6</v>
      </c>
      <c r="K309" s="16">
        <f t="shared" si="432"/>
        <v>27.607551617032883</v>
      </c>
      <c r="L309" s="17">
        <f t="shared" si="433"/>
        <v>1.3859939323251042E-2</v>
      </c>
      <c r="M309" s="18">
        <f t="shared" si="493"/>
        <v>0.42983097647806762</v>
      </c>
      <c r="N309" s="19">
        <f t="shared" si="494"/>
        <v>1018.1018022483985</v>
      </c>
      <c r="O309" s="15">
        <f t="shared" si="434"/>
        <v>5.5362036044967979E-6</v>
      </c>
      <c r="P309" s="16">
        <f t="shared" si="435"/>
        <v>27.597170725856582</v>
      </c>
      <c r="Q309" s="17">
        <f t="shared" si="427"/>
        <v>1.3861548292876726E-2</v>
      </c>
      <c r="R309" s="18">
        <f t="shared" si="495"/>
        <v>0.42999266075488518</v>
      </c>
      <c r="S309" s="19">
        <f t="shared" si="496"/>
        <v>1016.6015208001891</v>
      </c>
      <c r="T309" s="15">
        <f t="shared" si="436"/>
        <v>5.5332030416003788E-6</v>
      </c>
      <c r="U309" s="16">
        <f t="shared" si="437"/>
        <v>27.579917489202174</v>
      </c>
      <c r="V309" s="17">
        <f t="shared" si="438"/>
        <v>1.3847911540056792E-2</v>
      </c>
      <c r="W309" s="18">
        <f t="shared" si="497"/>
        <v>0.43026165231871305</v>
      </c>
      <c r="X309" s="19">
        <f t="shared" si="498"/>
        <v>1014.5020186509869</v>
      </c>
      <c r="Y309" s="15">
        <f t="shared" si="439"/>
        <v>5.5290040373019741E-6</v>
      </c>
      <c r="Z309" s="16">
        <f t="shared" si="440"/>
        <v>27.555773214486351</v>
      </c>
      <c r="AA309" s="17">
        <f t="shared" si="441"/>
        <v>1.3837402719100205E-2</v>
      </c>
      <c r="AB309" s="18">
        <f t="shared" si="499"/>
        <v>0.43063864611425662</v>
      </c>
      <c r="AC309" s="19">
        <f t="shared" si="500"/>
        <v>1011.8025805052885</v>
      </c>
      <c r="AD309" s="15">
        <f t="shared" si="442"/>
        <v>5.5236051610105772E-6</v>
      </c>
      <c r="AE309" s="16">
        <f t="shared" si="443"/>
        <v>27.524729675810818</v>
      </c>
      <c r="AF309" s="17">
        <f t="shared" si="444"/>
        <v>1.3823890986250916E-2</v>
      </c>
      <c r="AG309" s="18">
        <f t="shared" si="501"/>
        <v>0.43112433834895908</v>
      </c>
      <c r="AH309" s="19">
        <f t="shared" si="502"/>
        <v>1008.5032679386314</v>
      </c>
      <c r="AI309" s="15">
        <f t="shared" si="445"/>
        <v>5.5170065358772631E-6</v>
      </c>
      <c r="AJ309" s="16">
        <f t="shared" si="446"/>
        <v>27.486787581294259</v>
      </c>
      <c r="AK309" s="17">
        <f t="shared" si="447"/>
        <v>1.3807376649718327E-2</v>
      </c>
      <c r="AL309" s="18">
        <f t="shared" si="503"/>
        <v>0.43171945192291333</v>
      </c>
      <c r="AM309" s="19">
        <f t="shared" si="504"/>
        <v>1004.6041019038674</v>
      </c>
      <c r="AN309" s="15">
        <f t="shared" si="448"/>
        <v>5.5092082038077356E-6</v>
      </c>
      <c r="AO309" s="16">
        <f t="shared" si="449"/>
        <v>27.441947171894476</v>
      </c>
      <c r="AP309" s="17">
        <f t="shared" si="450"/>
        <v>1.3787859814379574E-2</v>
      </c>
      <c r="AQ309" s="18">
        <f t="shared" si="505"/>
        <v>0.43242488571916743</v>
      </c>
      <c r="AR309" s="19">
        <f t="shared" si="506"/>
        <v>1000.1050863751395</v>
      </c>
      <c r="AS309" s="15">
        <f t="shared" si="451"/>
        <v>5.5002101727502793E-6</v>
      </c>
      <c r="AT309" s="16">
        <f t="shared" si="452"/>
        <v>27.390208493314105</v>
      </c>
      <c r="AU309" s="17">
        <f t="shared" si="453"/>
        <v>1.3765340500126776E-2</v>
      </c>
      <c r="AV309" s="18">
        <f t="shared" si="507"/>
        <v>0.43324171382684096</v>
      </c>
      <c r="AW309" s="19">
        <f t="shared" si="508"/>
        <v>995.00622194146933</v>
      </c>
      <c r="AX309" s="15">
        <f t="shared" si="454"/>
        <v>5.490012443882939E-6</v>
      </c>
      <c r="AY309" s="16">
        <f t="shared" si="455"/>
        <v>27.331571552326896</v>
      </c>
      <c r="AZ309" s="17">
        <f t="shared" si="456"/>
        <v>1.3739818709908218E-2</v>
      </c>
      <c r="BA309" s="18">
        <f t="shared" si="509"/>
        <v>0.43417118722935738</v>
      </c>
      <c r="BB309" s="19">
        <f t="shared" si="510"/>
        <v>989.30750870141731</v>
      </c>
      <c r="BC309" s="15">
        <f t="shared" si="457"/>
        <v>5.4786150174028354E-6</v>
      </c>
      <c r="BD309" s="16">
        <f t="shared" si="458"/>
        <v>27.266036350066297</v>
      </c>
      <c r="BE309" s="17">
        <f t="shared" si="459"/>
        <v>1.3711294444217235E-2</v>
      </c>
      <c r="BF309" s="18">
        <f t="shared" si="511"/>
        <v>0.43521473812195827</v>
      </c>
      <c r="BG309" s="19">
        <f t="shared" si="512"/>
        <v>983.00894657367894</v>
      </c>
      <c r="BH309" s="15">
        <f t="shared" si="460"/>
        <v>5.4660178931473586E-6</v>
      </c>
      <c r="BI309" s="16">
        <f t="shared" si="461"/>
        <v>27.193602885597308</v>
      </c>
      <c r="BJ309" s="17">
        <f t="shared" si="462"/>
        <v>1.3679767702646858E-2</v>
      </c>
      <c r="BK309" s="18">
        <f t="shared" si="513"/>
        <v>0.43637398544210038</v>
      </c>
      <c r="BL309" s="19">
        <f t="shared" si="514"/>
        <v>976.11053315168863</v>
      </c>
      <c r="BM309" s="15">
        <f t="shared" si="463"/>
        <v>5.4522210663033785E-6</v>
      </c>
      <c r="BN309" s="16">
        <f t="shared" si="464"/>
        <v>27.114271131244418</v>
      </c>
      <c r="BO309" s="17">
        <f t="shared" si="465"/>
        <v>1.3645238473151305E-2</v>
      </c>
      <c r="BP309" s="18">
        <f t="shared" si="515"/>
        <v>0.43765074164371526</v>
      </c>
      <c r="BQ309" s="19">
        <f t="shared" si="516"/>
        <v>968.61222489935733</v>
      </c>
      <c r="BR309" s="15">
        <f t="shared" si="466"/>
        <v>5.4372244497987151E-6</v>
      </c>
      <c r="BS309" s="16">
        <f t="shared" si="467"/>
        <v>27.028040586342609</v>
      </c>
      <c r="BT309" s="17">
        <f t="shared" si="468"/>
        <v>1.3607706537815588E-2</v>
      </c>
      <c r="BU309" s="18">
        <f t="shared" si="517"/>
        <v>0.43904702717200061</v>
      </c>
      <c r="BV309" s="19">
        <f t="shared" si="518"/>
        <v>960.51334525760035</v>
      </c>
      <c r="BW309" s="15">
        <f t="shared" si="469"/>
        <v>5.4210266905152013E-6</v>
      </c>
      <c r="BX309" s="16">
        <f t="shared" si="470"/>
        <v>26.934903470462402</v>
      </c>
      <c r="BY309" s="17">
        <f t="shared" si="471"/>
        <v>1.3567168510199606E-2</v>
      </c>
      <c r="BZ309" s="18">
        <f t="shared" si="519"/>
        <v>0.44056519017159784</v>
      </c>
      <c r="CA309" s="19">
        <f t="shared" si="520"/>
        <v>951.8049336510951</v>
      </c>
      <c r="CB309" s="15">
        <f t="shared" si="472"/>
        <v>5.4036098673021906E-6</v>
      </c>
      <c r="CC309" s="16">
        <f t="shared" si="473"/>
        <v>26.834756736987593</v>
      </c>
      <c r="CD309" s="17">
        <f t="shared" si="474"/>
        <v>1.3523579539155301E-2</v>
      </c>
      <c r="CE309" s="18">
        <f t="shared" si="521"/>
        <v>0.4422093699609223</v>
      </c>
      <c r="CF309" s="19">
        <f t="shared" si="522"/>
        <v>942.38798875218652</v>
      </c>
      <c r="CG309" s="15">
        <f t="shared" si="475"/>
        <v>5.3847759775043735E-6</v>
      </c>
      <c r="CH309" s="16">
        <f t="shared" si="476"/>
        <v>26.726461870650144</v>
      </c>
      <c r="CI309" s="17">
        <f t="shared" si="477"/>
        <v>1.347644408471517E-2</v>
      </c>
      <c r="CJ309" s="18">
        <f t="shared" si="523"/>
        <v>0.44400118980018338</v>
      </c>
      <c r="CK309" s="19">
        <f t="shared" si="524"/>
        <v>931.37764234670021</v>
      </c>
      <c r="CL309" s="15">
        <f t="shared" si="478"/>
        <v>5.3627552846934004E-6</v>
      </c>
      <c r="CM309" s="16">
        <f t="shared" si="479"/>
        <v>26.599842886987052</v>
      </c>
      <c r="CN309" s="17">
        <f t="shared" si="480"/>
        <v>1.3421333038942137E-2</v>
      </c>
      <c r="CO309" s="18">
        <f t="shared" si="525"/>
        <v>0.44611469774970613</v>
      </c>
      <c r="CP309" s="19">
        <f t="shared" si="526"/>
        <v>912.66869907453031</v>
      </c>
      <c r="CQ309" s="15">
        <f t="shared" si="481"/>
        <v>5.3253373981490609E-6</v>
      </c>
      <c r="CR309" s="16">
        <f t="shared" si="482"/>
        <v>26.384690039357096</v>
      </c>
      <c r="CS309" s="17">
        <f t="shared" si="483"/>
        <v>1.3327687535788502E-2</v>
      </c>
      <c r="CT309" s="18">
        <f t="shared" si="527"/>
        <v>0.44975252133024662</v>
      </c>
      <c r="CU309" s="19">
        <f t="shared" si="528"/>
        <v>856.25269447328674</v>
      </c>
      <c r="CV309" s="15">
        <f t="shared" si="484"/>
        <v>5.2125053889465738E-6</v>
      </c>
      <c r="CW309" s="16">
        <f t="shared" si="485"/>
        <v>25.735905986442795</v>
      </c>
      <c r="CX309" s="17">
        <f t="shared" si="486"/>
        <v>1.3045303594592843E-2</v>
      </c>
      <c r="CY309" s="18">
        <f t="shared" si="529"/>
        <v>0.46109046543646048</v>
      </c>
      <c r="CZ309" s="20">
        <f t="shared" si="530"/>
        <v>673.56089585607799</v>
      </c>
      <c r="DA309" s="15">
        <f t="shared" si="487"/>
        <v>4.8471217917121562E-6</v>
      </c>
      <c r="DB309" s="16">
        <f t="shared" si="488"/>
        <v>29.178972112126758</v>
      </c>
      <c r="DC309" s="17">
        <f t="shared" si="489"/>
        <v>1.2130860424037061E-2</v>
      </c>
      <c r="DD309" s="18">
        <f t="shared" si="531"/>
        <v>0.40668262144800355</v>
      </c>
    </row>
    <row r="310" spans="2:108" x14ac:dyDescent="0.25">
      <c r="B310">
        <v>43</v>
      </c>
      <c r="C310">
        <f t="shared" si="490"/>
        <v>4.2037430652845813E-2</v>
      </c>
      <c r="D310" s="19">
        <f t="shared" si="428"/>
        <v>1019.3095245390668</v>
      </c>
      <c r="E310" s="15">
        <f t="shared" si="429"/>
        <v>5.5386190490781343E-6</v>
      </c>
      <c r="F310" s="16">
        <f t="shared" si="430"/>
        <v>27.61105953219927</v>
      </c>
      <c r="G310" s="17">
        <f t="shared" si="426"/>
        <v>1.3861466147015614E-2</v>
      </c>
      <c r="H310" s="18">
        <f t="shared" si="491"/>
        <v>0.42977636754139814</v>
      </c>
      <c r="I310" s="19">
        <f t="shared" si="492"/>
        <v>1018.9879474740161</v>
      </c>
      <c r="J310" s="15">
        <f t="shared" si="431"/>
        <v>5.5379758949480325E-6</v>
      </c>
      <c r="K310" s="16">
        <f t="shared" si="432"/>
        <v>27.607361395951184</v>
      </c>
      <c r="L310" s="17">
        <f t="shared" si="433"/>
        <v>1.3859856529325225E-2</v>
      </c>
      <c r="M310" s="18">
        <f t="shared" si="493"/>
        <v>0.42983393811254333</v>
      </c>
      <c r="N310" s="19">
        <f t="shared" si="494"/>
        <v>1018.0851934671717</v>
      </c>
      <c r="O310" s="15">
        <f t="shared" si="434"/>
        <v>5.5361703869343447E-6</v>
      </c>
      <c r="P310" s="16">
        <f t="shared" si="435"/>
        <v>27.596979724872476</v>
      </c>
      <c r="Q310" s="17">
        <f t="shared" si="427"/>
        <v>1.3861466147015614E-2</v>
      </c>
      <c r="R310" s="18">
        <f t="shared" si="495"/>
        <v>0.42999563676973107</v>
      </c>
      <c r="S310" s="19">
        <f t="shared" si="496"/>
        <v>1016.5848983429823</v>
      </c>
      <c r="T310" s="15">
        <f t="shared" si="436"/>
        <v>5.5331697966859645E-6</v>
      </c>
      <c r="U310" s="16">
        <f t="shared" si="437"/>
        <v>27.579726330944297</v>
      </c>
      <c r="V310" s="17">
        <f t="shared" si="438"/>
        <v>1.3847828338224056E-2</v>
      </c>
      <c r="W310" s="18">
        <f t="shared" si="497"/>
        <v>0.43026463451175229</v>
      </c>
      <c r="X310" s="19">
        <f t="shared" si="498"/>
        <v>1014.4854039776174</v>
      </c>
      <c r="Y310" s="15">
        <f t="shared" si="439"/>
        <v>5.5289708079552351E-6</v>
      </c>
      <c r="Z310" s="16">
        <f t="shared" si="440"/>
        <v>27.555582145742598</v>
      </c>
      <c r="AA310" s="17">
        <f t="shared" si="441"/>
        <v>1.3837319556228588E-2</v>
      </c>
      <c r="AB310" s="18">
        <f t="shared" si="499"/>
        <v>0.43064163213664181</v>
      </c>
      <c r="AC310" s="19">
        <f t="shared" si="500"/>
        <v>1011.7859791881775</v>
      </c>
      <c r="AD310" s="15">
        <f t="shared" si="442"/>
        <v>5.5235719583763554E-6</v>
      </c>
      <c r="AE310" s="16">
        <f t="shared" si="443"/>
        <v>27.52453876066404</v>
      </c>
      <c r="AF310" s="17">
        <f t="shared" si="444"/>
        <v>1.3823807890232543E-2</v>
      </c>
      <c r="AG310" s="18">
        <f t="shared" si="501"/>
        <v>0.43112732870483939</v>
      </c>
      <c r="AH310" s="19">
        <f t="shared" si="502"/>
        <v>1008.4866831474187</v>
      </c>
      <c r="AI310" s="15">
        <f t="shared" si="445"/>
        <v>5.5169733662948378E-6</v>
      </c>
      <c r="AJ310" s="16">
        <f t="shared" si="446"/>
        <v>27.486596856195312</v>
      </c>
      <c r="AK310" s="17">
        <f t="shared" si="447"/>
        <v>1.3807293636418475E-2</v>
      </c>
      <c r="AL310" s="18">
        <f t="shared" si="503"/>
        <v>0.43172244755513423</v>
      </c>
      <c r="AM310" s="19">
        <f t="shared" si="504"/>
        <v>1004.587537022991</v>
      </c>
      <c r="AN310" s="15">
        <f t="shared" si="448"/>
        <v>5.5091750740459826E-6</v>
      </c>
      <c r="AO310" s="16">
        <f t="shared" si="449"/>
        <v>27.441756675764395</v>
      </c>
      <c r="AP310" s="17">
        <f t="shared" si="450"/>
        <v>1.3787776900738661E-2</v>
      </c>
      <c r="AQ310" s="18">
        <f t="shared" si="505"/>
        <v>0.43242788754110811</v>
      </c>
      <c r="AR310" s="19">
        <f t="shared" si="506"/>
        <v>1000.0885449530365</v>
      </c>
      <c r="AS310" s="15">
        <f t="shared" si="451"/>
        <v>5.5001770899060734E-6</v>
      </c>
      <c r="AT310" s="16">
        <f t="shared" si="452"/>
        <v>27.39001826695992</v>
      </c>
      <c r="AU310" s="17">
        <f t="shared" si="453"/>
        <v>1.3765257703906105E-2</v>
      </c>
      <c r="AV310" s="18">
        <f t="shared" si="507"/>
        <v>0.43324472273289205</v>
      </c>
      <c r="AW310" s="19">
        <f t="shared" si="508"/>
        <v>994.98970756588517</v>
      </c>
      <c r="AX310" s="15">
        <f t="shared" si="454"/>
        <v>5.4899794151317707E-6</v>
      </c>
      <c r="AY310" s="16">
        <f t="shared" si="455"/>
        <v>27.331381637007681</v>
      </c>
      <c r="AZ310" s="17">
        <f t="shared" si="456"/>
        <v>1.3739736049065842E-2</v>
      </c>
      <c r="BA310" s="18">
        <f t="shared" si="509"/>
        <v>0.43417420411890623</v>
      </c>
      <c r="BB310" s="19">
        <f t="shared" si="510"/>
        <v>989.29102496618805</v>
      </c>
      <c r="BC310" s="15">
        <f t="shared" si="457"/>
        <v>5.4785820499323765E-6</v>
      </c>
      <c r="BD310" s="16">
        <f t="shared" si="458"/>
        <v>27.265846787111162</v>
      </c>
      <c r="BE310" s="17">
        <f t="shared" si="459"/>
        <v>1.3711211936741694E-2</v>
      </c>
      <c r="BF310" s="18">
        <f t="shared" si="511"/>
        <v>0.435217763907019</v>
      </c>
      <c r="BG310" s="19">
        <f t="shared" si="512"/>
        <v>982.99249704323995</v>
      </c>
      <c r="BH310" s="15">
        <f t="shared" si="460"/>
        <v>5.4659849940864798E-6</v>
      </c>
      <c r="BI310" s="16">
        <f t="shared" si="461"/>
        <v>27.193413715997259</v>
      </c>
      <c r="BJ310" s="17">
        <f t="shared" si="462"/>
        <v>1.3679685366379533E-2</v>
      </c>
      <c r="BK310" s="18">
        <f t="shared" si="513"/>
        <v>0.4363770210555456</v>
      </c>
      <c r="BL310" s="19">
        <f t="shared" si="514"/>
        <v>976.09412083653945</v>
      </c>
      <c r="BM310" s="15">
        <f t="shared" si="463"/>
        <v>5.4521882416730796E-6</v>
      </c>
      <c r="BN310" s="16">
        <f t="shared" si="464"/>
        <v>27.114082389620201</v>
      </c>
      <c r="BO310" s="17">
        <f t="shared" si="465"/>
        <v>1.364515632316091E-2</v>
      </c>
      <c r="BP310" s="18">
        <f t="shared" si="515"/>
        <v>0.43765378813854522</v>
      </c>
      <c r="BQ310" s="19">
        <f t="shared" si="516"/>
        <v>968.59584439090327</v>
      </c>
      <c r="BR310" s="15">
        <f t="shared" si="466"/>
        <v>5.4371916887818077E-6</v>
      </c>
      <c r="BS310" s="16">
        <f t="shared" si="467"/>
        <v>27.027852210495389</v>
      </c>
      <c r="BT310" s="17">
        <f t="shared" si="468"/>
        <v>1.3607624547030019E-2</v>
      </c>
      <c r="BU310" s="18">
        <f t="shared" si="517"/>
        <v>0.43905008719523397</v>
      </c>
      <c r="BV310" s="19">
        <f t="shared" si="518"/>
        <v>960.49688285729758</v>
      </c>
      <c r="BW310" s="15">
        <f t="shared" si="469"/>
        <v>5.4209937657145955E-6</v>
      </c>
      <c r="BX310" s="16">
        <f t="shared" si="470"/>
        <v>26.934714152858923</v>
      </c>
      <c r="BY310" s="17">
        <f t="shared" si="471"/>
        <v>1.3567086109513632E-2</v>
      </c>
      <c r="BZ310" s="18">
        <f t="shared" si="519"/>
        <v>0.44056828679796284</v>
      </c>
      <c r="CA310" s="19">
        <f t="shared" si="520"/>
        <v>951.78712397648974</v>
      </c>
      <c r="CB310" s="15">
        <f t="shared" si="472"/>
        <v>5.4035742479529804E-6</v>
      </c>
      <c r="CC310" s="16">
        <f t="shared" si="473"/>
        <v>26.834551925729631</v>
      </c>
      <c r="CD310" s="17">
        <f t="shared" si="474"/>
        <v>1.3523490394839926E-2</v>
      </c>
      <c r="CE310" s="18">
        <f t="shared" si="521"/>
        <v>0.4422127450669272</v>
      </c>
      <c r="CF310" s="19">
        <f t="shared" si="522"/>
        <v>942.35780764353763</v>
      </c>
      <c r="CG310" s="15">
        <f t="shared" si="475"/>
        <v>5.3847156152870754E-6</v>
      </c>
      <c r="CH310" s="16">
        <f t="shared" si="476"/>
        <v>26.726114787900684</v>
      </c>
      <c r="CI310" s="17">
        <f t="shared" si="477"/>
        <v>1.3476293016583523E-2</v>
      </c>
      <c r="CJ310" s="18">
        <f t="shared" si="523"/>
        <v>0.44400695588907968</v>
      </c>
      <c r="CK310" s="19">
        <f t="shared" si="524"/>
        <v>931.26211421551</v>
      </c>
      <c r="CL310" s="15">
        <f t="shared" si="478"/>
        <v>5.3625242284310205E-6</v>
      </c>
      <c r="CM310" s="16">
        <f t="shared" si="479"/>
        <v>26.598514313478365</v>
      </c>
      <c r="CN310" s="17">
        <f t="shared" si="480"/>
        <v>1.3420754775925553E-2</v>
      </c>
      <c r="CO310" s="18">
        <f t="shared" si="525"/>
        <v>0.44613698080515352</v>
      </c>
      <c r="CP310" s="19">
        <f t="shared" si="526"/>
        <v>912.13463536491861</v>
      </c>
      <c r="CQ310" s="15">
        <f t="shared" si="481"/>
        <v>5.324269270729838E-6</v>
      </c>
      <c r="CR310" s="16">
        <f t="shared" si="482"/>
        <v>26.378548306696565</v>
      </c>
      <c r="CS310" s="17">
        <f t="shared" si="483"/>
        <v>1.3325014340190273E-2</v>
      </c>
      <c r="CT310" s="18">
        <f t="shared" si="527"/>
        <v>0.44985723746994066</v>
      </c>
      <c r="CU310" s="19">
        <f t="shared" si="528"/>
        <v>854.4862225780804</v>
      </c>
      <c r="CV310" s="15">
        <f t="shared" si="484"/>
        <v>5.208972445156161E-6</v>
      </c>
      <c r="CW310" s="16">
        <f t="shared" si="485"/>
        <v>25.715591559647926</v>
      </c>
      <c r="CX310" s="17">
        <f t="shared" si="486"/>
        <v>1.303646171897075E-2</v>
      </c>
      <c r="CY310" s="18">
        <f t="shared" si="529"/>
        <v>0.46145471093647922</v>
      </c>
      <c r="CZ310" s="20">
        <f t="shared" si="530"/>
        <v>670.71614057923819</v>
      </c>
      <c r="DA310" s="15">
        <f t="shared" si="487"/>
        <v>4.8414322811584769E-6</v>
      </c>
      <c r="DB310" s="16">
        <f t="shared" si="488"/>
        <v>29.750198971715974</v>
      </c>
      <c r="DC310" s="17">
        <f t="shared" si="489"/>
        <v>1.2116621322695356E-2</v>
      </c>
      <c r="DD310" s="18">
        <f t="shared" si="531"/>
        <v>0.39887400017054209</v>
      </c>
    </row>
    <row r="311" spans="2:108" x14ac:dyDescent="0.25">
      <c r="B311">
        <v>44</v>
      </c>
      <c r="C311">
        <f t="shared" si="490"/>
        <v>4.3015045319191064E-2</v>
      </c>
      <c r="D311" s="19">
        <f t="shared" si="428"/>
        <v>1019.2931064386249</v>
      </c>
      <c r="E311" s="15">
        <f t="shared" si="429"/>
        <v>5.5385862128772502E-6</v>
      </c>
      <c r="F311" s="16">
        <f t="shared" si="430"/>
        <v>27.610870724044187</v>
      </c>
      <c r="G311" s="17">
        <f t="shared" si="426"/>
        <v>1.3861383968067591E-2</v>
      </c>
      <c r="H311" s="18">
        <f t="shared" si="491"/>
        <v>0.42977930643035478</v>
      </c>
      <c r="I311" s="19">
        <f t="shared" si="492"/>
        <v>1018.9714060957267</v>
      </c>
      <c r="J311" s="15">
        <f t="shared" si="431"/>
        <v>5.5379428121914538E-6</v>
      </c>
      <c r="K311" s="16">
        <f t="shared" si="432"/>
        <v>27.607171170100855</v>
      </c>
      <c r="L311" s="17">
        <f t="shared" si="433"/>
        <v>1.3859773733323857E-2</v>
      </c>
      <c r="M311" s="18">
        <f t="shared" si="493"/>
        <v>0.4298368998620784</v>
      </c>
      <c r="N311" s="19">
        <f t="shared" si="494"/>
        <v>1018.0685852531824</v>
      </c>
      <c r="O311" s="15">
        <f t="shared" si="434"/>
        <v>5.5361371705063649E-6</v>
      </c>
      <c r="P311" s="16">
        <f t="shared" si="435"/>
        <v>27.596788730411596</v>
      </c>
      <c r="Q311" s="17">
        <f t="shared" si="427"/>
        <v>1.3861383968067591E-2</v>
      </c>
      <c r="R311" s="18">
        <f t="shared" si="495"/>
        <v>0.42999861272413026</v>
      </c>
      <c r="S311" s="19">
        <f t="shared" si="496"/>
        <v>1016.5682762681739</v>
      </c>
      <c r="T311" s="15">
        <f t="shared" si="436"/>
        <v>5.5331365525363481E-6</v>
      </c>
      <c r="U311" s="16">
        <f t="shared" si="437"/>
        <v>27.579535177083997</v>
      </c>
      <c r="V311" s="17">
        <f t="shared" si="438"/>
        <v>1.3847745138305374E-2</v>
      </c>
      <c r="W311" s="18">
        <f t="shared" si="497"/>
        <v>0.43026761667752517</v>
      </c>
      <c r="X311" s="19">
        <f t="shared" si="498"/>
        <v>1014.4687895178297</v>
      </c>
      <c r="Y311" s="15">
        <f t="shared" si="439"/>
        <v>5.5289375790356598E-6</v>
      </c>
      <c r="Z311" s="16">
        <f t="shared" si="440"/>
        <v>27.555391079455042</v>
      </c>
      <c r="AA311" s="17">
        <f t="shared" si="441"/>
        <v>1.3837236394426031E-2</v>
      </c>
      <c r="AB311" s="18">
        <f t="shared" si="499"/>
        <v>0.43064461816205085</v>
      </c>
      <c r="AC311" s="19">
        <f t="shared" si="500"/>
        <v>1011.7693780560477</v>
      </c>
      <c r="AD311" s="15">
        <f t="shared" si="442"/>
        <v>5.5235387561120956E-6</v>
      </c>
      <c r="AE311" s="16">
        <f t="shared" si="443"/>
        <v>27.524347847644549</v>
      </c>
      <c r="AF311" s="17">
        <f t="shared" si="444"/>
        <v>1.3823724795140074E-2</v>
      </c>
      <c r="AG311" s="18">
        <f t="shared" si="501"/>
        <v>0.43113031906888233</v>
      </c>
      <c r="AH311" s="19">
        <f t="shared" si="502"/>
        <v>1008.4700985446566</v>
      </c>
      <c r="AI311" s="15">
        <f t="shared" si="445"/>
        <v>5.5169401970893134E-6</v>
      </c>
      <c r="AJ311" s="16">
        <f t="shared" si="446"/>
        <v>27.48640613326355</v>
      </c>
      <c r="AK311" s="17">
        <f t="shared" si="447"/>
        <v>1.3807210624061888E-2</v>
      </c>
      <c r="AL311" s="18">
        <f t="shared" si="503"/>
        <v>0.43172544319488815</v>
      </c>
      <c r="AM311" s="19">
        <f t="shared" si="504"/>
        <v>1004.570972333472</v>
      </c>
      <c r="AN311" s="15">
        <f t="shared" si="448"/>
        <v>5.5091419446669436E-6</v>
      </c>
      <c r="AO311" s="16">
        <f t="shared" si="449"/>
        <v>27.441566181834929</v>
      </c>
      <c r="AP311" s="17">
        <f t="shared" si="450"/>
        <v>1.3787693988055563E-2</v>
      </c>
      <c r="AQ311" s="18">
        <f t="shared" si="505"/>
        <v>0.43243088937004753</v>
      </c>
      <c r="AR311" s="19">
        <f t="shared" si="506"/>
        <v>1000.0720037233938</v>
      </c>
      <c r="AS311" s="15">
        <f t="shared" si="451"/>
        <v>5.500144007446788E-6</v>
      </c>
      <c r="AT311" s="16">
        <f t="shared" si="452"/>
        <v>27.389828042819026</v>
      </c>
      <c r="AU311" s="17">
        <f t="shared" si="453"/>
        <v>1.3765174908648769E-2</v>
      </c>
      <c r="AV311" s="18">
        <f t="shared" si="507"/>
        <v>0.43324773164572822</v>
      </c>
      <c r="AW311" s="19">
        <f t="shared" si="508"/>
        <v>994.97319338321643</v>
      </c>
      <c r="AX311" s="15">
        <f t="shared" si="454"/>
        <v>5.4899463867664336E-6</v>
      </c>
      <c r="AY311" s="16">
        <f t="shared" si="455"/>
        <v>27.33119172390699</v>
      </c>
      <c r="AZ311" s="17">
        <f t="shared" si="456"/>
        <v>1.3739653389189083E-2</v>
      </c>
      <c r="BA311" s="18">
        <f t="shared" si="509"/>
        <v>0.43417722101513884</v>
      </c>
      <c r="BB311" s="19">
        <f t="shared" si="510"/>
        <v>989.27454142364854</v>
      </c>
      <c r="BC311" s="15">
        <f t="shared" si="457"/>
        <v>5.4785490828472973E-6</v>
      </c>
      <c r="BD311" s="16">
        <f t="shared" si="458"/>
        <v>27.265657226371957</v>
      </c>
      <c r="BE311" s="17">
        <f t="shared" si="459"/>
        <v>1.371112943023064E-2</v>
      </c>
      <c r="BF311" s="18">
        <f t="shared" si="511"/>
        <v>0.43522078969878175</v>
      </c>
      <c r="BG311" s="19">
        <f t="shared" si="512"/>
        <v>982.97604769757379</v>
      </c>
      <c r="BH311" s="15">
        <f t="shared" si="460"/>
        <v>5.4659520953951479E-6</v>
      </c>
      <c r="BI311" s="16">
        <f t="shared" si="461"/>
        <v>27.193224548522096</v>
      </c>
      <c r="BJ311" s="17">
        <f t="shared" si="462"/>
        <v>1.3679603031037071E-2</v>
      </c>
      <c r="BK311" s="18">
        <f t="shared" si="513"/>
        <v>0.43638005667712643</v>
      </c>
      <c r="BL311" s="19">
        <f t="shared" si="514"/>
        <v>976.07770858552681</v>
      </c>
      <c r="BM311" s="15">
        <f t="shared" si="463"/>
        <v>5.4521554171710545E-6</v>
      </c>
      <c r="BN311" s="16">
        <f t="shared" si="464"/>
        <v>27.113893648733558</v>
      </c>
      <c r="BO311" s="17">
        <f t="shared" si="465"/>
        <v>1.3645074173491548E-2</v>
      </c>
      <c r="BP311" s="18">
        <f t="shared" si="515"/>
        <v>0.43765683466388328</v>
      </c>
      <c r="BQ311" s="19">
        <f t="shared" si="516"/>
        <v>968.5794624033565</v>
      </c>
      <c r="BR311" s="15">
        <f t="shared" si="466"/>
        <v>5.4371589248067132E-6</v>
      </c>
      <c r="BS311" s="16">
        <f t="shared" si="467"/>
        <v>27.027663817638597</v>
      </c>
      <c r="BT311" s="17">
        <f t="shared" si="468"/>
        <v>1.3607542548841015E-2</v>
      </c>
      <c r="BU311" s="18">
        <f t="shared" si="517"/>
        <v>0.43905314753743596</v>
      </c>
      <c r="BV311" s="19">
        <f t="shared" si="518"/>
        <v>960.48040264289853</v>
      </c>
      <c r="BW311" s="15">
        <f t="shared" si="469"/>
        <v>5.4209608052857977E-6</v>
      </c>
      <c r="BX311" s="16">
        <f t="shared" si="470"/>
        <v>26.934524630393334</v>
      </c>
      <c r="BY311" s="17">
        <f t="shared" si="471"/>
        <v>1.3567003619661211E-2</v>
      </c>
      <c r="BZ311" s="18">
        <f t="shared" si="519"/>
        <v>0.44057138681881414</v>
      </c>
      <c r="CA311" s="19">
        <f t="shared" si="520"/>
        <v>951.76915864129592</v>
      </c>
      <c r="CB311" s="15">
        <f t="shared" si="472"/>
        <v>5.4035383172825931E-6</v>
      </c>
      <c r="CC311" s="16">
        <f t="shared" si="473"/>
        <v>26.834345324374901</v>
      </c>
      <c r="CD311" s="17">
        <f t="shared" si="474"/>
        <v>1.3523400471383049E-2</v>
      </c>
      <c r="CE311" s="18">
        <f t="shared" si="521"/>
        <v>0.44221614972432077</v>
      </c>
      <c r="CF311" s="19">
        <f t="shared" si="522"/>
        <v>942.32659856103589</v>
      </c>
      <c r="CG311" s="15">
        <f t="shared" si="475"/>
        <v>5.3846531971220717E-6</v>
      </c>
      <c r="CH311" s="16">
        <f t="shared" si="476"/>
        <v>26.72575588345191</v>
      </c>
      <c r="CI311" s="17">
        <f t="shared" si="477"/>
        <v>1.3476136803044828E-2</v>
      </c>
      <c r="CJ311" s="18">
        <f t="shared" si="523"/>
        <v>0.44401291852947983</v>
      </c>
      <c r="CK311" s="19">
        <f t="shared" si="524"/>
        <v>931.14189761155194</v>
      </c>
      <c r="CL311" s="15">
        <f t="shared" si="478"/>
        <v>5.3622837952231043E-6</v>
      </c>
      <c r="CM311" s="16">
        <f t="shared" si="479"/>
        <v>26.597131822532845</v>
      </c>
      <c r="CN311" s="17">
        <f t="shared" si="480"/>
        <v>1.3420153045287894E-2</v>
      </c>
      <c r="CO311" s="18">
        <f t="shared" si="525"/>
        <v>0.44616017053630724</v>
      </c>
      <c r="CP311" s="19">
        <f t="shared" si="526"/>
        <v>911.58905786338107</v>
      </c>
      <c r="CQ311" s="15">
        <f t="shared" si="481"/>
        <v>5.3231781157267624E-6</v>
      </c>
      <c r="CR311" s="16">
        <f t="shared" si="482"/>
        <v>26.372274165428884</v>
      </c>
      <c r="CS311" s="17">
        <f t="shared" si="483"/>
        <v>1.3322283513606561E-2</v>
      </c>
      <c r="CT311" s="18">
        <f t="shared" si="527"/>
        <v>0.44996426153015145</v>
      </c>
      <c r="CU311" s="19">
        <f t="shared" si="528"/>
        <v>852.72135590065602</v>
      </c>
      <c r="CV311" s="15">
        <f t="shared" si="484"/>
        <v>5.2054427118013124E-6</v>
      </c>
      <c r="CW311" s="16">
        <f t="shared" si="485"/>
        <v>25.695295592857544</v>
      </c>
      <c r="CX311" s="17">
        <f t="shared" si="486"/>
        <v>1.302762787808502E-2</v>
      </c>
      <c r="CY311" s="18">
        <f t="shared" si="529"/>
        <v>0.46181920059391812</v>
      </c>
      <c r="CZ311" s="20">
        <f t="shared" si="530"/>
        <v>667.92877727422842</v>
      </c>
      <c r="DA311" s="15">
        <f t="shared" si="487"/>
        <v>4.8358575545484578E-6</v>
      </c>
      <c r="DB311" s="16">
        <f t="shared" si="488"/>
        <v>30.309901523361702</v>
      </c>
      <c r="DC311" s="17">
        <f t="shared" si="489"/>
        <v>1.2102669490388617E-2</v>
      </c>
      <c r="DD311" s="18">
        <f t="shared" si="531"/>
        <v>0.39150839406626231</v>
      </c>
    </row>
    <row r="312" spans="2:108" x14ac:dyDescent="0.25">
      <c r="B312">
        <v>45</v>
      </c>
      <c r="C312">
        <f t="shared" si="490"/>
        <v>4.3992659985536316E-2</v>
      </c>
      <c r="D312" s="19">
        <f t="shared" si="428"/>
        <v>1019.2766820442389</v>
      </c>
      <c r="E312" s="15">
        <f t="shared" si="429"/>
        <v>5.5385533640884781E-6</v>
      </c>
      <c r="F312" s="16">
        <f t="shared" si="430"/>
        <v>27.610681843508747</v>
      </c>
      <c r="G312" s="17">
        <f t="shared" si="426"/>
        <v>1.3861301757615942E-2</v>
      </c>
      <c r="H312" s="18">
        <f t="shared" si="491"/>
        <v>0.42978224648616287</v>
      </c>
      <c r="I312" s="19">
        <f t="shared" si="492"/>
        <v>1018.9548642802936</v>
      </c>
      <c r="J312" s="15">
        <f t="shared" si="431"/>
        <v>5.5379097285605872E-6</v>
      </c>
      <c r="K312" s="16">
        <f t="shared" si="432"/>
        <v>27.606980939223376</v>
      </c>
      <c r="L312" s="17">
        <f t="shared" si="433"/>
        <v>1.3859690935134414E-2</v>
      </c>
      <c r="M312" s="18">
        <f t="shared" si="493"/>
        <v>0.42983986173070188</v>
      </c>
      <c r="N312" s="19">
        <f t="shared" si="494"/>
        <v>1018.0519775930187</v>
      </c>
      <c r="O312" s="15">
        <f t="shared" si="434"/>
        <v>5.5361039551860375E-6</v>
      </c>
      <c r="P312" s="16">
        <f t="shared" si="435"/>
        <v>27.596597742319716</v>
      </c>
      <c r="Q312" s="17">
        <f t="shared" si="427"/>
        <v>1.3861301757615942E-2</v>
      </c>
      <c r="R312" s="18">
        <f t="shared" si="495"/>
        <v>0.43000158862048249</v>
      </c>
      <c r="S312" s="19">
        <f t="shared" si="496"/>
        <v>1016.5516545752032</v>
      </c>
      <c r="T312" s="15">
        <f t="shared" si="436"/>
        <v>5.5331033091504073E-6</v>
      </c>
      <c r="U312" s="16">
        <f t="shared" si="437"/>
        <v>27.579344027614837</v>
      </c>
      <c r="V312" s="17">
        <f t="shared" si="438"/>
        <v>1.3847661940297937E-2</v>
      </c>
      <c r="W312" s="18">
        <f t="shared" si="497"/>
        <v>0.43027059881613017</v>
      </c>
      <c r="X312" s="19">
        <f t="shared" si="498"/>
        <v>1014.4521752732202</v>
      </c>
      <c r="Y312" s="15">
        <f t="shared" si="439"/>
        <v>5.5289043505464409E-6</v>
      </c>
      <c r="Z312" s="16">
        <f t="shared" si="440"/>
        <v>27.555200015642029</v>
      </c>
      <c r="AA312" s="17">
        <f t="shared" si="441"/>
        <v>1.3837153233700526E-2</v>
      </c>
      <c r="AB312" s="18">
        <f t="shared" si="499"/>
        <v>0.43064760419019626</v>
      </c>
      <c r="AC312" s="19">
        <f t="shared" si="500"/>
        <v>1011.7527771093055</v>
      </c>
      <c r="AD312" s="15">
        <f t="shared" si="442"/>
        <v>5.5235055542186118E-6</v>
      </c>
      <c r="AE312" s="16">
        <f t="shared" si="443"/>
        <v>27.524156936757013</v>
      </c>
      <c r="AF312" s="17">
        <f t="shared" si="444"/>
        <v>1.3823641700975541E-2</v>
      </c>
      <c r="AG312" s="18">
        <f t="shared" si="501"/>
        <v>0.43113330944101419</v>
      </c>
      <c r="AH312" s="19">
        <f t="shared" si="502"/>
        <v>1008.4535141303426</v>
      </c>
      <c r="AI312" s="15">
        <f t="shared" si="445"/>
        <v>5.5169070282606856E-6</v>
      </c>
      <c r="AJ312" s="16">
        <f t="shared" si="446"/>
        <v>27.48621541249894</v>
      </c>
      <c r="AK312" s="17">
        <f t="shared" si="447"/>
        <v>1.3807127612648558E-2</v>
      </c>
      <c r="AL312" s="18">
        <f t="shared" si="503"/>
        <v>0.4317284388421751</v>
      </c>
      <c r="AM312" s="19">
        <f t="shared" si="504"/>
        <v>1004.5544078352873</v>
      </c>
      <c r="AN312" s="15">
        <f t="shared" si="448"/>
        <v>5.5091088156705755E-6</v>
      </c>
      <c r="AO312" s="16">
        <f t="shared" si="449"/>
        <v>27.441375690105801</v>
      </c>
      <c r="AP312" s="17">
        <f t="shared" si="450"/>
        <v>1.378761107633017E-2</v>
      </c>
      <c r="AQ312" s="18">
        <f t="shared" si="505"/>
        <v>0.43243389120598957</v>
      </c>
      <c r="AR312" s="19">
        <f t="shared" si="506"/>
        <v>1000.0554626862016</v>
      </c>
      <c r="AS312" s="15">
        <f t="shared" si="451"/>
        <v>5.5001109253724038E-6</v>
      </c>
      <c r="AT312" s="16">
        <f t="shared" si="452"/>
        <v>27.389637820891316</v>
      </c>
      <c r="AU312" s="17">
        <f t="shared" si="453"/>
        <v>1.3765092114354725E-2</v>
      </c>
      <c r="AV312" s="18">
        <f t="shared" si="507"/>
        <v>0.43325074056535062</v>
      </c>
      <c r="AW312" s="19">
        <f t="shared" si="508"/>
        <v>994.95667939345162</v>
      </c>
      <c r="AX312" s="15">
        <f t="shared" si="454"/>
        <v>5.489913358786903E-6</v>
      </c>
      <c r="AY312" s="16">
        <f t="shared" si="455"/>
        <v>27.331001813024692</v>
      </c>
      <c r="AZ312" s="17">
        <f t="shared" si="456"/>
        <v>1.3739570730277881E-2</v>
      </c>
      <c r="BA312" s="18">
        <f t="shared" si="509"/>
        <v>0.43418023791805666</v>
      </c>
      <c r="BB312" s="19">
        <f t="shared" si="510"/>
        <v>989.25805807368522</v>
      </c>
      <c r="BC312" s="15">
        <f t="shared" si="457"/>
        <v>5.4785161161473708E-6</v>
      </c>
      <c r="BD312" s="16">
        <f t="shared" si="458"/>
        <v>27.265467667847378</v>
      </c>
      <c r="BE312" s="17">
        <f t="shared" si="459"/>
        <v>1.3711046924683506E-2</v>
      </c>
      <c r="BF312" s="18">
        <f t="shared" si="511"/>
        <v>0.43522381549726674</v>
      </c>
      <c r="BG312" s="19">
        <f t="shared" si="512"/>
        <v>982.95959853505281</v>
      </c>
      <c r="BH312" s="15">
        <f t="shared" si="460"/>
        <v>5.4659191970701061E-6</v>
      </c>
      <c r="BI312" s="16">
        <f t="shared" si="461"/>
        <v>27.193035383153106</v>
      </c>
      <c r="BJ312" s="17">
        <f t="shared" si="462"/>
        <v>1.3679520696611318E-2</v>
      </c>
      <c r="BK312" s="18">
        <f t="shared" si="513"/>
        <v>0.43638309230714267</v>
      </c>
      <c r="BL312" s="19">
        <f t="shared" si="514"/>
        <v>976.0612963782412</v>
      </c>
      <c r="BM312" s="15">
        <f t="shared" si="463"/>
        <v>5.4521225927564831E-6</v>
      </c>
      <c r="BN312" s="16">
        <f t="shared" si="464"/>
        <v>27.113704908349774</v>
      </c>
      <c r="BO312" s="17">
        <f t="shared" si="465"/>
        <v>1.3644992024041052E-2</v>
      </c>
      <c r="BP312" s="18">
        <f t="shared" si="515"/>
        <v>0.43765988122351873</v>
      </c>
      <c r="BQ312" s="19">
        <f t="shared" si="516"/>
        <v>968.56307872551963</v>
      </c>
      <c r="BR312" s="15">
        <f t="shared" si="466"/>
        <v>5.4371261574510399E-6</v>
      </c>
      <c r="BS312" s="16">
        <f t="shared" si="467"/>
        <v>27.027475405343473</v>
      </c>
      <c r="BT312" s="17">
        <f t="shared" si="468"/>
        <v>1.3607460542191455E-2</v>
      </c>
      <c r="BU312" s="18">
        <f t="shared" si="517"/>
        <v>0.43905620823807368</v>
      </c>
      <c r="BV312" s="19">
        <f t="shared" si="518"/>
        <v>960.46390288623741</v>
      </c>
      <c r="BW312" s="15">
        <f t="shared" si="469"/>
        <v>5.4209278057724754E-6</v>
      </c>
      <c r="BX312" s="16">
        <f t="shared" si="470"/>
        <v>26.934334883191731</v>
      </c>
      <c r="BY312" s="17">
        <f t="shared" si="471"/>
        <v>1.3566921031992203E-2</v>
      </c>
      <c r="BZ312" s="18">
        <f t="shared" si="519"/>
        <v>0.44057449055937864</v>
      </c>
      <c r="CA312" s="19">
        <f t="shared" si="520"/>
        <v>951.75102722626036</v>
      </c>
      <c r="CB312" s="15">
        <f t="shared" si="472"/>
        <v>5.4035020544525215E-6</v>
      </c>
      <c r="CC312" s="16">
        <f t="shared" si="473"/>
        <v>26.834136813101992</v>
      </c>
      <c r="CD312" s="17">
        <f t="shared" si="474"/>
        <v>1.3523309716632275E-2</v>
      </c>
      <c r="CE312" s="18">
        <f t="shared" si="521"/>
        <v>0.44221958590909249</v>
      </c>
      <c r="CF312" s="19">
        <f t="shared" si="522"/>
        <v>942.2943218992566</v>
      </c>
      <c r="CG312" s="15">
        <f t="shared" si="475"/>
        <v>5.3845886437985137E-6</v>
      </c>
      <c r="CH312" s="16">
        <f t="shared" si="476"/>
        <v>26.725384701841449</v>
      </c>
      <c r="CI312" s="17">
        <f t="shared" si="477"/>
        <v>1.3475975245858595E-2</v>
      </c>
      <c r="CJ312" s="18">
        <f t="shared" si="523"/>
        <v>0.44401908530432715</v>
      </c>
      <c r="CK312" s="19">
        <f t="shared" si="524"/>
        <v>931.01694588796579</v>
      </c>
      <c r="CL312" s="15">
        <f t="shared" si="478"/>
        <v>5.362033891775932E-6</v>
      </c>
      <c r="CM312" s="16">
        <f t="shared" si="479"/>
        <v>26.595694877711608</v>
      </c>
      <c r="CN312" s="17">
        <f t="shared" si="480"/>
        <v>1.3419527613543571E-2</v>
      </c>
      <c r="CO312" s="18">
        <f t="shared" si="525"/>
        <v>0.44618427622519569</v>
      </c>
      <c r="CP312" s="19">
        <f t="shared" si="526"/>
        <v>911.03223857802141</v>
      </c>
      <c r="CQ312" s="15">
        <f t="shared" si="481"/>
        <v>5.3220644771560438E-6</v>
      </c>
      <c r="CR312" s="16">
        <f t="shared" si="482"/>
        <v>26.365870743647246</v>
      </c>
      <c r="CS312" s="17">
        <f t="shared" si="483"/>
        <v>1.3319496417543221E-2</v>
      </c>
      <c r="CT312" s="18">
        <f t="shared" si="527"/>
        <v>0.45007354337338185</v>
      </c>
      <c r="CU312" s="19">
        <f t="shared" si="528"/>
        <v>850.95869384562252</v>
      </c>
      <c r="CV312" s="15">
        <f t="shared" si="484"/>
        <v>5.2019173876912456E-6</v>
      </c>
      <c r="CW312" s="16">
        <f t="shared" si="485"/>
        <v>25.675024979224659</v>
      </c>
      <c r="CX312" s="17">
        <f t="shared" si="486"/>
        <v>1.3018805072187747E-2</v>
      </c>
      <c r="CY312" s="18">
        <f t="shared" si="529"/>
        <v>0.46218381011585868</v>
      </c>
      <c r="CZ312" s="20">
        <f t="shared" si="530"/>
        <v>665.19665314638189</v>
      </c>
      <c r="DA312" s="15">
        <f t="shared" si="487"/>
        <v>4.8303933062927647E-6</v>
      </c>
      <c r="DB312" s="16">
        <f t="shared" si="488"/>
        <v>30.858512048233052</v>
      </c>
      <c r="DC312" s="17">
        <f t="shared" si="489"/>
        <v>1.2088994151546207E-2</v>
      </c>
      <c r="DD312" s="18">
        <f t="shared" si="531"/>
        <v>0.38454805763706207</v>
      </c>
    </row>
    <row r="313" spans="2:108" x14ac:dyDescent="0.25">
      <c r="B313">
        <v>46</v>
      </c>
      <c r="C313">
        <f t="shared" si="490"/>
        <v>4.4970274651881567E-2</v>
      </c>
      <c r="D313" s="19">
        <f t="shared" si="428"/>
        <v>1019.2602516549273</v>
      </c>
      <c r="E313" s="15">
        <f t="shared" si="429"/>
        <v>5.5385205033098548E-6</v>
      </c>
      <c r="F313" s="16">
        <f t="shared" si="430"/>
        <v>27.610492894031665</v>
      </c>
      <c r="G313" s="17">
        <f t="shared" si="426"/>
        <v>1.3861219517157368E-2</v>
      </c>
      <c r="H313" s="18">
        <f t="shared" si="491"/>
        <v>0.42978518765534246</v>
      </c>
      <c r="I313" s="19">
        <f t="shared" si="492"/>
        <v>1018.9383220077717</v>
      </c>
      <c r="J313" s="15">
        <f t="shared" si="431"/>
        <v>5.5378766440155434E-6</v>
      </c>
      <c r="K313" s="16">
        <f t="shared" si="432"/>
        <v>27.606790703089374</v>
      </c>
      <c r="L313" s="17">
        <f t="shared" si="433"/>
        <v>1.3859608134657064E-2</v>
      </c>
      <c r="M313" s="18">
        <f t="shared" si="493"/>
        <v>0.42984282372198929</v>
      </c>
      <c r="N313" s="19">
        <f t="shared" si="494"/>
        <v>1018.0353704733975</v>
      </c>
      <c r="O313" s="15">
        <f t="shared" si="434"/>
        <v>5.5360707409467952E-6</v>
      </c>
      <c r="P313" s="16">
        <f t="shared" si="435"/>
        <v>27.596406760444069</v>
      </c>
      <c r="Q313" s="17">
        <f t="shared" si="427"/>
        <v>1.3861219517157368E-2</v>
      </c>
      <c r="R313" s="18">
        <f t="shared" si="495"/>
        <v>0.43000456446116492</v>
      </c>
      <c r="S313" s="19">
        <f t="shared" si="496"/>
        <v>1016.5350332633944</v>
      </c>
      <c r="T313" s="15">
        <f t="shared" si="436"/>
        <v>5.5330700665267893E-6</v>
      </c>
      <c r="U313" s="16">
        <f t="shared" si="437"/>
        <v>27.579152882529037</v>
      </c>
      <c r="V313" s="17">
        <f t="shared" si="438"/>
        <v>1.3847578744198362E-2</v>
      </c>
      <c r="W313" s="18">
        <f t="shared" si="497"/>
        <v>0.43027358092768658</v>
      </c>
      <c r="X313" s="19">
        <f t="shared" si="498"/>
        <v>1014.4355612453403</v>
      </c>
      <c r="Y313" s="15">
        <f t="shared" si="439"/>
        <v>5.5288711224906809E-6</v>
      </c>
      <c r="Z313" s="16">
        <f t="shared" si="440"/>
        <v>27.555008954321412</v>
      </c>
      <c r="AA313" s="17">
        <f t="shared" si="441"/>
        <v>1.3837070074059833E-2</v>
      </c>
      <c r="AB313" s="18">
        <f t="shared" si="499"/>
        <v>0.43065059022079832</v>
      </c>
      <c r="AC313" s="19">
        <f t="shared" si="500"/>
        <v>1011.7361763483663</v>
      </c>
      <c r="AD313" s="15">
        <f t="shared" si="442"/>
        <v>5.5234723526967331E-6</v>
      </c>
      <c r="AE313" s="16">
        <f t="shared" si="443"/>
        <v>27.52396602800621</v>
      </c>
      <c r="AF313" s="17">
        <f t="shared" si="444"/>
        <v>1.3823558607741024E-2</v>
      </c>
      <c r="AG313" s="18">
        <f t="shared" si="501"/>
        <v>0.43113629982115964</v>
      </c>
      <c r="AH313" s="19">
        <f t="shared" si="502"/>
        <v>1008.4369299044788</v>
      </c>
      <c r="AI313" s="15">
        <f t="shared" si="445"/>
        <v>5.5168738598089578E-6</v>
      </c>
      <c r="AJ313" s="16">
        <f t="shared" si="446"/>
        <v>27.486024693901506</v>
      </c>
      <c r="AK313" s="17">
        <f t="shared" si="447"/>
        <v>1.3807044602178492E-2</v>
      </c>
      <c r="AL313" s="18">
        <f t="shared" si="503"/>
        <v>0.43173143449699403</v>
      </c>
      <c r="AM313" s="19">
        <f t="shared" si="504"/>
        <v>1004.5378435284141</v>
      </c>
      <c r="AN313" s="15">
        <f t="shared" si="448"/>
        <v>5.509075687056829E-6</v>
      </c>
      <c r="AO313" s="16">
        <f t="shared" si="449"/>
        <v>27.441185200576761</v>
      </c>
      <c r="AP313" s="17">
        <f t="shared" si="450"/>
        <v>1.3787528165562364E-2</v>
      </c>
      <c r="AQ313" s="18">
        <f t="shared" si="505"/>
        <v>0.43243689304893745</v>
      </c>
      <c r="AR313" s="19">
        <f t="shared" si="506"/>
        <v>1000.03892184145</v>
      </c>
      <c r="AS313" s="15">
        <f t="shared" si="451"/>
        <v>5.5000778436829003E-6</v>
      </c>
      <c r="AT313" s="16">
        <f t="shared" si="452"/>
        <v>27.389447601176677</v>
      </c>
      <c r="AU313" s="17">
        <f t="shared" si="453"/>
        <v>1.3765009321023919E-2</v>
      </c>
      <c r="AV313" s="18">
        <f t="shared" si="507"/>
        <v>0.43325374949176043</v>
      </c>
      <c r="AW313" s="19">
        <f t="shared" si="508"/>
        <v>994.9401655965778</v>
      </c>
      <c r="AX313" s="15">
        <f t="shared" si="454"/>
        <v>5.4898803311931562E-6</v>
      </c>
      <c r="AY313" s="16">
        <f t="shared" si="455"/>
        <v>27.330811904360644</v>
      </c>
      <c r="AZ313" s="17">
        <f t="shared" si="456"/>
        <v>1.3739488072332176E-2</v>
      </c>
      <c r="BA313" s="18">
        <f t="shared" si="509"/>
        <v>0.43418325482766135</v>
      </c>
      <c r="BB313" s="19">
        <f t="shared" si="510"/>
        <v>989.24157491616393</v>
      </c>
      <c r="BC313" s="15">
        <f t="shared" si="457"/>
        <v>5.4784831498323284E-6</v>
      </c>
      <c r="BD313" s="16">
        <f t="shared" si="458"/>
        <v>27.265278111535885</v>
      </c>
      <c r="BE313" s="17">
        <f t="shared" si="459"/>
        <v>1.3710964420099619E-2</v>
      </c>
      <c r="BF313" s="18">
        <f t="shared" si="511"/>
        <v>0.43522684130249789</v>
      </c>
      <c r="BG313" s="19">
        <f t="shared" si="512"/>
        <v>982.94314955379969</v>
      </c>
      <c r="BH313" s="15">
        <f t="shared" si="460"/>
        <v>5.4658862991076003E-6</v>
      </c>
      <c r="BI313" s="16">
        <f t="shared" si="461"/>
        <v>27.192846219868695</v>
      </c>
      <c r="BJ313" s="17">
        <f t="shared" si="462"/>
        <v>1.3679438363092884E-2</v>
      </c>
      <c r="BK313" s="18">
        <f t="shared" si="513"/>
        <v>0.43638612794594028</v>
      </c>
      <c r="BL313" s="19">
        <f t="shared" si="514"/>
        <v>976.04488419180109</v>
      </c>
      <c r="BM313" s="15">
        <f t="shared" si="463"/>
        <v>5.4520897683836026E-6</v>
      </c>
      <c r="BN313" s="16">
        <f t="shared" si="464"/>
        <v>27.113516168205713</v>
      </c>
      <c r="BO313" s="17">
        <f t="shared" si="465"/>
        <v>1.3644909874694898E-2</v>
      </c>
      <c r="BP313" s="18">
        <f t="shared" si="515"/>
        <v>0.43766292782169947</v>
      </c>
      <c r="BQ313" s="19">
        <f t="shared" si="516"/>
        <v>968.54669312720716</v>
      </c>
      <c r="BR313" s="15">
        <f t="shared" si="466"/>
        <v>5.4370933862544143E-6</v>
      </c>
      <c r="BS313" s="16">
        <f t="shared" si="467"/>
        <v>27.027286970962884</v>
      </c>
      <c r="BT313" s="17">
        <f t="shared" si="468"/>
        <v>1.3607378525929172E-2</v>
      </c>
      <c r="BU313" s="18">
        <f t="shared" si="517"/>
        <v>0.43905926934016404</v>
      </c>
      <c r="BV313" s="19">
        <f t="shared" si="518"/>
        <v>960.44738175659916</v>
      </c>
      <c r="BW313" s="15">
        <f t="shared" si="469"/>
        <v>5.4208947635131993E-6</v>
      </c>
      <c r="BX313" s="16">
        <f t="shared" si="470"/>
        <v>26.934144890200891</v>
      </c>
      <c r="BY313" s="17">
        <f t="shared" si="471"/>
        <v>1.3566838337343174E-2</v>
      </c>
      <c r="BZ313" s="18">
        <f t="shared" si="519"/>
        <v>0.44057759836419258</v>
      </c>
      <c r="CA313" s="19">
        <f t="shared" si="520"/>
        <v>951.73271901715373</v>
      </c>
      <c r="CB313" s="15">
        <f t="shared" si="472"/>
        <v>5.4034654380343076E-6</v>
      </c>
      <c r="CC313" s="16">
        <f t="shared" si="473"/>
        <v>26.833926268697269</v>
      </c>
      <c r="CD313" s="17">
        <f t="shared" si="474"/>
        <v>1.3523218076958738E-2</v>
      </c>
      <c r="CE313" s="18">
        <f t="shared" si="521"/>
        <v>0.44222305565327158</v>
      </c>
      <c r="CF313" s="19">
        <f t="shared" si="522"/>
        <v>942.26093833806033</v>
      </c>
      <c r="CG313" s="15">
        <f t="shared" si="475"/>
        <v>5.3845218766761212E-6</v>
      </c>
      <c r="CH313" s="16">
        <f t="shared" si="476"/>
        <v>26.725000790887691</v>
      </c>
      <c r="CI313" s="17">
        <f t="shared" si="477"/>
        <v>1.3475808148212309E-2</v>
      </c>
      <c r="CJ313" s="18">
        <f t="shared" si="523"/>
        <v>0.44402546374344715</v>
      </c>
      <c r="CK313" s="19">
        <f t="shared" si="524"/>
        <v>930.88721691963303</v>
      </c>
      <c r="CL313" s="15">
        <f t="shared" si="478"/>
        <v>5.3617744338392673E-6</v>
      </c>
      <c r="CM313" s="16">
        <f t="shared" si="479"/>
        <v>26.594202994575781</v>
      </c>
      <c r="CN313" s="17">
        <f t="shared" si="480"/>
        <v>1.3418878269840062E-2</v>
      </c>
      <c r="CO313" s="18">
        <f t="shared" si="525"/>
        <v>0.44620930629649763</v>
      </c>
      <c r="CP313" s="19">
        <f t="shared" si="526"/>
        <v>910.46444990592977</v>
      </c>
      <c r="CQ313" s="15">
        <f t="shared" si="481"/>
        <v>5.3209288998118591E-6</v>
      </c>
      <c r="CR313" s="16">
        <f t="shared" si="482"/>
        <v>26.359341173918189</v>
      </c>
      <c r="CS313" s="17">
        <f t="shared" si="483"/>
        <v>1.3316654415453124E-2</v>
      </c>
      <c r="CT313" s="18">
        <f t="shared" si="527"/>
        <v>0.45018503275262206</v>
      </c>
      <c r="CU313" s="19">
        <f t="shared" si="528"/>
        <v>849.19879338256521</v>
      </c>
      <c r="CV313" s="15">
        <f t="shared" si="484"/>
        <v>5.1983975867651312E-6</v>
      </c>
      <c r="CW313" s="16">
        <f t="shared" si="485"/>
        <v>25.654786123899498</v>
      </c>
      <c r="CX313" s="17">
        <f t="shared" si="486"/>
        <v>1.3009996089127306E-2</v>
      </c>
      <c r="CY313" s="18">
        <f t="shared" si="529"/>
        <v>0.46254842322241085</v>
      </c>
      <c r="CZ313" s="20">
        <f t="shared" si="530"/>
        <v>662.51771637761453</v>
      </c>
      <c r="DA313" s="15">
        <f t="shared" si="487"/>
        <v>4.8250354327552291E-6</v>
      </c>
      <c r="DB313" s="16">
        <f t="shared" si="488"/>
        <v>31.39644255140135</v>
      </c>
      <c r="DC313" s="17">
        <f t="shared" si="489"/>
        <v>1.2075585036024369E-2</v>
      </c>
      <c r="DD313" s="18">
        <f t="shared" si="531"/>
        <v>0.37795940894546493</v>
      </c>
    </row>
    <row r="314" spans="2:108" x14ac:dyDescent="0.25">
      <c r="B314">
        <v>47</v>
      </c>
      <c r="C314">
        <f t="shared" si="490"/>
        <v>4.5947889318226819E-2</v>
      </c>
      <c r="D314" s="19">
        <f t="shared" si="428"/>
        <v>1019.2438155534242</v>
      </c>
      <c r="E314" s="15">
        <f t="shared" si="429"/>
        <v>5.5384876311068491E-6</v>
      </c>
      <c r="F314" s="16">
        <f t="shared" si="430"/>
        <v>27.610303878864379</v>
      </c>
      <c r="G314" s="17">
        <f t="shared" si="426"/>
        <v>1.386113724810707E-2</v>
      </c>
      <c r="H314" s="18">
        <f t="shared" si="491"/>
        <v>0.42978812988732579</v>
      </c>
      <c r="I314" s="19">
        <f t="shared" si="492"/>
        <v>1018.9217792605639</v>
      </c>
      <c r="J314" s="15">
        <f t="shared" si="431"/>
        <v>5.537843558521129E-6</v>
      </c>
      <c r="K314" s="16">
        <f t="shared" si="432"/>
        <v>27.606600461496484</v>
      </c>
      <c r="L314" s="17">
        <f t="shared" si="433"/>
        <v>1.3859525331803733E-2</v>
      </c>
      <c r="M314" s="18">
        <f t="shared" si="493"/>
        <v>0.42984578583909572</v>
      </c>
      <c r="N314" s="19">
        <f t="shared" si="494"/>
        <v>1018.0187638811852</v>
      </c>
      <c r="O314" s="15">
        <f t="shared" si="434"/>
        <v>5.5360375277623706E-6</v>
      </c>
      <c r="P314" s="16">
        <f t="shared" si="435"/>
        <v>27.596215784633628</v>
      </c>
      <c r="Q314" s="17">
        <f t="shared" si="427"/>
        <v>1.386113724810707E-2</v>
      </c>
      <c r="R314" s="18">
        <f t="shared" si="495"/>
        <v>0.43000754024852761</v>
      </c>
      <c r="S314" s="19">
        <f t="shared" si="496"/>
        <v>1016.5184123319605</v>
      </c>
      <c r="T314" s="15">
        <f t="shared" si="436"/>
        <v>5.5330368246639213E-6</v>
      </c>
      <c r="U314" s="16">
        <f t="shared" si="437"/>
        <v>27.578961741817544</v>
      </c>
      <c r="V314" s="17">
        <f t="shared" si="438"/>
        <v>1.3847495550002711E-2</v>
      </c>
      <c r="W314" s="18">
        <f t="shared" si="497"/>
        <v>0.43027656301233375</v>
      </c>
      <c r="X314" s="19">
        <f t="shared" si="498"/>
        <v>1014.4189474356971</v>
      </c>
      <c r="Y314" s="15">
        <f t="shared" si="439"/>
        <v>5.5288378948713944E-6</v>
      </c>
      <c r="Z314" s="16">
        <f t="shared" si="440"/>
        <v>27.554817895510517</v>
      </c>
      <c r="AA314" s="17">
        <f t="shared" si="441"/>
        <v>1.3836986915511502E-2</v>
      </c>
      <c r="AB314" s="18">
        <f t="shared" si="499"/>
        <v>0.43065357625358541</v>
      </c>
      <c r="AC314" s="19">
        <f t="shared" si="500"/>
        <v>1011.7195757736531</v>
      </c>
      <c r="AD314" s="15">
        <f t="shared" si="442"/>
        <v>5.5234391515473067E-6</v>
      </c>
      <c r="AE314" s="16">
        <f t="shared" si="443"/>
        <v>27.523775121397009</v>
      </c>
      <c r="AF314" s="17">
        <f t="shared" si="444"/>
        <v>1.382347551543864E-2</v>
      </c>
      <c r="AG314" s="18">
        <f t="shared" si="501"/>
        <v>0.43113929020924197</v>
      </c>
      <c r="AH314" s="19">
        <f t="shared" si="502"/>
        <v>1008.4203458670725</v>
      </c>
      <c r="AI314" s="15">
        <f t="shared" si="445"/>
        <v>5.5168406917341452E-6</v>
      </c>
      <c r="AJ314" s="16">
        <f t="shared" si="446"/>
        <v>27.48583397747133</v>
      </c>
      <c r="AK314" s="17">
        <f t="shared" si="447"/>
        <v>1.3806961592651731E-2</v>
      </c>
      <c r="AL314" s="18">
        <f t="shared" si="503"/>
        <v>0.43173443015934321</v>
      </c>
      <c r="AM314" s="19">
        <f t="shared" si="504"/>
        <v>1004.5212794128303</v>
      </c>
      <c r="AN314" s="15">
        <f t="shared" si="448"/>
        <v>5.5090425588256612E-6</v>
      </c>
      <c r="AO314" s="16">
        <f t="shared" si="449"/>
        <v>27.440994713247548</v>
      </c>
      <c r="AP314" s="17">
        <f t="shared" si="450"/>
        <v>1.3787445255752036E-2</v>
      </c>
      <c r="AQ314" s="18">
        <f t="shared" si="505"/>
        <v>0.43243989489889484</v>
      </c>
      <c r="AR314" s="19">
        <f t="shared" si="506"/>
        <v>1000.0223811891286</v>
      </c>
      <c r="AS314" s="15">
        <f t="shared" si="451"/>
        <v>5.5000447623782572E-6</v>
      </c>
      <c r="AT314" s="16">
        <f t="shared" si="452"/>
        <v>27.38925738367498</v>
      </c>
      <c r="AU314" s="17">
        <f t="shared" si="453"/>
        <v>1.37649265286563E-2</v>
      </c>
      <c r="AV314" s="18">
        <f t="shared" si="507"/>
        <v>0.43325675842495909</v>
      </c>
      <c r="AW314" s="19">
        <f t="shared" si="508"/>
        <v>994.9236519925804</v>
      </c>
      <c r="AX314" s="15">
        <f t="shared" si="454"/>
        <v>5.4898473039851608E-6</v>
      </c>
      <c r="AY314" s="16">
        <f t="shared" si="455"/>
        <v>27.330621997914676</v>
      </c>
      <c r="AZ314" s="17">
        <f t="shared" si="456"/>
        <v>1.3739405415351886E-2</v>
      </c>
      <c r="BA314" s="18">
        <f t="shared" si="509"/>
        <v>0.43418627174395508</v>
      </c>
      <c r="BB314" s="19">
        <f t="shared" si="510"/>
        <v>989.22509195092709</v>
      </c>
      <c r="BC314" s="15">
        <f t="shared" si="457"/>
        <v>5.478450183901855E-6</v>
      </c>
      <c r="BD314" s="16">
        <f t="shared" si="458"/>
        <v>27.265088557435661</v>
      </c>
      <c r="BE314" s="17">
        <f t="shared" si="459"/>
        <v>1.3710881916478191E-2</v>
      </c>
      <c r="BF314" s="18">
        <f t="shared" si="511"/>
        <v>0.43522986711450373</v>
      </c>
      <c r="BG314" s="19">
        <f t="shared" si="512"/>
        <v>982.92670075165915</v>
      </c>
      <c r="BH314" s="15">
        <f t="shared" si="460"/>
        <v>5.4658534015033191E-6</v>
      </c>
      <c r="BI314" s="16">
        <f t="shared" si="461"/>
        <v>27.19265705864408</v>
      </c>
      <c r="BJ314" s="17">
        <f t="shared" si="462"/>
        <v>1.3679356030470977E-2</v>
      </c>
      <c r="BK314" s="18">
        <f t="shared" si="513"/>
        <v>0.43638916359391644</v>
      </c>
      <c r="BL314" s="19">
        <f t="shared" si="514"/>
        <v>976.02847200064696</v>
      </c>
      <c r="BM314" s="15">
        <f t="shared" si="463"/>
        <v>5.4520569440012946E-6</v>
      </c>
      <c r="BN314" s="16">
        <f t="shared" si="464"/>
        <v>27.113327428007437</v>
      </c>
      <c r="BO314" s="17">
        <f t="shared" si="465"/>
        <v>1.3644827725325149E-2</v>
      </c>
      <c r="BP314" s="18">
        <f t="shared" si="515"/>
        <v>0.43766597446317107</v>
      </c>
      <c r="BQ314" s="19">
        <f t="shared" si="516"/>
        <v>968.53030535827884</v>
      </c>
      <c r="BR314" s="15">
        <f t="shared" si="466"/>
        <v>5.4370606107165586E-6</v>
      </c>
      <c r="BS314" s="16">
        <f t="shared" si="467"/>
        <v>27.027098511620206</v>
      </c>
      <c r="BT314" s="17">
        <f t="shared" si="468"/>
        <v>1.3607296498802119E-2</v>
      </c>
      <c r="BU314" s="18">
        <f t="shared" si="517"/>
        <v>0.43906233089045438</v>
      </c>
      <c r="BV314" s="19">
        <f t="shared" si="518"/>
        <v>960.43083731910679</v>
      </c>
      <c r="BW314" s="15">
        <f t="shared" si="469"/>
        <v>5.4208616746382136E-6</v>
      </c>
      <c r="BX314" s="16">
        <f t="shared" si="470"/>
        <v>26.933954629169726</v>
      </c>
      <c r="BY314" s="17">
        <f t="shared" si="471"/>
        <v>1.3566755526029308E-2</v>
      </c>
      <c r="BZ314" s="18">
        <f t="shared" si="519"/>
        <v>0.44058071059740628</v>
      </c>
      <c r="CA314" s="19">
        <f t="shared" si="520"/>
        <v>951.71422301543726</v>
      </c>
      <c r="CB314" s="15">
        <f t="shared" si="472"/>
        <v>5.4034284460308751E-6</v>
      </c>
      <c r="CC314" s="16">
        <f t="shared" si="473"/>
        <v>26.833713564677527</v>
      </c>
      <c r="CD314" s="17">
        <f t="shared" si="474"/>
        <v>1.35231254973105E-2</v>
      </c>
      <c r="CE314" s="18">
        <f t="shared" si="521"/>
        <v>0.44222656104291258</v>
      </c>
      <c r="CF314" s="19">
        <f t="shared" si="522"/>
        <v>942.22640889410013</v>
      </c>
      <c r="CG314" s="15">
        <f t="shared" si="475"/>
        <v>5.3844528177882007E-6</v>
      </c>
      <c r="CH314" s="16">
        <f t="shared" si="476"/>
        <v>26.724603702282153</v>
      </c>
      <c r="CI314" s="17">
        <f t="shared" si="477"/>
        <v>1.3475635314979226E-2</v>
      </c>
      <c r="CJ314" s="18">
        <f t="shared" si="523"/>
        <v>0.44403206131376793</v>
      </c>
      <c r="CK314" s="19">
        <f t="shared" si="524"/>
        <v>930.75267299058339</v>
      </c>
      <c r="CL314" s="15">
        <f t="shared" si="478"/>
        <v>5.361505345981167E-6</v>
      </c>
      <c r="CM314" s="16">
        <f t="shared" si="479"/>
        <v>26.592655739391709</v>
      </c>
      <c r="CN314" s="17">
        <f t="shared" si="480"/>
        <v>1.3418204825394331E-2</v>
      </c>
      <c r="CO314" s="18">
        <f t="shared" si="525"/>
        <v>0.44623526833914257</v>
      </c>
      <c r="CP314" s="19">
        <f t="shared" si="526"/>
        <v>909.88596409330364</v>
      </c>
      <c r="CQ314" s="15">
        <f t="shared" si="481"/>
        <v>5.3197719281866074E-6</v>
      </c>
      <c r="CR314" s="16">
        <f t="shared" si="482"/>
        <v>26.35268858707299</v>
      </c>
      <c r="CS314" s="17">
        <f t="shared" si="483"/>
        <v>1.3313758870033882E-2</v>
      </c>
      <c r="CT314" s="18">
        <f t="shared" si="527"/>
        <v>0.4502986794121232</v>
      </c>
      <c r="CU314" s="19">
        <f t="shared" si="528"/>
        <v>847.44217158351034</v>
      </c>
      <c r="CV314" s="15">
        <f t="shared" si="484"/>
        <v>5.194884343167021E-6</v>
      </c>
      <c r="CW314" s="16">
        <f t="shared" si="485"/>
        <v>25.634584973210366</v>
      </c>
      <c r="CX314" s="17">
        <f t="shared" si="486"/>
        <v>1.3001203517049338E-2</v>
      </c>
      <c r="CY314" s="18">
        <f t="shared" si="529"/>
        <v>0.46291293118726778</v>
      </c>
      <c r="CZ314" s="20">
        <f t="shared" si="530"/>
        <v>659.89001094645812</v>
      </c>
      <c r="DA314" s="15">
        <f t="shared" si="487"/>
        <v>4.8197800218929161E-6</v>
      </c>
      <c r="DB314" s="16">
        <f t="shared" si="488"/>
        <v>31.924085801977327</v>
      </c>
      <c r="DC314" s="17">
        <f t="shared" si="489"/>
        <v>1.2062432353178502E-2</v>
      </c>
      <c r="DD314" s="18">
        <f t="shared" si="531"/>
        <v>0.37171247262413076</v>
      </c>
    </row>
    <row r="315" spans="2:108" x14ac:dyDescent="0.25">
      <c r="B315">
        <v>48</v>
      </c>
      <c r="C315">
        <f t="shared" si="490"/>
        <v>4.692550398457207E-2</v>
      </c>
      <c r="D315" s="19">
        <f t="shared" si="428"/>
        <v>1019.2273740071302</v>
      </c>
      <c r="E315" s="15">
        <f t="shared" si="429"/>
        <v>5.5384547480142617E-6</v>
      </c>
      <c r="F315" s="16">
        <f t="shared" si="430"/>
        <v>27.610114801081998</v>
      </c>
      <c r="G315" s="17">
        <f t="shared" si="426"/>
        <v>1.3861054951803484E-2</v>
      </c>
      <c r="H315" s="18">
        <f t="shared" si="491"/>
        <v>0.42979107313428722</v>
      </c>
      <c r="I315" s="19">
        <f t="shared" si="492"/>
        <v>1018.9052360232459</v>
      </c>
      <c r="J315" s="15">
        <f t="shared" si="431"/>
        <v>5.5378104720464924E-6</v>
      </c>
      <c r="K315" s="16">
        <f t="shared" si="432"/>
        <v>27.606410214267328</v>
      </c>
      <c r="L315" s="17">
        <f t="shared" si="433"/>
        <v>1.3859442526497205E-2</v>
      </c>
      <c r="M315" s="18">
        <f t="shared" si="493"/>
        <v>0.4298487480847874</v>
      </c>
      <c r="N315" s="19">
        <f t="shared" si="494"/>
        <v>1018.002157803416</v>
      </c>
      <c r="O315" s="15">
        <f t="shared" si="434"/>
        <v>5.5360043156068319E-6</v>
      </c>
      <c r="P315" s="16">
        <f t="shared" si="435"/>
        <v>27.596024814739284</v>
      </c>
      <c r="Q315" s="17">
        <f t="shared" si="427"/>
        <v>1.3861054951803484E-2</v>
      </c>
      <c r="R315" s="18">
        <f t="shared" si="495"/>
        <v>0.4300105159848911</v>
      </c>
      <c r="S315" s="19">
        <f t="shared" si="496"/>
        <v>1016.5017917800069</v>
      </c>
      <c r="T315" s="15">
        <f t="shared" si="436"/>
        <v>5.5330035835600143E-6</v>
      </c>
      <c r="U315" s="16">
        <f t="shared" si="437"/>
        <v>27.578770605470076</v>
      </c>
      <c r="V315" s="17">
        <f t="shared" si="438"/>
        <v>1.3847412357706507E-2</v>
      </c>
      <c r="W315" s="18">
        <f t="shared" si="497"/>
        <v>0.43027954507023009</v>
      </c>
      <c r="X315" s="19">
        <f t="shared" si="498"/>
        <v>1014.4023338457527</v>
      </c>
      <c r="Y315" s="15">
        <f t="shared" si="439"/>
        <v>5.5288046676915063E-6</v>
      </c>
      <c r="Z315" s="16">
        <f t="shared" si="440"/>
        <v>27.554626839226152</v>
      </c>
      <c r="AA315" s="17">
        <f t="shared" si="441"/>
        <v>1.383690375806285E-2</v>
      </c>
      <c r="AB315" s="18">
        <f t="shared" si="499"/>
        <v>0.43065656228829413</v>
      </c>
      <c r="AC315" s="19">
        <f t="shared" si="500"/>
        <v>1011.7029753855961</v>
      </c>
      <c r="AD315" s="15">
        <f t="shared" si="442"/>
        <v>5.5234059507711931E-6</v>
      </c>
      <c r="AE315" s="16">
        <f t="shared" si="443"/>
        <v>27.523584216934353</v>
      </c>
      <c r="AF315" s="17">
        <f t="shared" si="444"/>
        <v>1.3823392424070545E-2</v>
      </c>
      <c r="AG315" s="18">
        <f t="shared" si="501"/>
        <v>0.43114228060518306</v>
      </c>
      <c r="AH315" s="19">
        <f t="shared" si="502"/>
        <v>1008.4037620181355</v>
      </c>
      <c r="AI315" s="15">
        <f t="shared" si="445"/>
        <v>5.5168075240362717E-6</v>
      </c>
      <c r="AJ315" s="16">
        <f t="shared" si="446"/>
        <v>27.485643263208559</v>
      </c>
      <c r="AK315" s="17">
        <f t="shared" si="447"/>
        <v>1.3806878584068332E-2</v>
      </c>
      <c r="AL315" s="18">
        <f t="shared" si="503"/>
        <v>0.43173742582921976</v>
      </c>
      <c r="AM315" s="19">
        <f t="shared" si="504"/>
        <v>1004.5047154885141</v>
      </c>
      <c r="AN315" s="15">
        <f t="shared" si="448"/>
        <v>5.5090094309770286E-6</v>
      </c>
      <c r="AO315" s="16">
        <f t="shared" si="449"/>
        <v>27.440804228117912</v>
      </c>
      <c r="AP315" s="17">
        <f t="shared" si="450"/>
        <v>1.3787362346899075E-2</v>
      </c>
      <c r="AQ315" s="18">
        <f t="shared" si="505"/>
        <v>0.432442896755865</v>
      </c>
      <c r="AR315" s="19">
        <f t="shared" si="506"/>
        <v>1000.005840729227</v>
      </c>
      <c r="AS315" s="15">
        <f t="shared" si="451"/>
        <v>5.5000116814584542E-6</v>
      </c>
      <c r="AT315" s="16">
        <f t="shared" si="452"/>
        <v>27.389067168386109</v>
      </c>
      <c r="AU315" s="17">
        <f t="shared" si="453"/>
        <v>1.3764843737251819E-2</v>
      </c>
      <c r="AV315" s="18">
        <f t="shared" si="507"/>
        <v>0.43325976736494792</v>
      </c>
      <c r="AW315" s="19">
        <f t="shared" si="508"/>
        <v>994.90713858144261</v>
      </c>
      <c r="AX315" s="15">
        <f t="shared" si="454"/>
        <v>5.4898142771628857E-6</v>
      </c>
      <c r="AY315" s="16">
        <f t="shared" si="455"/>
        <v>27.330432093686589</v>
      </c>
      <c r="AZ315" s="17">
        <f t="shared" si="456"/>
        <v>1.3739322759336941E-2</v>
      </c>
      <c r="BA315" s="18">
        <f t="shared" si="509"/>
        <v>0.4341892886669404</v>
      </c>
      <c r="BB315" s="19">
        <f t="shared" si="510"/>
        <v>989.20860917779021</v>
      </c>
      <c r="BC315" s="15">
        <f t="shared" si="457"/>
        <v>5.4784172183555805E-6</v>
      </c>
      <c r="BD315" s="16">
        <f t="shared" si="458"/>
        <v>27.264899005544585</v>
      </c>
      <c r="BE315" s="17">
        <f t="shared" si="459"/>
        <v>1.3710799413818293E-2</v>
      </c>
      <c r="BF315" s="18">
        <f t="shared" si="511"/>
        <v>0.43523289293331741</v>
      </c>
      <c r="BG315" s="19">
        <f t="shared" si="512"/>
        <v>982.91025212616637</v>
      </c>
      <c r="BH315" s="15">
        <f t="shared" si="460"/>
        <v>5.4658205042523337E-6</v>
      </c>
      <c r="BI315" s="16">
        <f t="shared" si="461"/>
        <v>27.192467899450911</v>
      </c>
      <c r="BJ315" s="17">
        <f t="shared" si="462"/>
        <v>1.3679273698733257E-2</v>
      </c>
      <c r="BK315" s="18">
        <f t="shared" si="513"/>
        <v>0.43639219925152573</v>
      </c>
      <c r="BL315" s="19">
        <f t="shared" si="514"/>
        <v>976.01205977632628</v>
      </c>
      <c r="BM315" s="15">
        <f t="shared" si="463"/>
        <v>5.452024119552653E-6</v>
      </c>
      <c r="BN315" s="16">
        <f t="shared" si="464"/>
        <v>27.11313868742775</v>
      </c>
      <c r="BO315" s="17">
        <f t="shared" si="465"/>
        <v>1.3644745575789388E-2</v>
      </c>
      <c r="BP315" s="18">
        <f t="shared" si="515"/>
        <v>0.43766902115321615</v>
      </c>
      <c r="BQ315" s="19">
        <f t="shared" si="516"/>
        <v>968.51391514767374</v>
      </c>
      <c r="BR315" s="15">
        <f t="shared" si="466"/>
        <v>5.4370278302953478E-6</v>
      </c>
      <c r="BS315" s="16">
        <f t="shared" si="467"/>
        <v>27.026910024198248</v>
      </c>
      <c r="BT315" s="17">
        <f t="shared" si="468"/>
        <v>1.3607214459453523E-2</v>
      </c>
      <c r="BU315" s="18">
        <f t="shared" si="517"/>
        <v>0.43906539293960301</v>
      </c>
      <c r="BV315" s="19">
        <f t="shared" si="518"/>
        <v>960.41426753328983</v>
      </c>
      <c r="BW315" s="15">
        <f t="shared" si="469"/>
        <v>5.4208285350665799E-6</v>
      </c>
      <c r="BX315" s="16">
        <f t="shared" si="470"/>
        <v>26.933764076632833</v>
      </c>
      <c r="BY315" s="17">
        <f t="shared" si="471"/>
        <v>1.3566672587837269E-2</v>
      </c>
      <c r="BZ315" s="18">
        <f t="shared" si="519"/>
        <v>0.4405838276430547</v>
      </c>
      <c r="CA315" s="19">
        <f t="shared" si="520"/>
        <v>951.69552794934145</v>
      </c>
      <c r="CB315" s="15">
        <f t="shared" si="472"/>
        <v>5.4033910558986834E-6</v>
      </c>
      <c r="CC315" s="16">
        <f t="shared" si="473"/>
        <v>26.833498571417426</v>
      </c>
      <c r="CD315" s="17">
        <f t="shared" si="474"/>
        <v>1.3523031921267985E-2</v>
      </c>
      <c r="CE315" s="18">
        <f t="shared" si="521"/>
        <v>0.44223010421600312</v>
      </c>
      <c r="CF315" s="19">
        <f t="shared" si="522"/>
        <v>942.19069496950578</v>
      </c>
      <c r="CG315" s="15">
        <f t="shared" si="475"/>
        <v>5.384381389939012E-6</v>
      </c>
      <c r="CH315" s="16">
        <f t="shared" si="476"/>
        <v>26.724192992149316</v>
      </c>
      <c r="CI315" s="17">
        <f t="shared" si="477"/>
        <v>1.3475456552962069E-2</v>
      </c>
      <c r="CJ315" s="18">
        <f t="shared" si="523"/>
        <v>0.44403888541008169</v>
      </c>
      <c r="CK315" s="19">
        <f t="shared" si="524"/>
        <v>930.61328067760815</v>
      </c>
      <c r="CL315" s="15">
        <f t="shared" si="478"/>
        <v>5.3612265613552165E-6</v>
      </c>
      <c r="CM315" s="16">
        <f t="shared" si="479"/>
        <v>26.591052727792494</v>
      </c>
      <c r="CN315" s="17">
        <f t="shared" si="480"/>
        <v>1.3417507112910284E-2</v>
      </c>
      <c r="CO315" s="18">
        <f t="shared" si="525"/>
        <v>0.44626216912860917</v>
      </c>
      <c r="CP315" s="19">
        <f t="shared" si="526"/>
        <v>909.29705274360947</v>
      </c>
      <c r="CQ315" s="15">
        <f t="shared" si="481"/>
        <v>5.3185941054872187E-6</v>
      </c>
      <c r="CR315" s="16">
        <f t="shared" si="482"/>
        <v>26.345916106551506</v>
      </c>
      <c r="CS315" s="17">
        <f t="shared" si="483"/>
        <v>1.3310811140765972E-2</v>
      </c>
      <c r="CT315" s="18">
        <f t="shared" si="527"/>
        <v>0.45041443317915242</v>
      </c>
      <c r="CU315" s="19">
        <f t="shared" si="528"/>
        <v>845.68930801486283</v>
      </c>
      <c r="CV315" s="15">
        <f t="shared" si="484"/>
        <v>5.1913786160297261E-6</v>
      </c>
      <c r="CW315" s="16">
        <f t="shared" si="485"/>
        <v>25.614427042170924</v>
      </c>
      <c r="CX315" s="17">
        <f t="shared" si="486"/>
        <v>1.2992429756369342E-2</v>
      </c>
      <c r="CY315" s="18">
        <f t="shared" si="529"/>
        <v>0.46327723240426461</v>
      </c>
      <c r="CZ315" s="20">
        <f t="shared" si="530"/>
        <v>657.31167172362632</v>
      </c>
      <c r="DA315" s="15">
        <f t="shared" si="487"/>
        <v>4.814623343447253E-6</v>
      </c>
      <c r="DB315" s="16">
        <f t="shared" si="488"/>
        <v>32.441816317921763</v>
      </c>
      <c r="DC315" s="17">
        <f t="shared" si="489"/>
        <v>1.2049526767314548E-2</v>
      </c>
      <c r="DD315" s="18">
        <f t="shared" si="531"/>
        <v>0.36578040987065413</v>
      </c>
    </row>
    <row r="316" spans="2:108" x14ac:dyDescent="0.25">
      <c r="B316">
        <v>49</v>
      </c>
      <c r="C316">
        <f t="shared" si="490"/>
        <v>4.7903118650917322E-2</v>
      </c>
      <c r="D316" s="19">
        <f t="shared" si="428"/>
        <v>1019.2109272690061</v>
      </c>
      <c r="E316" s="15">
        <f t="shared" si="429"/>
        <v>5.5384218545380125E-6</v>
      </c>
      <c r="F316" s="16">
        <f t="shared" si="430"/>
        <v>27.609925663593572</v>
      </c>
      <c r="G316" s="17">
        <f t="shared" si="426"/>
        <v>1.3860972629512774E-2</v>
      </c>
      <c r="H316" s="18">
        <f t="shared" si="491"/>
        <v>0.42979401735098344</v>
      </c>
      <c r="I316" s="19">
        <f t="shared" si="492"/>
        <v>1018.8886922824037</v>
      </c>
      <c r="J316" s="15">
        <f t="shared" si="431"/>
        <v>5.5377773845648074E-6</v>
      </c>
      <c r="K316" s="16">
        <f t="shared" si="432"/>
        <v>27.606219961247639</v>
      </c>
      <c r="L316" s="17">
        <f t="shared" si="433"/>
        <v>1.3859359718670344E-2</v>
      </c>
      <c r="M316" s="18">
        <f t="shared" si="493"/>
        <v>0.42985171046147092</v>
      </c>
      <c r="N316" s="19">
        <f t="shared" si="494"/>
        <v>1017.9855522273079</v>
      </c>
      <c r="O316" s="15">
        <f t="shared" si="434"/>
        <v>5.5359711044546164E-6</v>
      </c>
      <c r="P316" s="16">
        <f t="shared" si="435"/>
        <v>27.595833850614042</v>
      </c>
      <c r="Q316" s="17">
        <f t="shared" si="427"/>
        <v>1.3860972629512774E-2</v>
      </c>
      <c r="R316" s="18">
        <f t="shared" si="495"/>
        <v>0.43001349167254288</v>
      </c>
      <c r="S316" s="19">
        <f t="shared" si="496"/>
        <v>1016.4851716065367</v>
      </c>
      <c r="T316" s="15">
        <f t="shared" si="436"/>
        <v>5.5329703432130744E-6</v>
      </c>
      <c r="U316" s="16">
        <f t="shared" si="437"/>
        <v>27.578579473475173</v>
      </c>
      <c r="V316" s="17">
        <f t="shared" si="438"/>
        <v>1.3847329167304757E-2</v>
      </c>
      <c r="W316" s="18">
        <f t="shared" si="497"/>
        <v>0.4302825271015524</v>
      </c>
      <c r="X316" s="19">
        <f t="shared" si="498"/>
        <v>1014.3857204769245</v>
      </c>
      <c r="Y316" s="15">
        <f t="shared" si="439"/>
        <v>5.5287714409538498E-6</v>
      </c>
      <c r="Z316" s="16">
        <f t="shared" si="440"/>
        <v>27.554435785484628</v>
      </c>
      <c r="AA316" s="17">
        <f t="shared" si="441"/>
        <v>1.3836820601720966E-2</v>
      </c>
      <c r="AB316" s="18">
        <f t="shared" si="499"/>
        <v>0.43065954832466874</v>
      </c>
      <c r="AC316" s="19">
        <f t="shared" si="500"/>
        <v>1011.6863751846322</v>
      </c>
      <c r="AD316" s="15">
        <f t="shared" si="442"/>
        <v>5.5233727503692657E-6</v>
      </c>
      <c r="AE316" s="16">
        <f t="shared" si="443"/>
        <v>27.52339331462327</v>
      </c>
      <c r="AF316" s="17">
        <f t="shared" si="444"/>
        <v>1.3823309333638921E-2</v>
      </c>
      <c r="AG316" s="18">
        <f t="shared" si="501"/>
        <v>0.43114527100890371</v>
      </c>
      <c r="AH316" s="19">
        <f t="shared" si="502"/>
        <v>1008.3871783576845</v>
      </c>
      <c r="AI316" s="15">
        <f t="shared" si="445"/>
        <v>5.5167743567153701E-6</v>
      </c>
      <c r="AJ316" s="16">
        <f t="shared" si="446"/>
        <v>27.485452551113372</v>
      </c>
      <c r="AK316" s="17">
        <f t="shared" si="447"/>
        <v>1.3806795576428379E-2</v>
      </c>
      <c r="AL316" s="18">
        <f t="shared" si="503"/>
        <v>0.43174042150662029</v>
      </c>
      <c r="AM316" s="19">
        <f t="shared" si="504"/>
        <v>1004.4881517554445</v>
      </c>
      <c r="AN316" s="15">
        <f t="shared" si="448"/>
        <v>5.5089763035108898E-6</v>
      </c>
      <c r="AO316" s="16">
        <f t="shared" si="449"/>
        <v>27.440613745187612</v>
      </c>
      <c r="AP316" s="17">
        <f t="shared" si="450"/>
        <v>1.378727943900338E-2</v>
      </c>
      <c r="AQ316" s="18">
        <f t="shared" si="505"/>
        <v>0.43244589861985122</v>
      </c>
      <c r="AR316" s="19">
        <f t="shared" si="506"/>
        <v>999.98930046173439</v>
      </c>
      <c r="AS316" s="15">
        <f t="shared" si="451"/>
        <v>5.4999786009234694E-6</v>
      </c>
      <c r="AT316" s="16">
        <f t="shared" si="452"/>
        <v>27.388876955309946</v>
      </c>
      <c r="AU316" s="17">
        <f t="shared" si="453"/>
        <v>1.3764760946810419E-2</v>
      </c>
      <c r="AV316" s="18">
        <f t="shared" si="507"/>
        <v>0.4332627763117281</v>
      </c>
      <c r="AW316" s="19">
        <f t="shared" si="508"/>
        <v>994.89062536314555</v>
      </c>
      <c r="AX316" s="15">
        <f t="shared" si="454"/>
        <v>5.4897812507262917E-6</v>
      </c>
      <c r="AY316" s="16">
        <f t="shared" si="455"/>
        <v>27.330242191676174</v>
      </c>
      <c r="AZ316" s="17">
        <f t="shared" si="456"/>
        <v>1.3739240104287233E-2</v>
      </c>
      <c r="BA316" s="18">
        <f t="shared" si="509"/>
        <v>0.43419230559661998</v>
      </c>
      <c r="BB316" s="19">
        <f t="shared" si="510"/>
        <v>989.19212659653795</v>
      </c>
      <c r="BC316" s="15">
        <f t="shared" si="457"/>
        <v>5.4783842531930764E-6</v>
      </c>
      <c r="BD316" s="16">
        <f t="shared" si="458"/>
        <v>27.264709455860185</v>
      </c>
      <c r="BE316" s="17">
        <f t="shared" si="459"/>
        <v>1.3710716912118856E-2</v>
      </c>
      <c r="BF316" s="18">
        <f t="shared" si="511"/>
        <v>0.43523591875897782</v>
      </c>
      <c r="BG316" s="19">
        <f t="shared" si="512"/>
        <v>982.89380367451406</v>
      </c>
      <c r="BH316" s="15">
        <f t="shared" si="460"/>
        <v>5.4657876073490291E-6</v>
      </c>
      <c r="BI316" s="16">
        <f t="shared" si="461"/>
        <v>27.19227874225691</v>
      </c>
      <c r="BJ316" s="17">
        <f t="shared" si="462"/>
        <v>1.3679191367865679E-2</v>
      </c>
      <c r="BK316" s="18">
        <f t="shared" si="513"/>
        <v>0.43639523491928556</v>
      </c>
      <c r="BL316" s="19">
        <f t="shared" si="514"/>
        <v>975.99564748727096</v>
      </c>
      <c r="BM316" s="15">
        <f t="shared" si="463"/>
        <v>5.4519912949745424E-6</v>
      </c>
      <c r="BN316" s="16">
        <f t="shared" si="464"/>
        <v>27.112949946103615</v>
      </c>
      <c r="BO316" s="17">
        <f t="shared" si="465"/>
        <v>1.3644663425929605E-2</v>
      </c>
      <c r="BP316" s="18">
        <f t="shared" si="515"/>
        <v>0.43767206789769614</v>
      </c>
      <c r="BQ316" s="19">
        <f t="shared" si="516"/>
        <v>968.4975222024475</v>
      </c>
      <c r="BR316" s="15">
        <f t="shared" si="466"/>
        <v>5.4369950444048953E-6</v>
      </c>
      <c r="BS316" s="16">
        <f t="shared" si="467"/>
        <v>27.026721505328148</v>
      </c>
      <c r="BT316" s="17">
        <f t="shared" si="468"/>
        <v>1.3607132406417092E-2</v>
      </c>
      <c r="BU316" s="18">
        <f t="shared" si="517"/>
        <v>0.43906845554235935</v>
      </c>
      <c r="BV316" s="19">
        <f t="shared" si="518"/>
        <v>960.39767025183573</v>
      </c>
      <c r="BW316" s="15">
        <f t="shared" si="469"/>
        <v>5.4207953405036715E-6</v>
      </c>
      <c r="BX316" s="16">
        <f t="shared" si="470"/>
        <v>26.93357320789611</v>
      </c>
      <c r="BY316" s="17">
        <f t="shared" si="471"/>
        <v>1.3566589512018919E-2</v>
      </c>
      <c r="BZ316" s="18">
        <f t="shared" si="519"/>
        <v>0.44058694990529423</v>
      </c>
      <c r="CA316" s="19">
        <f t="shared" si="520"/>
        <v>951.67662228530753</v>
      </c>
      <c r="CB316" s="15">
        <f t="shared" si="472"/>
        <v>5.4033532445706156E-6</v>
      </c>
      <c r="CC316" s="16">
        <f t="shared" si="473"/>
        <v>26.833281156281036</v>
      </c>
      <c r="CD316" s="17">
        <f t="shared" si="474"/>
        <v>1.352293729110127E-2</v>
      </c>
      <c r="CE316" s="18">
        <f t="shared" si="521"/>
        <v>0.44223368736030305</v>
      </c>
      <c r="CF316" s="19">
        <f t="shared" si="522"/>
        <v>942.153758397773</v>
      </c>
      <c r="CG316" s="15">
        <f t="shared" si="475"/>
        <v>5.3843075167955469E-6</v>
      </c>
      <c r="CH316" s="16">
        <f t="shared" si="476"/>
        <v>26.723768221574389</v>
      </c>
      <c r="CI316" s="17">
        <f t="shared" si="477"/>
        <v>1.3475271671122708E-2</v>
      </c>
      <c r="CJ316" s="18">
        <f t="shared" si="523"/>
        <v>0.44404594334633835</v>
      </c>
      <c r="CK316" s="19">
        <f t="shared" si="524"/>
        <v>930.46901073081324</v>
      </c>
      <c r="CL316" s="15">
        <f t="shared" si="478"/>
        <v>5.3609380214616266E-6</v>
      </c>
      <c r="CM316" s="16">
        <f t="shared" si="479"/>
        <v>26.589393623404352</v>
      </c>
      <c r="CN316" s="17">
        <f t="shared" si="480"/>
        <v>1.3416784985980878E-2</v>
      </c>
      <c r="CO316" s="18">
        <f t="shared" si="525"/>
        <v>0.44629001464978013</v>
      </c>
      <c r="CP316" s="19">
        <f t="shared" si="526"/>
        <v>908.69798637044971</v>
      </c>
      <c r="CQ316" s="15">
        <f t="shared" si="481"/>
        <v>5.3173959727409E-6</v>
      </c>
      <c r="CR316" s="16">
        <f t="shared" si="482"/>
        <v>26.339026843260172</v>
      </c>
      <c r="CS316" s="17">
        <f t="shared" si="483"/>
        <v>1.3307812581674698E-2</v>
      </c>
      <c r="CT316" s="18">
        <f t="shared" si="527"/>
        <v>0.45053224404736913</v>
      </c>
      <c r="CU316" s="19">
        <f t="shared" si="528"/>
        <v>843.94064699200976</v>
      </c>
      <c r="CV316" s="15">
        <f t="shared" si="484"/>
        <v>5.1878812939840199E-6</v>
      </c>
      <c r="CW316" s="16">
        <f t="shared" si="485"/>
        <v>25.594317440408112</v>
      </c>
      <c r="CX316" s="17">
        <f t="shared" si="486"/>
        <v>1.2983677031057813E-2</v>
      </c>
      <c r="CY316" s="18">
        <f t="shared" si="529"/>
        <v>0.46364123197843249</v>
      </c>
      <c r="CZ316" s="20">
        <f t="shared" si="530"/>
        <v>654.7809198284026</v>
      </c>
      <c r="DA316" s="15">
        <f t="shared" si="487"/>
        <v>4.8095618396568053E-6</v>
      </c>
      <c r="DB316" s="16">
        <f t="shared" si="488"/>
        <v>32.949991298482473</v>
      </c>
      <c r="DC316" s="17">
        <f t="shared" si="489"/>
        <v>1.2036859374445931E-2</v>
      </c>
      <c r="DD316" s="18">
        <f t="shared" si="531"/>
        <v>0.36013911998405956</v>
      </c>
    </row>
    <row r="317" spans="2:108" x14ac:dyDescent="0.25">
      <c r="B317">
        <v>50</v>
      </c>
      <c r="C317">
        <f t="shared" si="490"/>
        <v>4.8880733317262573E-2</v>
      </c>
      <c r="D317" s="19">
        <f t="shared" si="428"/>
        <v>1019.1944755784133</v>
      </c>
      <c r="E317" s="15">
        <f t="shared" si="429"/>
        <v>5.5383889511568269E-6</v>
      </c>
      <c r="F317" s="16">
        <f t="shared" si="430"/>
        <v>27.609736469151752</v>
      </c>
      <c r="G317" s="17">
        <f t="shared" si="426"/>
        <v>1.3860890282433046E-2</v>
      </c>
      <c r="H317" s="18">
        <f t="shared" si="491"/>
        <v>0.42979696249460336</v>
      </c>
      <c r="I317" s="19">
        <f t="shared" si="492"/>
        <v>1018.8721480264809</v>
      </c>
      <c r="J317" s="15">
        <f t="shared" si="431"/>
        <v>5.5377442960529625E-6</v>
      </c>
      <c r="K317" s="16">
        <f t="shared" si="432"/>
        <v>27.606029702304529</v>
      </c>
      <c r="L317" s="17">
        <f t="shared" si="433"/>
        <v>1.3859276908265309E-2</v>
      </c>
      <c r="M317" s="18">
        <f t="shared" si="493"/>
        <v>0.42985467297121999</v>
      </c>
      <c r="N317" s="19">
        <f t="shared" si="494"/>
        <v>1017.968947140277</v>
      </c>
      <c r="O317" s="15">
        <f t="shared" si="434"/>
        <v>5.5359378942805545E-6</v>
      </c>
      <c r="P317" s="16">
        <f t="shared" si="435"/>
        <v>27.595642892113183</v>
      </c>
      <c r="Q317" s="17">
        <f t="shared" si="427"/>
        <v>1.3860890282433046E-2</v>
      </c>
      <c r="R317" s="18">
        <f t="shared" si="495"/>
        <v>0.43001646731373522</v>
      </c>
      <c r="S317" s="19">
        <f t="shared" si="496"/>
        <v>1016.4685518104543</v>
      </c>
      <c r="T317" s="15">
        <f t="shared" si="436"/>
        <v>5.5329371036209095E-6</v>
      </c>
      <c r="U317" s="16">
        <f t="shared" si="437"/>
        <v>27.578388345820223</v>
      </c>
      <c r="V317" s="17">
        <f t="shared" si="438"/>
        <v>1.3847245978791979E-2</v>
      </c>
      <c r="W317" s="18">
        <f t="shared" si="497"/>
        <v>0.43028550910649555</v>
      </c>
      <c r="X317" s="19">
        <f t="shared" si="498"/>
        <v>1014.3691073305855</v>
      </c>
      <c r="Y317" s="15">
        <f t="shared" si="439"/>
        <v>5.5287382146611719E-6</v>
      </c>
      <c r="Z317" s="16">
        <f t="shared" si="440"/>
        <v>27.554244734301733</v>
      </c>
      <c r="AA317" s="17">
        <f t="shared" si="441"/>
        <v>1.383673744649273E-2</v>
      </c>
      <c r="AB317" s="18">
        <f t="shared" si="499"/>
        <v>0.43066253436246166</v>
      </c>
      <c r="AC317" s="19">
        <f t="shared" si="500"/>
        <v>1011.6697751712037</v>
      </c>
      <c r="AD317" s="15">
        <f t="shared" si="442"/>
        <v>5.5233395503424078E-6</v>
      </c>
      <c r="AE317" s="16">
        <f t="shared" si="443"/>
        <v>27.523202414468841</v>
      </c>
      <c r="AF317" s="17">
        <f t="shared" si="444"/>
        <v>1.3823226244145982E-2</v>
      </c>
      <c r="AG317" s="18">
        <f t="shared" si="501"/>
        <v>0.43114826142032375</v>
      </c>
      <c r="AH317" s="19">
        <f t="shared" si="502"/>
        <v>1008.3705948857412</v>
      </c>
      <c r="AI317" s="15">
        <f t="shared" si="445"/>
        <v>5.516741189771483E-6</v>
      </c>
      <c r="AJ317" s="16">
        <f t="shared" si="446"/>
        <v>27.485261841186023</v>
      </c>
      <c r="AK317" s="17">
        <f t="shared" si="447"/>
        <v>1.3806712569731977E-2</v>
      </c>
      <c r="AL317" s="18">
        <f t="shared" si="503"/>
        <v>0.43174341719154025</v>
      </c>
      <c r="AM317" s="19">
        <f t="shared" si="504"/>
        <v>1004.4715882136011</v>
      </c>
      <c r="AN317" s="15">
        <f t="shared" si="448"/>
        <v>5.5089431764272026E-6</v>
      </c>
      <c r="AO317" s="16">
        <f t="shared" si="449"/>
        <v>27.440423264456413</v>
      </c>
      <c r="AP317" s="17">
        <f t="shared" si="450"/>
        <v>1.3787196532064842E-2</v>
      </c>
      <c r="AQ317" s="18">
        <f t="shared" si="505"/>
        <v>0.4324489004908566</v>
      </c>
      <c r="AR317" s="19">
        <f t="shared" si="506"/>
        <v>999.97276038663995</v>
      </c>
      <c r="AS317" s="15">
        <f t="shared" si="451"/>
        <v>5.4999455207732805E-6</v>
      </c>
      <c r="AT317" s="16">
        <f t="shared" si="452"/>
        <v>27.38868674444636</v>
      </c>
      <c r="AU317" s="17">
        <f t="shared" si="453"/>
        <v>1.3764678157332047E-2</v>
      </c>
      <c r="AV317" s="18">
        <f t="shared" si="507"/>
        <v>0.43326578526530118</v>
      </c>
      <c r="AW317" s="19">
        <f t="shared" si="508"/>
        <v>994.87411233766727</v>
      </c>
      <c r="AX317" s="15">
        <f t="shared" si="454"/>
        <v>5.4897482246753349E-6</v>
      </c>
      <c r="AY317" s="16">
        <f t="shared" si="455"/>
        <v>27.33005229188317</v>
      </c>
      <c r="AZ317" s="17">
        <f t="shared" si="456"/>
        <v>1.373915745020266E-2</v>
      </c>
      <c r="BA317" s="18">
        <f t="shared" si="509"/>
        <v>0.43419532253299742</v>
      </c>
      <c r="BB317" s="19">
        <f t="shared" si="510"/>
        <v>989.1756442069202</v>
      </c>
      <c r="BC317" s="15">
        <f t="shared" si="457"/>
        <v>5.4783512884138411E-6</v>
      </c>
      <c r="BD317" s="16">
        <f t="shared" si="458"/>
        <v>27.264519908379583</v>
      </c>
      <c r="BE317" s="17">
        <f t="shared" si="459"/>
        <v>1.3710634411378625E-2</v>
      </c>
      <c r="BF317" s="18">
        <f t="shared" si="511"/>
        <v>0.4352389445915304</v>
      </c>
      <c r="BG317" s="19">
        <f t="shared" si="512"/>
        <v>982.87735539351661</v>
      </c>
      <c r="BH317" s="15">
        <f t="shared" si="460"/>
        <v>5.4657547107870339E-6</v>
      </c>
      <c r="BI317" s="16">
        <f t="shared" si="461"/>
        <v>27.192089587025443</v>
      </c>
      <c r="BJ317" s="17">
        <f t="shared" si="462"/>
        <v>1.3679109037852294E-2</v>
      </c>
      <c r="BK317" s="18">
        <f t="shared" si="513"/>
        <v>0.43639827059778347</v>
      </c>
      <c r="BL317" s="19">
        <f t="shared" si="514"/>
        <v>975.97923509856594</v>
      </c>
      <c r="BM317" s="15">
        <f t="shared" si="463"/>
        <v>5.4519584701971325E-6</v>
      </c>
      <c r="BN317" s="16">
        <f t="shared" si="464"/>
        <v>27.112761203633507</v>
      </c>
      <c r="BO317" s="17">
        <f t="shared" si="465"/>
        <v>1.3644581275571039E-2</v>
      </c>
      <c r="BP317" s="18">
        <f t="shared" si="515"/>
        <v>0.43767511470309423</v>
      </c>
      <c r="BQ317" s="19">
        <f t="shared" si="516"/>
        <v>968.48112620681491</v>
      </c>
      <c r="BR317" s="15">
        <f t="shared" si="466"/>
        <v>5.4369622524136304E-6</v>
      </c>
      <c r="BS317" s="16">
        <f t="shared" si="467"/>
        <v>27.026532951378371</v>
      </c>
      <c r="BT317" s="17">
        <f t="shared" si="468"/>
        <v>1.36070503381122E-2</v>
      </c>
      <c r="BU317" s="18">
        <f t="shared" si="517"/>
        <v>0.43907151875774342</v>
      </c>
      <c r="BV317" s="19">
        <f t="shared" si="518"/>
        <v>960.38104321952358</v>
      </c>
      <c r="BW317" s="15">
        <f t="shared" si="469"/>
        <v>5.4207620864390474E-6</v>
      </c>
      <c r="BX317" s="16">
        <f t="shared" si="470"/>
        <v>26.933381997024519</v>
      </c>
      <c r="BY317" s="17">
        <f t="shared" si="471"/>
        <v>1.356650628728601E-2</v>
      </c>
      <c r="BZ317" s="18">
        <f t="shared" si="519"/>
        <v>0.44059007780860443</v>
      </c>
      <c r="CA317" s="19">
        <f t="shared" si="520"/>
        <v>951.65749423974489</v>
      </c>
      <c r="CB317" s="15">
        <f t="shared" si="472"/>
        <v>5.4033149884794903E-6</v>
      </c>
      <c r="CC317" s="16">
        <f t="shared" si="473"/>
        <v>26.833061183757067</v>
      </c>
      <c r="CD317" s="17">
        <f t="shared" si="474"/>
        <v>1.3522841547828922E-2</v>
      </c>
      <c r="CE317" s="18">
        <f t="shared" si="521"/>
        <v>0.44223731271112404</v>
      </c>
      <c r="CF317" s="19">
        <f t="shared" si="522"/>
        <v>942.1155614868959</v>
      </c>
      <c r="CG317" s="15">
        <f t="shared" si="475"/>
        <v>5.3842311229737924E-6</v>
      </c>
      <c r="CH317" s="16">
        <f t="shared" si="476"/>
        <v>26.723328957099302</v>
      </c>
      <c r="CI317" s="17">
        <f t="shared" si="477"/>
        <v>1.3475080480798061E-2</v>
      </c>
      <c r="CJ317" s="18">
        <f t="shared" si="523"/>
        <v>0.44405324234746701</v>
      </c>
      <c r="CK317" s="19">
        <f t="shared" si="524"/>
        <v>930.31983795177644</v>
      </c>
      <c r="CL317" s="15">
        <f t="shared" si="478"/>
        <v>5.3606396759035529E-6</v>
      </c>
      <c r="CM317" s="16">
        <f t="shared" si="479"/>
        <v>26.587678136445426</v>
      </c>
      <c r="CN317" s="17">
        <f t="shared" si="480"/>
        <v>1.3416038318478256E-2</v>
      </c>
      <c r="CO317" s="18">
        <f t="shared" si="525"/>
        <v>0.44631881012022706</v>
      </c>
      <c r="CP317" s="19">
        <f t="shared" si="526"/>
        <v>908.08903399200938</v>
      </c>
      <c r="CQ317" s="15">
        <f t="shared" si="481"/>
        <v>5.3161780679840187E-6</v>
      </c>
      <c r="CR317" s="16">
        <f t="shared" si="482"/>
        <v>26.332023890908108</v>
      </c>
      <c r="CS317" s="17">
        <f t="shared" si="483"/>
        <v>1.3304764539300197E-2</v>
      </c>
      <c r="CT317" s="18">
        <f t="shared" si="527"/>
        <v>0.45065206225242638</v>
      </c>
      <c r="CU317" s="19">
        <f t="shared" si="528"/>
        <v>842.19659970432633</v>
      </c>
      <c r="CV317" s="15">
        <f t="shared" si="484"/>
        <v>5.184393199408653E-6</v>
      </c>
      <c r="CW317" s="16">
        <f t="shared" si="485"/>
        <v>25.574260896599753</v>
      </c>
      <c r="CX317" s="17">
        <f t="shared" si="486"/>
        <v>1.2974947399276749E-2</v>
      </c>
      <c r="CY317" s="18">
        <f t="shared" si="529"/>
        <v>0.46400484134013154</v>
      </c>
      <c r="CZ317" s="20">
        <f t="shared" si="530"/>
        <v>652.29605823190161</v>
      </c>
      <c r="DA317" s="15">
        <f t="shared" si="487"/>
        <v>4.8045921164638034E-6</v>
      </c>
      <c r="DB317" s="16">
        <f t="shared" si="488"/>
        <v>33.448951507059689</v>
      </c>
      <c r="DC317" s="17">
        <f t="shared" si="489"/>
        <v>1.2024421680286173E-2</v>
      </c>
      <c r="DD317" s="18">
        <f t="shared" si="531"/>
        <v>0.35476690105557879</v>
      </c>
    </row>
    <row r="318" spans="2:108" x14ac:dyDescent="0.25">
      <c r="B318">
        <v>51</v>
      </c>
      <c r="C318">
        <f t="shared" si="490"/>
        <v>4.9858347983607824E-2</v>
      </c>
      <c r="D318" s="19">
        <f t="shared" si="428"/>
        <v>1019.1780191619024</v>
      </c>
      <c r="E318" s="15">
        <f t="shared" si="429"/>
        <v>5.5383560383238048E-6</v>
      </c>
      <c r="F318" s="16">
        <f t="shared" si="430"/>
        <v>27.609547220361875</v>
      </c>
      <c r="G318" s="17">
        <f t="shared" si="426"/>
        <v>1.3860807911698265E-2</v>
      </c>
      <c r="H318" s="18">
        <f t="shared" si="491"/>
        <v>0.42979990852462679</v>
      </c>
      <c r="I318" s="19">
        <f t="shared" si="492"/>
        <v>1018.8556032456379</v>
      </c>
      <c r="J318" s="15">
        <f t="shared" si="431"/>
        <v>5.5377112064912763E-6</v>
      </c>
      <c r="K318" s="16">
        <f t="shared" si="432"/>
        <v>27.605839437324835</v>
      </c>
      <c r="L318" s="17">
        <f t="shared" si="433"/>
        <v>1.3859194095232841E-2</v>
      </c>
      <c r="M318" s="18">
        <f t="shared" si="493"/>
        <v>0.42985763561580137</v>
      </c>
      <c r="N318" s="19">
        <f t="shared" si="494"/>
        <v>1017.9523425299492</v>
      </c>
      <c r="O318" s="15">
        <f t="shared" si="434"/>
        <v>5.5359046850598985E-6</v>
      </c>
      <c r="P318" s="16">
        <f t="shared" si="435"/>
        <v>27.595451939094417</v>
      </c>
      <c r="Q318" s="17">
        <f t="shared" si="427"/>
        <v>1.3860807911698265E-2</v>
      </c>
      <c r="R318" s="18">
        <f t="shared" si="495"/>
        <v>0.43001944291068267</v>
      </c>
      <c r="S318" s="19">
        <f t="shared" si="496"/>
        <v>1016.4519323905701</v>
      </c>
      <c r="T318" s="15">
        <f t="shared" si="436"/>
        <v>5.5329038647811402E-6</v>
      </c>
      <c r="U318" s="16">
        <f t="shared" si="437"/>
        <v>27.578197222491553</v>
      </c>
      <c r="V318" s="17">
        <f t="shared" si="438"/>
        <v>1.3847162792162217E-2</v>
      </c>
      <c r="W318" s="18">
        <f t="shared" si="497"/>
        <v>0.43028849108527084</v>
      </c>
      <c r="X318" s="19">
        <f t="shared" si="498"/>
        <v>1014.3524944080644</v>
      </c>
      <c r="Y318" s="15">
        <f t="shared" si="439"/>
        <v>5.5287049888161289E-6</v>
      </c>
      <c r="Z318" s="16">
        <f t="shared" si="440"/>
        <v>27.55405368569274</v>
      </c>
      <c r="AA318" s="17">
        <f t="shared" si="441"/>
        <v>1.3836654292384785E-2</v>
      </c>
      <c r="AB318" s="18">
        <f t="shared" si="499"/>
        <v>0.43066552040143341</v>
      </c>
      <c r="AC318" s="19">
        <f t="shared" si="500"/>
        <v>1011.6531753457584</v>
      </c>
      <c r="AD318" s="15">
        <f t="shared" si="442"/>
        <v>5.5233063506915174E-6</v>
      </c>
      <c r="AE318" s="16">
        <f t="shared" si="443"/>
        <v>27.52301151647622</v>
      </c>
      <c r="AF318" s="17">
        <f t="shared" si="444"/>
        <v>1.3823143155593975E-2</v>
      </c>
      <c r="AG318" s="18">
        <f t="shared" si="501"/>
        <v>0.43115125183936198</v>
      </c>
      <c r="AH318" s="19">
        <f t="shared" si="502"/>
        <v>1008.3540116023316</v>
      </c>
      <c r="AI318" s="15">
        <f t="shared" si="445"/>
        <v>5.5167080232046635E-6</v>
      </c>
      <c r="AJ318" s="16">
        <f t="shared" si="446"/>
        <v>27.485071133426814</v>
      </c>
      <c r="AK318" s="17">
        <f t="shared" si="447"/>
        <v>1.3806629563979262E-2</v>
      </c>
      <c r="AL318" s="18">
        <f t="shared" si="503"/>
        <v>0.43174641288397436</v>
      </c>
      <c r="AM318" s="19">
        <f t="shared" si="504"/>
        <v>1004.455024862964</v>
      </c>
      <c r="AN318" s="15">
        <f t="shared" si="448"/>
        <v>5.5089100497259286E-6</v>
      </c>
      <c r="AO318" s="16">
        <f t="shared" si="449"/>
        <v>27.440232785924085</v>
      </c>
      <c r="AP318" s="17">
        <f t="shared" si="450"/>
        <v>1.3787113626083368E-2</v>
      </c>
      <c r="AQ318" s="18">
        <f t="shared" si="505"/>
        <v>0.43245190236888426</v>
      </c>
      <c r="AR318" s="19">
        <f t="shared" si="506"/>
        <v>999.95622050393229</v>
      </c>
      <c r="AS318" s="15">
        <f t="shared" si="451"/>
        <v>5.4999124410078649E-6</v>
      </c>
      <c r="AT318" s="16">
        <f t="shared" si="452"/>
        <v>27.38849653579522</v>
      </c>
      <c r="AU318" s="17">
        <f t="shared" si="453"/>
        <v>1.3764595368816643E-2</v>
      </c>
      <c r="AV318" s="18">
        <f t="shared" si="507"/>
        <v>0.43326879422566866</v>
      </c>
      <c r="AW318" s="19">
        <f t="shared" si="508"/>
        <v>994.85759950498289</v>
      </c>
      <c r="AX318" s="15">
        <f t="shared" si="454"/>
        <v>5.4897151990099661E-6</v>
      </c>
      <c r="AY318" s="16">
        <f t="shared" si="455"/>
        <v>27.329862394307302</v>
      </c>
      <c r="AZ318" s="17">
        <f t="shared" si="456"/>
        <v>1.3739074797083094E-2</v>
      </c>
      <c r="BA318" s="18">
        <f t="shared" si="509"/>
        <v>0.4341983394760765</v>
      </c>
      <c r="BB318" s="19">
        <f t="shared" si="510"/>
        <v>989.1591620086474</v>
      </c>
      <c r="BC318" s="15">
        <f t="shared" si="457"/>
        <v>5.4783183240172953E-6</v>
      </c>
      <c r="BD318" s="16">
        <f t="shared" si="458"/>
        <v>27.264330363099447</v>
      </c>
      <c r="BE318" s="17">
        <f t="shared" si="459"/>
        <v>1.3710551911596147E-2</v>
      </c>
      <c r="BF318" s="18">
        <f t="shared" si="511"/>
        <v>0.43524197043102764</v>
      </c>
      <c r="BG318" s="19">
        <f t="shared" si="512"/>
        <v>982.86090727957219</v>
      </c>
      <c r="BH318" s="15">
        <f t="shared" si="460"/>
        <v>5.4657218145591448E-6</v>
      </c>
      <c r="BI318" s="16">
        <f t="shared" si="461"/>
        <v>27.191900433715077</v>
      </c>
      <c r="BJ318" s="17">
        <f t="shared" si="462"/>
        <v>1.3679026708675074E-2</v>
      </c>
      <c r="BK318" s="18">
        <f t="shared" si="513"/>
        <v>0.43640130628768392</v>
      </c>
      <c r="BL318" s="19">
        <f t="shared" si="514"/>
        <v>975.96282257171083</v>
      </c>
      <c r="BM318" s="15">
        <f t="shared" si="463"/>
        <v>5.4519256451434222E-6</v>
      </c>
      <c r="BN318" s="16">
        <f t="shared" si="464"/>
        <v>27.112572459574672</v>
      </c>
      <c r="BO318" s="17">
        <f t="shared" si="465"/>
        <v>1.3644499124520976E-2</v>
      </c>
      <c r="BP318" s="18">
        <f t="shared" si="515"/>
        <v>0.43767816157655942</v>
      </c>
      <c r="BQ318" s="19">
        <f t="shared" si="516"/>
        <v>968.46472682120157</v>
      </c>
      <c r="BR318" s="15">
        <f t="shared" si="466"/>
        <v>5.4369294536424038E-6</v>
      </c>
      <c r="BS318" s="16">
        <f t="shared" si="467"/>
        <v>27.026344358443815</v>
      </c>
      <c r="BT318" s="17">
        <f t="shared" si="468"/>
        <v>1.3606968252839139E-2</v>
      </c>
      <c r="BU318" s="18">
        <f t="shared" si="517"/>
        <v>0.43907458264922294</v>
      </c>
      <c r="BV318" s="19">
        <f t="shared" si="518"/>
        <v>960.36438407234016</v>
      </c>
      <c r="BW318" s="15">
        <f t="shared" si="469"/>
        <v>5.4207287681446806E-6</v>
      </c>
      <c r="BX318" s="16">
        <f t="shared" si="470"/>
        <v>26.933190416831913</v>
      </c>
      <c r="BY318" s="17">
        <f t="shared" si="471"/>
        <v>1.3566422901805741E-2</v>
      </c>
      <c r="BZ318" s="18">
        <f t="shared" si="519"/>
        <v>0.44059321179795585</v>
      </c>
      <c r="CA318" s="19">
        <f t="shared" si="520"/>
        <v>951.63813179106046</v>
      </c>
      <c r="CB318" s="15">
        <f t="shared" si="472"/>
        <v>5.4032762635821213E-6</v>
      </c>
      <c r="CC318" s="16">
        <f t="shared" si="473"/>
        <v>26.832838515597196</v>
      </c>
      <c r="CD318" s="17">
        <f t="shared" si="474"/>
        <v>1.3522744631278213E-2</v>
      </c>
      <c r="CE318" s="18">
        <f t="shared" si="521"/>
        <v>0.44224098254905753</v>
      </c>
      <c r="CF318" s="19">
        <f t="shared" si="522"/>
        <v>942.07606705978833</v>
      </c>
      <c r="CG318" s="15">
        <f t="shared" si="475"/>
        <v>5.3841521341195768E-6</v>
      </c>
      <c r="CH318" s="16">
        <f t="shared" si="476"/>
        <v>26.722874771187563</v>
      </c>
      <c r="CI318" s="17">
        <f t="shared" si="477"/>
        <v>1.3474882795902421E-2</v>
      </c>
      <c r="CJ318" s="18">
        <f t="shared" si="523"/>
        <v>0.44406078954171396</v>
      </c>
      <c r="CK318" s="19">
        <f t="shared" si="524"/>
        <v>930.16574106991368</v>
      </c>
      <c r="CL318" s="15">
        <f t="shared" si="478"/>
        <v>5.360331482139828E-6</v>
      </c>
      <c r="CM318" s="16">
        <f t="shared" si="479"/>
        <v>26.585906022304009</v>
      </c>
      <c r="CN318" s="17">
        <f t="shared" si="480"/>
        <v>1.3415267003934913E-2</v>
      </c>
      <c r="CO318" s="18">
        <f t="shared" si="525"/>
        <v>0.44634856001381096</v>
      </c>
      <c r="CP318" s="19">
        <f t="shared" si="526"/>
        <v>907.47046276415711</v>
      </c>
      <c r="CQ318" s="15">
        <f t="shared" si="481"/>
        <v>5.3149409255283155E-6</v>
      </c>
      <c r="CR318" s="16">
        <f t="shared" si="482"/>
        <v>26.324910321787804</v>
      </c>
      <c r="CS318" s="17">
        <f t="shared" si="483"/>
        <v>1.330166835086102E-2</v>
      </c>
      <c r="CT318" s="18">
        <f t="shared" si="527"/>
        <v>0.45077383834035423</v>
      </c>
      <c r="CU318" s="19">
        <f t="shared" si="528"/>
        <v>840.45754621789365</v>
      </c>
      <c r="CV318" s="15">
        <f t="shared" si="484"/>
        <v>5.1809150924357882E-6</v>
      </c>
      <c r="CW318" s="16">
        <f t="shared" si="485"/>
        <v>25.554261781505776</v>
      </c>
      <c r="CX318" s="17">
        <f t="shared" si="486"/>
        <v>1.2966242763404008E-2</v>
      </c>
      <c r="CY318" s="18">
        <f t="shared" si="529"/>
        <v>0.46436797788093509</v>
      </c>
      <c r="CZ318" s="20">
        <f t="shared" si="530"/>
        <v>649.85546759397619</v>
      </c>
      <c r="DA318" s="15">
        <f t="shared" si="487"/>
        <v>4.7724505621291078E-6</v>
      </c>
      <c r="DB318" s="16">
        <f t="shared" si="488"/>
        <v>34.649191439774683</v>
      </c>
      <c r="DC318" s="17">
        <f t="shared" si="489"/>
        <v>1.1943981219699341E-2</v>
      </c>
      <c r="DD318" s="18">
        <f t="shared" si="531"/>
        <v>0.34247785811520987</v>
      </c>
    </row>
    <row r="319" spans="2:108" x14ac:dyDescent="0.25">
      <c r="B319">
        <v>52</v>
      </c>
      <c r="C319">
        <f t="shared" si="490"/>
        <v>5.0835962649953076E-2</v>
      </c>
      <c r="D319" s="19">
        <f t="shared" si="428"/>
        <v>1019.161558233955</v>
      </c>
      <c r="E319" s="15">
        <f t="shared" si="429"/>
        <v>5.5383231164679107E-6</v>
      </c>
      <c r="F319" s="16">
        <f t="shared" si="430"/>
        <v>27.609357919690481</v>
      </c>
      <c r="G319" s="17">
        <f t="shared" si="426"/>
        <v>1.3860725518382003E-2</v>
      </c>
      <c r="H319" s="18">
        <f t="shared" si="491"/>
        <v>0.42980285540269203</v>
      </c>
      <c r="I319" s="19">
        <f t="shared" si="492"/>
        <v>1018.8390579316194</v>
      </c>
      <c r="J319" s="15">
        <f t="shared" si="431"/>
        <v>5.5376781158632399E-6</v>
      </c>
      <c r="K319" s="16">
        <f t="shared" si="432"/>
        <v>27.605649166213624</v>
      </c>
      <c r="L319" s="17">
        <f t="shared" si="433"/>
        <v>1.3859111279531627E-2</v>
      </c>
      <c r="M319" s="18">
        <f t="shared" si="493"/>
        <v>0.4298605983966981</v>
      </c>
      <c r="N319" s="19">
        <f t="shared" si="494"/>
        <v>1017.9357383841708</v>
      </c>
      <c r="O319" s="15">
        <f t="shared" si="434"/>
        <v>5.535871476768342E-6</v>
      </c>
      <c r="P319" s="16">
        <f t="shared" si="435"/>
        <v>27.595260991417963</v>
      </c>
      <c r="Q319" s="17">
        <f t="shared" si="427"/>
        <v>1.3860725518382003E-2</v>
      </c>
      <c r="R319" s="18">
        <f t="shared" si="495"/>
        <v>0.43002241846556072</v>
      </c>
      <c r="S319" s="19">
        <f t="shared" si="496"/>
        <v>1016.4353133456044</v>
      </c>
      <c r="T319" s="15">
        <f t="shared" si="436"/>
        <v>5.5328706266912093E-6</v>
      </c>
      <c r="U319" s="16">
        <f t="shared" si="437"/>
        <v>27.578006103474451</v>
      </c>
      <c r="V319" s="17">
        <f t="shared" si="438"/>
        <v>1.3847079607409073E-2</v>
      </c>
      <c r="W319" s="18">
        <f t="shared" si="497"/>
        <v>0.430291473038106</v>
      </c>
      <c r="X319" s="19">
        <f t="shared" si="498"/>
        <v>1014.3358817106455</v>
      </c>
      <c r="Y319" s="15">
        <f t="shared" si="439"/>
        <v>5.5286717634212916E-6</v>
      </c>
      <c r="Z319" s="16">
        <f t="shared" si="440"/>
        <v>27.553862639672424</v>
      </c>
      <c r="AA319" s="17">
        <f t="shared" si="441"/>
        <v>1.3836571139403567E-2</v>
      </c>
      <c r="AB319" s="18">
        <f t="shared" si="499"/>
        <v>0.43066850644135224</v>
      </c>
      <c r="AC319" s="19">
        <f t="shared" si="500"/>
        <v>1011.6365757087485</v>
      </c>
      <c r="AD319" s="15">
        <f t="shared" si="442"/>
        <v>5.5232731514174973E-6</v>
      </c>
      <c r="AE319" s="16">
        <f t="shared" si="443"/>
        <v>27.522820620650606</v>
      </c>
      <c r="AF319" s="17">
        <f t="shared" si="444"/>
        <v>1.3823060067985157E-2</v>
      </c>
      <c r="AG319" s="18">
        <f t="shared" si="501"/>
        <v>0.43115424226593629</v>
      </c>
      <c r="AH319" s="19">
        <f t="shared" si="502"/>
        <v>1008.3374285074867</v>
      </c>
      <c r="AI319" s="15">
        <f t="shared" si="445"/>
        <v>5.5166748570149736E-6</v>
      </c>
      <c r="AJ319" s="16">
        <f t="shared" si="446"/>
        <v>27.484880427836096</v>
      </c>
      <c r="AK319" s="17">
        <f t="shared" si="447"/>
        <v>1.3806546559170383E-2</v>
      </c>
      <c r="AL319" s="18">
        <f t="shared" si="503"/>
        <v>0.43174940858391658</v>
      </c>
      <c r="AM319" s="19">
        <f t="shared" si="504"/>
        <v>1004.4384617035143</v>
      </c>
      <c r="AN319" s="15">
        <f t="shared" si="448"/>
        <v>5.5088769234070291E-6</v>
      </c>
      <c r="AO319" s="16">
        <f t="shared" si="449"/>
        <v>27.440042309590414</v>
      </c>
      <c r="AP319" s="17">
        <f t="shared" si="450"/>
        <v>1.3787030721058862E-2</v>
      </c>
      <c r="AQ319" s="18">
        <f t="shared" si="505"/>
        <v>0.43245490425393684</v>
      </c>
      <c r="AR319" s="19">
        <f t="shared" si="506"/>
        <v>999.93968081359992</v>
      </c>
      <c r="AS319" s="15">
        <f t="shared" si="451"/>
        <v>5.4998793616272004E-6</v>
      </c>
      <c r="AT319" s="16">
        <f t="shared" si="452"/>
        <v>27.388306329356396</v>
      </c>
      <c r="AU319" s="17">
        <f t="shared" si="453"/>
        <v>1.3764512581264153E-2</v>
      </c>
      <c r="AV319" s="18">
        <f t="shared" si="507"/>
        <v>0.43327180319283198</v>
      </c>
      <c r="AW319" s="19">
        <f t="shared" si="508"/>
        <v>994.84108686506374</v>
      </c>
      <c r="AX319" s="15">
        <f t="shared" si="454"/>
        <v>5.4896821737301277E-6</v>
      </c>
      <c r="AY319" s="16">
        <f t="shared" si="455"/>
        <v>27.329672498948234</v>
      </c>
      <c r="AZ319" s="17">
        <f t="shared" si="456"/>
        <v>1.3738992144928392E-2</v>
      </c>
      <c r="BA319" s="18">
        <f t="shared" si="509"/>
        <v>0.43420135642586194</v>
      </c>
      <c r="BB319" s="19">
        <f t="shared" si="510"/>
        <v>989.14268000138588</v>
      </c>
      <c r="BC319" s="15">
        <f t="shared" si="457"/>
        <v>5.4782853600027723E-6</v>
      </c>
      <c r="BD319" s="16">
        <f t="shared" si="458"/>
        <v>27.264140820015939</v>
      </c>
      <c r="BE319" s="17">
        <f t="shared" si="459"/>
        <v>1.3710469412769755E-2</v>
      </c>
      <c r="BF319" s="18">
        <f t="shared" si="511"/>
        <v>0.43524499627753027</v>
      </c>
      <c r="BG319" s="19">
        <f t="shared" si="512"/>
        <v>982.84445932862195</v>
      </c>
      <c r="BH319" s="15">
        <f t="shared" si="460"/>
        <v>5.4656889186572449E-6</v>
      </c>
      <c r="BI319" s="16">
        <f t="shared" si="461"/>
        <v>27.191711282279151</v>
      </c>
      <c r="BJ319" s="17">
        <f t="shared" si="462"/>
        <v>1.3678944380313704E-2</v>
      </c>
      <c r="BK319" s="18">
        <f t="shared" si="513"/>
        <v>0.43640434198973543</v>
      </c>
      <c r="BL319" s="19">
        <f t="shared" si="514"/>
        <v>975.94640986437344</v>
      </c>
      <c r="BM319" s="15">
        <f t="shared" si="463"/>
        <v>5.4518928197287471E-6</v>
      </c>
      <c r="BN319" s="16">
        <f t="shared" si="464"/>
        <v>27.112383713440295</v>
      </c>
      <c r="BO319" s="17">
        <f t="shared" si="465"/>
        <v>1.3644416972567529E-2</v>
      </c>
      <c r="BP319" s="18">
        <f t="shared" si="515"/>
        <v>0.43768120852595244</v>
      </c>
      <c r="BQ319" s="19">
        <f t="shared" si="516"/>
        <v>968.4483236813046</v>
      </c>
      <c r="BR319" s="15">
        <f t="shared" si="466"/>
        <v>5.4368966473626104E-6</v>
      </c>
      <c r="BS319" s="16">
        <f t="shared" si="467"/>
        <v>27.026155722335002</v>
      </c>
      <c r="BT319" s="17">
        <f t="shared" si="468"/>
        <v>1.3606886148774436E-2</v>
      </c>
      <c r="BU319" s="18">
        <f t="shared" si="517"/>
        <v>0.43907764728488924</v>
      </c>
      <c r="BV319" s="19">
        <f t="shared" si="518"/>
        <v>960.34769033677719</v>
      </c>
      <c r="BW319" s="15">
        <f t="shared" si="469"/>
        <v>5.4206953806735549E-6</v>
      </c>
      <c r="BX319" s="16">
        <f t="shared" si="470"/>
        <v>26.932998438872936</v>
      </c>
      <c r="BY319" s="17">
        <f t="shared" si="471"/>
        <v>1.3566339343197243E-2</v>
      </c>
      <c r="BZ319" s="18">
        <f t="shared" si="519"/>
        <v>0.44059635233894434</v>
      </c>
      <c r="CA319" s="19">
        <f t="shared" si="520"/>
        <v>951.61852269191627</v>
      </c>
      <c r="CB319" s="15">
        <f t="shared" si="472"/>
        <v>5.4032370453838328E-6</v>
      </c>
      <c r="CC319" s="16">
        <f t="shared" si="473"/>
        <v>26.832613010957036</v>
      </c>
      <c r="CD319" s="17">
        <f t="shared" si="474"/>
        <v>1.3522646480146477E-2</v>
      </c>
      <c r="CE319" s="18">
        <f t="shared" si="521"/>
        <v>0.44224469919765946</v>
      </c>
      <c r="CF319" s="19">
        <f t="shared" si="522"/>
        <v>942.0352384920451</v>
      </c>
      <c r="CG319" s="15">
        <f t="shared" si="475"/>
        <v>5.3840704769840904E-6</v>
      </c>
      <c r="CH319" s="16">
        <f t="shared" si="476"/>
        <v>26.722405242658517</v>
      </c>
      <c r="CI319" s="17">
        <f t="shared" si="477"/>
        <v>1.3474678433116468E-2</v>
      </c>
      <c r="CJ319" s="18">
        <f t="shared" si="523"/>
        <v>0.44406859195348891</v>
      </c>
      <c r="CK319" s="19">
        <f t="shared" si="524"/>
        <v>930.00670261760342</v>
      </c>
      <c r="CL319" s="15">
        <f t="shared" si="478"/>
        <v>5.3600134052352072E-6</v>
      </c>
      <c r="CM319" s="16">
        <f t="shared" si="479"/>
        <v>26.584077080102439</v>
      </c>
      <c r="CN319" s="17">
        <f t="shared" si="480"/>
        <v>1.3414470954918635E-2</v>
      </c>
      <c r="CO319" s="18">
        <f t="shared" si="525"/>
        <v>0.44637926808449396</v>
      </c>
      <c r="CP319" s="19">
        <f t="shared" si="526"/>
        <v>906.84253764945981</v>
      </c>
      <c r="CQ319" s="15">
        <f t="shared" si="481"/>
        <v>5.3136850752989194E-6</v>
      </c>
      <c r="CR319" s="16">
        <f t="shared" si="482"/>
        <v>26.317689182968785</v>
      </c>
      <c r="CS319" s="17">
        <f t="shared" si="483"/>
        <v>1.3298525342597364E-2</v>
      </c>
      <c r="CT319" s="18">
        <f t="shared" si="527"/>
        <v>0.45089752322925186</v>
      </c>
      <c r="CU319" s="19">
        <f t="shared" si="528"/>
        <v>838.72383736283086</v>
      </c>
      <c r="CV319" s="15">
        <f t="shared" si="484"/>
        <v>5.1774476747256621E-6</v>
      </c>
      <c r="CW319" s="16">
        <f t="shared" si="485"/>
        <v>25.534324129672555</v>
      </c>
      <c r="CX319" s="17">
        <f t="shared" si="486"/>
        <v>1.2957564879480129E-2</v>
      </c>
      <c r="CY319" s="18">
        <f t="shared" si="529"/>
        <v>0.46473056461001666</v>
      </c>
      <c r="CZ319" s="20">
        <f t="shared" si="530"/>
        <v>647.45760232123678</v>
      </c>
      <c r="DA319" s="15">
        <f t="shared" si="487"/>
        <v>4.8161079215094316E-6</v>
      </c>
      <c r="DB319" s="16">
        <f t="shared" si="488"/>
        <v>34.718729532684129</v>
      </c>
      <c r="DC319" s="17">
        <f t="shared" si="489"/>
        <v>1.2053242211249064E-2</v>
      </c>
      <c r="DD319" s="18">
        <f t="shared" si="531"/>
        <v>0.34179190971106033</v>
      </c>
    </row>
    <row r="320" spans="2:108" x14ac:dyDescent="0.25">
      <c r="B320">
        <v>53</v>
      </c>
      <c r="C320">
        <f t="shared" si="490"/>
        <v>5.1813577316298327E-2</v>
      </c>
      <c r="D320" s="19">
        <f t="shared" si="428"/>
        <v>1019.1450929976812</v>
      </c>
      <c r="E320" s="15">
        <f t="shared" si="429"/>
        <v>5.5382901859953631E-6</v>
      </c>
      <c r="F320" s="16">
        <f t="shared" si="430"/>
        <v>27.609168569473333</v>
      </c>
      <c r="G320" s="17">
        <f t="shared" si="426"/>
        <v>1.3860643103500896E-2</v>
      </c>
      <c r="H320" s="18">
        <f t="shared" si="491"/>
        <v>0.42980580309247113</v>
      </c>
      <c r="I320" s="19">
        <f t="shared" si="492"/>
        <v>1018.8225120776317</v>
      </c>
      <c r="J320" s="15">
        <f t="shared" si="431"/>
        <v>5.5376450241552637E-6</v>
      </c>
      <c r="K320" s="16">
        <f t="shared" si="432"/>
        <v>27.605458888892763</v>
      </c>
      <c r="L320" s="17">
        <f t="shared" si="433"/>
        <v>1.3859028461127652E-2</v>
      </c>
      <c r="M320" s="18">
        <f t="shared" si="493"/>
        <v>0.42986356131513159</v>
      </c>
      <c r="N320" s="19">
        <f t="shared" si="494"/>
        <v>1017.9191346910173</v>
      </c>
      <c r="O320" s="15">
        <f t="shared" si="434"/>
        <v>5.535838269382035E-6</v>
      </c>
      <c r="P320" s="16">
        <f t="shared" si="435"/>
        <v>27.595070048946699</v>
      </c>
      <c r="Q320" s="17">
        <f t="shared" si="427"/>
        <v>1.3860643103500896E-2</v>
      </c>
      <c r="R320" s="18">
        <f t="shared" si="495"/>
        <v>0.4300253939805036</v>
      </c>
      <c r="S320" s="19">
        <f t="shared" si="496"/>
        <v>1016.4186946741926</v>
      </c>
      <c r="T320" s="15">
        <f t="shared" si="436"/>
        <v>5.5328373893483853E-6</v>
      </c>
      <c r="U320" s="16">
        <f t="shared" si="437"/>
        <v>27.577814988753214</v>
      </c>
      <c r="V320" s="17">
        <f t="shared" si="438"/>
        <v>1.3846996424525705E-2</v>
      </c>
      <c r="W320" s="18">
        <f t="shared" si="497"/>
        <v>0.43029445496524393</v>
      </c>
      <c r="X320" s="19">
        <f t="shared" si="498"/>
        <v>1014.3192692395688</v>
      </c>
      <c r="Y320" s="15">
        <f t="shared" si="439"/>
        <v>5.5286385384791383E-6</v>
      </c>
      <c r="Z320" s="16">
        <f t="shared" si="440"/>
        <v>27.553671596255043</v>
      </c>
      <c r="AA320" s="17">
        <f t="shared" si="441"/>
        <v>1.383648798755528E-2</v>
      </c>
      <c r="AB320" s="18">
        <f t="shared" si="499"/>
        <v>0.43067149248199449</v>
      </c>
      <c r="AC320" s="19">
        <f t="shared" si="500"/>
        <v>1011.6199762606301</v>
      </c>
      <c r="AD320" s="15">
        <f t="shared" si="442"/>
        <v>5.5232399525212607E-6</v>
      </c>
      <c r="AE320" s="16">
        <f t="shared" si="443"/>
        <v>27.522629726997245</v>
      </c>
      <c r="AF320" s="17">
        <f t="shared" si="444"/>
        <v>1.3822976981321816E-2</v>
      </c>
      <c r="AG320" s="18">
        <f t="shared" si="501"/>
        <v>0.43115723269996403</v>
      </c>
      <c r="AH320" s="19">
        <f t="shared" si="502"/>
        <v>1008.3208456012419</v>
      </c>
      <c r="AI320" s="15">
        <f t="shared" si="445"/>
        <v>5.5166416912024836E-6</v>
      </c>
      <c r="AJ320" s="16">
        <f t="shared" si="446"/>
        <v>27.484689724414281</v>
      </c>
      <c r="AK320" s="17">
        <f t="shared" si="447"/>
        <v>1.3806463555305522E-2</v>
      </c>
      <c r="AL320" s="18">
        <f t="shared" si="503"/>
        <v>0.43175240429135986</v>
      </c>
      <c r="AM320" s="19">
        <f t="shared" si="504"/>
        <v>1004.4218987352339</v>
      </c>
      <c r="AN320" s="15">
        <f t="shared" si="448"/>
        <v>5.5088437974704684E-6</v>
      </c>
      <c r="AO320" s="16">
        <f t="shared" si="449"/>
        <v>27.439851835455187</v>
      </c>
      <c r="AP320" s="17">
        <f t="shared" si="450"/>
        <v>1.3786947816991232E-2</v>
      </c>
      <c r="AQ320" s="18">
        <f t="shared" si="505"/>
        <v>0.43245790614601726</v>
      </c>
      <c r="AR320" s="19">
        <f t="shared" si="506"/>
        <v>999.92314131563091</v>
      </c>
      <c r="AS320" s="15">
        <f t="shared" si="451"/>
        <v>5.4998462826312625E-6</v>
      </c>
      <c r="AT320" s="16">
        <f t="shared" si="452"/>
        <v>27.388116125129756</v>
      </c>
      <c r="AU320" s="17">
        <f t="shared" si="453"/>
        <v>1.3764429794674515E-2</v>
      </c>
      <c r="AV320" s="18">
        <f t="shared" si="507"/>
        <v>0.43327481216679259</v>
      </c>
      <c r="AW320" s="19">
        <f t="shared" si="508"/>
        <v>994.8245744178771</v>
      </c>
      <c r="AX320" s="15">
        <f t="shared" si="454"/>
        <v>5.4896491488357546E-6</v>
      </c>
      <c r="AY320" s="16">
        <f t="shared" si="455"/>
        <v>27.329482605805588</v>
      </c>
      <c r="AZ320" s="17">
        <f t="shared" si="456"/>
        <v>1.3738909493738391E-2</v>
      </c>
      <c r="BA320" s="18">
        <f t="shared" si="509"/>
        <v>0.43420437338235912</v>
      </c>
      <c r="BB320" s="19">
        <f t="shared" si="510"/>
        <v>989.12619818475207</v>
      </c>
      <c r="BC320" s="15">
        <f t="shared" si="457"/>
        <v>5.4782523963695048E-6</v>
      </c>
      <c r="BD320" s="16">
        <f t="shared" si="458"/>
        <v>27.263951279124647</v>
      </c>
      <c r="BE320" s="17">
        <f t="shared" si="459"/>
        <v>1.3710386914897531E-2</v>
      </c>
      <c r="BF320" s="18">
        <f t="shared" si="511"/>
        <v>0.43524802213110814</v>
      </c>
      <c r="BG320" s="19">
        <f t="shared" si="512"/>
        <v>982.82801153610751</v>
      </c>
      <c r="BH320" s="15">
        <f t="shared" si="460"/>
        <v>5.4656560230722158E-6</v>
      </c>
      <c r="BI320" s="16">
        <f t="shared" si="461"/>
        <v>27.191522132665234</v>
      </c>
      <c r="BJ320" s="17">
        <f t="shared" si="462"/>
        <v>1.3678862052745364E-2</v>
      </c>
      <c r="BK320" s="18">
        <f t="shared" si="513"/>
        <v>0.43640737770477916</v>
      </c>
      <c r="BL320" s="19">
        <f t="shared" si="514"/>
        <v>975.92999693013621</v>
      </c>
      <c r="BM320" s="15">
        <f t="shared" si="463"/>
        <v>5.4518599938602724E-6</v>
      </c>
      <c r="BN320" s="16">
        <f t="shared" si="464"/>
        <v>27.112194964696563</v>
      </c>
      <c r="BO320" s="17">
        <f t="shared" si="465"/>
        <v>1.3644334819478359E-2</v>
      </c>
      <c r="BP320" s="18">
        <f t="shared" si="515"/>
        <v>0.43768425555989315</v>
      </c>
      <c r="BQ320" s="19">
        <f t="shared" si="516"/>
        <v>968.43191639716645</v>
      </c>
      <c r="BR320" s="15">
        <f t="shared" si="466"/>
        <v>5.4368638327943336E-6</v>
      </c>
      <c r="BS320" s="16">
        <f t="shared" si="467"/>
        <v>27.025967038567416</v>
      </c>
      <c r="BT320" s="17">
        <f t="shared" si="468"/>
        <v>1.3606804023966202E-2</v>
      </c>
      <c r="BU320" s="18">
        <f t="shared" si="517"/>
        <v>0.43908071273763083</v>
      </c>
      <c r="BV320" s="19">
        <f t="shared" si="518"/>
        <v>960.33095942930788</v>
      </c>
      <c r="BW320" s="15">
        <f t="shared" si="469"/>
        <v>5.4206619188586159E-6</v>
      </c>
      <c r="BX320" s="16">
        <f t="shared" si="470"/>
        <v>26.932806033437039</v>
      </c>
      <c r="BY320" s="17">
        <f t="shared" si="471"/>
        <v>1.3566255598528962E-2</v>
      </c>
      <c r="BZ320" s="18">
        <f t="shared" si="519"/>
        <v>0.44059949991789032</v>
      </c>
      <c r="CA320" s="19">
        <f t="shared" si="520"/>
        <v>951.59865448167466</v>
      </c>
      <c r="CB320" s="15">
        <f t="shared" si="472"/>
        <v>5.4031973089633502E-6</v>
      </c>
      <c r="CC320" s="16">
        <f t="shared" si="473"/>
        <v>26.832384526539258</v>
      </c>
      <c r="CD320" s="17">
        <f t="shared" si="474"/>
        <v>1.35225470320634E-2</v>
      </c>
      <c r="CE320" s="18">
        <f t="shared" si="521"/>
        <v>0.44224846502109988</v>
      </c>
      <c r="CF320" s="19">
        <f t="shared" si="522"/>
        <v>941.99303974710165</v>
      </c>
      <c r="CG320" s="15">
        <f t="shared" si="475"/>
        <v>5.3839860794942035E-6</v>
      </c>
      <c r="CH320" s="16">
        <f t="shared" si="476"/>
        <v>26.721919957091668</v>
      </c>
      <c r="CI320" s="17">
        <f t="shared" si="477"/>
        <v>1.3474467212063242E-2</v>
      </c>
      <c r="CJ320" s="18">
        <f t="shared" si="523"/>
        <v>0.44407665649670708</v>
      </c>
      <c r="CK320" s="19">
        <f t="shared" si="524"/>
        <v>929.84270880456506</v>
      </c>
      <c r="CL320" s="15">
        <f t="shared" si="478"/>
        <v>5.3596854176091307E-6</v>
      </c>
      <c r="CM320" s="16">
        <f t="shared" si="479"/>
        <v>26.582191151252495</v>
      </c>
      <c r="CN320" s="17">
        <f t="shared" si="480"/>
        <v>1.3413650102403736E-2</v>
      </c>
      <c r="CO320" s="18">
        <f t="shared" si="525"/>
        <v>0.44641093739026744</v>
      </c>
      <c r="CP320" s="19">
        <f t="shared" si="526"/>
        <v>906.20552111954612</v>
      </c>
      <c r="CQ320" s="15">
        <f t="shared" si="481"/>
        <v>5.312411042239093E-6</v>
      </c>
      <c r="CR320" s="16">
        <f t="shared" si="482"/>
        <v>26.310363492874778</v>
      </c>
      <c r="CS320" s="17">
        <f t="shared" si="483"/>
        <v>1.3295336828281344E-2</v>
      </c>
      <c r="CT320" s="18">
        <f t="shared" si="527"/>
        <v>0.45102306826477473</v>
      </c>
      <c r="CU320" s="19">
        <f t="shared" si="528"/>
        <v>836.99579651176032</v>
      </c>
      <c r="CV320" s="15">
        <f t="shared" si="484"/>
        <v>5.1739915930235215E-6</v>
      </c>
      <c r="CW320" s="16">
        <f t="shared" si="485"/>
        <v>25.514451659885243</v>
      </c>
      <c r="CX320" s="17">
        <f t="shared" si="486"/>
        <v>1.2948915366110274E-2</v>
      </c>
      <c r="CY320" s="18">
        <f t="shared" si="529"/>
        <v>0.46509252982986787</v>
      </c>
      <c r="CZ320" s="20">
        <f t="shared" si="530"/>
        <v>645.10098683430374</v>
      </c>
      <c r="DA320" s="15">
        <f t="shared" si="487"/>
        <v>4.8588152300642919E-6</v>
      </c>
      <c r="DB320" s="16">
        <f t="shared" si="488"/>
        <v>34.787071381805191</v>
      </c>
      <c r="DC320" s="17">
        <f t="shared" si="489"/>
        <v>1.2160125516729674E-2</v>
      </c>
      <c r="DD320" s="18">
        <f t="shared" si="531"/>
        <v>0.34112043349313159</v>
      </c>
    </row>
    <row r="321" spans="2:108" x14ac:dyDescent="0.25">
      <c r="B321">
        <v>54</v>
      </c>
      <c r="C321">
        <f t="shared" si="490"/>
        <v>5.2791191982643579E-2</v>
      </c>
      <c r="D321" s="19">
        <f t="shared" si="428"/>
        <v>1019.1286236454741</v>
      </c>
      <c r="E321" s="15">
        <f t="shared" si="429"/>
        <v>5.5382572472909486E-6</v>
      </c>
      <c r="F321" s="16">
        <f t="shared" si="430"/>
        <v>27.608979171922954</v>
      </c>
      <c r="G321" s="17">
        <f t="shared" si="426"/>
        <v>1.3860560668017947E-2</v>
      </c>
      <c r="H321" s="18">
        <f t="shared" si="491"/>
        <v>0.42980875155955273</v>
      </c>
      <c r="I321" s="19">
        <f t="shared" si="492"/>
        <v>1018.8059656782282</v>
      </c>
      <c r="J321" s="15">
        <f t="shared" si="431"/>
        <v>5.5376119313564564E-6</v>
      </c>
      <c r="K321" s="16">
        <f t="shared" si="432"/>
        <v>27.605268605299621</v>
      </c>
      <c r="L321" s="17">
        <f t="shared" si="433"/>
        <v>1.3858945639993665E-2</v>
      </c>
      <c r="M321" s="18">
        <f t="shared" si="493"/>
        <v>0.42986652437208195</v>
      </c>
      <c r="N321" s="19">
        <f t="shared" si="494"/>
        <v>1017.9025314388009</v>
      </c>
      <c r="O321" s="15">
        <f t="shared" si="434"/>
        <v>5.5358050628776027E-6</v>
      </c>
      <c r="P321" s="16">
        <f t="shared" si="435"/>
        <v>27.594879111546209</v>
      </c>
      <c r="Q321" s="17">
        <f t="shared" si="427"/>
        <v>1.3860560668017947E-2</v>
      </c>
      <c r="R321" s="18">
        <f t="shared" si="495"/>
        <v>0.43002836945760348</v>
      </c>
      <c r="S321" s="19">
        <f t="shared" si="496"/>
        <v>1016.4020763748888</v>
      </c>
      <c r="T321" s="15">
        <f t="shared" si="436"/>
        <v>5.5328041527497779E-6</v>
      </c>
      <c r="U321" s="16">
        <f t="shared" si="437"/>
        <v>27.577623878311222</v>
      </c>
      <c r="V321" s="17">
        <f t="shared" si="438"/>
        <v>1.3846913243504885E-2</v>
      </c>
      <c r="W321" s="18">
        <f t="shared" si="497"/>
        <v>0.43029743686694211</v>
      </c>
      <c r="X321" s="19">
        <f t="shared" si="498"/>
        <v>1014.302656996031</v>
      </c>
      <c r="Y321" s="15">
        <f t="shared" si="439"/>
        <v>5.5286053139920628E-6</v>
      </c>
      <c r="Z321" s="16">
        <f t="shared" si="440"/>
        <v>27.553480555454357</v>
      </c>
      <c r="AA321" s="17">
        <f t="shared" si="441"/>
        <v>1.3836404836845912E-2</v>
      </c>
      <c r="AB321" s="18">
        <f t="shared" si="499"/>
        <v>0.43067447852314417</v>
      </c>
      <c r="AC321" s="19">
        <f t="shared" si="500"/>
        <v>1011.6033770018627</v>
      </c>
      <c r="AD321" s="15">
        <f t="shared" si="442"/>
        <v>5.5232067540037257E-6</v>
      </c>
      <c r="AE321" s="16">
        <f t="shared" si="443"/>
        <v>27.52243883552142</v>
      </c>
      <c r="AF321" s="17">
        <f t="shared" si="444"/>
        <v>1.382289389560625E-2</v>
      </c>
      <c r="AG321" s="18">
        <f t="shared" si="501"/>
        <v>0.43116022314136182</v>
      </c>
      <c r="AH321" s="19">
        <f t="shared" si="502"/>
        <v>1008.3042628836371</v>
      </c>
      <c r="AI321" s="15">
        <f t="shared" si="445"/>
        <v>5.5166085257672748E-6</v>
      </c>
      <c r="AJ321" s="16">
        <f t="shared" si="446"/>
        <v>27.484499023161824</v>
      </c>
      <c r="AK321" s="17">
        <f t="shared" si="447"/>
        <v>1.3806380552384881E-2</v>
      </c>
      <c r="AL321" s="18">
        <f t="shared" si="503"/>
        <v>0.43175540000629647</v>
      </c>
      <c r="AM321" s="19">
        <f t="shared" si="504"/>
        <v>1004.405335958105</v>
      </c>
      <c r="AN321" s="15">
        <f t="shared" si="448"/>
        <v>5.5088106719162101E-6</v>
      </c>
      <c r="AO321" s="16">
        <f t="shared" si="449"/>
        <v>27.439661363518205</v>
      </c>
      <c r="AP321" s="17">
        <f t="shared" si="450"/>
        <v>1.3786864913880387E-2</v>
      </c>
      <c r="AQ321" s="18">
        <f t="shared" si="505"/>
        <v>0.43246090804512799</v>
      </c>
      <c r="AR321" s="19">
        <f t="shared" si="506"/>
        <v>999.90660201001299</v>
      </c>
      <c r="AS321" s="15">
        <f t="shared" si="451"/>
        <v>5.4998132040200267E-6</v>
      </c>
      <c r="AT321" s="16">
        <f t="shared" si="452"/>
        <v>27.387925923115148</v>
      </c>
      <c r="AU321" s="17">
        <f t="shared" si="453"/>
        <v>1.376434700904767E-2</v>
      </c>
      <c r="AV321" s="18">
        <f t="shared" si="507"/>
        <v>0.43327782114755237</v>
      </c>
      <c r="AW321" s="19">
        <f t="shared" si="508"/>
        <v>994.80806216338522</v>
      </c>
      <c r="AX321" s="15">
        <f t="shared" si="454"/>
        <v>5.4896161243267713E-6</v>
      </c>
      <c r="AY321" s="16">
        <f t="shared" si="455"/>
        <v>27.329292714878932</v>
      </c>
      <c r="AZ321" s="17">
        <f t="shared" si="456"/>
        <v>1.3738826843512904E-2</v>
      </c>
      <c r="BA321" s="18">
        <f t="shared" si="509"/>
        <v>0.43420739034557437</v>
      </c>
      <c r="BB321" s="19">
        <f t="shared" si="510"/>
        <v>989.10971655830679</v>
      </c>
      <c r="BC321" s="15">
        <f t="shared" si="457"/>
        <v>5.4782194331166144E-6</v>
      </c>
      <c r="BD321" s="16">
        <f t="shared" si="458"/>
        <v>27.263761740420527</v>
      </c>
      <c r="BE321" s="17">
        <f t="shared" si="459"/>
        <v>1.371030441797727E-2</v>
      </c>
      <c r="BF321" s="18">
        <f t="shared" si="511"/>
        <v>0.43525104799184117</v>
      </c>
      <c r="BG321" s="19">
        <f t="shared" si="512"/>
        <v>982.81156389692501</v>
      </c>
      <c r="BH321" s="15">
        <f t="shared" si="460"/>
        <v>5.4656231277938507E-6</v>
      </c>
      <c r="BI321" s="16">
        <f t="shared" si="461"/>
        <v>27.191332984814636</v>
      </c>
      <c r="BJ321" s="17">
        <f t="shared" si="462"/>
        <v>1.367877972594451E-2</v>
      </c>
      <c r="BK321" s="18">
        <f t="shared" si="513"/>
        <v>0.43641041343375658</v>
      </c>
      <c r="BL321" s="19">
        <f t="shared" si="514"/>
        <v>975.9135837182364</v>
      </c>
      <c r="BM321" s="15">
        <f t="shared" si="463"/>
        <v>5.4518271674364736E-6</v>
      </c>
      <c r="BN321" s="16">
        <f t="shared" si="464"/>
        <v>27.112006212759717</v>
      </c>
      <c r="BO321" s="17">
        <f t="shared" si="465"/>
        <v>1.3644252664999386E-2</v>
      </c>
      <c r="BP321" s="18">
        <f t="shared" si="515"/>
        <v>0.4376873026878082</v>
      </c>
      <c r="BQ321" s="19">
        <f t="shared" si="516"/>
        <v>968.41550455226331</v>
      </c>
      <c r="BR321" s="15">
        <f t="shared" si="466"/>
        <v>5.4368310091045267E-6</v>
      </c>
      <c r="BS321" s="16">
        <f t="shared" si="467"/>
        <v>27.025778302351029</v>
      </c>
      <c r="BT321" s="17">
        <f t="shared" si="468"/>
        <v>1.3606721876329572E-2</v>
      </c>
      <c r="BU321" s="18">
        <f t="shared" si="517"/>
        <v>0.43908377908530388</v>
      </c>
      <c r="BV321" s="19">
        <f t="shared" si="518"/>
        <v>960.31418865604144</v>
      </c>
      <c r="BW321" s="15">
        <f t="shared" si="469"/>
        <v>5.4206283773120835E-6</v>
      </c>
      <c r="BX321" s="16">
        <f t="shared" si="470"/>
        <v>26.932613169544474</v>
      </c>
      <c r="BY321" s="17">
        <f t="shared" si="471"/>
        <v>1.3566171654316939E-2</v>
      </c>
      <c r="BZ321" s="18">
        <f t="shared" si="519"/>
        <v>0.44060265504190599</v>
      </c>
      <c r="CA321" s="19">
        <f t="shared" si="520"/>
        <v>951.57851449899124</v>
      </c>
      <c r="CB321" s="15">
        <f t="shared" si="472"/>
        <v>5.4031570289979833E-6</v>
      </c>
      <c r="CC321" s="16">
        <f t="shared" si="473"/>
        <v>26.832152916738398</v>
      </c>
      <c r="CD321" s="17">
        <f t="shared" si="474"/>
        <v>1.3522446223654051E-2</v>
      </c>
      <c r="CE321" s="18">
        <f t="shared" si="521"/>
        <v>0.44225228242178449</v>
      </c>
      <c r="CF321" s="19">
        <f t="shared" si="522"/>
        <v>941.94943540885424</v>
      </c>
      <c r="CG321" s="15">
        <f t="shared" si="475"/>
        <v>5.3838988708177093E-6</v>
      </c>
      <c r="CH321" s="16">
        <f t="shared" si="476"/>
        <v>26.721418507201825</v>
      </c>
      <c r="CI321" s="17">
        <f t="shared" si="477"/>
        <v>1.3474248955471438E-2</v>
      </c>
      <c r="CJ321" s="18">
        <f t="shared" si="523"/>
        <v>0.44408498996861545</v>
      </c>
      <c r="CK321" s="19">
        <f t="shared" si="524"/>
        <v>929.67374939193962</v>
      </c>
      <c r="CL321" s="15">
        <f t="shared" si="478"/>
        <v>5.3593474987838797E-6</v>
      </c>
      <c r="CM321" s="16">
        <f t="shared" si="479"/>
        <v>26.580248118007304</v>
      </c>
      <c r="CN321" s="17">
        <f t="shared" si="480"/>
        <v>1.3412804395140761E-2</v>
      </c>
      <c r="CO321" s="18">
        <f t="shared" si="525"/>
        <v>0.44644357031711279</v>
      </c>
      <c r="CP321" s="19">
        <f t="shared" si="526"/>
        <v>905.55967288841975</v>
      </c>
      <c r="CQ321" s="15">
        <f t="shared" si="481"/>
        <v>5.3111193457768402E-6</v>
      </c>
      <c r="CR321" s="16">
        <f t="shared" si="482"/>
        <v>26.302936238216827</v>
      </c>
      <c r="CS321" s="17">
        <f t="shared" si="483"/>
        <v>1.3292104107882076E-2</v>
      </c>
      <c r="CT321" s="18">
        <f t="shared" si="527"/>
        <v>0.45115042526987392</v>
      </c>
      <c r="CU321" s="19">
        <f t="shared" si="528"/>
        <v>835.27372125556258</v>
      </c>
      <c r="CV321" s="15">
        <f t="shared" si="484"/>
        <v>5.1705474425111249E-6</v>
      </c>
      <c r="CW321" s="16">
        <f t="shared" si="485"/>
        <v>25.494647794438968</v>
      </c>
      <c r="CX321" s="17">
        <f t="shared" si="486"/>
        <v>1.2940295712851985E-2</v>
      </c>
      <c r="CY321" s="18">
        <f t="shared" si="529"/>
        <v>0.46545380683024384</v>
      </c>
      <c r="CZ321" s="20">
        <f t="shared" si="530"/>
        <v>642.78421203303924</v>
      </c>
      <c r="DA321" s="15">
        <f t="shared" si="487"/>
        <v>4.9006110848301559E-6</v>
      </c>
      <c r="DB321" s="16">
        <f t="shared" si="488"/>
        <v>34.854257851041858</v>
      </c>
      <c r="DC321" s="17">
        <f t="shared" si="489"/>
        <v>1.2264727732695227E-2</v>
      </c>
      <c r="DD321" s="18">
        <f t="shared" si="531"/>
        <v>0.34046287602601139</v>
      </c>
    </row>
    <row r="322" spans="2:108" x14ac:dyDescent="0.25">
      <c r="B322">
        <v>55</v>
      </c>
      <c r="C322">
        <f t="shared" si="490"/>
        <v>5.376880664898883E-2</v>
      </c>
      <c r="D322" s="19">
        <f t="shared" si="428"/>
        <v>1019.1121503596264</v>
      </c>
      <c r="E322" s="15">
        <f t="shared" si="429"/>
        <v>5.5382243007192532E-6</v>
      </c>
      <c r="F322" s="16">
        <f t="shared" si="430"/>
        <v>27.608789729135701</v>
      </c>
      <c r="G322" s="17">
        <f t="shared" si="426"/>
        <v>1.386047821284561E-2</v>
      </c>
      <c r="H322" s="18">
        <f t="shared" si="491"/>
        <v>0.42981170077133202</v>
      </c>
      <c r="I322" s="19">
        <f t="shared" si="492"/>
        <v>1018.7894187292023</v>
      </c>
      <c r="J322" s="15">
        <f t="shared" si="431"/>
        <v>5.5375788374584053E-6</v>
      </c>
      <c r="K322" s="16">
        <f t="shared" si="432"/>
        <v>27.605078315385825</v>
      </c>
      <c r="L322" s="17">
        <f t="shared" si="433"/>
        <v>1.3858862816108607E-2</v>
      </c>
      <c r="M322" s="18">
        <f t="shared" si="493"/>
        <v>0.4298694875683074</v>
      </c>
      <c r="N322" s="19">
        <f t="shared" si="494"/>
        <v>1017.8859286160759</v>
      </c>
      <c r="O322" s="15">
        <f t="shared" si="434"/>
        <v>5.5357718572321526E-6</v>
      </c>
      <c r="P322" s="16">
        <f t="shared" si="435"/>
        <v>27.594688179084873</v>
      </c>
      <c r="Q322" s="17">
        <f t="shared" si="427"/>
        <v>1.386047821284561E-2</v>
      </c>
      <c r="R322" s="18">
        <f t="shared" si="495"/>
        <v>0.43003134489890915</v>
      </c>
      <c r="S322" s="19">
        <f t="shared" si="496"/>
        <v>1016.3854584461707</v>
      </c>
      <c r="T322" s="15">
        <f t="shared" si="436"/>
        <v>5.5327709168923422E-6</v>
      </c>
      <c r="U322" s="16">
        <f t="shared" si="437"/>
        <v>27.577432772130962</v>
      </c>
      <c r="V322" s="17">
        <f t="shared" si="438"/>
        <v>1.384683006433899E-2</v>
      </c>
      <c r="W322" s="18">
        <f t="shared" si="497"/>
        <v>0.43030041874347191</v>
      </c>
      <c r="X322" s="19">
        <f t="shared" si="498"/>
        <v>1014.286044981185</v>
      </c>
      <c r="Y322" s="15">
        <f t="shared" si="439"/>
        <v>5.5285720899623706E-6</v>
      </c>
      <c r="Z322" s="16">
        <f t="shared" si="440"/>
        <v>27.553289517283627</v>
      </c>
      <c r="AA322" s="17">
        <f t="shared" si="441"/>
        <v>1.3836321687281234E-2</v>
      </c>
      <c r="AB322" s="18">
        <f t="shared" si="499"/>
        <v>0.43067746456459327</v>
      </c>
      <c r="AC322" s="19">
        <f t="shared" si="500"/>
        <v>1011.5867779329086</v>
      </c>
      <c r="AD322" s="15">
        <f t="shared" si="442"/>
        <v>5.5231735558658182E-6</v>
      </c>
      <c r="AE322" s="16">
        <f t="shared" si="443"/>
        <v>27.522247946228447</v>
      </c>
      <c r="AF322" s="17">
        <f t="shared" si="444"/>
        <v>1.3822810810840774E-2</v>
      </c>
      <c r="AG322" s="18">
        <f t="shared" si="501"/>
        <v>0.43116321359004595</v>
      </c>
      <c r="AH322" s="19">
        <f t="shared" si="502"/>
        <v>1008.2876803547167</v>
      </c>
      <c r="AI322" s="15">
        <f t="shared" si="445"/>
        <v>5.5165753607094335E-6</v>
      </c>
      <c r="AJ322" s="16">
        <f t="shared" si="446"/>
        <v>27.484308324079244</v>
      </c>
      <c r="AK322" s="17">
        <f t="shared" si="447"/>
        <v>1.3806297550408674E-2</v>
      </c>
      <c r="AL322" s="18">
        <f t="shared" si="503"/>
        <v>0.43175839572871777</v>
      </c>
      <c r="AM322" s="19">
        <f t="shared" si="504"/>
        <v>1004.3887733721109</v>
      </c>
      <c r="AN322" s="15">
        <f t="shared" si="448"/>
        <v>5.508777546744222E-6</v>
      </c>
      <c r="AO322" s="16">
        <f t="shared" si="449"/>
        <v>27.439470893779273</v>
      </c>
      <c r="AP322" s="17">
        <f t="shared" si="450"/>
        <v>1.3786782011726246E-2</v>
      </c>
      <c r="AQ322" s="18">
        <f t="shared" si="505"/>
        <v>0.43246390995127165</v>
      </c>
      <c r="AR322" s="19">
        <f t="shared" si="506"/>
        <v>999.89006289673341</v>
      </c>
      <c r="AS322" s="15">
        <f t="shared" si="451"/>
        <v>5.4997801257934675E-6</v>
      </c>
      <c r="AT322" s="16">
        <f t="shared" si="452"/>
        <v>27.387735723312431</v>
      </c>
      <c r="AU322" s="17">
        <f t="shared" si="453"/>
        <v>1.3764264224383553E-2</v>
      </c>
      <c r="AV322" s="18">
        <f t="shared" si="507"/>
        <v>0.43328083013511293</v>
      </c>
      <c r="AW322" s="19">
        <f t="shared" si="508"/>
        <v>994.791550101545</v>
      </c>
      <c r="AX322" s="15">
        <f t="shared" si="454"/>
        <v>5.4895831002030906E-6</v>
      </c>
      <c r="AY322" s="16">
        <f t="shared" si="455"/>
        <v>27.329102826167766</v>
      </c>
      <c r="AZ322" s="17">
        <f t="shared" si="456"/>
        <v>1.3738744194251713E-2</v>
      </c>
      <c r="BA322" s="18">
        <f t="shared" si="509"/>
        <v>0.43421040731551502</v>
      </c>
      <c r="BB322" s="19">
        <f t="shared" si="510"/>
        <v>989.09323512154879</v>
      </c>
      <c r="BC322" s="15">
        <f t="shared" si="457"/>
        <v>5.4781864702430982E-6</v>
      </c>
      <c r="BD322" s="16">
        <f t="shared" si="458"/>
        <v>27.263572203897809</v>
      </c>
      <c r="BE322" s="17">
        <f t="shared" si="459"/>
        <v>1.3710221922006469E-2</v>
      </c>
      <c r="BF322" s="18">
        <f t="shared" si="511"/>
        <v>0.43525407385982096</v>
      </c>
      <c r="BG322" s="19">
        <f t="shared" si="512"/>
        <v>982.79511640537737</v>
      </c>
      <c r="BH322" s="15">
        <f t="shared" si="460"/>
        <v>5.4655902328107545E-6</v>
      </c>
      <c r="BI322" s="16">
        <f t="shared" si="461"/>
        <v>27.191143838661837</v>
      </c>
      <c r="BJ322" s="17">
        <f t="shared" si="462"/>
        <v>1.3678697399882625E-2</v>
      </c>
      <c r="BK322" s="18">
        <f t="shared" si="513"/>
        <v>0.43641344917771913</v>
      </c>
      <c r="BL322" s="19">
        <f t="shared" si="514"/>
        <v>975.89717017329906</v>
      </c>
      <c r="BM322" s="15">
        <f t="shared" si="463"/>
        <v>5.4517943403465985E-6</v>
      </c>
      <c r="BN322" s="16">
        <f t="shared" si="464"/>
        <v>27.111817456992938</v>
      </c>
      <c r="BO322" s="17">
        <f t="shared" si="465"/>
        <v>1.3644170508853427E-2</v>
      </c>
      <c r="BP322" s="18">
        <f t="shared" si="515"/>
        <v>0.43769034991998135</v>
      </c>
      <c r="BQ322" s="19">
        <f t="shared" si="516"/>
        <v>968.39908770261002</v>
      </c>
      <c r="BR322" s="15">
        <f t="shared" si="466"/>
        <v>5.4367981754052206E-6</v>
      </c>
      <c r="BS322" s="16">
        <f t="shared" si="467"/>
        <v>27.025589508580012</v>
      </c>
      <c r="BT322" s="17">
        <f t="shared" si="468"/>
        <v>1.3606639703642232E-2</v>
      </c>
      <c r="BU322" s="18">
        <f t="shared" si="517"/>
        <v>0.43908684641089984</v>
      </c>
      <c r="BV322" s="19">
        <f t="shared" si="518"/>
        <v>960.29737521255231</v>
      </c>
      <c r="BW322" s="15">
        <f t="shared" si="469"/>
        <v>5.4205947504251047E-6</v>
      </c>
      <c r="BX322" s="16">
        <f t="shared" si="470"/>
        <v>26.932419814944353</v>
      </c>
      <c r="BY322" s="17">
        <f t="shared" si="471"/>
        <v>1.3566087496523929E-2</v>
      </c>
      <c r="BZ322" s="18">
        <f t="shared" si="519"/>
        <v>0.44060581823892891</v>
      </c>
      <c r="CA322" s="19">
        <f t="shared" si="520"/>
        <v>951.55808989451907</v>
      </c>
      <c r="CB322" s="15">
        <f t="shared" si="472"/>
        <v>5.4031161797890386E-6</v>
      </c>
      <c r="CC322" s="16">
        <f t="shared" si="473"/>
        <v>26.83191803378697</v>
      </c>
      <c r="CD322" s="17">
        <f t="shared" si="474"/>
        <v>1.3522343990602472E-2</v>
      </c>
      <c r="CE322" s="18">
        <f t="shared" si="521"/>
        <v>0.44225615383795536</v>
      </c>
      <c r="CF322" s="19">
        <f t="shared" si="522"/>
        <v>941.90439071180708</v>
      </c>
      <c r="CG322" s="15">
        <f t="shared" si="475"/>
        <v>5.3838087814236143E-6</v>
      </c>
      <c r="CH322" s="16">
        <f t="shared" si="476"/>
        <v>26.720900493185781</v>
      </c>
      <c r="CI322" s="17">
        <f t="shared" si="477"/>
        <v>1.3474023489326288E-2</v>
      </c>
      <c r="CJ322" s="18">
        <f t="shared" si="523"/>
        <v>0.44409359904409096</v>
      </c>
      <c r="CK322" s="19">
        <f t="shared" si="524"/>
        <v>929.49981756647753</v>
      </c>
      <c r="CL322" s="15">
        <f t="shared" si="478"/>
        <v>5.3589996351329557E-6</v>
      </c>
      <c r="CM322" s="16">
        <f t="shared" si="479"/>
        <v>26.578247902014489</v>
      </c>
      <c r="CN322" s="17">
        <f t="shared" si="480"/>
        <v>1.3411933799026762E-2</v>
      </c>
      <c r="CO322" s="18">
        <f t="shared" si="525"/>
        <v>0.44647716860291892</v>
      </c>
      <c r="CP322" s="19">
        <f t="shared" si="526"/>
        <v>904.90524967447504</v>
      </c>
      <c r="CQ322" s="15">
        <f t="shared" si="481"/>
        <v>5.3098104993489509E-6</v>
      </c>
      <c r="CR322" s="16">
        <f t="shared" si="482"/>
        <v>26.295410371256462</v>
      </c>
      <c r="CS322" s="17">
        <f t="shared" si="483"/>
        <v>1.3288828466374495E-2</v>
      </c>
      <c r="CT322" s="18">
        <f t="shared" si="527"/>
        <v>0.45127954658921271</v>
      </c>
      <c r="CU322" s="19">
        <f t="shared" si="528"/>
        <v>833.55788498223387</v>
      </c>
      <c r="CV322" s="15">
        <f t="shared" si="484"/>
        <v>5.1671157699644681E-6</v>
      </c>
      <c r="CW322" s="16">
        <f t="shared" si="485"/>
        <v>25.474915677295691</v>
      </c>
      <c r="CX322" s="17">
        <f t="shared" si="486"/>
        <v>1.2931707288118016E-2</v>
      </c>
      <c r="CY322" s="18">
        <f t="shared" si="529"/>
        <v>0.4658143335993018</v>
      </c>
      <c r="CZ322" s="20">
        <f t="shared" si="530"/>
        <v>640.50593194910402</v>
      </c>
      <c r="DA322" s="15">
        <f t="shared" si="487"/>
        <v>4.9415320090110127E-6</v>
      </c>
      <c r="DB322" s="16">
        <f t="shared" si="488"/>
        <v>34.920327973475978</v>
      </c>
      <c r="DC322" s="17">
        <f t="shared" si="489"/>
        <v>1.2367140265532624E-2</v>
      </c>
      <c r="DD322" s="18">
        <f t="shared" si="531"/>
        <v>0.33981871186121898</v>
      </c>
    </row>
    <row r="323" spans="2:108" x14ac:dyDescent="0.25">
      <c r="B323">
        <v>56</v>
      </c>
      <c r="C323">
        <f t="shared" si="490"/>
        <v>5.4746421315334082E-2</v>
      </c>
      <c r="D323" s="19">
        <f t="shared" si="428"/>
        <v>1019.095673312909</v>
      </c>
      <c r="E323" s="15">
        <f t="shared" si="429"/>
        <v>5.5381913466258179E-6</v>
      </c>
      <c r="F323" s="16">
        <f t="shared" si="430"/>
        <v>27.608600243098451</v>
      </c>
      <c r="G323" s="17">
        <f t="shared" si="426"/>
        <v>1.3860395738848659E-2</v>
      </c>
      <c r="H323" s="18">
        <f t="shared" si="491"/>
        <v>0.42981465069690689</v>
      </c>
      <c r="I323" s="19">
        <f t="shared" si="492"/>
        <v>1018.7728712274888</v>
      </c>
      <c r="J323" s="15">
        <f t="shared" si="431"/>
        <v>5.5375457424549787E-6</v>
      </c>
      <c r="K323" s="16">
        <f t="shared" si="432"/>
        <v>27.604888019116121</v>
      </c>
      <c r="L323" s="17">
        <f t="shared" si="433"/>
        <v>1.3858779989457131E-2</v>
      </c>
      <c r="M323" s="18">
        <f t="shared" si="493"/>
        <v>0.42987245090436177</v>
      </c>
      <c r="N323" s="19">
        <f t="shared" si="494"/>
        <v>1017.8693262116444</v>
      </c>
      <c r="O323" s="15">
        <f t="shared" si="434"/>
        <v>5.5357386524232897E-6</v>
      </c>
      <c r="P323" s="16">
        <f t="shared" si="435"/>
        <v>27.594497251433911</v>
      </c>
      <c r="Q323" s="17">
        <f t="shared" si="427"/>
        <v>1.3860395738848659E-2</v>
      </c>
      <c r="R323" s="18">
        <f t="shared" si="495"/>
        <v>0.43003432030642513</v>
      </c>
      <c r="S323" s="19">
        <f t="shared" si="496"/>
        <v>1016.3688408864435</v>
      </c>
      <c r="T323" s="15">
        <f t="shared" si="436"/>
        <v>5.5327376817728873E-6</v>
      </c>
      <c r="U323" s="16">
        <f t="shared" si="437"/>
        <v>27.577241670194098</v>
      </c>
      <c r="V323" s="17">
        <f t="shared" si="438"/>
        <v>1.3846746887020034E-2</v>
      </c>
      <c r="W323" s="18">
        <f t="shared" si="497"/>
        <v>0.43030340059511751</v>
      </c>
      <c r="X323" s="19">
        <f t="shared" si="498"/>
        <v>1014.2694331961405</v>
      </c>
      <c r="Y323" s="15">
        <f t="shared" si="439"/>
        <v>5.528538866392282E-6</v>
      </c>
      <c r="Z323" s="16">
        <f t="shared" si="440"/>
        <v>27.553098481755615</v>
      </c>
      <c r="AA323" s="17">
        <f t="shared" si="441"/>
        <v>1.3836238538866804E-2</v>
      </c>
      <c r="AB323" s="18">
        <f t="shared" si="499"/>
        <v>0.43068045060614141</v>
      </c>
      <c r="AC323" s="19">
        <f t="shared" si="500"/>
        <v>1011.5701790542323</v>
      </c>
      <c r="AD323" s="15">
        <f t="shared" si="442"/>
        <v>5.5231403581084649E-6</v>
      </c>
      <c r="AE323" s="16">
        <f t="shared" si="443"/>
        <v>27.522057059123672</v>
      </c>
      <c r="AF323" s="17">
        <f t="shared" si="444"/>
        <v>1.3822727727027711E-2</v>
      </c>
      <c r="AG323" s="18">
        <f t="shared" si="501"/>
        <v>0.43116620404593192</v>
      </c>
      <c r="AH323" s="19">
        <f t="shared" si="502"/>
        <v>1008.2710980145296</v>
      </c>
      <c r="AI323" s="15">
        <f t="shared" si="445"/>
        <v>5.5165421960290598E-6</v>
      </c>
      <c r="AJ323" s="16">
        <f t="shared" si="446"/>
        <v>27.484117627167088</v>
      </c>
      <c r="AK323" s="17">
        <f t="shared" si="447"/>
        <v>1.3806214549377152E-2</v>
      </c>
      <c r="AL323" s="18">
        <f t="shared" si="503"/>
        <v>0.43176139145861459</v>
      </c>
      <c r="AM323" s="19">
        <f t="shared" si="504"/>
        <v>1004.3722109772359</v>
      </c>
      <c r="AN323" s="15">
        <f t="shared" si="448"/>
        <v>5.5087444219544718E-6</v>
      </c>
      <c r="AO323" s="16">
        <f t="shared" si="449"/>
        <v>27.439280426238213</v>
      </c>
      <c r="AP323" s="17">
        <f t="shared" si="450"/>
        <v>1.3786699110528733E-2</v>
      </c>
      <c r="AQ323" s="18">
        <f t="shared" si="505"/>
        <v>0.43246691186445035</v>
      </c>
      <c r="AR323" s="19">
        <f t="shared" si="506"/>
        <v>999.87352397577888</v>
      </c>
      <c r="AS323" s="15">
        <f t="shared" si="451"/>
        <v>5.4997470479515586E-6</v>
      </c>
      <c r="AT323" s="16">
        <f t="shared" si="452"/>
        <v>27.387545525721457</v>
      </c>
      <c r="AU323" s="17">
        <f t="shared" si="453"/>
        <v>1.3764181440682099E-2</v>
      </c>
      <c r="AV323" s="18">
        <f t="shared" si="507"/>
        <v>0.4332838391294761</v>
      </c>
      <c r="AW323" s="19">
        <f t="shared" si="508"/>
        <v>994.77503823230688</v>
      </c>
      <c r="AX323" s="15">
        <f t="shared" si="454"/>
        <v>5.4895500764646142E-6</v>
      </c>
      <c r="AY323" s="16">
        <f t="shared" si="455"/>
        <v>27.328912939671529</v>
      </c>
      <c r="AZ323" s="17">
        <f t="shared" si="456"/>
        <v>1.3738661545954569E-2</v>
      </c>
      <c r="BA323" s="18">
        <f t="shared" si="509"/>
        <v>0.4342134242921894</v>
      </c>
      <c r="BB323" s="19">
        <f t="shared" si="510"/>
        <v>989.07675387390793</v>
      </c>
      <c r="BC323" s="15">
        <f t="shared" si="457"/>
        <v>5.4781535077478161E-6</v>
      </c>
      <c r="BD323" s="16">
        <f t="shared" si="458"/>
        <v>27.263382669549941</v>
      </c>
      <c r="BE323" s="17">
        <f t="shared" si="459"/>
        <v>1.3710139426982272E-2</v>
      </c>
      <c r="BF323" s="18">
        <f t="shared" si="511"/>
        <v>0.43525709973515148</v>
      </c>
      <c r="BG323" s="19">
        <f t="shared" si="512"/>
        <v>982.7786690551236</v>
      </c>
      <c r="BH323" s="15">
        <f t="shared" si="460"/>
        <v>5.465557338110248E-6</v>
      </c>
      <c r="BI323" s="16">
        <f t="shared" si="461"/>
        <v>27.190954694133922</v>
      </c>
      <c r="BJ323" s="17">
        <f t="shared" si="462"/>
        <v>1.3678615074527976E-2</v>
      </c>
      <c r="BK323" s="18">
        <f t="shared" si="513"/>
        <v>0.43641648493783675</v>
      </c>
      <c r="BL323" s="19">
        <f t="shared" si="514"/>
        <v>975.88075623506438</v>
      </c>
      <c r="BM323" s="15">
        <f t="shared" si="463"/>
        <v>5.4517615124701297E-6</v>
      </c>
      <c r="BN323" s="16">
        <f t="shared" si="464"/>
        <v>27.111628696703239</v>
      </c>
      <c r="BO323" s="17">
        <f t="shared" si="465"/>
        <v>1.3644088350738864E-2</v>
      </c>
      <c r="BP323" s="18">
        <f t="shared" si="515"/>
        <v>0.43769339726760381</v>
      </c>
      <c r="BQ323" s="19">
        <f t="shared" si="516"/>
        <v>968.38266537588311</v>
      </c>
      <c r="BR323" s="15">
        <f t="shared" si="466"/>
        <v>5.4367653307517667E-6</v>
      </c>
      <c r="BS323" s="16">
        <f t="shared" si="467"/>
        <v>27.025400651822657</v>
      </c>
      <c r="BT323" s="17">
        <f t="shared" si="468"/>
        <v>1.3606557503540017E-2</v>
      </c>
      <c r="BU323" s="18">
        <f t="shared" si="517"/>
        <v>0.43908991480270942</v>
      </c>
      <c r="BV323" s="19">
        <f t="shared" si="518"/>
        <v>960.28051618388099</v>
      </c>
      <c r="BW323" s="15">
        <f t="shared" si="469"/>
        <v>5.4205610323677626E-6</v>
      </c>
      <c r="BX323" s="16">
        <f t="shared" si="470"/>
        <v>26.93222593611463</v>
      </c>
      <c r="BY323" s="17">
        <f t="shared" si="471"/>
        <v>1.3566003110559442E-2</v>
      </c>
      <c r="BZ323" s="18">
        <f t="shared" si="519"/>
        <v>0.44060899005772369</v>
      </c>
      <c r="CA323" s="19">
        <f t="shared" si="520"/>
        <v>951.53736764368819</v>
      </c>
      <c r="CB323" s="15">
        <f t="shared" si="472"/>
        <v>5.4030747352873766E-6</v>
      </c>
      <c r="CC323" s="16">
        <f t="shared" si="473"/>
        <v>26.831679727902412</v>
      </c>
      <c r="CD323" s="17">
        <f t="shared" si="474"/>
        <v>1.3522240267715651E-2</v>
      </c>
      <c r="CE323" s="18">
        <f t="shared" si="521"/>
        <v>0.44226008174127751</v>
      </c>
      <c r="CF323" s="19">
        <f t="shared" si="522"/>
        <v>941.85787156881611</v>
      </c>
      <c r="CG323" s="15">
        <f t="shared" si="475"/>
        <v>5.3837157431376325E-6</v>
      </c>
      <c r="CH323" s="16">
        <f t="shared" si="476"/>
        <v>26.720365523041384</v>
      </c>
      <c r="CI323" s="17">
        <f t="shared" si="477"/>
        <v>1.3473790643008444E-2</v>
      </c>
      <c r="CJ323" s="18">
        <f t="shared" si="523"/>
        <v>0.44410249027039556</v>
      </c>
      <c r="CK323" s="19">
        <f t="shared" si="524"/>
        <v>929.3209098151948</v>
      </c>
      <c r="CL323" s="15">
        <f t="shared" si="478"/>
        <v>5.3586418196303899E-6</v>
      </c>
      <c r="CM323" s="16">
        <f t="shared" si="479"/>
        <v>26.576190462874742</v>
      </c>
      <c r="CN323" s="17">
        <f t="shared" si="480"/>
        <v>1.3411038296477888E-2</v>
      </c>
      <c r="CO323" s="18">
        <f t="shared" si="525"/>
        <v>0.44651173336128674</v>
      </c>
      <c r="CP323" s="19">
        <f t="shared" si="526"/>
        <v>904.24250498911613</v>
      </c>
      <c r="CQ323" s="15">
        <f t="shared" si="481"/>
        <v>5.3084850099782327E-6</v>
      </c>
      <c r="CR323" s="16">
        <f t="shared" si="482"/>
        <v>26.287788807374834</v>
      </c>
      <c r="CS323" s="17">
        <f t="shared" si="483"/>
        <v>1.3285511172681315E-2</v>
      </c>
      <c r="CT323" s="18">
        <f t="shared" si="527"/>
        <v>0.451410385128658</v>
      </c>
      <c r="CU323" s="19">
        <f t="shared" si="528"/>
        <v>831.8485383643357</v>
      </c>
      <c r="CV323" s="15">
        <f t="shared" si="484"/>
        <v>5.1636970767286721E-6</v>
      </c>
      <c r="CW323" s="16">
        <f t="shared" si="485"/>
        <v>25.455258191189859</v>
      </c>
      <c r="CX323" s="17">
        <f t="shared" si="486"/>
        <v>1.2923151346621571E-2</v>
      </c>
      <c r="CY323" s="18">
        <f t="shared" si="529"/>
        <v>0.46617405255095618</v>
      </c>
      <c r="CZ323" s="20">
        <f t="shared" si="530"/>
        <v>638.2648605757422</v>
      </c>
      <c r="DA323" s="15">
        <f t="shared" si="487"/>
        <v>4.9816125839226979E-6</v>
      </c>
      <c r="DB323" s="16">
        <f t="shared" si="488"/>
        <v>34.985319043303477</v>
      </c>
      <c r="DC323" s="17">
        <f t="shared" si="489"/>
        <v>1.2467449661677808E-2</v>
      </c>
      <c r="DD323" s="18">
        <f t="shared" si="531"/>
        <v>0.33918744188183342</v>
      </c>
    </row>
    <row r="324" spans="2:108" x14ac:dyDescent="0.25">
      <c r="B324">
        <v>57</v>
      </c>
      <c r="C324">
        <f t="shared" si="490"/>
        <v>5.5724035981679333E-2</v>
      </c>
      <c r="D324" s="19">
        <f t="shared" si="428"/>
        <v>1019.0791926691153</v>
      </c>
      <c r="E324" s="15">
        <f t="shared" si="429"/>
        <v>5.5381583853382312E-6</v>
      </c>
      <c r="F324" s="16">
        <f t="shared" si="430"/>
        <v>27.608410715694824</v>
      </c>
      <c r="G324" s="17">
        <f t="shared" si="426"/>
        <v>1.3860313246846953E-2</v>
      </c>
      <c r="H324" s="18">
        <f t="shared" si="491"/>
        <v>0.42981760130698093</v>
      </c>
      <c r="I324" s="19">
        <f t="shared" si="492"/>
        <v>1018.7563231710708</v>
      </c>
      <c r="J324" s="15">
        <f t="shared" si="431"/>
        <v>5.5375126463421423E-6</v>
      </c>
      <c r="K324" s="16">
        <f t="shared" si="432"/>
        <v>27.604697716467314</v>
      </c>
      <c r="L324" s="17">
        <f t="shared" si="433"/>
        <v>1.3858697160029141E-2</v>
      </c>
      <c r="M324" s="18">
        <f t="shared" si="493"/>
        <v>0.42987541438061122</v>
      </c>
      <c r="N324" s="19">
        <f t="shared" si="494"/>
        <v>1017.8527242145594</v>
      </c>
      <c r="O324" s="15">
        <f t="shared" si="434"/>
        <v>5.5357054484291192E-6</v>
      </c>
      <c r="P324" s="16">
        <f t="shared" si="435"/>
        <v>27.594306328467432</v>
      </c>
      <c r="Q324" s="17">
        <f t="shared" si="427"/>
        <v>1.3860313246846953E-2</v>
      </c>
      <c r="R324" s="18">
        <f t="shared" si="495"/>
        <v>0.43003729568211108</v>
      </c>
      <c r="S324" s="19">
        <f t="shared" si="496"/>
        <v>1016.3522236940444</v>
      </c>
      <c r="T324" s="15">
        <f t="shared" si="436"/>
        <v>5.5327044473880894E-6</v>
      </c>
      <c r="U324" s="16">
        <f t="shared" si="437"/>
        <v>27.577050572481511</v>
      </c>
      <c r="V324" s="17">
        <f t="shared" si="438"/>
        <v>1.3846663711539701E-2</v>
      </c>
      <c r="W324" s="18">
        <f t="shared" si="497"/>
        <v>0.43030638242217534</v>
      </c>
      <c r="X324" s="19">
        <f t="shared" si="498"/>
        <v>1014.2528216419646</v>
      </c>
      <c r="Y324" s="15">
        <f t="shared" si="439"/>
        <v>5.5285056432839296E-6</v>
      </c>
      <c r="Z324" s="16">
        <f t="shared" si="440"/>
        <v>27.552907448882593</v>
      </c>
      <c r="AA324" s="17">
        <f t="shared" si="441"/>
        <v>1.3836155391607957E-2</v>
      </c>
      <c r="AB324" s="18">
        <f t="shared" si="499"/>
        <v>0.4306834366475959</v>
      </c>
      <c r="AC324" s="19">
        <f t="shared" si="500"/>
        <v>1011.5535803663</v>
      </c>
      <c r="AD324" s="15">
        <f t="shared" si="442"/>
        <v>5.5231071607325999E-6</v>
      </c>
      <c r="AE324" s="16">
        <f t="shared" si="443"/>
        <v>27.521866174212448</v>
      </c>
      <c r="AF324" s="17">
        <f t="shared" si="444"/>
        <v>1.3822644644169393E-2</v>
      </c>
      <c r="AG324" s="18">
        <f t="shared" si="501"/>
        <v>0.43116919450893548</v>
      </c>
      <c r="AH324" s="19">
        <f t="shared" si="502"/>
        <v>1008.2545158631287</v>
      </c>
      <c r="AI324" s="15">
        <f t="shared" si="445"/>
        <v>5.5165090317262578E-6</v>
      </c>
      <c r="AJ324" s="16">
        <f t="shared" si="446"/>
        <v>27.48392693242598</v>
      </c>
      <c r="AK324" s="17">
        <f t="shared" si="447"/>
        <v>1.3806131549290578E-2</v>
      </c>
      <c r="AL324" s="18">
        <f t="shared" si="503"/>
        <v>0.43176438719597654</v>
      </c>
      <c r="AM324" s="19">
        <f t="shared" si="504"/>
        <v>1004.355648773465</v>
      </c>
      <c r="AN324" s="15">
        <f t="shared" si="448"/>
        <v>5.5087112975469301E-6</v>
      </c>
      <c r="AO324" s="16">
        <f t="shared" si="449"/>
        <v>27.439089960894847</v>
      </c>
      <c r="AP324" s="17">
        <f t="shared" si="450"/>
        <v>1.3786616210287766E-2</v>
      </c>
      <c r="AQ324" s="18">
        <f t="shared" si="505"/>
        <v>0.43246991378466637</v>
      </c>
      <c r="AR324" s="19">
        <f t="shared" si="506"/>
        <v>999.85698524713564</v>
      </c>
      <c r="AS324" s="15">
        <f t="shared" si="451"/>
        <v>5.4997139704942714E-6</v>
      </c>
      <c r="AT324" s="16">
        <f t="shared" si="452"/>
        <v>27.387355330342061</v>
      </c>
      <c r="AU324" s="17">
        <f t="shared" si="453"/>
        <v>1.3764098657943232E-2</v>
      </c>
      <c r="AV324" s="18">
        <f t="shared" si="507"/>
        <v>0.43328684813064378</v>
      </c>
      <c r="AW324" s="19">
        <f t="shared" si="508"/>
        <v>994.75852655561448</v>
      </c>
      <c r="AX324" s="15">
        <f t="shared" si="454"/>
        <v>5.4895170531112294E-6</v>
      </c>
      <c r="AY324" s="16">
        <f t="shared" si="455"/>
        <v>27.328723055389567</v>
      </c>
      <c r="AZ324" s="17">
        <f t="shared" si="456"/>
        <v>1.3738578898621191E-2</v>
      </c>
      <c r="BA324" s="18">
        <f t="shared" si="509"/>
        <v>0.43421644127560727</v>
      </c>
      <c r="BB324" s="19">
        <f t="shared" si="510"/>
        <v>989.06027281473757</v>
      </c>
      <c r="BC324" s="15">
        <f t="shared" si="457"/>
        <v>5.4781205456294755E-6</v>
      </c>
      <c r="BD324" s="16">
        <f t="shared" si="458"/>
        <v>27.26319313736948</v>
      </c>
      <c r="BE324" s="17">
        <f t="shared" si="459"/>
        <v>1.3710056932901444E-2</v>
      </c>
      <c r="BF324" s="18">
        <f t="shared" si="511"/>
        <v>0.43526012561795097</v>
      </c>
      <c r="BG324" s="19">
        <f t="shared" si="512"/>
        <v>982.76222183912546</v>
      </c>
      <c r="BH324" s="15">
        <f t="shared" si="460"/>
        <v>5.4655244436782517E-6</v>
      </c>
      <c r="BI324" s="16">
        <f t="shared" si="461"/>
        <v>27.190765551149944</v>
      </c>
      <c r="BJ324" s="17">
        <f t="shared" si="462"/>
        <v>1.3678532749845325E-2</v>
      </c>
      <c r="BK324" s="18">
        <f t="shared" si="513"/>
        <v>0.43641952071540846</v>
      </c>
      <c r="BL324" s="19">
        <f t="shared" si="514"/>
        <v>975.86434183810911</v>
      </c>
      <c r="BM324" s="15">
        <f t="shared" si="463"/>
        <v>5.4517286836762184E-6</v>
      </c>
      <c r="BN324" s="16">
        <f t="shared" si="464"/>
        <v>27.111439931138253</v>
      </c>
      <c r="BO324" s="17">
        <f t="shared" si="465"/>
        <v>1.3644006190328226E-2</v>
      </c>
      <c r="BP324" s="18">
        <f t="shared" si="515"/>
        <v>0.43769644474282593</v>
      </c>
      <c r="BQ324" s="19">
        <f t="shared" si="516"/>
        <v>968.36623707056503</v>
      </c>
      <c r="BR324" s="15">
        <f t="shared" si="466"/>
        <v>5.4367324741411299E-6</v>
      </c>
      <c r="BS324" s="16">
        <f t="shared" si="467"/>
        <v>27.025211726311497</v>
      </c>
      <c r="BT324" s="17">
        <f t="shared" si="468"/>
        <v>1.3606475273512638E-2</v>
      </c>
      <c r="BU324" s="18">
        <f t="shared" si="517"/>
        <v>0.43909298435448352</v>
      </c>
      <c r="BV324" s="19">
        <f t="shared" si="518"/>
        <v>960.2636085447042</v>
      </c>
      <c r="BW324" s="15">
        <f t="shared" si="469"/>
        <v>5.4205272170894085E-6</v>
      </c>
      <c r="BX324" s="16">
        <f t="shared" si="470"/>
        <v>26.932031498264095</v>
      </c>
      <c r="BY324" s="17">
        <f t="shared" si="471"/>
        <v>1.3565918481280553E-2</v>
      </c>
      <c r="BZ324" s="18">
        <f t="shared" si="519"/>
        <v>0.44061217106785128</v>
      </c>
      <c r="CA324" s="19">
        <f t="shared" si="520"/>
        <v>951.51633455952731</v>
      </c>
      <c r="CB324" s="15">
        <f t="shared" si="472"/>
        <v>5.4030326691190551E-6</v>
      </c>
      <c r="CC324" s="16">
        <f t="shared" si="473"/>
        <v>26.831437847434565</v>
      </c>
      <c r="CD324" s="17">
        <f t="shared" si="474"/>
        <v>1.3522134988987694E-2</v>
      </c>
      <c r="CE324" s="18">
        <f t="shared" si="521"/>
        <v>0.44226406863441714</v>
      </c>
      <c r="CF324" s="19">
        <f t="shared" si="522"/>
        <v>941.80984459650244</v>
      </c>
      <c r="CG324" s="15">
        <f t="shared" si="475"/>
        <v>5.3836196891930051E-6</v>
      </c>
      <c r="CH324" s="16">
        <f t="shared" si="476"/>
        <v>26.719813212859776</v>
      </c>
      <c r="CI324" s="17">
        <f t="shared" si="477"/>
        <v>1.3473550249421174E-2</v>
      </c>
      <c r="CJ324" s="18">
        <f t="shared" si="523"/>
        <v>0.44411167006237612</v>
      </c>
      <c r="CK324" s="19">
        <f t="shared" si="524"/>
        <v>929.13702580082361</v>
      </c>
      <c r="CL324" s="15">
        <f t="shared" si="478"/>
        <v>5.3582740516016475E-6</v>
      </c>
      <c r="CM324" s="16">
        <f t="shared" si="479"/>
        <v>26.574075796709472</v>
      </c>
      <c r="CN324" s="17">
        <f t="shared" si="480"/>
        <v>1.3410117885805987E-2</v>
      </c>
      <c r="CO324" s="18">
        <f t="shared" si="525"/>
        <v>0.44654726510516218</v>
      </c>
      <c r="CP324" s="19">
        <f t="shared" si="526"/>
        <v>903.57168895001337</v>
      </c>
      <c r="CQ324" s="15">
        <f t="shared" si="481"/>
        <v>5.3071433779000272E-6</v>
      </c>
      <c r="CR324" s="16">
        <f t="shared" si="482"/>
        <v>26.280074422925153</v>
      </c>
      <c r="CS324" s="17">
        <f t="shared" si="483"/>
        <v>1.3282153478738293E-2</v>
      </c>
      <c r="CT324" s="18">
        <f t="shared" si="527"/>
        <v>0.45154289439021561</v>
      </c>
      <c r="CU324" s="19">
        <f t="shared" si="528"/>
        <v>830.14591076021895</v>
      </c>
      <c r="CV324" s="15">
        <f t="shared" si="484"/>
        <v>5.1602918215204376E-6</v>
      </c>
      <c r="CW324" s="16">
        <f t="shared" si="485"/>
        <v>25.435677973742518</v>
      </c>
      <c r="CX324" s="17">
        <f t="shared" si="486"/>
        <v>1.291462903638997E-2</v>
      </c>
      <c r="CY324" s="18">
        <f t="shared" si="529"/>
        <v>0.46653291026753357</v>
      </c>
      <c r="CZ324" s="20">
        <f t="shared" si="530"/>
        <v>636.05976886524411</v>
      </c>
      <c r="DA324" s="15">
        <f t="shared" si="487"/>
        <v>5.0208855713619354E-6</v>
      </c>
      <c r="DB324" s="16">
        <f t="shared" si="488"/>
        <v>35.049266702907914</v>
      </c>
      <c r="DC324" s="17">
        <f t="shared" si="489"/>
        <v>1.2565737913867996E-2</v>
      </c>
      <c r="DD324" s="18">
        <f t="shared" si="531"/>
        <v>0.33856859175696735</v>
      </c>
    </row>
    <row r="325" spans="2:108" x14ac:dyDescent="0.25">
      <c r="B325">
        <v>58</v>
      </c>
      <c r="C325">
        <f t="shared" si="490"/>
        <v>5.6701650648024585E-2</v>
      </c>
      <c r="D325" s="19">
        <f t="shared" si="428"/>
        <v>1019.0627085835736</v>
      </c>
      <c r="E325" s="15">
        <f t="shared" si="429"/>
        <v>5.5381254171671473E-6</v>
      </c>
      <c r="F325" s="16">
        <f t="shared" si="430"/>
        <v>27.608221148711095</v>
      </c>
      <c r="G325" s="17">
        <f t="shared" si="426"/>
        <v>1.3860230737617963E-2</v>
      </c>
      <c r="H325" s="18">
        <f t="shared" si="491"/>
        <v>0.42982055257377189</v>
      </c>
      <c r="I325" s="19">
        <f t="shared" si="492"/>
        <v>1018.7397745588941</v>
      </c>
      <c r="J325" s="15">
        <f t="shared" si="431"/>
        <v>5.5374795491177886E-6</v>
      </c>
      <c r="K325" s="16">
        <f t="shared" si="432"/>
        <v>27.604507407427281</v>
      </c>
      <c r="L325" s="17">
        <f t="shared" si="433"/>
        <v>1.3858614327819367E-2</v>
      </c>
      <c r="M325" s="18">
        <f t="shared" si="493"/>
        <v>0.42987837799724948</v>
      </c>
      <c r="N325" s="19">
        <f t="shared" si="494"/>
        <v>1017.8361226141278</v>
      </c>
      <c r="O325" s="15">
        <f t="shared" si="434"/>
        <v>5.5356722452282561E-6</v>
      </c>
      <c r="P325" s="16">
        <f t="shared" si="435"/>
        <v>27.594115410062471</v>
      </c>
      <c r="Q325" s="17">
        <f t="shared" si="427"/>
        <v>1.3860230737617963E-2</v>
      </c>
      <c r="R325" s="18">
        <f t="shared" si="495"/>
        <v>0.43004027102788123</v>
      </c>
      <c r="S325" s="19">
        <f t="shared" si="496"/>
        <v>1016.3356068672463</v>
      </c>
      <c r="T325" s="15">
        <f t="shared" si="436"/>
        <v>5.5326712137344928E-6</v>
      </c>
      <c r="U325" s="16">
        <f t="shared" si="437"/>
        <v>27.576859478973333</v>
      </c>
      <c r="V325" s="17">
        <f t="shared" si="438"/>
        <v>1.3846580537889341E-2</v>
      </c>
      <c r="W325" s="18">
        <f t="shared" si="497"/>
        <v>0.43030936422495353</v>
      </c>
      <c r="X325" s="19">
        <f t="shared" si="498"/>
        <v>1014.2362103196816</v>
      </c>
      <c r="Y325" s="15">
        <f t="shared" si="439"/>
        <v>5.5284724206393642E-6</v>
      </c>
      <c r="Z325" s="16">
        <f t="shared" si="440"/>
        <v>27.55271641867634</v>
      </c>
      <c r="AA325" s="17">
        <f t="shared" si="441"/>
        <v>1.3836072245509827E-2</v>
      </c>
      <c r="AB325" s="18">
        <f t="shared" si="499"/>
        <v>0.43068642268877172</v>
      </c>
      <c r="AC325" s="19">
        <f t="shared" si="500"/>
        <v>1011.536981869579</v>
      </c>
      <c r="AD325" s="15">
        <f t="shared" si="442"/>
        <v>5.5230739637391584E-6</v>
      </c>
      <c r="AE325" s="16">
        <f t="shared" si="443"/>
        <v>27.521675291500159</v>
      </c>
      <c r="AF325" s="17">
        <f t="shared" si="444"/>
        <v>1.3822561562268167E-2</v>
      </c>
      <c r="AG325" s="18">
        <f t="shared" si="501"/>
        <v>0.43117218497897158</v>
      </c>
      <c r="AH325" s="19">
        <f t="shared" si="502"/>
        <v>1008.2379339005715</v>
      </c>
      <c r="AI325" s="15">
        <f t="shared" si="445"/>
        <v>5.5164758678011435E-6</v>
      </c>
      <c r="AJ325" s="16">
        <f t="shared" si="446"/>
        <v>27.483736239856572</v>
      </c>
      <c r="AK325" s="17">
        <f t="shared" si="447"/>
        <v>1.3806048550149238E-2</v>
      </c>
      <c r="AL325" s="18">
        <f t="shared" si="503"/>
        <v>0.43176738294079287</v>
      </c>
      <c r="AM325" s="19">
        <f t="shared" si="504"/>
        <v>1004.339086760784</v>
      </c>
      <c r="AN325" s="15">
        <f t="shared" si="448"/>
        <v>5.508678173521568E-6</v>
      </c>
      <c r="AO325" s="16">
        <f t="shared" si="449"/>
        <v>27.438899497749013</v>
      </c>
      <c r="AP325" s="17">
        <f t="shared" si="450"/>
        <v>1.3786533311003281E-2</v>
      </c>
      <c r="AQ325" s="18">
        <f t="shared" si="505"/>
        <v>0.43247291571192165</v>
      </c>
      <c r="AR325" s="19">
        <f t="shared" si="506"/>
        <v>999.84044671078937</v>
      </c>
      <c r="AS325" s="15">
        <f t="shared" si="451"/>
        <v>5.4996808934215794E-6</v>
      </c>
      <c r="AT325" s="16">
        <f t="shared" si="452"/>
        <v>27.387165137174076</v>
      </c>
      <c r="AU325" s="17">
        <f t="shared" si="453"/>
        <v>1.376401587616689E-2</v>
      </c>
      <c r="AV325" s="18">
        <f t="shared" si="507"/>
        <v>0.43328985713861812</v>
      </c>
      <c r="AW325" s="19">
        <f t="shared" si="508"/>
        <v>994.74201507140322</v>
      </c>
      <c r="AX325" s="15">
        <f t="shared" si="454"/>
        <v>5.4894840301428068E-6</v>
      </c>
      <c r="AY325" s="16">
        <f t="shared" si="455"/>
        <v>27.328533173321134</v>
      </c>
      <c r="AZ325" s="17">
        <f t="shared" si="456"/>
        <v>1.3738496252251254E-2</v>
      </c>
      <c r="BA325" s="18">
        <f t="shared" si="509"/>
        <v>0.43421945826577996</v>
      </c>
      <c r="BB325" s="19">
        <f t="shared" si="510"/>
        <v>989.04379194330659</v>
      </c>
      <c r="BC325" s="15">
        <f t="shared" si="457"/>
        <v>5.4780875838866136E-6</v>
      </c>
      <c r="BD325" s="16">
        <f t="shared" si="458"/>
        <v>27.263003607348026</v>
      </c>
      <c r="BE325" s="17">
        <f t="shared" si="459"/>
        <v>1.3709974439760322E-2</v>
      </c>
      <c r="BF325" s="18">
        <f t="shared" si="511"/>
        <v>0.43526315150835304</v>
      </c>
      <c r="BG325" s="19">
        <f t="shared" si="512"/>
        <v>982.74577474959176</v>
      </c>
      <c r="BH325" s="15">
        <f t="shared" si="460"/>
        <v>5.4654915494991838E-6</v>
      </c>
      <c r="BI325" s="16">
        <f t="shared" si="461"/>
        <v>27.190576409620306</v>
      </c>
      <c r="BJ325" s="17">
        <f t="shared" si="462"/>
        <v>1.3678450425795676E-2</v>
      </c>
      <c r="BK325" s="18">
        <f t="shared" si="513"/>
        <v>0.43642255651187223</v>
      </c>
      <c r="BL325" s="19">
        <f t="shared" si="514"/>
        <v>975.84792691156304</v>
      </c>
      <c r="BM325" s="15">
        <f t="shared" si="463"/>
        <v>5.4516958538231271E-6</v>
      </c>
      <c r="BN325" s="16">
        <f t="shared" si="464"/>
        <v>27.111251159482975</v>
      </c>
      <c r="BO325" s="17">
        <f t="shared" si="465"/>
        <v>1.3643924027266781E-2</v>
      </c>
      <c r="BP325" s="18">
        <f t="shared" si="515"/>
        <v>0.43769949235881006</v>
      </c>
      <c r="BQ325" s="19">
        <f t="shared" si="516"/>
        <v>968.34980225510981</v>
      </c>
      <c r="BR325" s="15">
        <f t="shared" si="466"/>
        <v>5.4366996045102203E-6</v>
      </c>
      <c r="BS325" s="16">
        <f t="shared" si="467"/>
        <v>27.025022725933763</v>
      </c>
      <c r="BT325" s="17">
        <f t="shared" si="468"/>
        <v>1.3606393010899505E-2</v>
      </c>
      <c r="BU325" s="18">
        <f t="shared" si="517"/>
        <v>0.43909605516558864</v>
      </c>
      <c r="BV325" s="19">
        <f t="shared" si="518"/>
        <v>960.24664915966923</v>
      </c>
      <c r="BW325" s="15">
        <f t="shared" si="469"/>
        <v>5.4204932983193383E-6</v>
      </c>
      <c r="BX325" s="16">
        <f t="shared" si="470"/>
        <v>26.931836465336197</v>
      </c>
      <c r="BY325" s="17">
        <f t="shared" si="471"/>
        <v>1.3565833592993617E-2</v>
      </c>
      <c r="BZ325" s="18">
        <f t="shared" si="519"/>
        <v>0.44061536185960815</v>
      </c>
      <c r="CA325" s="19">
        <f t="shared" si="520"/>
        <v>951.49497730549592</v>
      </c>
      <c r="CB325" s="15">
        <f t="shared" si="472"/>
        <v>5.4029899546109924E-6</v>
      </c>
      <c r="CC325" s="16">
        <f t="shared" si="473"/>
        <v>26.831192239013202</v>
      </c>
      <c r="CD325" s="17">
        <f t="shared" si="474"/>
        <v>1.3522028087664053E-2</v>
      </c>
      <c r="CE325" s="18">
        <f t="shared" si="521"/>
        <v>0.44226811704861935</v>
      </c>
      <c r="CF325" s="19">
        <f t="shared" si="522"/>
        <v>941.76027713840949</v>
      </c>
      <c r="CG325" s="15">
        <f t="shared" si="475"/>
        <v>5.3835205542768197E-6</v>
      </c>
      <c r="CH325" s="16">
        <f t="shared" si="476"/>
        <v>26.719243187091706</v>
      </c>
      <c r="CI325" s="17">
        <f t="shared" si="477"/>
        <v>1.3473302145106269E-2</v>
      </c>
      <c r="CJ325" s="18">
        <f t="shared" si="523"/>
        <v>0.44412114469809327</v>
      </c>
      <c r="CK325" s="19">
        <f t="shared" si="524"/>
        <v>928.94816823834685</v>
      </c>
      <c r="CL325" s="15">
        <f t="shared" si="478"/>
        <v>5.3578963364766943E-6</v>
      </c>
      <c r="CM325" s="16">
        <f t="shared" si="479"/>
        <v>26.571903934740988</v>
      </c>
      <c r="CN325" s="17">
        <f t="shared" si="480"/>
        <v>1.3409172580600598E-2</v>
      </c>
      <c r="CO325" s="18">
        <f t="shared" si="525"/>
        <v>0.44658376377024067</v>
      </c>
      <c r="CP325" s="19">
        <f t="shared" si="526"/>
        <v>902.8930481171617</v>
      </c>
      <c r="CQ325" s="15">
        <f t="shared" si="481"/>
        <v>5.3057860962343237E-6</v>
      </c>
      <c r="CR325" s="16">
        <f t="shared" si="482"/>
        <v>26.272270053347359</v>
      </c>
      <c r="CS325" s="17">
        <f t="shared" si="483"/>
        <v>1.3278756618673643E-2</v>
      </c>
      <c r="CT325" s="18">
        <f t="shared" si="527"/>
        <v>0.45167702850275676</v>
      </c>
      <c r="CU325" s="19">
        <f t="shared" si="528"/>
        <v>828.45021153391508</v>
      </c>
      <c r="CV325" s="15">
        <f t="shared" si="484"/>
        <v>5.1569004230678313E-6</v>
      </c>
      <c r="CW325" s="16">
        <f t="shared" si="485"/>
        <v>25.416177432640023</v>
      </c>
      <c r="CX325" s="17">
        <f t="shared" si="486"/>
        <v>1.2906141405371246E-2</v>
      </c>
      <c r="CY325" s="18">
        <f t="shared" si="529"/>
        <v>0.46689085725686547</v>
      </c>
      <c r="CZ325" s="20">
        <f t="shared" si="530"/>
        <v>633.88948188503934</v>
      </c>
      <c r="DA325" s="15">
        <f t="shared" si="487"/>
        <v>5.059382027181594E-6</v>
      </c>
      <c r="DB325" s="16">
        <f t="shared" si="488"/>
        <v>35.112205025333857</v>
      </c>
      <c r="DC325" s="17">
        <f t="shared" si="489"/>
        <v>1.2662082745385717E-2</v>
      </c>
      <c r="DD325" s="18">
        <f t="shared" si="531"/>
        <v>0.33796171049798851</v>
      </c>
    </row>
    <row r="326" spans="2:108" x14ac:dyDescent="0.25">
      <c r="B326">
        <v>59</v>
      </c>
      <c r="C326">
        <f t="shared" si="490"/>
        <v>5.7679265314369836E-2</v>
      </c>
      <c r="D326" s="19">
        <f t="shared" si="428"/>
        <v>1019.0462212036279</v>
      </c>
      <c r="E326" s="15">
        <f t="shared" si="429"/>
        <v>5.5380924424072567E-6</v>
      </c>
      <c r="F326" s="16">
        <f t="shared" si="430"/>
        <v>27.608031543841719</v>
      </c>
      <c r="G326" s="17">
        <f t="shared" si="426"/>
        <v>1.3860148211899211E-2</v>
      </c>
      <c r="H326" s="18">
        <f t="shared" si="491"/>
        <v>0.42982350447092532</v>
      </c>
      <c r="I326" s="19">
        <f t="shared" si="492"/>
        <v>1018.7232253907868</v>
      </c>
      <c r="J326" s="15">
        <f t="shared" si="431"/>
        <v>5.5374464507815737E-6</v>
      </c>
      <c r="K326" s="16">
        <f t="shared" si="432"/>
        <v>27.604317091994048</v>
      </c>
      <c r="L326" s="17">
        <f t="shared" si="433"/>
        <v>1.3858531492826943E-2</v>
      </c>
      <c r="M326" s="18">
        <f t="shared" si="493"/>
        <v>0.42988134175431231</v>
      </c>
      <c r="N326" s="19">
        <f t="shared" si="494"/>
        <v>1017.8195213999121</v>
      </c>
      <c r="O326" s="15">
        <f t="shared" si="434"/>
        <v>5.5356390427998244E-6</v>
      </c>
      <c r="P326" s="16">
        <f t="shared" si="435"/>
        <v>27.593924496098989</v>
      </c>
      <c r="Q326" s="17">
        <f t="shared" si="427"/>
        <v>1.3860148211899211E-2</v>
      </c>
      <c r="R326" s="18">
        <f t="shared" si="495"/>
        <v>0.43004324634560415</v>
      </c>
      <c r="S326" s="19">
        <f t="shared" si="496"/>
        <v>1016.3189904042624</v>
      </c>
      <c r="T326" s="15">
        <f t="shared" si="436"/>
        <v>5.5326379808085255E-6</v>
      </c>
      <c r="U326" s="16">
        <f t="shared" si="437"/>
        <v>27.576668389649015</v>
      </c>
      <c r="V326" s="17">
        <f t="shared" si="438"/>
        <v>1.3846497366060013E-2</v>
      </c>
      <c r="W326" s="18">
        <f t="shared" si="497"/>
        <v>0.43031234600377088</v>
      </c>
      <c r="X326" s="19">
        <f t="shared" si="498"/>
        <v>1014.2195992302742</v>
      </c>
      <c r="Y326" s="15">
        <f t="shared" si="439"/>
        <v>5.5284391984605492E-6</v>
      </c>
      <c r="Z326" s="16">
        <f t="shared" si="440"/>
        <v>27.552525391148151</v>
      </c>
      <c r="AA326" s="17">
        <f t="shared" si="441"/>
        <v>1.3835989100577329E-2</v>
      </c>
      <c r="AB326" s="18">
        <f t="shared" si="499"/>
        <v>0.43068940872949146</v>
      </c>
      <c r="AC326" s="19">
        <f t="shared" si="500"/>
        <v>1011.5203835645374</v>
      </c>
      <c r="AD326" s="15">
        <f t="shared" si="442"/>
        <v>5.5230407671290756E-6</v>
      </c>
      <c r="AE326" s="16">
        <f t="shared" si="443"/>
        <v>27.52148441099218</v>
      </c>
      <c r="AF326" s="17">
        <f t="shared" si="444"/>
        <v>1.3822478481326369E-2</v>
      </c>
      <c r="AG326" s="18">
        <f t="shared" si="501"/>
        <v>0.43117517545595552</v>
      </c>
      <c r="AH326" s="19">
        <f t="shared" si="502"/>
        <v>1008.2213521269193</v>
      </c>
      <c r="AI326" s="15">
        <f t="shared" si="445"/>
        <v>5.516442704253839E-6</v>
      </c>
      <c r="AJ326" s="16">
        <f t="shared" si="446"/>
        <v>27.483545549459571</v>
      </c>
      <c r="AK326" s="17">
        <f t="shared" si="447"/>
        <v>1.3805965551953443E-2</v>
      </c>
      <c r="AL326" s="18">
        <f t="shared" si="503"/>
        <v>0.43177037869305185</v>
      </c>
      <c r="AM326" s="19">
        <f t="shared" si="504"/>
        <v>1004.3225249391799</v>
      </c>
      <c r="AN326" s="15">
        <f t="shared" si="448"/>
        <v>5.5086450498783608E-6</v>
      </c>
      <c r="AO326" s="16">
        <f t="shared" si="449"/>
        <v>27.438709036800567</v>
      </c>
      <c r="AP326" s="17">
        <f t="shared" si="450"/>
        <v>1.3786450412675212E-2</v>
      </c>
      <c r="AQ326" s="18">
        <f t="shared" si="505"/>
        <v>0.43247591764621796</v>
      </c>
      <c r="AR326" s="19">
        <f t="shared" si="506"/>
        <v>999.82390836672471</v>
      </c>
      <c r="AS326" s="15">
        <f t="shared" si="451"/>
        <v>5.4996478167334497E-6</v>
      </c>
      <c r="AT326" s="16">
        <f t="shared" si="452"/>
        <v>27.386974946217332</v>
      </c>
      <c r="AU326" s="17">
        <f t="shared" si="453"/>
        <v>1.376393309535299E-2</v>
      </c>
      <c r="AV326" s="18">
        <f t="shared" si="507"/>
        <v>0.43329286615340118</v>
      </c>
      <c r="AW326" s="19">
        <f t="shared" si="508"/>
        <v>994.72550377959965</v>
      </c>
      <c r="AX326" s="15">
        <f t="shared" si="454"/>
        <v>5.4894510075591997E-6</v>
      </c>
      <c r="AY326" s="16">
        <f t="shared" si="455"/>
        <v>27.328343293465394</v>
      </c>
      <c r="AZ326" s="17">
        <f t="shared" si="456"/>
        <v>1.3738413606844394E-2</v>
      </c>
      <c r="BA326" s="18">
        <f t="shared" si="509"/>
        <v>0.43422247526272006</v>
      </c>
      <c r="BB326" s="19">
        <f t="shared" si="510"/>
        <v>989.02731125879075</v>
      </c>
      <c r="BC326" s="15">
        <f t="shared" si="457"/>
        <v>5.4780546225175821E-6</v>
      </c>
      <c r="BD326" s="16">
        <f t="shared" si="458"/>
        <v>27.262814079476094</v>
      </c>
      <c r="BE326" s="17">
        <f t="shared" si="459"/>
        <v>1.3709891947554786E-2</v>
      </c>
      <c r="BF326" s="18">
        <f t="shared" si="511"/>
        <v>0.43526617740650847</v>
      </c>
      <c r="BG326" s="19">
        <f t="shared" si="512"/>
        <v>982.72932777791959</v>
      </c>
      <c r="BH326" s="15">
        <f t="shared" si="460"/>
        <v>5.4654586555558392E-6</v>
      </c>
      <c r="BI326" s="16">
        <f t="shared" si="461"/>
        <v>27.190387269446074</v>
      </c>
      <c r="BJ326" s="17">
        <f t="shared" si="462"/>
        <v>1.3678368102335969E-2</v>
      </c>
      <c r="BK326" s="18">
        <f t="shared" si="513"/>
        <v>0.43642559232881595</v>
      </c>
      <c r="BL326" s="19">
        <f t="shared" si="514"/>
        <v>975.83151137882021</v>
      </c>
      <c r="BM326" s="15">
        <f t="shared" si="463"/>
        <v>5.4516630227576411E-6</v>
      </c>
      <c r="BN326" s="16">
        <f t="shared" si="464"/>
        <v>27.111062380856431</v>
      </c>
      <c r="BO326" s="17">
        <f t="shared" si="465"/>
        <v>1.3643841861171088E-2</v>
      </c>
      <c r="BP326" s="18">
        <f t="shared" si="515"/>
        <v>0.43770254012978432</v>
      </c>
      <c r="BQ326" s="19">
        <f t="shared" si="516"/>
        <v>968.33336036713297</v>
      </c>
      <c r="BR326" s="15">
        <f t="shared" si="466"/>
        <v>5.4366667207342661E-6</v>
      </c>
      <c r="BS326" s="16">
        <f t="shared" si="467"/>
        <v>27.024833644222028</v>
      </c>
      <c r="BT326" s="17">
        <f t="shared" si="468"/>
        <v>1.3606310712885662E-2</v>
      </c>
      <c r="BU326" s="18">
        <f t="shared" si="517"/>
        <v>0.43909912734115947</v>
      </c>
      <c r="BV326" s="19">
        <f t="shared" si="518"/>
        <v>960.2296347838892</v>
      </c>
      <c r="BW326" s="15">
        <f t="shared" si="469"/>
        <v>5.4204592695677793E-6</v>
      </c>
      <c r="BX326" s="16">
        <f t="shared" si="470"/>
        <v>26.931640800014726</v>
      </c>
      <c r="BY326" s="17">
        <f t="shared" si="471"/>
        <v>1.3565748429456716E-2</v>
      </c>
      <c r="BZ326" s="18">
        <f t="shared" si="519"/>
        <v>0.44061856304393493</v>
      </c>
      <c r="CA326" s="19">
        <f t="shared" si="520"/>
        <v>951.47328240829677</v>
      </c>
      <c r="CB326" s="15">
        <f t="shared" si="472"/>
        <v>5.4029465648165934E-6</v>
      </c>
      <c r="CC326" s="16">
        <f t="shared" si="473"/>
        <v>26.83094274769541</v>
      </c>
      <c r="CD326" s="17">
        <f t="shared" si="474"/>
        <v>1.3521919496305655E-2</v>
      </c>
      <c r="CE326" s="18">
        <f t="shared" si="521"/>
        <v>0.44227222954128792</v>
      </c>
      <c r="CF326" s="19">
        <f t="shared" si="522"/>
        <v>941.70913728598043</v>
      </c>
      <c r="CG326" s="15">
        <f t="shared" si="475"/>
        <v>5.3834182745719615E-6</v>
      </c>
      <c r="CH326" s="16">
        <f t="shared" si="476"/>
        <v>26.718655078788775</v>
      </c>
      <c r="CI326" s="17">
        <f t="shared" si="477"/>
        <v>1.3473046170349048E-2</v>
      </c>
      <c r="CJ326" s="18">
        <f t="shared" si="523"/>
        <v>0.44413092031486495</v>
      </c>
      <c r="CK326" s="19">
        <f t="shared" si="524"/>
        <v>928.75434277287388</v>
      </c>
      <c r="CL326" s="15">
        <f t="shared" si="478"/>
        <v>5.3575086855457484E-6</v>
      </c>
      <c r="CM326" s="16">
        <f t="shared" si="479"/>
        <v>26.569674941888049</v>
      </c>
      <c r="CN326" s="17">
        <f t="shared" si="480"/>
        <v>1.3408202409117678E-2</v>
      </c>
      <c r="CO326" s="18">
        <f t="shared" si="525"/>
        <v>0.44662122873809817</v>
      </c>
      <c r="CP326" s="19">
        <f t="shared" si="526"/>
        <v>902.20682535002345</v>
      </c>
      <c r="CQ326" s="15">
        <f t="shared" si="481"/>
        <v>5.3044136507000479E-6</v>
      </c>
      <c r="CR326" s="16">
        <f t="shared" si="482"/>
        <v>26.264378491525271</v>
      </c>
      <c r="CS326" s="17">
        <f t="shared" si="483"/>
        <v>1.3275321808092991E-2</v>
      </c>
      <c r="CT326" s="18">
        <f t="shared" si="527"/>
        <v>0.45181274224885576</v>
      </c>
      <c r="CU326" s="19">
        <f t="shared" si="528"/>
        <v>826.76163129831514</v>
      </c>
      <c r="CV326" s="15">
        <f t="shared" si="484"/>
        <v>5.1535232625966303E-6</v>
      </c>
      <c r="CW326" s="16">
        <f t="shared" si="485"/>
        <v>25.396758759930623</v>
      </c>
      <c r="CX326" s="17">
        <f t="shared" si="486"/>
        <v>1.2897689407656693E-2</v>
      </c>
      <c r="CY326" s="18">
        <f t="shared" si="529"/>
        <v>0.46724784772300271</v>
      </c>
      <c r="CZ326" s="20">
        <f t="shared" si="530"/>
        <v>631.75287612386035</v>
      </c>
      <c r="DA326" s="15">
        <f t="shared" si="487"/>
        <v>5.097131406782476E-6</v>
      </c>
      <c r="DB326" s="16">
        <f t="shared" si="488"/>
        <v>35.174166592408042</v>
      </c>
      <c r="DC326" s="17">
        <f t="shared" si="489"/>
        <v>1.2756557874072453E-2</v>
      </c>
      <c r="DD326" s="18">
        <f t="shared" si="531"/>
        <v>0.33736636910905998</v>
      </c>
    </row>
    <row r="327" spans="2:108" x14ac:dyDescent="0.25">
      <c r="B327">
        <v>60</v>
      </c>
      <c r="C327">
        <f t="shared" si="490"/>
        <v>5.8656879980715088E-2</v>
      </c>
      <c r="D327" s="19">
        <f t="shared" si="428"/>
        <v>1019.0297306690908</v>
      </c>
      <c r="E327" s="15">
        <f t="shared" si="429"/>
        <v>5.5380594613381819E-6</v>
      </c>
      <c r="F327" s="16">
        <f t="shared" si="430"/>
        <v>27.607841902694545</v>
      </c>
      <c r="G327" s="17">
        <f t="shared" si="426"/>
        <v>1.38600656703905E-2</v>
      </c>
      <c r="H327" s="18">
        <f t="shared" si="491"/>
        <v>0.42982645697343375</v>
      </c>
      <c r="I327" s="19">
        <f t="shared" si="492"/>
        <v>1018.7066756673852</v>
      </c>
      <c r="J327" s="15">
        <f t="shared" si="431"/>
        <v>5.5374133513347707E-6</v>
      </c>
      <c r="K327" s="16">
        <f t="shared" si="432"/>
        <v>27.604126770174929</v>
      </c>
      <c r="L327" s="17">
        <f t="shared" si="433"/>
        <v>1.3858448655055059E-2</v>
      </c>
      <c r="M327" s="18">
        <f t="shared" si="493"/>
        <v>0.42988430565169078</v>
      </c>
      <c r="N327" s="19">
        <f t="shared" si="494"/>
        <v>1017.8029205617316</v>
      </c>
      <c r="O327" s="15">
        <f t="shared" si="434"/>
        <v>5.5356058411234638E-6</v>
      </c>
      <c r="P327" s="16">
        <f t="shared" si="435"/>
        <v>27.593733586459912</v>
      </c>
      <c r="Q327" s="17">
        <f t="shared" si="427"/>
        <v>1.38600656703905E-2</v>
      </c>
      <c r="R327" s="18">
        <f t="shared" si="495"/>
        <v>0.43004622163710249</v>
      </c>
      <c r="S327" s="19">
        <f t="shared" si="496"/>
        <v>1016.3023743032501</v>
      </c>
      <c r="T327" s="15">
        <f t="shared" si="436"/>
        <v>5.532604748606501E-6</v>
      </c>
      <c r="U327" s="16">
        <f t="shared" si="437"/>
        <v>27.576477304487376</v>
      </c>
      <c r="V327" s="17">
        <f t="shared" si="438"/>
        <v>1.3846414196042491E-2</v>
      </c>
      <c r="W327" s="18">
        <f t="shared" si="497"/>
        <v>0.43031532775895603</v>
      </c>
      <c r="X327" s="19">
        <f t="shared" si="498"/>
        <v>1014.2029883746832</v>
      </c>
      <c r="Y327" s="15">
        <f t="shared" si="439"/>
        <v>5.5284059767493666E-6</v>
      </c>
      <c r="Z327" s="16">
        <f t="shared" si="440"/>
        <v>27.552334366308855</v>
      </c>
      <c r="AA327" s="17">
        <f t="shared" si="441"/>
        <v>1.383590595681517E-2</v>
      </c>
      <c r="AB327" s="18">
        <f t="shared" si="499"/>
        <v>0.43069239476958504</v>
      </c>
      <c r="AC327" s="19">
        <f t="shared" si="500"/>
        <v>1011.5037854516435</v>
      </c>
      <c r="AD327" s="15">
        <f t="shared" si="442"/>
        <v>5.5230075709032874E-6</v>
      </c>
      <c r="AE327" s="16">
        <f t="shared" si="443"/>
        <v>27.5212935326939</v>
      </c>
      <c r="AF327" s="17">
        <f t="shared" si="444"/>
        <v>1.3822395401346343E-2</v>
      </c>
      <c r="AG327" s="18">
        <f t="shared" si="501"/>
        <v>0.43117816593980229</v>
      </c>
      <c r="AH327" s="19">
        <f t="shared" si="502"/>
        <v>1008.2047705422375</v>
      </c>
      <c r="AI327" s="15">
        <f t="shared" si="445"/>
        <v>5.5164095410844755E-6</v>
      </c>
      <c r="AJ327" s="16">
        <f t="shared" si="446"/>
        <v>27.483354861235732</v>
      </c>
      <c r="AK327" s="17">
        <f t="shared" si="447"/>
        <v>1.3805882554703516E-2</v>
      </c>
      <c r="AL327" s="18">
        <f t="shared" si="503"/>
        <v>0.43177337445274111</v>
      </c>
      <c r="AM327" s="19">
        <f t="shared" si="504"/>
        <v>1004.3059633086402</v>
      </c>
      <c r="AN327" s="15">
        <f t="shared" si="448"/>
        <v>5.5086119266172807E-6</v>
      </c>
      <c r="AO327" s="16">
        <f t="shared" si="449"/>
        <v>27.438518578049361</v>
      </c>
      <c r="AP327" s="17">
        <f t="shared" si="450"/>
        <v>1.3786367515303488E-2</v>
      </c>
      <c r="AQ327" s="18">
        <f t="shared" si="505"/>
        <v>0.43247891958755702</v>
      </c>
      <c r="AR327" s="19">
        <f t="shared" si="506"/>
        <v>999.80737021492587</v>
      </c>
      <c r="AS327" s="15">
        <f t="shared" si="451"/>
        <v>5.4996147404298518E-6</v>
      </c>
      <c r="AT327" s="16">
        <f t="shared" si="452"/>
        <v>27.386784757471645</v>
      </c>
      <c r="AU327" s="17">
        <f t="shared" si="453"/>
        <v>1.3763850315501456E-2</v>
      </c>
      <c r="AV327" s="18">
        <f t="shared" si="507"/>
        <v>0.43329587517499535</v>
      </c>
      <c r="AW327" s="19">
        <f t="shared" si="508"/>
        <v>994.70899268011988</v>
      </c>
      <c r="AX327" s="15">
        <f t="shared" si="454"/>
        <v>5.4894179853602395E-6</v>
      </c>
      <c r="AY327" s="16">
        <f t="shared" si="455"/>
        <v>27.328153415821376</v>
      </c>
      <c r="AZ327" s="17">
        <f t="shared" si="456"/>
        <v>1.3738330962400187E-2</v>
      </c>
      <c r="BA327" s="18">
        <f t="shared" si="509"/>
        <v>0.43422549226644247</v>
      </c>
      <c r="BB327" s="19">
        <f t="shared" si="510"/>
        <v>989.01083076026339</v>
      </c>
      <c r="BC327" s="15">
        <f t="shared" si="457"/>
        <v>5.4780216615205268E-6</v>
      </c>
      <c r="BD327" s="16">
        <f t="shared" si="458"/>
        <v>27.262624553743031</v>
      </c>
      <c r="BE327" s="17">
        <f t="shared" si="459"/>
        <v>1.3709809456280191E-2</v>
      </c>
      <c r="BF327" s="18">
        <f t="shared" si="511"/>
        <v>0.43526920331258689</v>
      </c>
      <c r="BG327" s="19">
        <f t="shared" si="512"/>
        <v>982.71288091463339</v>
      </c>
      <c r="BH327" s="15">
        <f t="shared" si="460"/>
        <v>5.4654257618292672E-6</v>
      </c>
      <c r="BI327" s="16">
        <f t="shared" si="461"/>
        <v>27.190198130518283</v>
      </c>
      <c r="BJ327" s="17">
        <f t="shared" si="462"/>
        <v>1.367828577941878E-2</v>
      </c>
      <c r="BK327" s="18">
        <f t="shared" si="513"/>
        <v>0.43642862816798844</v>
      </c>
      <c r="BL327" s="19">
        <f t="shared" si="514"/>
        <v>975.81509515724611</v>
      </c>
      <c r="BM327" s="15">
        <f t="shared" si="463"/>
        <v>5.4516301903144924E-6</v>
      </c>
      <c r="BN327" s="16">
        <f t="shared" si="464"/>
        <v>27.11087359430833</v>
      </c>
      <c r="BO327" s="17">
        <f t="shared" si="465"/>
        <v>1.3643759691627524E-2</v>
      </c>
      <c r="BP327" s="18">
        <f t="shared" si="515"/>
        <v>0.43770558807109683</v>
      </c>
      <c r="BQ327" s="19">
        <f t="shared" si="516"/>
        <v>968.31691081262636</v>
      </c>
      <c r="BR327" s="15">
        <f t="shared" si="466"/>
        <v>5.436633821625253E-6</v>
      </c>
      <c r="BS327" s="16">
        <f t="shared" si="467"/>
        <v>27.024644474345202</v>
      </c>
      <c r="BT327" s="17">
        <f t="shared" si="468"/>
        <v>1.3606228376497871E-2</v>
      </c>
      <c r="BU327" s="18">
        <f t="shared" si="517"/>
        <v>0.43910220099224534</v>
      </c>
      <c r="BV327" s="19">
        <f t="shared" si="518"/>
        <v>960.21256206359521</v>
      </c>
      <c r="BW327" s="15">
        <f t="shared" si="469"/>
        <v>5.4204251241271912E-6</v>
      </c>
      <c r="BX327" s="16">
        <f t="shared" si="470"/>
        <v>26.931444463731346</v>
      </c>
      <c r="BY327" s="17">
        <f t="shared" si="471"/>
        <v>1.3565662973882937E-2</v>
      </c>
      <c r="BZ327" s="18">
        <f t="shared" si="519"/>
        <v>0.44062177525229501</v>
      </c>
      <c r="CA327" s="19">
        <f t="shared" si="520"/>
        <v>951.45123627064163</v>
      </c>
      <c r="CB327" s="15">
        <f t="shared" si="472"/>
        <v>5.4029024725412837E-6</v>
      </c>
      <c r="CC327" s="16">
        <f t="shared" si="473"/>
        <v>26.830689217112379</v>
      </c>
      <c r="CD327" s="17">
        <f t="shared" si="474"/>
        <v>1.3521809146852816E-2</v>
      </c>
      <c r="CE327" s="18">
        <f t="shared" si="521"/>
        <v>0.44227640869357532</v>
      </c>
      <c r="CF327" s="19">
        <f t="shared" si="522"/>
        <v>941.65639389743342</v>
      </c>
      <c r="CG327" s="15">
        <f t="shared" si="475"/>
        <v>5.3833127877948673E-6</v>
      </c>
      <c r="CH327" s="16">
        <f t="shared" si="476"/>
        <v>26.718048529820486</v>
      </c>
      <c r="CI327" s="17">
        <f t="shared" si="477"/>
        <v>1.3472782169272843E-2</v>
      </c>
      <c r="CJ327" s="18">
        <f t="shared" si="523"/>
        <v>0.4441410029057099</v>
      </c>
      <c r="CK327" s="19">
        <f t="shared" si="524"/>
        <v>928.55555785908552</v>
      </c>
      <c r="CL327" s="15">
        <f t="shared" si="478"/>
        <v>5.3571111157181718E-6</v>
      </c>
      <c r="CM327" s="16">
        <f t="shared" si="479"/>
        <v>26.567388915379482</v>
      </c>
      <c r="CN327" s="17">
        <f t="shared" si="480"/>
        <v>1.3407207413676181E-2</v>
      </c>
      <c r="CO327" s="18">
        <f t="shared" si="525"/>
        <v>0.44665965885900455</v>
      </c>
      <c r="CP327" s="19">
        <f t="shared" si="526"/>
        <v>901.51325968415176</v>
      </c>
      <c r="CQ327" s="15">
        <f t="shared" si="481"/>
        <v>5.3030265193683035E-6</v>
      </c>
      <c r="CR327" s="16">
        <f t="shared" si="482"/>
        <v>26.256402486367744</v>
      </c>
      <c r="CS327" s="17">
        <f t="shared" si="483"/>
        <v>1.3271850243461796E-2</v>
      </c>
      <c r="CT327" s="18">
        <f t="shared" si="527"/>
        <v>0.45194999108804018</v>
      </c>
      <c r="CU327" s="19">
        <f t="shared" si="528"/>
        <v>825.08034308599588</v>
      </c>
      <c r="CV327" s="15">
        <f t="shared" si="484"/>
        <v>5.1501606861719919E-6</v>
      </c>
      <c r="CW327" s="16">
        <f t="shared" si="485"/>
        <v>25.37742394548895</v>
      </c>
      <c r="CX327" s="17">
        <f t="shared" si="486"/>
        <v>1.2889273909341345E-2</v>
      </c>
      <c r="CY327" s="18">
        <f t="shared" si="529"/>
        <v>0.46760383934978883</v>
      </c>
      <c r="CZ327" s="20">
        <f t="shared" si="530"/>
        <v>629.64887693987794</v>
      </c>
      <c r="DA327" s="15">
        <f t="shared" si="487"/>
        <v>5.134161663168116E-6</v>
      </c>
      <c r="DB327" s="16">
        <f t="shared" si="488"/>
        <v>35.235182568743539</v>
      </c>
      <c r="DC327" s="17">
        <f t="shared" si="489"/>
        <v>1.2849233257729738E-2</v>
      </c>
      <c r="DD327" s="18">
        <f t="shared" si="531"/>
        <v>0.33678215932516598</v>
      </c>
    </row>
    <row r="328" spans="2:108" x14ac:dyDescent="0.25">
      <c r="B328">
        <v>61</v>
      </c>
      <c r="C328">
        <f t="shared" si="490"/>
        <v>5.9634494647060339E-2</v>
      </c>
      <c r="D328" s="19">
        <f t="shared" si="428"/>
        <v>1019.0132371126692</v>
      </c>
      <c r="E328" s="15">
        <f t="shared" si="429"/>
        <v>5.538026474225339E-6</v>
      </c>
      <c r="F328" s="16">
        <f t="shared" si="430"/>
        <v>27.607652226795693</v>
      </c>
      <c r="G328" s="17">
        <f t="shared" si="426"/>
        <v>1.3859983113756094E-2</v>
      </c>
      <c r="H328" s="18">
        <f t="shared" si="491"/>
        <v>0.42982941005756081</v>
      </c>
      <c r="I328" s="19">
        <f t="shared" si="492"/>
        <v>1018.6901253900644</v>
      </c>
      <c r="J328" s="15">
        <f t="shared" si="431"/>
        <v>5.537380250780129E-6</v>
      </c>
      <c r="K328" s="16">
        <f t="shared" si="432"/>
        <v>27.603936441985738</v>
      </c>
      <c r="L328" s="17">
        <f t="shared" si="433"/>
        <v>1.3858365814510594E-2</v>
      </c>
      <c r="M328" s="18">
        <f t="shared" si="493"/>
        <v>0.42988726968914348</v>
      </c>
      <c r="N328" s="19">
        <f t="shared" si="494"/>
        <v>1017.7863200896628</v>
      </c>
      <c r="O328" s="15">
        <f t="shared" si="434"/>
        <v>5.535572640179326E-6</v>
      </c>
      <c r="P328" s="16">
        <f t="shared" si="435"/>
        <v>27.593542681031121</v>
      </c>
      <c r="Q328" s="17">
        <f t="shared" si="427"/>
        <v>1.3859983113756094E-2</v>
      </c>
      <c r="R328" s="18">
        <f t="shared" si="495"/>
        <v>0.43004919690415289</v>
      </c>
      <c r="S328" s="19">
        <f t="shared" si="496"/>
        <v>1016.2857585623143</v>
      </c>
      <c r="T328" s="15">
        <f t="shared" si="436"/>
        <v>5.5325715171246291E-6</v>
      </c>
      <c r="U328" s="16">
        <f t="shared" si="437"/>
        <v>27.576286223466614</v>
      </c>
      <c r="V328" s="17">
        <f t="shared" si="438"/>
        <v>1.3846331027827292E-2</v>
      </c>
      <c r="W328" s="18">
        <f t="shared" si="497"/>
        <v>0.43031830949084743</v>
      </c>
      <c r="X328" s="19">
        <f t="shared" si="498"/>
        <v>1014.1863777538084</v>
      </c>
      <c r="Y328" s="15">
        <f t="shared" si="439"/>
        <v>5.5283727555076174E-6</v>
      </c>
      <c r="Z328" s="16">
        <f t="shared" si="440"/>
        <v>27.552143344168798</v>
      </c>
      <c r="AA328" s="17">
        <f t="shared" si="441"/>
        <v>1.383582281422786E-2</v>
      </c>
      <c r="AB328" s="18">
        <f t="shared" si="499"/>
        <v>0.43069538080888981</v>
      </c>
      <c r="AC328" s="19">
        <f t="shared" si="500"/>
        <v>1011.4871875313652</v>
      </c>
      <c r="AD328" s="15">
        <f t="shared" si="442"/>
        <v>5.5229743750627306E-6</v>
      </c>
      <c r="AE328" s="16">
        <f t="shared" si="443"/>
        <v>27.521102656610701</v>
      </c>
      <c r="AF328" s="17">
        <f t="shared" si="444"/>
        <v>1.3822312322330431E-2</v>
      </c>
      <c r="AG328" s="18">
        <f t="shared" si="501"/>
        <v>0.43118115643042698</v>
      </c>
      <c r="AH328" s="19">
        <f t="shared" si="502"/>
        <v>1008.1881891465955</v>
      </c>
      <c r="AI328" s="15">
        <f t="shared" si="445"/>
        <v>5.5163763782931919E-6</v>
      </c>
      <c r="AJ328" s="16">
        <f t="shared" si="446"/>
        <v>27.483164175185848</v>
      </c>
      <c r="AK328" s="17">
        <f t="shared" si="447"/>
        <v>1.380579955839981E-2</v>
      </c>
      <c r="AL328" s="18">
        <f t="shared" si="503"/>
        <v>0.43177637021984766</v>
      </c>
      <c r="AM328" s="19">
        <f t="shared" si="504"/>
        <v>1004.2894018691538</v>
      </c>
      <c r="AN328" s="15">
        <f t="shared" si="448"/>
        <v>5.5085788037383082E-6</v>
      </c>
      <c r="AO328" s="16">
        <f t="shared" si="449"/>
        <v>27.438328121495267</v>
      </c>
      <c r="AP328" s="17">
        <f t="shared" si="450"/>
        <v>1.3786284618888065E-2</v>
      </c>
      <c r="AQ328" s="18">
        <f t="shared" si="505"/>
        <v>0.43248192153594023</v>
      </c>
      <c r="AR328" s="19">
        <f t="shared" si="506"/>
        <v>999.79083225537579</v>
      </c>
      <c r="AS328" s="15">
        <f t="shared" si="451"/>
        <v>5.4995816645107526E-6</v>
      </c>
      <c r="AT328" s="16">
        <f t="shared" si="452"/>
        <v>27.386594570936822</v>
      </c>
      <c r="AU328" s="17">
        <f t="shared" si="453"/>
        <v>1.3763767536612202E-2</v>
      </c>
      <c r="AV328" s="18">
        <f t="shared" si="507"/>
        <v>0.43329888420340296</v>
      </c>
      <c r="AW328" s="19">
        <f t="shared" si="508"/>
        <v>994.69248177286897</v>
      </c>
      <c r="AX328" s="15">
        <f t="shared" si="454"/>
        <v>5.4893849635457392E-6</v>
      </c>
      <c r="AY328" s="16">
        <f t="shared" si="455"/>
        <v>27.327963540387991</v>
      </c>
      <c r="AZ328" s="17">
        <f t="shared" si="456"/>
        <v>1.3738248318918164E-2</v>
      </c>
      <c r="BA328" s="18">
        <f t="shared" si="509"/>
        <v>0.43422850927696394</v>
      </c>
      <c r="BB328" s="19">
        <f t="shared" si="510"/>
        <v>988.99435044668564</v>
      </c>
      <c r="BC328" s="15">
        <f t="shared" si="457"/>
        <v>5.4779887008933716E-6</v>
      </c>
      <c r="BD328" s="16">
        <f t="shared" si="458"/>
        <v>27.262435030136885</v>
      </c>
      <c r="BE328" s="17">
        <f t="shared" si="459"/>
        <v>1.3709726965931342E-2</v>
      </c>
      <c r="BF328" s="18">
        <f t="shared" si="511"/>
        <v>0.4352722292267785</v>
      </c>
      <c r="BG328" s="19">
        <f t="shared" si="512"/>
        <v>982.69643414932102</v>
      </c>
      <c r="BH328" s="15">
        <f t="shared" si="460"/>
        <v>5.465392868298642E-6</v>
      </c>
      <c r="BI328" s="16">
        <f t="shared" si="461"/>
        <v>27.190008992717189</v>
      </c>
      <c r="BJ328" s="17">
        <f t="shared" si="462"/>
        <v>1.3678203456991984E-2</v>
      </c>
      <c r="BK328" s="18">
        <f t="shared" si="513"/>
        <v>0.43643166403131195</v>
      </c>
      <c r="BL328" s="19">
        <f t="shared" si="514"/>
        <v>975.79867815788066</v>
      </c>
      <c r="BM328" s="15">
        <f t="shared" si="463"/>
        <v>5.4515973563157609E-6</v>
      </c>
      <c r="BN328" s="16">
        <f t="shared" si="464"/>
        <v>27.110684798815626</v>
      </c>
      <c r="BO328" s="17">
        <f t="shared" si="465"/>
        <v>1.3643677518190815E-2</v>
      </c>
      <c r="BP328" s="18">
        <f t="shared" si="515"/>
        <v>0.43770863619927114</v>
      </c>
      <c r="BQ328" s="19">
        <f t="shared" si="516"/>
        <v>968.30045296520041</v>
      </c>
      <c r="BR328" s="15">
        <f t="shared" si="466"/>
        <v>5.4366009059304013E-6</v>
      </c>
      <c r="BS328" s="16">
        <f t="shared" si="467"/>
        <v>27.024455209099806</v>
      </c>
      <c r="BT328" s="17">
        <f t="shared" si="468"/>
        <v>1.3606145998600808E-2</v>
      </c>
      <c r="BU328" s="18">
        <f t="shared" si="517"/>
        <v>0.43910527623595258</v>
      </c>
      <c r="BV328" s="19">
        <f t="shared" si="518"/>
        <v>960.19542753693986</v>
      </c>
      <c r="BW328" s="15">
        <f t="shared" si="469"/>
        <v>5.4203908550738801E-6</v>
      </c>
      <c r="BX328" s="16">
        <f t="shared" si="470"/>
        <v>26.931247416674807</v>
      </c>
      <c r="BY328" s="17">
        <f t="shared" si="471"/>
        <v>1.3565577208944392E-2</v>
      </c>
      <c r="BZ328" s="18">
        <f t="shared" si="519"/>
        <v>0.44062499913652575</v>
      </c>
      <c r="CA328" s="19">
        <f t="shared" si="520"/>
        <v>951.42882518394345</v>
      </c>
      <c r="CB328" s="15">
        <f t="shared" si="472"/>
        <v>5.4028576503678875E-6</v>
      </c>
      <c r="CC328" s="16">
        <f t="shared" si="473"/>
        <v>26.83043148961535</v>
      </c>
      <c r="CD328" s="17">
        <f t="shared" si="474"/>
        <v>1.3521696970688746E-2</v>
      </c>
      <c r="CE328" s="18">
        <f t="shared" si="521"/>
        <v>0.44228065710798681</v>
      </c>
      <c r="CF328" s="19">
        <f t="shared" si="522"/>
        <v>941.60201661461201</v>
      </c>
      <c r="CG328" s="15">
        <f t="shared" si="475"/>
        <v>5.383204033229225E-6</v>
      </c>
      <c r="CH328" s="16">
        <f t="shared" si="476"/>
        <v>26.717423191068036</v>
      </c>
      <c r="CI328" s="17">
        <f t="shared" si="477"/>
        <v>1.3472509989923328E-2</v>
      </c>
      <c r="CJ328" s="18">
        <f t="shared" si="523"/>
        <v>0.44415139831617606</v>
      </c>
      <c r="CK328" s="19">
        <f t="shared" si="524"/>
        <v>928.35182464244929</v>
      </c>
      <c r="CL328" s="15">
        <f t="shared" si="478"/>
        <v>5.3567036492848986E-6</v>
      </c>
      <c r="CM328" s="16">
        <f t="shared" si="479"/>
        <v>26.565045983388167</v>
      </c>
      <c r="CN328" s="17">
        <f t="shared" si="480"/>
        <v>1.3406187650063479E-2</v>
      </c>
      <c r="CO328" s="18">
        <f t="shared" si="525"/>
        <v>0.44669905247438263</v>
      </c>
      <c r="CP328" s="19">
        <f t="shared" si="526"/>
        <v>900.81258622579571</v>
      </c>
      <c r="CQ328" s="15">
        <f t="shared" si="481"/>
        <v>5.3016251724515918E-6</v>
      </c>
      <c r="CR328" s="16">
        <f t="shared" si="482"/>
        <v>26.24834474159665</v>
      </c>
      <c r="CS328" s="17">
        <f t="shared" si="483"/>
        <v>1.3268343101577854E-2</v>
      </c>
      <c r="CT328" s="18">
        <f t="shared" si="527"/>
        <v>0.45208873117673287</v>
      </c>
      <c r="CU328" s="19">
        <f t="shared" si="528"/>
        <v>823.40650345180995</v>
      </c>
      <c r="CV328" s="15">
        <f t="shared" si="484"/>
        <v>5.1468130069036211E-6</v>
      </c>
      <c r="CW328" s="16">
        <f t="shared" si="485"/>
        <v>25.358174789695816</v>
      </c>
      <c r="CX328" s="17">
        <f t="shared" si="486"/>
        <v>1.2880895694042839E-2</v>
      </c>
      <c r="CY328" s="18">
        <f t="shared" si="529"/>
        <v>0.46795879309656907</v>
      </c>
      <c r="CZ328" s="20">
        <f t="shared" si="530"/>
        <v>627.57645614314072</v>
      </c>
      <c r="DA328" s="15">
        <f t="shared" si="487"/>
        <v>5.1704993381515196E-6</v>
      </c>
      <c r="DB328" s="16">
        <f t="shared" si="488"/>
        <v>35.295282771848917</v>
      </c>
      <c r="DC328" s="17">
        <f t="shared" si="489"/>
        <v>1.2940175322381673E-2</v>
      </c>
      <c r="DD328" s="18">
        <f t="shared" si="531"/>
        <v>0.33620869243134488</v>
      </c>
    </row>
    <row r="329" spans="2:108" x14ac:dyDescent="0.25">
      <c r="B329">
        <v>62</v>
      </c>
      <c r="C329">
        <f t="shared" si="490"/>
        <v>6.061210931340559E-2</v>
      </c>
      <c r="D329" s="19">
        <f t="shared" si="428"/>
        <v>1018.9967406603652</v>
      </c>
      <c r="E329" s="15">
        <f t="shared" si="429"/>
        <v>5.5379934813207313E-6</v>
      </c>
      <c r="F329" s="16">
        <f t="shared" si="430"/>
        <v>27.6074625175942</v>
      </c>
      <c r="G329" s="17">
        <f t="shared" si="426"/>
        <v>1.3859900542626672E-2</v>
      </c>
      <c r="H329" s="18">
        <f t="shared" si="491"/>
        <v>0.42983236370076899</v>
      </c>
      <c r="I329" s="19">
        <f t="shared" si="492"/>
        <v>1018.6735745608739</v>
      </c>
      <c r="J329" s="15">
        <f t="shared" si="431"/>
        <v>5.5373471491217484E-6</v>
      </c>
      <c r="K329" s="16">
        <f t="shared" si="432"/>
        <v>27.60374610745005</v>
      </c>
      <c r="L329" s="17">
        <f t="shared" si="433"/>
        <v>1.3858282971203806E-2</v>
      </c>
      <c r="M329" s="18">
        <f t="shared" si="493"/>
        <v>0.42989023386630826</v>
      </c>
      <c r="N329" s="19">
        <f t="shared" si="494"/>
        <v>1017.7697199740386</v>
      </c>
      <c r="O329" s="15">
        <f t="shared" si="434"/>
        <v>5.5355394399480774E-6</v>
      </c>
      <c r="P329" s="16">
        <f t="shared" si="435"/>
        <v>27.593351779701443</v>
      </c>
      <c r="Q329" s="17">
        <f t="shared" si="427"/>
        <v>1.3859900542626672E-2</v>
      </c>
      <c r="R329" s="18">
        <f t="shared" si="495"/>
        <v>0.43005217214848601</v>
      </c>
      <c r="S329" s="19">
        <f t="shared" si="496"/>
        <v>1016.2691431795121</v>
      </c>
      <c r="T329" s="15">
        <f t="shared" si="436"/>
        <v>5.5325382863590244E-6</v>
      </c>
      <c r="U329" s="16">
        <f t="shared" si="437"/>
        <v>27.576095146564388</v>
      </c>
      <c r="V329" s="17">
        <f t="shared" si="438"/>
        <v>1.3846247861404688E-2</v>
      </c>
      <c r="W329" s="18">
        <f t="shared" si="497"/>
        <v>0.43032129119979179</v>
      </c>
      <c r="X329" s="19">
        <f t="shared" si="498"/>
        <v>1014.169767368509</v>
      </c>
      <c r="Y329" s="15">
        <f t="shared" si="439"/>
        <v>5.5283395347370183E-6</v>
      </c>
      <c r="Z329" s="16">
        <f t="shared" si="440"/>
        <v>27.551952324737854</v>
      </c>
      <c r="AA329" s="17">
        <f t="shared" si="441"/>
        <v>1.3835739672819692E-2</v>
      </c>
      <c r="AB329" s="18">
        <f t="shared" si="499"/>
        <v>0.43069836684725044</v>
      </c>
      <c r="AC329" s="19">
        <f t="shared" si="500"/>
        <v>1011.4705898041698</v>
      </c>
      <c r="AD329" s="15">
        <f t="shared" si="442"/>
        <v>5.5229411796083396E-6</v>
      </c>
      <c r="AE329" s="16">
        <f t="shared" si="443"/>
        <v>27.520911782747952</v>
      </c>
      <c r="AF329" s="17">
        <f t="shared" si="444"/>
        <v>1.3822229244280976E-2</v>
      </c>
      <c r="AG329" s="18">
        <f t="shared" si="501"/>
        <v>0.43118414692774487</v>
      </c>
      <c r="AH329" s="19">
        <f t="shared" si="502"/>
        <v>1008.1716079400667</v>
      </c>
      <c r="AI329" s="15">
        <f t="shared" si="445"/>
        <v>5.5163432158801339E-6</v>
      </c>
      <c r="AJ329" s="16">
        <f t="shared" si="446"/>
        <v>27.482973491310766</v>
      </c>
      <c r="AK329" s="17">
        <f t="shared" si="447"/>
        <v>1.3805716563042685E-2</v>
      </c>
      <c r="AL329" s="18">
        <f t="shared" si="503"/>
        <v>0.43177936599435757</v>
      </c>
      <c r="AM329" s="19">
        <f t="shared" si="504"/>
        <v>1004.2728406207103</v>
      </c>
      <c r="AN329" s="15">
        <f t="shared" si="448"/>
        <v>5.5085456812414212E-6</v>
      </c>
      <c r="AO329" s="16">
        <f t="shared" si="449"/>
        <v>27.438137667138168</v>
      </c>
      <c r="AP329" s="17">
        <f t="shared" si="450"/>
        <v>1.3786201723428882E-2</v>
      </c>
      <c r="AQ329" s="18">
        <f t="shared" si="505"/>
        <v>0.43248492349136891</v>
      </c>
      <c r="AR329" s="19">
        <f t="shared" si="506"/>
        <v>999.7742944880564</v>
      </c>
      <c r="AS329" s="15">
        <f t="shared" si="451"/>
        <v>5.4995485889761132E-6</v>
      </c>
      <c r="AT329" s="16">
        <f t="shared" si="452"/>
        <v>27.386404386612647</v>
      </c>
      <c r="AU329" s="17">
        <f t="shared" si="453"/>
        <v>1.3763684758685136E-2</v>
      </c>
      <c r="AV329" s="18">
        <f t="shared" si="507"/>
        <v>0.433301893238627</v>
      </c>
      <c r="AW329" s="19">
        <f t="shared" si="508"/>
        <v>994.67597105773916</v>
      </c>
      <c r="AX329" s="15">
        <f t="shared" si="454"/>
        <v>5.4893519421154792E-6</v>
      </c>
      <c r="AY329" s="16">
        <f t="shared" si="455"/>
        <v>27.327773667163999</v>
      </c>
      <c r="AZ329" s="17">
        <f t="shared" si="456"/>
        <v>1.3738165676397778E-2</v>
      </c>
      <c r="BA329" s="18">
        <f t="shared" si="509"/>
        <v>0.4342315262943035</v>
      </c>
      <c r="BB329" s="19">
        <f t="shared" si="510"/>
        <v>988.97787031689563</v>
      </c>
      <c r="BC329" s="15">
        <f t="shared" si="457"/>
        <v>5.4779557406337914E-6</v>
      </c>
      <c r="BD329" s="16">
        <f t="shared" si="458"/>
        <v>27.262245508644298</v>
      </c>
      <c r="BE329" s="17">
        <f t="shared" si="459"/>
        <v>1.3709644476502421E-2</v>
      </c>
      <c r="BF329" s="18">
        <f t="shared" si="511"/>
        <v>0.4352752551492961</v>
      </c>
      <c r="BG329" s="19">
        <f t="shared" si="512"/>
        <v>982.67998747056743</v>
      </c>
      <c r="BH329" s="15">
        <f t="shared" si="460"/>
        <v>5.465359974941135E-6</v>
      </c>
      <c r="BI329" s="16">
        <f t="shared" si="461"/>
        <v>27.189819855911523</v>
      </c>
      <c r="BJ329" s="17">
        <f t="shared" si="462"/>
        <v>1.367812113499845E-2</v>
      </c>
      <c r="BK329" s="18">
        <f t="shared" si="513"/>
        <v>0.43643469992089357</v>
      </c>
      <c r="BL329" s="19">
        <f t="shared" si="514"/>
        <v>975.78226028513768</v>
      </c>
      <c r="BM329" s="15">
        <f t="shared" si="463"/>
        <v>5.4515645205702764E-6</v>
      </c>
      <c r="BN329" s="16">
        <f t="shared" si="464"/>
        <v>27.110495993279081</v>
      </c>
      <c r="BO329" s="17">
        <f t="shared" si="465"/>
        <v>1.3643595340382519E-2</v>
      </c>
      <c r="BP329" s="18">
        <f t="shared" si="515"/>
        <v>0.43771168453206183</v>
      </c>
      <c r="BQ329" s="19">
        <f t="shared" si="516"/>
        <v>968.28398616535424</v>
      </c>
      <c r="BR329" s="15">
        <f t="shared" si="466"/>
        <v>5.4365679723307088E-6</v>
      </c>
      <c r="BS329" s="16">
        <f t="shared" si="467"/>
        <v>27.02426584090157</v>
      </c>
      <c r="BT329" s="17">
        <f t="shared" si="468"/>
        <v>1.3606063575893418E-2</v>
      </c>
      <c r="BU329" s="18">
        <f t="shared" si="517"/>
        <v>0.43910835319558161</v>
      </c>
      <c r="BV329" s="19">
        <f t="shared" si="518"/>
        <v>960.17822763494792</v>
      </c>
      <c r="BW329" s="15">
        <f t="shared" si="469"/>
        <v>5.4203564552698968E-6</v>
      </c>
      <c r="BX329" s="16">
        <f t="shared" si="470"/>
        <v>26.9310496178019</v>
      </c>
      <c r="BY329" s="17">
        <f t="shared" si="471"/>
        <v>1.3565491116776985E-2</v>
      </c>
      <c r="BZ329" s="18">
        <f t="shared" si="519"/>
        <v>0.4406282353686608</v>
      </c>
      <c r="CA329" s="19">
        <f t="shared" si="520"/>
        <v>951.40603534091053</v>
      </c>
      <c r="CB329" s="15">
        <f t="shared" si="472"/>
        <v>5.402812070681821E-6</v>
      </c>
      <c r="CC329" s="16">
        <f t="shared" si="473"/>
        <v>26.83016940642047</v>
      </c>
      <c r="CD329" s="17">
        <f t="shared" si="474"/>
        <v>1.3521582898702606E-2</v>
      </c>
      <c r="CE329" s="18">
        <f t="shared" si="521"/>
        <v>0.44228497740600253</v>
      </c>
      <c r="CF329" s="19">
        <f t="shared" si="522"/>
        <v>941.54597587789044</v>
      </c>
      <c r="CG329" s="15">
        <f t="shared" si="475"/>
        <v>5.3830919517557816E-6</v>
      </c>
      <c r="CH329" s="16">
        <f t="shared" si="476"/>
        <v>26.716778722595741</v>
      </c>
      <c r="CI329" s="17">
        <f t="shared" si="477"/>
        <v>1.3472229484343134E-2</v>
      </c>
      <c r="CJ329" s="18">
        <f t="shared" si="523"/>
        <v>0.44416211224153779</v>
      </c>
      <c r="CK329" s="19">
        <f t="shared" si="524"/>
        <v>928.14315684237977</v>
      </c>
      <c r="CL329" s="15">
        <f t="shared" si="478"/>
        <v>5.3562863136847606E-6</v>
      </c>
      <c r="CM329" s="16">
        <f t="shared" si="479"/>
        <v>26.562646303687366</v>
      </c>
      <c r="CN329" s="17">
        <f t="shared" si="480"/>
        <v>1.3405143186950562E-2</v>
      </c>
      <c r="CO329" s="18">
        <f t="shared" si="525"/>
        <v>0.44673940743888185</v>
      </c>
      <c r="CP329" s="19">
        <f t="shared" si="526"/>
        <v>900.10503606308873</v>
      </c>
      <c r="CQ329" s="15">
        <f t="shared" si="481"/>
        <v>5.300210072126178E-6</v>
      </c>
      <c r="CR329" s="16">
        <f t="shared" si="482"/>
        <v>26.24020791472552</v>
      </c>
      <c r="CS329" s="17">
        <f t="shared" si="483"/>
        <v>1.3264801539126719E-2</v>
      </c>
      <c r="CT329" s="18">
        <f t="shared" si="527"/>
        <v>0.45222891938514681</v>
      </c>
      <c r="CU329" s="19">
        <f t="shared" si="528"/>
        <v>821.74025351112641</v>
      </c>
      <c r="CV329" s="15">
        <f t="shared" si="484"/>
        <v>5.1434805070222538E-6</v>
      </c>
      <c r="CW329" s="16">
        <f t="shared" si="485"/>
        <v>25.339012915377953</v>
      </c>
      <c r="CX329" s="17">
        <f t="shared" si="486"/>
        <v>1.2872555468098216E-2</v>
      </c>
      <c r="CY329" s="18">
        <f t="shared" si="529"/>
        <v>0.46831267300535639</v>
      </c>
      <c r="CZ329" s="20">
        <f t="shared" si="530"/>
        <v>625.53462970507019</v>
      </c>
      <c r="DA329" s="15">
        <f t="shared" si="487"/>
        <v>5.2061696472507276E-6</v>
      </c>
      <c r="DB329" s="16">
        <f t="shared" si="488"/>
        <v>35.354495738552963</v>
      </c>
      <c r="DC329" s="17">
        <f t="shared" si="489"/>
        <v>1.3029447174742515E-2</v>
      </c>
      <c r="DD329" s="18">
        <f t="shared" si="531"/>
        <v>0.33564559815734457</v>
      </c>
    </row>
    <row r="330" spans="2:108" x14ac:dyDescent="0.25">
      <c r="B330">
        <v>63</v>
      </c>
      <c r="C330">
        <f t="shared" si="490"/>
        <v>6.1589723979750842E-2</v>
      </c>
      <c r="D330" s="19">
        <f t="shared" si="428"/>
        <v>1018.9802414318519</v>
      </c>
      <c r="E330" s="15">
        <f t="shared" si="429"/>
        <v>5.5379604828637049E-6</v>
      </c>
      <c r="F330" s="16">
        <f t="shared" si="430"/>
        <v>27.607272776466296</v>
      </c>
      <c r="G330" s="17">
        <f t="shared" si="426"/>
        <v>1.385981795760125E-2</v>
      </c>
      <c r="H330" s="18">
        <f t="shared" si="491"/>
        <v>0.42983531788165313</v>
      </c>
      <c r="I330" s="19">
        <f t="shared" si="492"/>
        <v>1018.6570231824779</v>
      </c>
      <c r="J330" s="15">
        <f t="shared" si="431"/>
        <v>5.5373140463649567E-6</v>
      </c>
      <c r="K330" s="16">
        <f t="shared" si="432"/>
        <v>27.603555766598497</v>
      </c>
      <c r="L330" s="17">
        <f t="shared" si="433"/>
        <v>1.3858200125148035E-2</v>
      </c>
      <c r="M330" s="18">
        <f t="shared" si="493"/>
        <v>0.42989319818271304</v>
      </c>
      <c r="N330" s="19">
        <f t="shared" si="494"/>
        <v>1017.7531202054478</v>
      </c>
      <c r="O330" s="15">
        <f t="shared" si="434"/>
        <v>5.5355062404108969E-6</v>
      </c>
      <c r="P330" s="16">
        <f t="shared" si="435"/>
        <v>27.593160882362646</v>
      </c>
      <c r="Q330" s="17">
        <f t="shared" si="427"/>
        <v>1.385981795760125E-2</v>
      </c>
      <c r="R330" s="18">
        <f t="shared" si="495"/>
        <v>0.43005514737178707</v>
      </c>
      <c r="S330" s="19">
        <f t="shared" si="496"/>
        <v>1016.2525281528557</v>
      </c>
      <c r="T330" s="15">
        <f t="shared" si="436"/>
        <v>5.5325050563057117E-6</v>
      </c>
      <c r="U330" s="16">
        <f t="shared" si="437"/>
        <v>27.57590407375784</v>
      </c>
      <c r="V330" s="17">
        <f t="shared" si="438"/>
        <v>1.3846164696764734E-2</v>
      </c>
      <c r="W330" s="18">
        <f t="shared" si="497"/>
        <v>0.430324272886144</v>
      </c>
      <c r="X330" s="19">
        <f t="shared" si="498"/>
        <v>1014.1531572196043</v>
      </c>
      <c r="Y330" s="15">
        <f t="shared" si="439"/>
        <v>5.5283063144392085E-6</v>
      </c>
      <c r="Z330" s="16">
        <f t="shared" si="440"/>
        <v>27.551761308025448</v>
      </c>
      <c r="AA330" s="17">
        <f t="shared" si="441"/>
        <v>1.3835656532594772E-2</v>
      </c>
      <c r="AB330" s="18">
        <f t="shared" si="499"/>
        <v>0.43070135288451877</v>
      </c>
      <c r="AC330" s="19">
        <f t="shared" si="500"/>
        <v>1011.4539922705235</v>
      </c>
      <c r="AD330" s="15">
        <f t="shared" si="442"/>
        <v>5.5229079845410476E-6</v>
      </c>
      <c r="AE330" s="16">
        <f t="shared" si="443"/>
        <v>27.52072091111102</v>
      </c>
      <c r="AF330" s="17">
        <f t="shared" si="444"/>
        <v>1.382214616720031E-2</v>
      </c>
      <c r="AG330" s="18">
        <f t="shared" si="501"/>
        <v>0.43118713743167131</v>
      </c>
      <c r="AH330" s="19">
        <f t="shared" si="502"/>
        <v>1008.1550269227279</v>
      </c>
      <c r="AI330" s="15">
        <f t="shared" si="445"/>
        <v>5.5163100538454566E-6</v>
      </c>
      <c r="AJ330" s="16">
        <f t="shared" si="446"/>
        <v>27.482782809611372</v>
      </c>
      <c r="AK330" s="17">
        <f t="shared" si="447"/>
        <v>1.3805633568632529E-2</v>
      </c>
      <c r="AL330" s="18">
        <f t="shared" si="503"/>
        <v>0.43178236177625645</v>
      </c>
      <c r="AM330" s="19">
        <f t="shared" si="504"/>
        <v>1004.2562795633004</v>
      </c>
      <c r="AN330" s="15">
        <f t="shared" si="448"/>
        <v>5.5085125591266011E-6</v>
      </c>
      <c r="AO330" s="16">
        <f t="shared" si="449"/>
        <v>27.437947214977953</v>
      </c>
      <c r="AP330" s="17">
        <f t="shared" si="450"/>
        <v>1.3786118828925898E-2</v>
      </c>
      <c r="AQ330" s="18">
        <f t="shared" si="505"/>
        <v>0.43248792545384424</v>
      </c>
      <c r="AR330" s="19">
        <f t="shared" si="506"/>
        <v>999.75775691294859</v>
      </c>
      <c r="AS330" s="15">
        <f t="shared" si="451"/>
        <v>5.4995155138258981E-6</v>
      </c>
      <c r="AT330" s="16">
        <f t="shared" si="452"/>
        <v>27.386214204498906</v>
      </c>
      <c r="AU330" s="17">
        <f t="shared" si="453"/>
        <v>1.3763601981720164E-2</v>
      </c>
      <c r="AV330" s="18">
        <f t="shared" si="507"/>
        <v>0.43330490228067015</v>
      </c>
      <c r="AW330" s="19">
        <f t="shared" si="508"/>
        <v>994.65946053460846</v>
      </c>
      <c r="AX330" s="15">
        <f t="shared" si="454"/>
        <v>5.4893189210692174E-6</v>
      </c>
      <c r="AY330" s="16">
        <f t="shared" si="455"/>
        <v>27.327583796147998</v>
      </c>
      <c r="AZ330" s="17">
        <f t="shared" si="456"/>
        <v>1.3738083034838422E-2</v>
      </c>
      <c r="BA330" s="18">
        <f t="shared" si="509"/>
        <v>0.43423454331848288</v>
      </c>
      <c r="BB330" s="19">
        <f t="shared" si="510"/>
        <v>988.96139036959744</v>
      </c>
      <c r="BC330" s="15">
        <f t="shared" si="457"/>
        <v>5.4779227807391961E-6</v>
      </c>
      <c r="BD330" s="16">
        <f t="shared" si="458"/>
        <v>27.262055989250371</v>
      </c>
      <c r="BE330" s="17">
        <f t="shared" si="459"/>
        <v>1.3709561987986946E-2</v>
      </c>
      <c r="BF330" s="18">
        <f t="shared" si="511"/>
        <v>0.43527828108037703</v>
      </c>
      <c r="BG330" s="19">
        <f t="shared" si="512"/>
        <v>982.66354086588558</v>
      </c>
      <c r="BH330" s="15">
        <f t="shared" si="460"/>
        <v>5.4653270817317715E-6</v>
      </c>
      <c r="BI330" s="16">
        <f t="shared" si="461"/>
        <v>27.189630719957684</v>
      </c>
      <c r="BJ330" s="17">
        <f t="shared" si="462"/>
        <v>1.3678038813375674E-2</v>
      </c>
      <c r="BK330" s="18">
        <f t="shared" si="513"/>
        <v>0.4364377358390385</v>
      </c>
      <c r="BL330" s="19">
        <f t="shared" si="514"/>
        <v>975.76584143650155</v>
      </c>
      <c r="BM330" s="15">
        <f t="shared" si="463"/>
        <v>5.4515316828730036E-6</v>
      </c>
      <c r="BN330" s="16">
        <f t="shared" si="464"/>
        <v>27.110307176519768</v>
      </c>
      <c r="BO330" s="17">
        <f t="shared" si="465"/>
        <v>1.3643513157689493E-2</v>
      </c>
      <c r="BP330" s="18">
        <f t="shared" si="515"/>
        <v>0.43771473308851117</v>
      </c>
      <c r="BQ330" s="19">
        <f t="shared" si="516"/>
        <v>968.26750971977492</v>
      </c>
      <c r="BR330" s="15">
        <f t="shared" si="466"/>
        <v>5.4365350194395504E-6</v>
      </c>
      <c r="BS330" s="16">
        <f t="shared" si="467"/>
        <v>27.024076361777411</v>
      </c>
      <c r="BT330" s="17">
        <f t="shared" si="468"/>
        <v>1.3605981104905398E-2</v>
      </c>
      <c r="BU330" s="18">
        <f t="shared" si="517"/>
        <v>0.43911143200075747</v>
      </c>
      <c r="BV330" s="19">
        <f t="shared" si="518"/>
        <v>960.16095868260913</v>
      </c>
      <c r="BW330" s="15">
        <f t="shared" si="469"/>
        <v>5.4203219173652188E-6</v>
      </c>
      <c r="BX330" s="16">
        <f t="shared" si="470"/>
        <v>26.930851024850003</v>
      </c>
      <c r="BY330" s="17">
        <f t="shared" si="471"/>
        <v>1.356540467898586E-2</v>
      </c>
      <c r="BZ330" s="18">
        <f t="shared" si="519"/>
        <v>0.44063148464072688</v>
      </c>
      <c r="CA330" s="19">
        <f t="shared" si="520"/>
        <v>951.38285284802078</v>
      </c>
      <c r="CB330" s="15">
        <f t="shared" si="472"/>
        <v>5.4027657056960415E-6</v>
      </c>
      <c r="CC330" s="16">
        <f t="shared" si="473"/>
        <v>26.829902807752237</v>
      </c>
      <c r="CD330" s="17">
        <f t="shared" si="474"/>
        <v>1.3521466861351941E-2</v>
      </c>
      <c r="CE330" s="18">
        <f t="shared" si="521"/>
        <v>0.44228937222572295</v>
      </c>
      <c r="CF330" s="19">
        <f t="shared" si="522"/>
        <v>941.48824293921086</v>
      </c>
      <c r="CG330" s="15">
        <f t="shared" si="475"/>
        <v>5.3829764858784224E-6</v>
      </c>
      <c r="CH330" s="16">
        <f t="shared" si="476"/>
        <v>26.716114793800926</v>
      </c>
      <c r="CI330" s="17">
        <f t="shared" si="477"/>
        <v>1.3471940508637101E-2</v>
      </c>
      <c r="CJ330" s="18">
        <f t="shared" si="523"/>
        <v>0.44417315022434928</v>
      </c>
      <c r="CK330" s="19">
        <f t="shared" si="524"/>
        <v>927.92957063749668</v>
      </c>
      <c r="CL330" s="15">
        <f t="shared" si="478"/>
        <v>5.3558591412749932E-6</v>
      </c>
      <c r="CM330" s="16">
        <f t="shared" si="479"/>
        <v>26.560190062331209</v>
      </c>
      <c r="CN330" s="17">
        <f t="shared" si="480"/>
        <v>1.3404074105317675E-2</v>
      </c>
      <c r="CO330" s="18">
        <f t="shared" si="525"/>
        <v>0.44678072114203687</v>
      </c>
      <c r="CP330" s="19">
        <f t="shared" si="526"/>
        <v>899.39083619251255</v>
      </c>
      <c r="CQ330" s="15">
        <f t="shared" si="481"/>
        <v>5.2987816723850252E-6</v>
      </c>
      <c r="CR330" s="16">
        <f t="shared" si="482"/>
        <v>26.231994616213896</v>
      </c>
      <c r="CS330" s="17">
        <f t="shared" si="483"/>
        <v>1.326122669231365E-2</v>
      </c>
      <c r="CT330" s="18">
        <f t="shared" si="527"/>
        <v>0.45237051331137473</v>
      </c>
      <c r="CU330" s="19">
        <f t="shared" si="528"/>
        <v>820.08171991738732</v>
      </c>
      <c r="CV330" s="15">
        <f t="shared" si="484"/>
        <v>5.1401634398347751E-6</v>
      </c>
      <c r="CW330" s="16">
        <f t="shared" si="485"/>
        <v>25.319939779049953</v>
      </c>
      <c r="CX330" s="17">
        <f t="shared" si="486"/>
        <v>1.2864253865456983E-2</v>
      </c>
      <c r="CY330" s="18">
        <f t="shared" si="529"/>
        <v>0.46866544601881166</v>
      </c>
      <c r="CZ330" s="20">
        <f t="shared" si="530"/>
        <v>623.52245558815059</v>
      </c>
      <c r="DA330" s="15">
        <f t="shared" si="487"/>
        <v>5.2411965587632964E-6</v>
      </c>
      <c r="DB330" s="16">
        <f t="shared" si="488"/>
        <v>35.412848787943631</v>
      </c>
      <c r="DC330" s="17">
        <f t="shared" si="489"/>
        <v>1.3117108800115865E-2</v>
      </c>
      <c r="DD330" s="18">
        <f t="shared" si="531"/>
        <v>0.33509252364237629</v>
      </c>
    </row>
    <row r="331" spans="2:108" x14ac:dyDescent="0.25">
      <c r="B331">
        <v>64</v>
      </c>
      <c r="C331">
        <f t="shared" si="490"/>
        <v>6.2567338646096093E-2</v>
      </c>
      <c r="D331" s="19">
        <f t="shared" si="428"/>
        <v>1018.9637395408291</v>
      </c>
      <c r="E331" s="15">
        <f t="shared" si="429"/>
        <v>5.5379274790816584E-6</v>
      </c>
      <c r="F331" s="16">
        <f t="shared" si="430"/>
        <v>27.607083004719534</v>
      </c>
      <c r="G331" s="17">
        <f t="shared" ref="G331:G394" si="532">($E331*$M$8)/($D$6^2)</f>
        <v>1.3859735359248934E-2</v>
      </c>
      <c r="H331" s="18">
        <f t="shared" si="491"/>
        <v>0.42983827257987606</v>
      </c>
      <c r="I331" s="19">
        <f t="shared" si="492"/>
        <v>1018.6404712580996</v>
      </c>
      <c r="J331" s="15">
        <f t="shared" si="431"/>
        <v>5.5372809425161997E-6</v>
      </c>
      <c r="K331" s="16">
        <f t="shared" si="432"/>
        <v>27.603365419468147</v>
      </c>
      <c r="L331" s="17">
        <f t="shared" si="433"/>
        <v>1.3858117276359409E-2</v>
      </c>
      <c r="M331" s="18">
        <f t="shared" si="493"/>
        <v>0.42989616263778535</v>
      </c>
      <c r="N331" s="19">
        <f t="shared" si="494"/>
        <v>1017.7365207747334</v>
      </c>
      <c r="O331" s="15">
        <f t="shared" si="434"/>
        <v>5.5354730415494674E-6</v>
      </c>
      <c r="P331" s="16">
        <f t="shared" si="435"/>
        <v>27.592969988909434</v>
      </c>
      <c r="Q331" s="17">
        <f t="shared" ref="Q331:Q394" si="533">($E331*$M$8)/($D$6^2)</f>
        <v>1.3859735359248934E-2</v>
      </c>
      <c r="R331" s="18">
        <f t="shared" si="495"/>
        <v>0.43005812257569542</v>
      </c>
      <c r="S331" s="19">
        <f t="shared" si="496"/>
        <v>1016.2359134803165</v>
      </c>
      <c r="T331" s="15">
        <f t="shared" si="436"/>
        <v>5.5324718269606328E-6</v>
      </c>
      <c r="U331" s="16">
        <f t="shared" si="437"/>
        <v>27.575713005023637</v>
      </c>
      <c r="V331" s="17">
        <f t="shared" si="438"/>
        <v>1.3846081533897273E-2</v>
      </c>
      <c r="W331" s="18">
        <f t="shared" si="497"/>
        <v>0.43032725455026644</v>
      </c>
      <c r="X331" s="19">
        <f t="shared" si="498"/>
        <v>1014.1365473078738</v>
      </c>
      <c r="Y331" s="15">
        <f t="shared" si="439"/>
        <v>5.5282730946157482E-6</v>
      </c>
      <c r="Z331" s="16">
        <f t="shared" si="440"/>
        <v>27.551570294040548</v>
      </c>
      <c r="AA331" s="17">
        <f t="shared" si="441"/>
        <v>1.3835573393557005E-2</v>
      </c>
      <c r="AB331" s="18">
        <f t="shared" si="499"/>
        <v>0.43070433892055365</v>
      </c>
      <c r="AC331" s="19">
        <f t="shared" si="500"/>
        <v>1011.4373949308909</v>
      </c>
      <c r="AD331" s="15">
        <f t="shared" si="442"/>
        <v>5.5228747898617823E-6</v>
      </c>
      <c r="AE331" s="16">
        <f t="shared" si="443"/>
        <v>27.520530041705243</v>
      </c>
      <c r="AF331" s="17">
        <f t="shared" si="444"/>
        <v>1.3822063091090757E-2</v>
      </c>
      <c r="AG331" s="18">
        <f t="shared" si="501"/>
        <v>0.43119012794212208</v>
      </c>
      <c r="AH331" s="19">
        <f t="shared" si="502"/>
        <v>1008.1384460946596</v>
      </c>
      <c r="AI331" s="15">
        <f t="shared" si="445"/>
        <v>5.51627689218932E-6</v>
      </c>
      <c r="AJ331" s="16">
        <f t="shared" si="446"/>
        <v>27.482592130088584</v>
      </c>
      <c r="AK331" s="17">
        <f t="shared" si="447"/>
        <v>1.3805550575169747E-2</v>
      </c>
      <c r="AL331" s="18">
        <f t="shared" si="503"/>
        <v>0.43178535756552922</v>
      </c>
      <c r="AM331" s="19">
        <f t="shared" si="504"/>
        <v>1004.2397186969154</v>
      </c>
      <c r="AN331" s="15">
        <f t="shared" si="448"/>
        <v>5.5084794373938319E-6</v>
      </c>
      <c r="AO331" s="16">
        <f t="shared" si="449"/>
        <v>27.437756765014527</v>
      </c>
      <c r="AP331" s="17">
        <f t="shared" si="450"/>
        <v>1.378603593537907E-2</v>
      </c>
      <c r="AQ331" s="18">
        <f t="shared" si="505"/>
        <v>0.43249092742336714</v>
      </c>
      <c r="AR331" s="19">
        <f t="shared" si="506"/>
        <v>999.7412195300318</v>
      </c>
      <c r="AS331" s="15">
        <f t="shared" si="451"/>
        <v>5.4994824390600639E-6</v>
      </c>
      <c r="AT331" s="16">
        <f t="shared" si="452"/>
        <v>27.386024024595365</v>
      </c>
      <c r="AU331" s="17">
        <f t="shared" si="453"/>
        <v>1.3763519205717181E-2</v>
      </c>
      <c r="AV331" s="18">
        <f t="shared" si="507"/>
        <v>0.43330791132953556</v>
      </c>
      <c r="AW331" s="19">
        <f t="shared" si="508"/>
        <v>994.64295020333918</v>
      </c>
      <c r="AX331" s="15">
        <f t="shared" si="454"/>
        <v>5.4892859004066794E-6</v>
      </c>
      <c r="AY331" s="16">
        <f t="shared" si="455"/>
        <v>27.327393927338399</v>
      </c>
      <c r="AZ331" s="17">
        <f t="shared" si="456"/>
        <v>1.3738000394239409E-2</v>
      </c>
      <c r="BA331" s="18">
        <f t="shared" si="509"/>
        <v>0.43423756034952676</v>
      </c>
      <c r="BB331" s="19">
        <f t="shared" si="510"/>
        <v>988.94491060334894</v>
      </c>
      <c r="BC331" s="15">
        <f t="shared" si="457"/>
        <v>5.477889821206698E-6</v>
      </c>
      <c r="BD331" s="16">
        <f t="shared" si="458"/>
        <v>27.261866471938511</v>
      </c>
      <c r="BE331" s="17">
        <f t="shared" si="459"/>
        <v>1.3709479500377689E-2</v>
      </c>
      <c r="BF331" s="18">
        <f t="shared" si="511"/>
        <v>0.43528130702028567</v>
      </c>
      <c r="BG331" s="19">
        <f t="shared" si="512"/>
        <v>982.64709432164466</v>
      </c>
      <c r="BH331" s="15">
        <f t="shared" si="460"/>
        <v>5.4652941886432899E-6</v>
      </c>
      <c r="BI331" s="16">
        <f t="shared" si="461"/>
        <v>27.189441584698912</v>
      </c>
      <c r="BJ331" s="17">
        <f t="shared" si="462"/>
        <v>1.3677956492055427E-2</v>
      </c>
      <c r="BK331" s="18">
        <f t="shared" si="513"/>
        <v>0.43644077178826346</v>
      </c>
      <c r="BL331" s="19">
        <f t="shared" si="514"/>
        <v>975.74942150222114</v>
      </c>
      <c r="BM331" s="15">
        <f t="shared" si="463"/>
        <v>5.4514988430044431E-6</v>
      </c>
      <c r="BN331" s="16">
        <f t="shared" si="464"/>
        <v>27.110118347275542</v>
      </c>
      <c r="BO331" s="17">
        <f t="shared" si="465"/>
        <v>1.3643430969562401E-2</v>
      </c>
      <c r="BP331" s="18">
        <f t="shared" si="515"/>
        <v>0.43771778188900612</v>
      </c>
      <c r="BQ331" s="19">
        <f t="shared" si="516"/>
        <v>968.25102290066832</v>
      </c>
      <c r="BR331" s="15">
        <f t="shared" si="466"/>
        <v>5.4365020458013373E-6</v>
      </c>
      <c r="BS331" s="16">
        <f t="shared" si="467"/>
        <v>27.023886763357687</v>
      </c>
      <c r="BT331" s="17">
        <f t="shared" si="468"/>
        <v>1.3605898581993858E-2</v>
      </c>
      <c r="BU331" s="18">
        <f t="shared" si="517"/>
        <v>0.43911451278755614</v>
      </c>
      <c r="BV331" s="19">
        <f t="shared" si="518"/>
        <v>960.14361690010787</v>
      </c>
      <c r="BW331" s="15">
        <f t="shared" si="469"/>
        <v>5.4202872338002168E-6</v>
      </c>
      <c r="BX331" s="16">
        <f t="shared" si="470"/>
        <v>26.930651594351239</v>
      </c>
      <c r="BY331" s="17">
        <f t="shared" si="471"/>
        <v>1.3565317876651583E-2</v>
      </c>
      <c r="BZ331" s="18">
        <f t="shared" si="519"/>
        <v>0.44063474766451394</v>
      </c>
      <c r="CA331" s="19">
        <f t="shared" si="520"/>
        <v>951.35926373785401</v>
      </c>
      <c r="CB331" s="15">
        <f t="shared" si="472"/>
        <v>5.402718527475708E-6</v>
      </c>
      <c r="CC331" s="16">
        <f t="shared" si="473"/>
        <v>26.829631532985321</v>
      </c>
      <c r="CD331" s="17">
        <f t="shared" si="474"/>
        <v>1.3521348788724409E-2</v>
      </c>
      <c r="CE331" s="18">
        <f t="shared" si="521"/>
        <v>0.44229384421954115</v>
      </c>
      <c r="CF331" s="19">
        <f t="shared" si="522"/>
        <v>941.4287898733312</v>
      </c>
      <c r="CG331" s="15">
        <f t="shared" si="475"/>
        <v>5.3828575797466622E-6</v>
      </c>
      <c r="CH331" s="16">
        <f t="shared" si="476"/>
        <v>26.715431083543308</v>
      </c>
      <c r="CI331" s="17">
        <f t="shared" si="477"/>
        <v>1.3471642923028585E-2</v>
      </c>
      <c r="CJ331" s="18">
        <f t="shared" si="523"/>
        <v>0.44418451765233563</v>
      </c>
      <c r="CK331" s="19">
        <f t="shared" si="524"/>
        <v>927.71108455311196</v>
      </c>
      <c r="CL331" s="15">
        <f t="shared" si="478"/>
        <v>5.3554221691062246E-6</v>
      </c>
      <c r="CM331" s="16">
        <f t="shared" si="479"/>
        <v>26.557677472360787</v>
      </c>
      <c r="CN331" s="17">
        <f t="shared" si="480"/>
        <v>1.3402980497891187E-2</v>
      </c>
      <c r="CO331" s="18">
        <f t="shared" si="525"/>
        <v>0.44682299052948943</v>
      </c>
      <c r="CP331" s="19">
        <f t="shared" si="526"/>
        <v>898.67020945941874</v>
      </c>
      <c r="CQ331" s="15">
        <f t="shared" si="481"/>
        <v>5.2973404189188376E-6</v>
      </c>
      <c r="CR331" s="16">
        <f t="shared" si="482"/>
        <v>26.223707408783312</v>
      </c>
      <c r="CS331" s="17">
        <f t="shared" si="483"/>
        <v>1.3257619676565897E-2</v>
      </c>
      <c r="CT331" s="18">
        <f t="shared" si="527"/>
        <v>0.45251347129290087</v>
      </c>
      <c r="CU331" s="19">
        <f t="shared" si="528"/>
        <v>818.43101578244273</v>
      </c>
      <c r="CV331" s="15">
        <f t="shared" si="484"/>
        <v>5.1368620315648862E-6</v>
      </c>
      <c r="CW331" s="16">
        <f t="shared" si="485"/>
        <v>25.300956681498093</v>
      </c>
      <c r="CX331" s="17">
        <f t="shared" si="486"/>
        <v>1.2855991452287736E-2</v>
      </c>
      <c r="CY331" s="18">
        <f t="shared" si="529"/>
        <v>0.46901708180843649</v>
      </c>
      <c r="CZ331" s="20">
        <f t="shared" si="530"/>
        <v>621.53903168932493</v>
      </c>
      <c r="DA331" s="15">
        <f t="shared" si="487"/>
        <v>5.2756028674674574E-6</v>
      </c>
      <c r="DB331" s="16">
        <f t="shared" si="488"/>
        <v>35.470368081009575</v>
      </c>
      <c r="DC331" s="17">
        <f t="shared" si="489"/>
        <v>1.3203217246846082E-2</v>
      </c>
      <c r="DD331" s="18">
        <f t="shared" si="531"/>
        <v>0.33454913246505408</v>
      </c>
    </row>
    <row r="332" spans="2:108" x14ac:dyDescent="0.25">
      <c r="B332">
        <v>65</v>
      </c>
      <c r="C332">
        <f t="shared" si="490"/>
        <v>6.3544953312441338E-2</v>
      </c>
      <c r="D332" s="19">
        <f t="shared" ref="D332:D395" si="534">D331+(4*$H$7*(I331-D331))</f>
        <v>1018.9472350953559</v>
      </c>
      <c r="E332" s="15">
        <f t="shared" si="429"/>
        <v>5.5378944701907133E-6</v>
      </c>
      <c r="F332" s="16">
        <f t="shared" ref="F332:F395" si="535">IF($D332&lt;650,(53.495-(0.029*D332)),IF(D332&lt;700,((0.00000000000000006*(D332^2))-(0.2008*D332) + 164.43),IF(D332&lt;1250,((0.0115*D332)+ 15.889))))</f>
        <v>27.606893203596591</v>
      </c>
      <c r="G332" s="17">
        <f t="shared" si="532"/>
        <v>1.385965274811061E-2</v>
      </c>
      <c r="H332" s="18">
        <f t="shared" si="491"/>
        <v>0.42984122777610972</v>
      </c>
      <c r="I332" s="19">
        <f t="shared" si="492"/>
        <v>1018.6239187914698</v>
      </c>
      <c r="J332" s="15">
        <f t="shared" si="431"/>
        <v>5.5372478375829398E-6</v>
      </c>
      <c r="K332" s="16">
        <f t="shared" ref="K332:K395" si="536">IF($I332&lt;650,(53.495-(0.029*I332)),IF(I332&lt;700,((0.00000000000000006*(I332^2))-(0.2008*I332) + 164.43),IF(I332&lt;1250,((0.0115*I332)+ 15.889))))</f>
        <v>27.603175066101901</v>
      </c>
      <c r="L332" s="17">
        <f t="shared" si="433"/>
        <v>1.3858034424856603E-2</v>
      </c>
      <c r="M332" s="18">
        <f t="shared" si="493"/>
        <v>0.42989912723086199</v>
      </c>
      <c r="N332" s="19">
        <f t="shared" si="494"/>
        <v>1017.7199216729908</v>
      </c>
      <c r="O332" s="15">
        <f t="shared" si="434"/>
        <v>5.5354398433459827E-6</v>
      </c>
      <c r="P332" s="16">
        <f t="shared" si="435"/>
        <v>27.592779099239394</v>
      </c>
      <c r="Q332" s="17">
        <f t="shared" si="533"/>
        <v>1.385965274811061E-2</v>
      </c>
      <c r="R332" s="18">
        <f t="shared" si="495"/>
        <v>0.43006109776180557</v>
      </c>
      <c r="S332" s="19">
        <f t="shared" si="496"/>
        <v>1016.2192991598284</v>
      </c>
      <c r="T332" s="15">
        <f t="shared" si="436"/>
        <v>5.5324385983196569E-6</v>
      </c>
      <c r="U332" s="16">
        <f t="shared" si="437"/>
        <v>27.575521940338028</v>
      </c>
      <c r="V332" s="17">
        <f t="shared" si="438"/>
        <v>1.3845998372791966E-2</v>
      </c>
      <c r="W332" s="18">
        <f t="shared" si="497"/>
        <v>0.43033023619252786</v>
      </c>
      <c r="X332" s="19">
        <f t="shared" si="498"/>
        <v>1014.1199376340584</v>
      </c>
      <c r="Y332" s="15">
        <f t="shared" si="439"/>
        <v>5.528239875268117E-6</v>
      </c>
      <c r="Z332" s="16">
        <f t="shared" si="440"/>
        <v>27.551379282791672</v>
      </c>
      <c r="AA332" s="17">
        <f t="shared" si="441"/>
        <v>1.3835490255710093E-2</v>
      </c>
      <c r="AB332" s="18">
        <f t="shared" si="499"/>
        <v>0.43070732495522107</v>
      </c>
      <c r="AC332" s="19">
        <f t="shared" si="500"/>
        <v>1011.4207977857347</v>
      </c>
      <c r="AD332" s="15">
        <f t="shared" ref="AD332:AD395" si="537">IF(AC332&gt;=650,((0.00002*AC332)+0.035)/10000,IF(AC332&lt;650,((-0.0000000000003*(AC332^4))+(0.0000000004*(AC332^3))-(0.0000002*(AC332^2))-(0.0001*AC332)+0.1409)/10000))</f>
        <v>5.5228415955714704E-6</v>
      </c>
      <c r="AE332" s="16">
        <f t="shared" ref="AE332:AE395" si="538">IF(AC332&lt;650,(53.495-(0.029*AC332)),IF(AC332&lt;700,((0.00000000000000006*(AC332^2))-(0.2008*AC332) + 164.43),IF(AC332&lt;1250,((0.0115*AC332)+ 15.889))))</f>
        <v>27.520339174535948</v>
      </c>
      <c r="AF332" s="17">
        <f t="shared" ref="AF332:AF395" si="539">(AD332*$M$8)/($D$6^2)</f>
        <v>1.3821980015954635E-2</v>
      </c>
      <c r="AG332" s="18">
        <f t="shared" si="501"/>
        <v>0.43119311845901315</v>
      </c>
      <c r="AH332" s="19">
        <f t="shared" si="502"/>
        <v>1008.121865455946</v>
      </c>
      <c r="AI332" s="15">
        <f t="shared" ref="AI332:AI395" si="540">IF(AH332&gt;=650,((0.00002*AH332)+0.035)/10000,IF(AH332&lt;650,((-0.0000000000003*(AH332^4))+(0.0000000004*(AH332^3))-(0.0000002*(AH332^2))-(0.0001*AH332)+0.1409)/10000))</f>
        <v>5.5162437309118926E-6</v>
      </c>
      <c r="AJ332" s="16">
        <f t="shared" ref="AJ332:AJ395" si="541">IF(AH332&lt;650,(53.495-(0.029*AH332)),IF(AH332&lt;700,((0.00000000000000006*(AH332^2))-(0.2008*AH332) + 164.43),IF(AH332&lt;1250,((0.0115*AH332)+ 15.889))))</f>
        <v>27.482401452743378</v>
      </c>
      <c r="AK332" s="17">
        <f t="shared" ref="AK332:AK395" si="542">(AI332*$M$8)/($D$6^2)</f>
        <v>1.3805467582654756E-2</v>
      </c>
      <c r="AL332" s="18">
        <f t="shared" si="503"/>
        <v>0.43178835336216004</v>
      </c>
      <c r="AM332" s="19">
        <f t="shared" si="504"/>
        <v>1004.223158021548</v>
      </c>
      <c r="AN332" s="15">
        <f t="shared" ref="AN332:AN395" si="543">IF(AM332&gt;=650,((0.00002*AM332)+0.035)/10000,IF(AM332&lt;650,((-0.0000000000003*(AM332^4))+(0.0000000004*(AM332^3))-(0.0000002*(AM332^2))-(0.0001*AM332)+0.1409)/10000))</f>
        <v>5.5084463160430957E-6</v>
      </c>
      <c r="AO332" s="16">
        <f t="shared" ref="AO332:AO395" si="544">IF(AM332&lt;650,(53.495-(0.029*AM332)),IF(AM332&lt;700,((0.00000000000000006*(AM332^2))-(0.2008*AM332) + 164.43),IF(AM332&lt;1250,((0.0115*AM332)+ 15.889))))</f>
        <v>27.4375663172478</v>
      </c>
      <c r="AP332" s="17">
        <f t="shared" ref="AP332:AP395" si="545">(AN332*$M$8)/($D$6^2)</f>
        <v>1.3785953042788353E-2</v>
      </c>
      <c r="AQ332" s="18">
        <f t="shared" si="505"/>
        <v>0.43249392939993841</v>
      </c>
      <c r="AR332" s="19">
        <f t="shared" si="506"/>
        <v>999.72468233928373</v>
      </c>
      <c r="AS332" s="15">
        <f t="shared" ref="AS332:AS395" si="546">IF(AR332&gt;=650,((0.00002*AR332)+0.035)/10000,IF(AR332&lt;650,((-0.0000000000003*(AR332^4))+(0.0000000004*(AR332^3))-(0.0000002*(AR332^2))-(0.0001*AR332)+0.1409)/10000))</f>
        <v>5.4994493646785676E-6</v>
      </c>
      <c r="AT332" s="16">
        <f t="shared" ref="AT332:AT395" si="547">IF(AR332&lt;650,(53.495-(0.029*AR332)),IF(AR332&lt;700,((0.00000000000000006*(AR332^2))-(0.2008*AR332) + 164.43),IF(AR332&lt;1250,((0.0115*AR332)+ 15.889))))</f>
        <v>27.385833846901761</v>
      </c>
      <c r="AU332" s="17">
        <f t="shared" ref="AU332:AU395" si="548">(AS332*$M$8)/($D$6^2)</f>
        <v>1.3763436430676077E-2</v>
      </c>
      <c r="AV332" s="18">
        <f t="shared" si="507"/>
        <v>0.43331092038522678</v>
      </c>
      <c r="AW332" s="19">
        <f t="shared" si="508"/>
        <v>994.62644006377639</v>
      </c>
      <c r="AX332" s="15">
        <f t="shared" ref="AX332:AX395" si="549">IF(AW332&gt;=650,((0.00002*AW332)+0.035)/10000,IF(AW332&lt;650,((-0.0000000000003*(AW332^4))+(0.0000000004*(AW332^3))-(0.0000002*(AW332^2))-(0.0001*AW332)+0.1409)/10000))</f>
        <v>5.4892528801275524E-6</v>
      </c>
      <c r="AY332" s="16">
        <f t="shared" ref="AY332:AY395" si="550">IF(AW332&lt;650,(53.495-(0.029*AW332)),IF(AW332&lt;700,((0.00000000000000006*(AW332^2))-(0.2008*AW332) + 164.43),IF(AW332&lt;1250,((0.0115*AW332)+ 15.889))))</f>
        <v>27.327204060733429</v>
      </c>
      <c r="AZ332" s="17">
        <f t="shared" ref="AZ332:AZ395" si="551">(AX332*$M$8)/($D$6^2)</f>
        <v>1.3737917754599956E-2</v>
      </c>
      <c r="BA332" s="18">
        <f t="shared" si="509"/>
        <v>0.43424057738746269</v>
      </c>
      <c r="BB332" s="19">
        <f t="shared" si="510"/>
        <v>988.92843101654944</v>
      </c>
      <c r="BC332" s="15">
        <f t="shared" ref="BC332:BC395" si="552">IF(BB332&gt;=650,((0.00002*BB332)+0.035)/10000,IF(BB332&lt;650,((-0.0000000000003*(BB332^4))+(0.0000000004*(BB332^3))-(0.0000002*(BB332^2))-(0.0001*BB332)+0.1409)/10000))</f>
        <v>5.4778568620330996E-6</v>
      </c>
      <c r="BD332" s="16">
        <f t="shared" ref="BD332:BD395" si="553">IF(BB332&lt;650,(53.495-(0.029*BB332)),IF(BB332&lt;700,((0.00000000000000006*(BB332^2))-(0.2008*BB332) + 164.43),IF(BB332&lt;1250,((0.0115*BB332)+ 15.889))))</f>
        <v>27.261676956690316</v>
      </c>
      <c r="BE332" s="17">
        <f t="shared" ref="BE332:BE395" si="554">(BC332*$M$8)/($D$6^2)</f>
        <v>1.3709397013666648E-2</v>
      </c>
      <c r="BF332" s="18">
        <f t="shared" si="511"/>
        <v>0.43528433296931535</v>
      </c>
      <c r="BG332" s="19">
        <f t="shared" si="512"/>
        <v>982.63064782299614</v>
      </c>
      <c r="BH332" s="15">
        <f t="shared" ref="BH332:BH395" si="555">IF(BG332&gt;=650,((0.00002*BG332)+0.035)/10000,IF(BG332&lt;650,((-0.0000000000003*(BG332^4))+(0.0000000004*(BG332^3))-(0.0000002*(BG332^2))-(0.0001*BG332)+0.1409)/10000))</f>
        <v>5.465261295645993E-6</v>
      </c>
      <c r="BI332" s="16">
        <f t="shared" ref="BI332:BI395" si="556">IF(BG332&lt;650,(53.495-(0.029*BG332)),IF(BG332&lt;700,((0.00000000000000006*(BG332^2))-(0.2008*BG332) + 164.43),IF(BG332&lt;1250,((0.0115*BG332)+ 15.889))))</f>
        <v>27.189252449964457</v>
      </c>
      <c r="BJ332" s="17">
        <f t="shared" ref="BJ332:BJ395" si="557">(BH332*$M$8)/($D$6^2)</f>
        <v>1.3677874170963389E-2</v>
      </c>
      <c r="BK332" s="18">
        <f t="shared" si="513"/>
        <v>0.4364438077713097</v>
      </c>
      <c r="BL332" s="19">
        <f t="shared" si="514"/>
        <v>975.73300036500143</v>
      </c>
      <c r="BM332" s="15">
        <f t="shared" ref="BM332:BM395" si="558">IF(BL332&gt;=650,((0.00002*BL332)+0.035)/10000,IF(BL332&lt;650,((-0.0000000000003*(BL332^4))+(0.0000000004*(BL332^3))-(0.0000002*(BL332^2))-(0.0001*BL332)+0.1409)/10000))</f>
        <v>5.4514660007300032E-6</v>
      </c>
      <c r="BN332" s="16">
        <f t="shared" ref="BN332:BN395" si="559">IF(BL332&lt;650,(53.495-(0.029*BL332)),IF(BL332&lt;700,((0.00000000000000006*(BL332^2))-(0.2008*BL332) + 164.43),IF(BL332&lt;1250,((0.0115*BL332)+ 15.889))))</f>
        <v>27.109929504197517</v>
      </c>
      <c r="BO332" s="17">
        <f t="shared" ref="BO332:BO395" si="560">(BM332*$M$8)/($D$6^2)</f>
        <v>1.3643348775414128E-2</v>
      </c>
      <c r="BP332" s="18">
        <f t="shared" si="515"/>
        <v>0.43772083095533532</v>
      </c>
      <c r="BQ332" s="19">
        <f t="shared" si="516"/>
        <v>968.23452494512037</v>
      </c>
      <c r="BR332" s="15">
        <f t="shared" ref="BR332:BR395" si="561">IF(BQ332&gt;=650,((0.00002*BQ332)+0.035)/10000,IF(BQ332&lt;650,((-0.0000000000003*(BQ332^4))+(0.0000000004*(BQ332^3))-(0.0000002*(BQ332^2))-(0.0001*BQ332)+0.1409)/10000))</f>
        <v>5.4364690498902412E-6</v>
      </c>
      <c r="BS332" s="16">
        <f t="shared" ref="BS332:BS395" si="562">IF(BQ332&lt;650,(53.495-(0.029*BQ332)),IF(BQ332&lt;700,((0.00000000000000006*(BQ332^2))-(0.2008*BQ332) + 164.43),IF(BQ332&lt;1250,((0.0115*BQ332)+ 15.889))))</f>
        <v>27.023697036868882</v>
      </c>
      <c r="BT332" s="17">
        <f t="shared" ref="BT332:BT395" si="563">(BR332*$M$8)/($D$6^2)</f>
        <v>1.360581600334012E-2</v>
      </c>
      <c r="BU332" s="18">
        <f t="shared" si="517"/>
        <v>0.43911759569862419</v>
      </c>
      <c r="BV332" s="19">
        <f t="shared" si="518"/>
        <v>960.12619840418392</v>
      </c>
      <c r="BW332" s="15">
        <f t="shared" ref="BW332:BW395" si="564">IF(BV332&gt;=650,((0.00002*BV332)+0.035)/10000,IF(BV332&lt;650,((-0.0000000000003*(BV332^4))+(0.0000000004*(BV332^3))-(0.0000002*(BV332^2))-(0.0001*BV332)+0.1409)/10000))</f>
        <v>5.4202523968083686E-6</v>
      </c>
      <c r="BX332" s="16">
        <f t="shared" ref="BX332:BX395" si="565">IF(BV332&lt;650,(53.495-(0.029*BV332)),IF(BV332&lt;700,((0.00000000000000006*(BV332^2))-(0.2008*BV332) + 164.43),IF(BV332&lt;1250,((0.0115*BV332)+ 15.889))))</f>
        <v>26.930451281648114</v>
      </c>
      <c r="BY332" s="17">
        <f t="shared" ref="BY332:BY395" si="566">(BW332*$M$8)/($D$6^2)</f>
        <v>1.3565230690336928E-2</v>
      </c>
      <c r="BZ332" s="18">
        <f t="shared" si="519"/>
        <v>0.44063802517132111</v>
      </c>
      <c r="CA332" s="19">
        <f t="shared" si="520"/>
        <v>951.3352539812638</v>
      </c>
      <c r="CB332" s="15">
        <f t="shared" ref="CB332:CB395" si="567">IF(CA332&gt;=650,((0.00002*CA332)+0.035)/10000,IF(CA332&lt;650,((-0.0000000000003*(CA332^4))+(0.0000000004*(CA332^3))-(0.0000002*(CA332^2))-(0.0001*CA332)+0.1409)/10000))</f>
        <v>5.4026705079625282E-6</v>
      </c>
      <c r="CC332" s="16">
        <f t="shared" ref="CC332:CC395" si="568">IF(CA332&lt;650,(53.495-(0.029*CA332)),IF(CA332&lt;700,((0.00000000000000006*(CA332^2))-(0.2008*CA332) + 164.43),IF(CA332&lt;1250,((0.0115*CA332)+ 15.889))))</f>
        <v>26.82935542078453</v>
      </c>
      <c r="CD332" s="17">
        <f t="shared" ref="CD332:CD395" si="569">(CB332*$M$8)/($D$6^2)</f>
        <v>1.3521228610598698E-2</v>
      </c>
      <c r="CE332" s="18">
        <f t="shared" si="521"/>
        <v>0.44229839605184601</v>
      </c>
      <c r="CF332" s="19">
        <f t="shared" si="522"/>
        <v>941.36758958736186</v>
      </c>
      <c r="CG332" s="15">
        <f t="shared" ref="CG332:CG395" si="570">IF(CF332&gt;=650,((0.00002*CF332)+0.035)/10000,IF(CF332&lt;650,((-0.0000000000003*(CF332^4))+(0.0000000004*(CF332^3))-(0.0000002*(CF332^2))-(0.0001*CF332)+0.1409)/10000))</f>
        <v>5.3827351791747251E-6</v>
      </c>
      <c r="CH332" s="16">
        <f t="shared" ref="CH332:CH395" si="571">IF(CF332&lt;650,(53.495-(0.029*CF332)),IF(CF332&lt;700,((0.00000000000000006*(CF332^2))-(0.2008*CF332) + 164.43),IF(CF332&lt;1250,((0.0115*CF332)+ 15.889))))</f>
        <v>26.71472728025466</v>
      </c>
      <c r="CI332" s="17">
        <f t="shared" ref="CI332:CI395" si="572">(CG332*$M$8)/($D$6^2)</f>
        <v>1.3471336591907189E-2</v>
      </c>
      <c r="CJ332" s="18">
        <f t="shared" si="523"/>
        <v>0.44419621975660983</v>
      </c>
      <c r="CK332" s="19">
        <f t="shared" si="524"/>
        <v>927.48771935105776</v>
      </c>
      <c r="CL332" s="15">
        <f t="shared" ref="CL332:CL395" si="573">IF(CK332&gt;=650,((0.00002*CK332)+0.035)/10000,IF(CK332&lt;650,((-0.0000000000003*(CK332^4))+(0.0000000004*(CK332^3))-(0.0000002*(CK332^2))-(0.0001*CK332)+0.1409)/10000))</f>
        <v>5.3549754387021154E-6</v>
      </c>
      <c r="CM332" s="16">
        <f t="shared" ref="CM332:CM395" si="574">IF(CK332&lt;650,(53.495-(0.029*CK332)),IF(CK332&lt;700,((0.00000000000000006*(CK332^2))-(0.2008*CK332) + 164.43),IF(CK332&lt;1250,((0.0115*CK332)+ 15.889))))</f>
        <v>26.555108772537164</v>
      </c>
      <c r="CN332" s="17">
        <f t="shared" ref="CN332:CN395" si="575">(CL332*$M$8)/($D$6^2)</f>
        <v>1.3401862468592089E-2</v>
      </c>
      <c r="CO332" s="18">
        <f t="shared" si="525"/>
        <v>0.44686621212375194</v>
      </c>
      <c r="CP332" s="19">
        <f t="shared" si="526"/>
        <v>897.94337451146953</v>
      </c>
      <c r="CQ332" s="15">
        <f t="shared" ref="CQ332:CQ395" si="576">IF(CP332&gt;=650,((0.00002*CP332)+0.035)/10000,IF(CP332&lt;650,((-0.0000000000003*(CP332^4))+(0.0000000004*(CP332^3))-(0.0000002*(CP332^2))-(0.0001*CP332)+0.1409)/10000))</f>
        <v>5.295886749022939E-6</v>
      </c>
      <c r="CR332" s="16">
        <f t="shared" ref="CR332:CR395" si="577">IF(CP332&lt;650,(53.495-(0.029*CP332)),IF(CP332&lt;700,((0.00000000000000006*(CP332^2))-(0.2008*CP332) + 164.43),IF(CP332&lt;1250,((0.0115*CP332)+ 15.889))))</f>
        <v>26.215348806881899</v>
      </c>
      <c r="CS332" s="17">
        <f t="shared" ref="CS332:CS395" si="578">(CQ332*$M$8)/($D$6^2)</f>
        <v>1.3253981586299646E-2</v>
      </c>
      <c r="CT332" s="18">
        <f t="shared" si="527"/>
        <v>0.4526577524157433</v>
      </c>
      <c r="CU332" s="19">
        <f t="shared" si="528"/>
        <v>816.78824154293056</v>
      </c>
      <c r="CV332" s="15">
        <f t="shared" ref="CV332:CV395" si="579">IF(CU332&gt;=650,((0.00002*CU332)+0.035)/10000,IF(CU332&lt;650,((-0.0000000000003*(CU332^4))+(0.0000000004*(CU332^3))-(0.0000002*(CU332^2))-(0.0001*CU332)+0.1409)/10000))</f>
        <v>5.1335764830858618E-6</v>
      </c>
      <c r="CW332" s="16">
        <f t="shared" ref="CW332:CW395" si="580">IF(CU332&lt;650,(53.495-(0.029*CU332)),IF(CU332&lt;700,((0.00000000000000006*(CU332^2))-(0.2008*CU332) + 164.43),IF(CU332&lt;1250,((0.0115*CU332)+ 15.889))))</f>
        <v>25.282064777743699</v>
      </c>
      <c r="CX332" s="17">
        <f t="shared" ref="CX332:CX395" si="581">(CV332*$M$8)/($D$6^2)</f>
        <v>1.2847768731314725E-2</v>
      </c>
      <c r="CY332" s="18">
        <f t="shared" si="529"/>
        <v>0.46936755261240704</v>
      </c>
      <c r="CZ332" s="20">
        <f t="shared" si="530"/>
        <v>619.58349389096156</v>
      </c>
      <c r="DA332" s="15">
        <f t="shared" ref="DA332:DA395" si="582">IF(CZ332&gt;=650,((0.00002*CZ332)+0.035)/10000,IF(CZ332&lt;650,((-0.0000000000003*(CZ332^4))+(0.0000000004*(CZ332^3))-(0.0000002*(CZ332^2))-(0.0001*CZ332)+0.1409)/10000))</f>
        <v>5.3094102633592546E-6</v>
      </c>
      <c r="DB332" s="16">
        <f t="shared" ref="DB332:DB395" si="583">IF(CZ332&lt;650,(53.495-(0.029*CZ332)),IF(CZ332&lt;700,((0.00000000000000006*(CZ332^2))-(0.2008*CZ332) + 164.43),IF(CZ332&lt;1250,((0.0115*CZ332)+ 15.889))))</f>
        <v>35.527078677162109</v>
      </c>
      <c r="DC332" s="17">
        <f t="shared" ref="DC332:DC395" si="584">(DA332*$M$8)/($D$6^2)</f>
        <v>1.3287826798346268E-2</v>
      </c>
      <c r="DD332" s="18">
        <f t="shared" si="531"/>
        <v>0.33401510373398924</v>
      </c>
    </row>
    <row r="333" spans="2:108" x14ac:dyDescent="0.25">
      <c r="B333">
        <v>66</v>
      </c>
      <c r="C333">
        <f>$B333*$M$8</f>
        <v>6.4522567978786596E-2</v>
      </c>
      <c r="D333" s="19">
        <f t="shared" si="534"/>
        <v>1018.9307281981651</v>
      </c>
      <c r="E333" s="15">
        <f t="shared" si="429"/>
        <v>5.5378614563963308E-6</v>
      </c>
      <c r="F333" s="16">
        <f t="shared" si="535"/>
        <v>27.606703374278897</v>
      </c>
      <c r="G333" s="17">
        <f t="shared" si="532"/>
        <v>1.3859570124700484E-2</v>
      </c>
      <c r="H333" s="18">
        <f>($C$263*$D$6)/F333</f>
        <v>0.42984418345197872</v>
      </c>
      <c r="I333" s="19">
        <f>I332+(G333*(D332+N332-(2*I332))+((G333/(2*$I$18))*(N332-D332)))</f>
        <v>1018.6073657867788</v>
      </c>
      <c r="J333" s="15">
        <f t="shared" si="431"/>
        <v>5.5372147315735576E-6</v>
      </c>
      <c r="K333" s="16">
        <f t="shared" si="536"/>
        <v>27.602984706547957</v>
      </c>
      <c r="L333" s="17">
        <f t="shared" si="433"/>
        <v>1.3857951570660594E-2</v>
      </c>
      <c r="M333" s="18">
        <f>($C$263*$D$6)/K333</f>
        <v>0.42990209196119716</v>
      </c>
      <c r="N333" s="19">
        <f>N332+(L333*(I332+S332-(2*N332))+((L333/(2*N$18))*(S332-I332)))</f>
        <v>1017.7033228915652</v>
      </c>
      <c r="O333" s="15">
        <f t="shared" si="434"/>
        <v>5.5354066457831309E-6</v>
      </c>
      <c r="P333" s="16">
        <f t="shared" si="435"/>
        <v>27.592588213252998</v>
      </c>
      <c r="Q333" s="17">
        <f t="shared" si="533"/>
        <v>1.3859570124700484E-2</v>
      </c>
      <c r="R333" s="18">
        <f>($C$263*$D$6)/P333</f>
        <v>0.43006407293166721</v>
      </c>
      <c r="S333" s="19">
        <f>S332+(Q333*(N332+X332-(2*S332))+((Q333/(2*S$18))*(X332-N332)))</f>
        <v>1016.2026851892909</v>
      </c>
      <c r="T333" s="15">
        <f t="shared" si="436"/>
        <v>5.5324053703785818E-6</v>
      </c>
      <c r="U333" s="16">
        <f t="shared" si="437"/>
        <v>27.575330879676844</v>
      </c>
      <c r="V333" s="17">
        <f t="shared" si="438"/>
        <v>1.3845915213438295E-2</v>
      </c>
      <c r="W333" s="18">
        <f>($C$263*$D$6)/U333</f>
        <v>0.4303332178133038</v>
      </c>
      <c r="X333" s="19">
        <f>X332+(V333*(S332+AC332-(2*X332))+((V333/(2*X$18))*(AC332-S332)))</f>
        <v>1014.1033281988603</v>
      </c>
      <c r="Y333" s="15">
        <f t="shared" si="439"/>
        <v>5.5282066563977212E-6</v>
      </c>
      <c r="Z333" s="16">
        <f t="shared" si="440"/>
        <v>27.551188274286893</v>
      </c>
      <c r="AA333" s="17">
        <f t="shared" si="441"/>
        <v>1.3835407119057551E-2</v>
      </c>
      <c r="AB333" s="18">
        <f>($C$263*$D$6)/Z333</f>
        <v>0.43071031098839385</v>
      </c>
      <c r="AC333" s="19">
        <f>AC332+(AA333*(X332+AH332-(2*AC332))+((AA333/(2*AC$18))*(AH332-X332)))</f>
        <v>1011.4042008355153</v>
      </c>
      <c r="AD333" s="15">
        <f t="shared" si="537"/>
        <v>5.5228084016710307E-6</v>
      </c>
      <c r="AE333" s="16">
        <f t="shared" si="538"/>
        <v>27.520148309608423</v>
      </c>
      <c r="AF333" s="17">
        <f t="shared" si="539"/>
        <v>1.3821896941794242E-2</v>
      </c>
      <c r="AG333" s="18">
        <f>($C$263*$D$6)/AE333</f>
        <v>0.43119610898226096</v>
      </c>
      <c r="AH333" s="19">
        <f>AH332+(AF333*(AC332+AM332-(2*AH332))+((AF333/(2*AH$18))*(AM332-AC332)))</f>
        <v>1008.1052850066748</v>
      </c>
      <c r="AI333" s="15">
        <f t="shared" si="540"/>
        <v>5.5162105700133499E-6</v>
      </c>
      <c r="AJ333" s="16">
        <f t="shared" si="541"/>
        <v>27.482210777576761</v>
      </c>
      <c r="AK333" s="17">
        <f t="shared" si="542"/>
        <v>1.3805384591088E-2</v>
      </c>
      <c r="AL333" s="18">
        <f>($C$263*$D$6)/AJ333</f>
        <v>0.43179134916613254</v>
      </c>
      <c r="AM333" s="19">
        <f>AM332+(AK333*(AH332+AR332-(2*AM332))+((AK333/(2*AM$18))*(AR332-AH332)))</f>
        <v>1004.2065975371916</v>
      </c>
      <c r="AN333" s="15">
        <f t="shared" si="543"/>
        <v>5.5084131950743841E-6</v>
      </c>
      <c r="AO333" s="16">
        <f t="shared" si="544"/>
        <v>27.437375871677702</v>
      </c>
      <c r="AP333" s="17">
        <f t="shared" si="545"/>
        <v>1.3785870151153727E-2</v>
      </c>
      <c r="AQ333" s="18">
        <f>($C$263*$D$6)/AO333</f>
        <v>0.43249693138355866</v>
      </c>
      <c r="AR333" s="19">
        <f>AR332+(AP333*(AM332+AW332-(2*AR332))+((AP333/(2*AR$18))*(AW332-AM332)))</f>
        <v>999.70814534068063</v>
      </c>
      <c r="AS333" s="15">
        <f t="shared" si="546"/>
        <v>5.4994162906813616E-6</v>
      </c>
      <c r="AT333" s="16">
        <f t="shared" si="547"/>
        <v>27.385643671417824</v>
      </c>
      <c r="AU333" s="17">
        <f t="shared" si="548"/>
        <v>1.3763353656596736E-2</v>
      </c>
      <c r="AV333" s="18">
        <f>($C$263*$D$6)/AT333</f>
        <v>0.4333139294477476</v>
      </c>
      <c r="AW333" s="19">
        <f>AW332+(AU333*(AR332+BB332-(2*AW332))+((AU333/(2*AW$18))*(BB332-AR332)))</f>
        <v>994.60993011574567</v>
      </c>
      <c r="AX333" s="15">
        <f t="shared" si="549"/>
        <v>5.4892198602314919E-6</v>
      </c>
      <c r="AY333" s="16">
        <f t="shared" si="550"/>
        <v>27.327014196331074</v>
      </c>
      <c r="AZ333" s="17">
        <f t="shared" si="551"/>
        <v>1.37378351159192E-2</v>
      </c>
      <c r="BA333" s="18">
        <f>($C$263*$D$6)/AY333</f>
        <v>0.43424359443232208</v>
      </c>
      <c r="BB333" s="19">
        <f>BB332+(AZ333*(AW332+BG332-(2*BB332))+((AZ333/(2*BB$18))*(BG332-AW332)))</f>
        <v>988.91195160742598</v>
      </c>
      <c r="BC333" s="15">
        <f t="shared" si="552"/>
        <v>5.4778239032148527E-6</v>
      </c>
      <c r="BD333" s="16">
        <f t="shared" si="553"/>
        <v>27.2614874434854</v>
      </c>
      <c r="BE333" s="17">
        <f t="shared" si="554"/>
        <v>1.3709314527844943E-2</v>
      </c>
      <c r="BF333" s="18">
        <f>($C$263*$D$6)/BD333</f>
        <v>0.43528735892779108</v>
      </c>
      <c r="BG333" s="19">
        <f>BG332+(BE333*(BB332+BL332-(2*BG332))+((BE333/(2*BG$18))*(BL332-BB332)))</f>
        <v>982.61420135379672</v>
      </c>
      <c r="BH333" s="15">
        <f t="shared" si="555"/>
        <v>5.4652284027075936E-6</v>
      </c>
      <c r="BI333" s="16">
        <f t="shared" si="556"/>
        <v>27.18906331556866</v>
      </c>
      <c r="BJ333" s="17">
        <f t="shared" si="557"/>
        <v>1.3677791850018753E-2</v>
      </c>
      <c r="BK333" s="18">
        <f>($C$263*$D$6)/BI333</f>
        <v>0.43644684379115795</v>
      </c>
      <c r="BL333" s="19">
        <f>BL332+(BJ333*(BG332+BQ332-(2*BL332))+((BJ333/(2*BL$18))*(BQ332-BG332)))</f>
        <v>975.7165778996939</v>
      </c>
      <c r="BM333" s="15">
        <f t="shared" si="558"/>
        <v>5.4514331557993883E-6</v>
      </c>
      <c r="BN333" s="16">
        <f t="shared" si="559"/>
        <v>27.109740645846479</v>
      </c>
      <c r="BO333" s="17">
        <f t="shared" si="560"/>
        <v>1.3643266574618266E-2</v>
      </c>
      <c r="BP333" s="18">
        <f>($C$263*$D$6)/BN333</f>
        <v>0.43772388031074705</v>
      </c>
      <c r="BQ333" s="19">
        <f>BQ332+(BO333*(BL332+BV332-(2*BQ332))+((BO333/(2*BQ$18))*(BV332-BL332)))</f>
        <v>968.2180150544923</v>
      </c>
      <c r="BR333" s="15">
        <f t="shared" si="561"/>
        <v>5.436436030108985E-6</v>
      </c>
      <c r="BS333" s="16">
        <f t="shared" si="562"/>
        <v>27.02350717312666</v>
      </c>
      <c r="BT333" s="17">
        <f t="shared" si="563"/>
        <v>1.3605733364946684E-2</v>
      </c>
      <c r="BU333" s="18">
        <f>($C$263*$D$6)/BS333</f>
        <v>0.43912068088329176</v>
      </c>
      <c r="BV333" s="19">
        <f>BV332+(BT333*(BQ332+CA332-(2*BV332))+((BT333/(2*BV$18))*(CA332-BQ332)))</f>
        <v>960.10869920962023</v>
      </c>
      <c r="BW333" s="15">
        <f t="shared" si="564"/>
        <v>5.4202173984192415E-6</v>
      </c>
      <c r="BX333" s="16">
        <f t="shared" si="565"/>
        <v>26.930250040910632</v>
      </c>
      <c r="BY333" s="17">
        <f t="shared" si="566"/>
        <v>1.3565143100094344E-2</v>
      </c>
      <c r="BZ333" s="18">
        <f>($C$263*$D$6)/BX333</f>
        <v>0.44064131791167865</v>
      </c>
      <c r="CA333" s="19">
        <f>CA332+(BY333*(BV332+CF332-(2*CA332))+((BY333/(2*CA$18))*(CF332-BV332)))</f>
        <v>951.31080949937007</v>
      </c>
      <c r="CB333" s="15">
        <f t="shared" si="567"/>
        <v>5.40262161899874E-6</v>
      </c>
      <c r="CC333" s="16">
        <f t="shared" si="568"/>
        <v>26.829074309242756</v>
      </c>
      <c r="CD333" s="17">
        <f t="shared" si="569"/>
        <v>1.3521106256504562E-2</v>
      </c>
      <c r="CE333" s="18">
        <f>($C$263*$D$6)/CC333</f>
        <v>0.44230303039675878</v>
      </c>
      <c r="CF333" s="19">
        <f>CF332+(CD333*(CA332+CK332-(2*CF332))+((CD333/(2*CF$18))*(CK332-CA332)))</f>
        <v>941.30461582866656</v>
      </c>
      <c r="CG333" s="15">
        <f t="shared" si="570"/>
        <v>5.3826092316573332E-6</v>
      </c>
      <c r="CH333" s="16">
        <f t="shared" si="571"/>
        <v>26.714003082029663</v>
      </c>
      <c r="CI333" s="17">
        <f t="shared" si="572"/>
        <v>1.3471021383868298E-2</v>
      </c>
      <c r="CJ333" s="18">
        <f>($C$263*$D$6)/CH333</f>
        <v>0.44420826161019911</v>
      </c>
      <c r="CK333" s="19">
        <f>CK332+(CI333*(CF332+CP332-(2*CK332))+((CI333/(2*CK$18))*(CP332-CF332)))</f>
        <v>927.25949792194911</v>
      </c>
      <c r="CL333" s="15">
        <f t="shared" si="573"/>
        <v>5.3545189958438986E-6</v>
      </c>
      <c r="CM333" s="16">
        <f t="shared" si="574"/>
        <v>26.552484226102415</v>
      </c>
      <c r="CN333" s="17">
        <f t="shared" si="575"/>
        <v>1.3400720131996783E-2</v>
      </c>
      <c r="CO333" s="18">
        <f>($C$263*$D$6)/CM333</f>
        <v>0.44691038204449657</v>
      </c>
      <c r="CP333" s="19">
        <f>CP332+(CN333*(CK332+CU332-(2*CP332))+((CN333/(2*CP$18))*(CU332-CK332)))</f>
        <v>897.2105457639376</v>
      </c>
      <c r="CQ333" s="15">
        <f t="shared" si="576"/>
        <v>5.2944210915278761E-6</v>
      </c>
      <c r="CR333" s="16">
        <f t="shared" si="577"/>
        <v>26.206921276285282</v>
      </c>
      <c r="CS333" s="17">
        <f t="shared" si="578"/>
        <v>1.3250313494746332E-2</v>
      </c>
      <c r="CT333" s="18">
        <f>($C$263*$D$6)/CR333</f>
        <v>0.45280331652142602</v>
      </c>
      <c r="CU333" s="19">
        <f>CU332+(CS333*(CP332+CZ332-(2*CU332))+((CS333/(2*CU$18))*(CZ332-CP332)))</f>
        <v>815.15348577578368</v>
      </c>
      <c r="CV333" s="15">
        <f t="shared" si="579"/>
        <v>5.1303069715515682E-6</v>
      </c>
      <c r="CW333" s="16">
        <f t="shared" si="580"/>
        <v>25.263265086421512</v>
      </c>
      <c r="CX333" s="17">
        <f t="shared" si="581"/>
        <v>1.2839586145899784E-2</v>
      </c>
      <c r="CY333" s="18">
        <f>($C$263*$D$6)/CW333</f>
        <v>0.46971683308251166</v>
      </c>
      <c r="CZ333" s="20">
        <f t="shared" ref="CZ333:CZ396" si="585">CZ332+((2*$CX333)*(CU332-CZ332))+((2*$CX333*$CY333)*($C$14-CZ332))+((($CX333*$CY333)/$C$5)*($C$14-CZ332))+(((CZ332-$C$14)*$CX333*($D$6^2))/($CW333*($D$4/(2*$C$263))))</f>
        <v>617.65501421358817</v>
      </c>
      <c r="DA333" s="15">
        <f t="shared" si="582"/>
        <v>5.3426393958003862E-6</v>
      </c>
      <c r="DB333" s="16">
        <f t="shared" si="583"/>
        <v>35.583004587805938</v>
      </c>
      <c r="DC333" s="17">
        <f t="shared" si="584"/>
        <v>1.3370989133640678E-2</v>
      </c>
      <c r="DD333" s="18">
        <f>($C$263*$D$6)/DB333</f>
        <v>0.33349013123485638</v>
      </c>
    </row>
    <row r="334" spans="2:108" x14ac:dyDescent="0.25">
      <c r="B334">
        <v>67</v>
      </c>
      <c r="C334">
        <f t="shared" si="490"/>
        <v>6.5500182645131855E-2</v>
      </c>
      <c r="D334" s="19">
        <f t="shared" si="534"/>
        <v>1018.9142189469582</v>
      </c>
      <c r="E334" s="15">
        <f t="shared" ref="E334:E397" si="586">IF($D334&gt;=650,((0.00002*$D334)+0.035)/10000,IF($D334&lt;650,((-0.0000000000003*($D334^4))+(0.0000000004*($D334^3))-(0.0000002*($D334^2))-(0.0001*$D334)+0.1409)/10000))</f>
        <v>5.5378284378939174E-6</v>
      </c>
      <c r="F334" s="16">
        <f t="shared" si="535"/>
        <v>27.606513517890019</v>
      </c>
      <c r="G334" s="17">
        <f t="shared" si="532"/>
        <v>1.3859487489507601E-2</v>
      </c>
      <c r="H334" s="18">
        <f t="shared" ref="H334:H397" si="587">($C$263*$D$6)/F334</f>
        <v>0.42984713959000748</v>
      </c>
      <c r="I334" s="19">
        <f t="shared" ref="I334:I397" si="588">I333+(G334*(D333+N333-(2*I333))+((G334/(2*$I$18))*(N333-D333)))</f>
        <v>1018.5908122486321</v>
      </c>
      <c r="J334" s="15">
        <f t="shared" ref="J334:J397" si="589">IF($I334&gt;=650,((0.00002*$I334)+0.035)/10000,IF($I334&lt;650,((-0.0000000000003*($I334^4))+(0.0000000004*($I334^3))-(0.0000002*($I334^2))-(0.0001*$I334)+0.1409)/10000))</f>
        <v>5.5371816244972646E-6</v>
      </c>
      <c r="K334" s="16">
        <f t="shared" si="536"/>
        <v>27.602794340859269</v>
      </c>
      <c r="L334" s="17">
        <f t="shared" ref="L334:L397" si="590">($J334*$M$8)/($D$6^2)</f>
        <v>1.3857868713794434E-2</v>
      </c>
      <c r="M334" s="18">
        <f t="shared" ref="M334:M397" si="591">($C$263*$D$6)/K334</f>
        <v>0.42990505682797092</v>
      </c>
      <c r="N334" s="19">
        <f t="shared" ref="N334:N397" si="592">N333+(L334*(I333+S333-(2*N333))+((L334/(2*N$18))*(S333-I333)))</f>
        <v>1017.686724422049</v>
      </c>
      <c r="O334" s="15">
        <f t="shared" ref="O334:O397" si="593">IF($N334&gt;=650,((0.00002*$N334)+0.035)/10000,IF($N334&lt;650,((-0.0000000000003*($N334^4))+(0.0000000004*($N334^3))-(0.0000002*($N334^2))-(0.0001*$N334)+0.1409)/10000))</f>
        <v>5.5353734488440986E-6</v>
      </c>
      <c r="P334" s="16">
        <f t="shared" ref="P334:P397" si="594">IF($N334&lt;650,(53.495-(0.029*$N334)),IF($N334&lt;700,((0.00000000000000006*($N334^2))-(0.2008*$N334) + 164.43),IF($N334&lt;1250,((0.0115*$N334)+ 15.889))))</f>
        <v>27.592397330853565</v>
      </c>
      <c r="Q334" s="17">
        <f t="shared" si="533"/>
        <v>1.3859487489507601E-2</v>
      </c>
      <c r="R334" s="18">
        <f t="shared" ref="R334:R397" si="595">($C$263*$D$6)/P334</f>
        <v>0.43006704808678575</v>
      </c>
      <c r="S334" s="19">
        <f t="shared" ref="S334:S397" si="596">S333+(Q334*(N333+X333-(2*S333))+((Q334/(2*S$18))*(X333-N333)))</f>
        <v>1016.1860715665728</v>
      </c>
      <c r="T334" s="15">
        <f t="shared" ref="T334:T397" si="597">IF($S334&gt;=650,((0.00002*$S334)+0.035)/10000,IF($S334&lt;650,((-0.0000000000003*($S334^4))+(0.0000000004*($S334^3))-(0.0000002*($S334^2))-(0.0001*$S334)+0.1409)/10000))</f>
        <v>5.532372143133146E-6</v>
      </c>
      <c r="U334" s="16">
        <f t="shared" ref="U334:U397" si="598">IF($S334&lt;650,(53.495-(0.029*$S334)),IF($S334&lt;700,((0.00000000000000006*($S334^2))-(0.2008*$S334) + 164.43),IF($S334&lt;1250,((0.0115*$S334)+ 15.889))))</f>
        <v>27.575139823015586</v>
      </c>
      <c r="V334" s="17">
        <f t="shared" ref="V334:V397" si="599">($T334*$M$8)/($D$6^2)</f>
        <v>1.3845832055825598E-2</v>
      </c>
      <c r="W334" s="18">
        <f t="shared" ref="W334:W397" si="600">($C$263*$D$6)/U334</f>
        <v>0.4303361994129748</v>
      </c>
      <c r="X334" s="19">
        <f t="shared" ref="X334:X397" si="601">X333+(V334*(S333+AC333-(2*X333))+((V334/(2*X$18))*(AC333-S333)))</f>
        <v>1014.0867190029442</v>
      </c>
      <c r="Y334" s="15">
        <f t="shared" ref="Y334:Y397" si="602">IF($X334&gt;=650,((0.00002*$X334)+0.035)/10000,IF($X334&lt;650,((-0.0000000000003*($X334^4))+(0.0000000004*($X334^3))-(0.0000002*($X334^2))-(0.0001*$X334)+0.1409)/10000))</f>
        <v>5.5281734380058889E-6</v>
      </c>
      <c r="Z334" s="16">
        <f t="shared" ref="Z334:Z397" si="603">IF($X334&lt;650,(53.495-(0.029*$X334)),IF($X334&lt;700,((0.00000000000000006*($X334^2))-(0.2008*$X334) + 164.43),IF($X334&lt;1250,((0.0115*$X334)+ 15.889))))</f>
        <v>27.550997268533855</v>
      </c>
      <c r="AA334" s="17">
        <f t="shared" ref="AA334:AA397" si="604">($Y334*$M$8)/($D$6^2)</f>
        <v>1.383532398360271E-2</v>
      </c>
      <c r="AB334" s="18">
        <f t="shared" ref="AB334:AB397" si="605">($C$263*$D$6)/Z334</f>
        <v>0.43071329701995165</v>
      </c>
      <c r="AC334" s="19">
        <f t="shared" ref="AC334:AC397" si="606">AC333+(AA334*(X333+AH333-(2*AC333))+((AA334/(2*AC$18))*(AH333-X333)))</f>
        <v>1011.3876040806904</v>
      </c>
      <c r="AD334" s="15">
        <f t="shared" si="537"/>
        <v>5.5227752081613807E-6</v>
      </c>
      <c r="AE334" s="16">
        <f t="shared" si="538"/>
        <v>27.51995744692794</v>
      </c>
      <c r="AF334" s="17">
        <f t="shared" si="539"/>
        <v>1.3821813868611877E-2</v>
      </c>
      <c r="AG334" s="18">
        <f t="shared" ref="AG334:AG397" si="607">($C$263*$D$6)/AE334</f>
        <v>0.43119909951178242</v>
      </c>
      <c r="AH334" s="19">
        <f t="shared" ref="AH334:AH397" si="608">AH333+(AF334*(AC333+AM333-(2*AH333))+((AF334/(2*AH$18))*(AM333-AC333)))</f>
        <v>1008.0887047469366</v>
      </c>
      <c r="AI334" s="15">
        <f t="shared" si="540"/>
        <v>5.5161774094938731E-6</v>
      </c>
      <c r="AJ334" s="16">
        <f t="shared" si="541"/>
        <v>27.482020104589772</v>
      </c>
      <c r="AK334" s="17">
        <f t="shared" si="542"/>
        <v>1.380530160046993E-2</v>
      </c>
      <c r="AL334" s="18">
        <f t="shared" ref="AL334:AL397" si="609">($C$263*$D$6)/AJ334</f>
        <v>0.43179434497742986</v>
      </c>
      <c r="AM334" s="19">
        <f t="shared" ref="AM334:AM397" si="610">AM333+(AK334*(AH333+AR333-(2*AM333))+((AK334/(2*AM$18))*(AR333-AH333)))</f>
        <v>1004.1900372438406</v>
      </c>
      <c r="AN334" s="15">
        <f t="shared" si="543"/>
        <v>5.5083800744876818E-6</v>
      </c>
      <c r="AO334" s="16">
        <f t="shared" si="544"/>
        <v>27.437185428304169</v>
      </c>
      <c r="AP334" s="17">
        <f t="shared" si="545"/>
        <v>1.3785787260475153E-2</v>
      </c>
      <c r="AQ334" s="18">
        <f t="shared" ref="AQ334:AQ397" si="611">($C$263*$D$6)/AO334</f>
        <v>0.43249993337422821</v>
      </c>
      <c r="AR334" s="19">
        <f t="shared" ref="AR334:AR397" si="612">AR333+(AP334*(AM333+AW333-(2*AR333))+((AP334/(2*AR$18))*(AW333-AM333)))</f>
        <v>999.69160853419646</v>
      </c>
      <c r="AS334" s="15">
        <f t="shared" si="546"/>
        <v>5.4993832170683935E-6</v>
      </c>
      <c r="AT334" s="16">
        <f t="shared" si="547"/>
        <v>27.385453498143256</v>
      </c>
      <c r="AU334" s="17">
        <f t="shared" si="548"/>
        <v>1.3763270883479022E-2</v>
      </c>
      <c r="AV334" s="18">
        <f t="shared" ref="AV334:AV397" si="613">($C$263*$D$6)/AT334</f>
        <v>0.43331693851710207</v>
      </c>
      <c r="AW334" s="19">
        <f t="shared" ref="AW334:AW397" si="614">AW333+(AU334*(AR333+BB333-(2*AW333))+((AU334/(2*AW$18))*(BB333-AR333)))</f>
        <v>994.59342035905149</v>
      </c>
      <c r="AX334" s="15">
        <f t="shared" si="549"/>
        <v>5.4891868407181031E-6</v>
      </c>
      <c r="AY334" s="16">
        <f t="shared" si="550"/>
        <v>27.326824334129093</v>
      </c>
      <c r="AZ334" s="17">
        <f t="shared" si="551"/>
        <v>1.3737752478196155E-2</v>
      </c>
      <c r="BA334" s="18">
        <f t="shared" ref="BA334:BA397" si="615">($C$263*$D$6)/AY334</f>
        <v>0.43424661148414001</v>
      </c>
      <c r="BB334" s="19">
        <f t="shared" ref="BB334:BB397" si="616">BB333+(AZ334*(AW333+BG333-(2*BB333))+((AZ334/(2*BB$18))*(BG333-AW333)))</f>
        <v>988.89547237401916</v>
      </c>
      <c r="BC334" s="15">
        <f t="shared" si="552"/>
        <v>5.4777909447480382E-6</v>
      </c>
      <c r="BD334" s="16">
        <f t="shared" si="553"/>
        <v>27.261297932301218</v>
      </c>
      <c r="BE334" s="17">
        <f t="shared" si="554"/>
        <v>1.3709232042902766E-2</v>
      </c>
      <c r="BF334" s="18">
        <f t="shared" ref="BF334:BF397" si="617">($C$263*$D$6)/BD334</f>
        <v>0.43529038489607236</v>
      </c>
      <c r="BG334" s="19">
        <f t="shared" ref="BG334:BG397" si="618">BG333+(BE334*(BB333+BL333-(2*BG333))+((BE334/(2*BG$18))*(BL333-BB333)))</f>
        <v>982.59775489652907</v>
      </c>
      <c r="BH334" s="15">
        <f t="shared" si="555"/>
        <v>5.4651955097930586E-6</v>
      </c>
      <c r="BI334" s="16">
        <f t="shared" si="556"/>
        <v>27.188874181310084</v>
      </c>
      <c r="BJ334" s="17">
        <f t="shared" si="557"/>
        <v>1.3677709529133842E-2</v>
      </c>
      <c r="BK334" s="18">
        <f t="shared" ref="BK334:BK397" si="619">($C$263*$D$6)/BI334</f>
        <v>0.43644987985104255</v>
      </c>
      <c r="BL334" s="19">
        <f t="shared" ref="BL334:BL397" si="620">BL333+(BJ334*(BG333+BQ333-(2*BL333))+((BJ334/(2*BL$18))*(BQ333-BG333)))</f>
        <v>975.70015397298585</v>
      </c>
      <c r="BM334" s="15">
        <f t="shared" si="558"/>
        <v>5.4514003079459719E-6</v>
      </c>
      <c r="BN334" s="16">
        <f t="shared" si="559"/>
        <v>27.109551770689336</v>
      </c>
      <c r="BO334" s="17">
        <f t="shared" si="560"/>
        <v>1.3643184366507525E-2</v>
      </c>
      <c r="BP334" s="18">
        <f t="shared" ref="BP334:BP397" si="621">($C$263*$D$6)/BN334</f>
        <v>0.43772692998000673</v>
      </c>
      <c r="BQ334" s="19">
        <f t="shared" ref="BQ334:BQ397" si="622">BQ333+(BO334*(BL333+BV333-(2*BQ333))+((BO334/(2*BQ$18))*(BV333-BL333)))</f>
        <v>968.20149239384853</v>
      </c>
      <c r="BR334" s="15">
        <f t="shared" si="561"/>
        <v>5.4364029847876974E-6</v>
      </c>
      <c r="BS334" s="16">
        <f t="shared" si="562"/>
        <v>27.02331716252926</v>
      </c>
      <c r="BT334" s="17">
        <f t="shared" si="563"/>
        <v>1.3605650662634378E-2</v>
      </c>
      <c r="BU334" s="18">
        <f t="shared" ref="BU334:BU397" si="623">($C$263*$D$6)/BS334</f>
        <v>0.43912376849768064</v>
      </c>
      <c r="BV334" s="19">
        <f t="shared" ref="BV334:BV397" si="624">BV333+(BT334*(BQ333+CA333-(2*BV333))+((BT334/(2*BV$18))*(CA333-BQ333)))</f>
        <v>960.09111523085016</v>
      </c>
      <c r="BW334" s="15">
        <f t="shared" si="564"/>
        <v>5.4201822304617011E-6</v>
      </c>
      <c r="BX334" s="16">
        <f t="shared" si="565"/>
        <v>26.930047825154777</v>
      </c>
      <c r="BY334" s="17">
        <f t="shared" si="566"/>
        <v>1.3565055085473987E-2</v>
      </c>
      <c r="BZ334" s="18">
        <f t="shared" ref="BZ334:BZ397" si="625">($C$263*$D$6)/BX334</f>
        <v>0.44064462665504744</v>
      </c>
      <c r="CA334" s="19">
        <f t="shared" ref="CA334:CA397" si="626">CA333+(BY334*(BV333+CF333-(2*CA333))+((BY334/(2*CA$18))*(CF333-BV333)))</f>
        <v>951.28591617535676</v>
      </c>
      <c r="CB334" s="15">
        <f t="shared" si="567"/>
        <v>5.402571832350714E-6</v>
      </c>
      <c r="CC334" s="16">
        <f t="shared" si="568"/>
        <v>26.828788036016604</v>
      </c>
      <c r="CD334" s="17">
        <f t="shared" si="569"/>
        <v>1.352098165578188E-2</v>
      </c>
      <c r="CE334" s="18">
        <f t="shared" ref="CE334:CE397" si="627">($C$263*$D$6)/CC334</f>
        <v>0.44230774993590749</v>
      </c>
      <c r="CF334" s="19">
        <f t="shared" ref="CF334:CF397" si="628">CF333+(CD334*(CA333+CK333-(2*CF333))+((CD334/(2*CF$18))*(CK333-CA333)))</f>
        <v>941.23984319120495</v>
      </c>
      <c r="CG334" s="15">
        <f t="shared" si="570"/>
        <v>5.3824796863824107E-6</v>
      </c>
      <c r="CH334" s="16">
        <f t="shared" si="571"/>
        <v>26.713258196698856</v>
      </c>
      <c r="CI334" s="17">
        <f t="shared" si="572"/>
        <v>1.3470697171744855E-2</v>
      </c>
      <c r="CJ334" s="18">
        <f t="shared" ref="CJ334:CJ397" si="629">($C$263*$D$6)/CH334</f>
        <v>0.44422064812686662</v>
      </c>
      <c r="CK334" s="19">
        <f t="shared" ref="CK334:CK397" si="630">CK333+(CI334*(CF333+CP333-(2*CK333))+((CI334/(2*CK$18))*(CP333-CF333)))</f>
        <v>927.02644517995986</v>
      </c>
      <c r="CL334" s="15">
        <f t="shared" si="573"/>
        <v>5.3540528903599197E-6</v>
      </c>
      <c r="CM334" s="16">
        <f t="shared" si="574"/>
        <v>26.549804119569536</v>
      </c>
      <c r="CN334" s="17">
        <f t="shared" si="575"/>
        <v>1.3399553612810347E-2</v>
      </c>
      <c r="CO334" s="18">
        <f t="shared" ref="CO334:CO397" si="631">($C$263*$D$6)/CM334</f>
        <v>0.44695549602835627</v>
      </c>
      <c r="CP334" s="19">
        <f t="shared" ref="CP334:CP397" si="632">CP333+(CN334*(CK333+CU333-(2*CP333))+((CN334/(2*CP$18))*(CU333-CK333)))</f>
        <v>896.47193337587589</v>
      </c>
      <c r="CQ334" s="15">
        <f t="shared" si="576"/>
        <v>5.2929438667517522E-6</v>
      </c>
      <c r="CR334" s="16">
        <f t="shared" si="577"/>
        <v>26.198427233822571</v>
      </c>
      <c r="CS334" s="17">
        <f t="shared" si="578"/>
        <v>1.3246616453833366E-2</v>
      </c>
      <c r="CT334" s="18">
        <f t="shared" ref="CT334:CT397" si="633">($C$263*$D$6)/CR334</f>
        <v>0.45295012421195885</v>
      </c>
      <c r="CU334" s="19">
        <f t="shared" ref="CU334:CU397" si="634">CU333+(CS334*(CP333+CZ333-(2*CU333))+((CS334/(2*CU$18))*(CZ333-CP333)))</f>
        <v>813.52682596577336</v>
      </c>
      <c r="CV334" s="15">
        <f t="shared" si="579"/>
        <v>5.1270536519315475E-6</v>
      </c>
      <c r="CW334" s="16">
        <f t="shared" si="580"/>
        <v>25.244558498606395</v>
      </c>
      <c r="CX334" s="17">
        <f t="shared" si="581"/>
        <v>1.2831444083884192E-2</v>
      </c>
      <c r="CY334" s="18">
        <f t="shared" ref="CY334:CY397" si="635">($C$263*$D$6)/CW334</f>
        <v>0.47006490013968688</v>
      </c>
      <c r="CZ334" s="20">
        <f t="shared" si="585"/>
        <v>615.75279906490312</v>
      </c>
      <c r="DA334" s="15">
        <f t="shared" si="582"/>
        <v>5.3753099334200135E-6</v>
      </c>
      <c r="DB334" s="16">
        <f t="shared" si="583"/>
        <v>35.638168827117809</v>
      </c>
      <c r="DC334" s="17">
        <f t="shared" si="584"/>
        <v>1.3452753477280569E-2</v>
      </c>
      <c r="DD334" s="18">
        <f t="shared" ref="DD334:DD397" si="636">($C$263*$D$6)/DB334</f>
        <v>0.33297392263006442</v>
      </c>
    </row>
    <row r="335" spans="2:108" x14ac:dyDescent="0.25">
      <c r="B335">
        <v>68</v>
      </c>
      <c r="C335">
        <f t="shared" ref="C335:C398" si="637">$B335*$M$8</f>
        <v>6.6477797311477099E-2</v>
      </c>
      <c r="D335" s="19">
        <f t="shared" si="534"/>
        <v>1018.8977074346839</v>
      </c>
      <c r="E335" s="15">
        <f t="shared" si="586"/>
        <v>5.5377954148693686E-6</v>
      </c>
      <c r="F335" s="16">
        <f t="shared" si="535"/>
        <v>27.606323635498864</v>
      </c>
      <c r="G335" s="17">
        <f t="shared" si="532"/>
        <v>1.3859404842997199E-2</v>
      </c>
      <c r="H335" s="18">
        <f t="shared" si="587"/>
        <v>0.42985009617357051</v>
      </c>
      <c r="I335" s="19">
        <f t="shared" si="588"/>
        <v>1018.5742581820093</v>
      </c>
      <c r="J335" s="15">
        <f t="shared" si="589"/>
        <v>5.5371485163640193E-6</v>
      </c>
      <c r="K335" s="16">
        <f t="shared" si="536"/>
        <v>27.602603969093106</v>
      </c>
      <c r="L335" s="17">
        <f t="shared" si="590"/>
        <v>1.3857785854283045E-2</v>
      </c>
      <c r="M335" s="18">
        <f t="shared" si="591"/>
        <v>0.42990802183029614</v>
      </c>
      <c r="N335" s="19">
        <f t="shared" si="592"/>
        <v>1017.6701262562786</v>
      </c>
      <c r="O335" s="15">
        <f t="shared" si="593"/>
        <v>5.5353402525125575E-6</v>
      </c>
      <c r="P335" s="16">
        <f t="shared" si="594"/>
        <v>27.592206451947206</v>
      </c>
      <c r="Q335" s="17">
        <f t="shared" si="533"/>
        <v>1.3859404842997199E-2</v>
      </c>
      <c r="R335" s="18">
        <f t="shared" si="595"/>
        <v>0.43007002322862309</v>
      </c>
      <c r="S335" s="19">
        <f t="shared" si="596"/>
        <v>1016.1694582895148</v>
      </c>
      <c r="T335" s="15">
        <f t="shared" si="597"/>
        <v>5.5323389165790297E-6</v>
      </c>
      <c r="U335" s="16">
        <f t="shared" si="598"/>
        <v>27.574948770329421</v>
      </c>
      <c r="V335" s="17">
        <f t="shared" si="599"/>
        <v>1.3845748899943059E-2</v>
      </c>
      <c r="W335" s="18">
        <f t="shared" si="600"/>
        <v>0.4303391809919267</v>
      </c>
      <c r="X335" s="19">
        <f t="shared" si="601"/>
        <v>1014.0701100469378</v>
      </c>
      <c r="Y335" s="15">
        <f t="shared" si="602"/>
        <v>5.5281402200938761E-6</v>
      </c>
      <c r="Z335" s="16">
        <f t="shared" si="603"/>
        <v>27.550806265539784</v>
      </c>
      <c r="AA335" s="17">
        <f t="shared" si="604"/>
        <v>1.383524084934871E-2</v>
      </c>
      <c r="AB335" s="18">
        <f t="shared" si="605"/>
        <v>0.43071628304978049</v>
      </c>
      <c r="AC335" s="19">
        <f t="shared" si="606"/>
        <v>1011.3710075217147</v>
      </c>
      <c r="AD335" s="15">
        <f t="shared" si="537"/>
        <v>5.52274201504343E-6</v>
      </c>
      <c r="AE335" s="16">
        <f t="shared" si="538"/>
        <v>27.519766586499717</v>
      </c>
      <c r="AF335" s="17">
        <f t="shared" si="539"/>
        <v>1.3821730796409817E-2</v>
      </c>
      <c r="AG335" s="18">
        <f t="shared" si="607"/>
        <v>0.4312020900474951</v>
      </c>
      <c r="AH335" s="19">
        <f t="shared" si="608"/>
        <v>1008.0721246768258</v>
      </c>
      <c r="AI335" s="15">
        <f t="shared" si="540"/>
        <v>5.5161442493536518E-6</v>
      </c>
      <c r="AJ335" s="16">
        <f t="shared" si="541"/>
        <v>27.481829433783496</v>
      </c>
      <c r="AK335" s="17">
        <f t="shared" si="542"/>
        <v>1.3805218610801018E-2</v>
      </c>
      <c r="AL335" s="18">
        <f t="shared" si="609"/>
        <v>0.43179734079603432</v>
      </c>
      <c r="AM335" s="19">
        <f t="shared" si="610"/>
        <v>1004.1734771414905</v>
      </c>
      <c r="AN335" s="15">
        <f t="shared" si="543"/>
        <v>5.508346954282982E-6</v>
      </c>
      <c r="AO335" s="16">
        <f t="shared" si="544"/>
        <v>27.436994987127139</v>
      </c>
      <c r="AP335" s="17">
        <f t="shared" si="545"/>
        <v>1.3785704370752612E-2</v>
      </c>
      <c r="AQ335" s="18">
        <f t="shared" si="611"/>
        <v>0.43250293537194756</v>
      </c>
      <c r="AR335" s="19">
        <f t="shared" si="612"/>
        <v>999.67507191980314</v>
      </c>
      <c r="AS335" s="15">
        <f t="shared" si="546"/>
        <v>5.4993501438396073E-6</v>
      </c>
      <c r="AT335" s="16">
        <f t="shared" si="547"/>
        <v>27.385263327077737</v>
      </c>
      <c r="AU335" s="17">
        <f t="shared" si="548"/>
        <v>1.3763188111322797E-2</v>
      </c>
      <c r="AV335" s="18">
        <f t="shared" si="613"/>
        <v>0.43331994759329462</v>
      </c>
      <c r="AW335" s="19">
        <f t="shared" si="614"/>
        <v>994.57691079347489</v>
      </c>
      <c r="AX335" s="15">
        <f t="shared" si="549"/>
        <v>5.4891538215869506E-6</v>
      </c>
      <c r="AY335" s="16">
        <f t="shared" si="550"/>
        <v>27.326634474124958</v>
      </c>
      <c r="AZ335" s="17">
        <f t="shared" si="551"/>
        <v>1.3737669841429731E-2</v>
      </c>
      <c r="BA335" s="18">
        <f t="shared" si="615"/>
        <v>0.43424962854295601</v>
      </c>
      <c r="BB335" s="19">
        <f t="shared" si="616"/>
        <v>988.87899331416816</v>
      </c>
      <c r="BC335" s="15">
        <f t="shared" si="552"/>
        <v>5.4777579866283368E-6</v>
      </c>
      <c r="BD335" s="16">
        <f t="shared" si="553"/>
        <v>27.261108423112933</v>
      </c>
      <c r="BE335" s="17">
        <f t="shared" si="554"/>
        <v>1.3709149558829306E-2</v>
      </c>
      <c r="BF335" s="18">
        <f t="shared" si="617"/>
        <v>0.43529341087455531</v>
      </c>
      <c r="BG335" s="19">
        <f t="shared" si="618"/>
        <v>982.58130843222034</v>
      </c>
      <c r="BH335" s="15">
        <f t="shared" si="555"/>
        <v>5.4651626168644409E-6</v>
      </c>
      <c r="BI335" s="16">
        <f t="shared" si="556"/>
        <v>27.188685046970534</v>
      </c>
      <c r="BJ335" s="17">
        <f t="shared" si="557"/>
        <v>1.3677627208213687E-2</v>
      </c>
      <c r="BK335" s="18">
        <f t="shared" si="619"/>
        <v>0.43645291595446678</v>
      </c>
      <c r="BL335" s="19">
        <f t="shared" si="620"/>
        <v>975.68372844308817</v>
      </c>
      <c r="BM335" s="15">
        <f t="shared" si="558"/>
        <v>5.4513674568861766E-6</v>
      </c>
      <c r="BN335" s="16">
        <f t="shared" si="559"/>
        <v>27.109362877095514</v>
      </c>
      <c r="BO335" s="17">
        <f t="shared" si="560"/>
        <v>1.3643102150372202E-2</v>
      </c>
      <c r="BP335" s="18">
        <f t="shared" si="621"/>
        <v>0.43772997998945518</v>
      </c>
      <c r="BQ335" s="19">
        <f t="shared" si="622"/>
        <v>968.18495609141905</v>
      </c>
      <c r="BR335" s="15">
        <f t="shared" si="561"/>
        <v>5.4363699121828383E-6</v>
      </c>
      <c r="BS335" s="16">
        <f t="shared" si="562"/>
        <v>27.023126995051321</v>
      </c>
      <c r="BT335" s="17">
        <f t="shared" si="563"/>
        <v>1.3605567892039653E-2</v>
      </c>
      <c r="BU335" s="18">
        <f t="shared" si="623"/>
        <v>0.43912685870480483</v>
      </c>
      <c r="BV335" s="19">
        <f t="shared" si="624"/>
        <v>960.07344228368061</v>
      </c>
      <c r="BW335" s="15">
        <f t="shared" si="564"/>
        <v>5.4201468845673615E-6</v>
      </c>
      <c r="BX335" s="16">
        <f t="shared" si="565"/>
        <v>26.929844586262327</v>
      </c>
      <c r="BY335" s="17">
        <f t="shared" si="566"/>
        <v>1.3564966625532353E-2</v>
      </c>
      <c r="BZ335" s="18">
        <f t="shared" si="625"/>
        <v>0.44064795218949671</v>
      </c>
      <c r="CA335" s="19">
        <f t="shared" si="626"/>
        <v>951.26055986605911</v>
      </c>
      <c r="CB335" s="15">
        <f t="shared" si="567"/>
        <v>5.402521119732119E-6</v>
      </c>
      <c r="CC335" s="16">
        <f t="shared" si="568"/>
        <v>26.82849643845968</v>
      </c>
      <c r="CD335" s="17">
        <f t="shared" si="569"/>
        <v>1.352085473763863E-2</v>
      </c>
      <c r="CE335" s="18">
        <f t="shared" si="627"/>
        <v>0.44231255735624075</v>
      </c>
      <c r="CF335" s="19">
        <f t="shared" si="628"/>
        <v>941.17324712038965</v>
      </c>
      <c r="CG335" s="15">
        <f t="shared" si="570"/>
        <v>5.3823464942407797E-6</v>
      </c>
      <c r="CH335" s="16">
        <f t="shared" si="571"/>
        <v>26.712492341884481</v>
      </c>
      <c r="CI335" s="17">
        <f t="shared" si="572"/>
        <v>1.3470363832631636E-2</v>
      </c>
      <c r="CJ335" s="18">
        <f t="shared" si="629"/>
        <v>0.44423338406021418</v>
      </c>
      <c r="CK335" s="19">
        <f t="shared" si="630"/>
        <v>926.78858796017403</v>
      </c>
      <c r="CL335" s="15">
        <f t="shared" si="573"/>
        <v>5.3535771759203485E-6</v>
      </c>
      <c r="CM335" s="16">
        <f t="shared" si="574"/>
        <v>26.547068761542</v>
      </c>
      <c r="CN335" s="17">
        <f t="shared" si="575"/>
        <v>1.3398363045352767E-2</v>
      </c>
      <c r="CO335" s="18">
        <f t="shared" si="631"/>
        <v>0.44700154944822701</v>
      </c>
      <c r="CP335" s="19">
        <f t="shared" si="632"/>
        <v>895.72774323623582</v>
      </c>
      <c r="CQ335" s="15">
        <f t="shared" si="576"/>
        <v>5.2914554864724722E-6</v>
      </c>
      <c r="CR335" s="16">
        <f t="shared" si="577"/>
        <v>26.18986904721671</v>
      </c>
      <c r="CS335" s="17">
        <f t="shared" si="578"/>
        <v>1.3242891494114652E-2</v>
      </c>
      <c r="CT335" s="18">
        <f t="shared" si="633"/>
        <v>0.45309813685299821</v>
      </c>
      <c r="CU335" s="19">
        <f t="shared" si="634"/>
        <v>811.90832922783375</v>
      </c>
      <c r="CV335" s="15">
        <f t="shared" si="579"/>
        <v>5.1238166584556682E-6</v>
      </c>
      <c r="CW335" s="16">
        <f t="shared" si="580"/>
        <v>25.225945786120086</v>
      </c>
      <c r="CX335" s="17">
        <f t="shared" si="581"/>
        <v>1.282334288120417E-2</v>
      </c>
      <c r="CY335" s="18">
        <f t="shared" si="635"/>
        <v>0.47041173283767118</v>
      </c>
      <c r="CZ335" s="20">
        <f t="shared" si="585"/>
        <v>613.876087579878</v>
      </c>
      <c r="DA335" s="15">
        <f t="shared" si="582"/>
        <v>5.4074406200851163E-6</v>
      </c>
      <c r="DB335" s="16">
        <f t="shared" si="583"/>
        <v>35.692593460183531</v>
      </c>
      <c r="DC335" s="17">
        <f t="shared" si="584"/>
        <v>1.3533166739420852E-2</v>
      </c>
      <c r="DD335" s="18">
        <f t="shared" si="636"/>
        <v>0.33246619870745814</v>
      </c>
    </row>
    <row r="336" spans="2:108" x14ac:dyDescent="0.25">
      <c r="B336">
        <v>69</v>
      </c>
      <c r="C336">
        <f t="shared" si="637"/>
        <v>6.7455411977822344E-2</v>
      </c>
      <c r="D336" s="19">
        <f t="shared" si="534"/>
        <v>1018.8811937497995</v>
      </c>
      <c r="E336" s="15">
        <f t="shared" si="586"/>
        <v>5.5377623874995993E-6</v>
      </c>
      <c r="F336" s="16">
        <f t="shared" si="535"/>
        <v>27.606133728122693</v>
      </c>
      <c r="G336" s="17">
        <f t="shared" si="532"/>
        <v>1.385932218561204E-2</v>
      </c>
      <c r="H336" s="18">
        <f t="shared" si="587"/>
        <v>0.42985305318684569</v>
      </c>
      <c r="I336" s="19">
        <f t="shared" si="588"/>
        <v>1018.5577035922256</v>
      </c>
      <c r="J336" s="15">
        <f t="shared" si="589"/>
        <v>5.537115407184452E-6</v>
      </c>
      <c r="K336" s="16">
        <f t="shared" si="536"/>
        <v>27.602413591310594</v>
      </c>
      <c r="L336" s="17">
        <f t="shared" si="590"/>
        <v>1.3857702992153035E-2</v>
      </c>
      <c r="M336" s="18">
        <f t="shared" si="591"/>
        <v>0.42991098696722557</v>
      </c>
      <c r="N336" s="19">
        <f t="shared" si="592"/>
        <v>1017.6535283863315</v>
      </c>
      <c r="O336" s="15">
        <f t="shared" si="593"/>
        <v>5.535307056772663E-6</v>
      </c>
      <c r="P336" s="16">
        <f t="shared" si="594"/>
        <v>27.592015576442812</v>
      </c>
      <c r="Q336" s="17">
        <f t="shared" si="533"/>
        <v>1.385932218561204E-2</v>
      </c>
      <c r="R336" s="18">
        <f t="shared" si="595"/>
        <v>0.43007299835859797</v>
      </c>
      <c r="S336" s="19">
        <f t="shared" si="596"/>
        <v>1016.152845355933</v>
      </c>
      <c r="T336" s="15">
        <f t="shared" si="597"/>
        <v>5.5323056907118664E-6</v>
      </c>
      <c r="U336" s="16">
        <f t="shared" si="598"/>
        <v>27.57475772159323</v>
      </c>
      <c r="V336" s="17">
        <f t="shared" si="599"/>
        <v>1.3845665745779756E-2</v>
      </c>
      <c r="W336" s="18">
        <f t="shared" si="600"/>
        <v>0.43034216255054969</v>
      </c>
      <c r="X336" s="19">
        <f t="shared" si="601"/>
        <v>1014.0535013314321</v>
      </c>
      <c r="Y336" s="15">
        <f t="shared" si="602"/>
        <v>5.5281070026628645E-6</v>
      </c>
      <c r="Z336" s="16">
        <f t="shared" si="603"/>
        <v>27.550615265311471</v>
      </c>
      <c r="AA336" s="17">
        <f t="shared" si="604"/>
        <v>1.3835157716298506E-2</v>
      </c>
      <c r="AB336" s="18">
        <f t="shared" si="605"/>
        <v>0.43071926907777325</v>
      </c>
      <c r="AC336" s="19">
        <f t="shared" si="606"/>
        <v>1011.3544111590394</v>
      </c>
      <c r="AD336" s="15">
        <f t="shared" si="537"/>
        <v>5.5227088223180792E-6</v>
      </c>
      <c r="AE336" s="16">
        <f t="shared" si="538"/>
        <v>27.519575728328952</v>
      </c>
      <c r="AF336" s="17">
        <f t="shared" si="539"/>
        <v>1.3821647725190312E-2</v>
      </c>
      <c r="AG336" s="18">
        <f t="shared" si="607"/>
        <v>0.431205080589317</v>
      </c>
      <c r="AH336" s="19">
        <f t="shared" si="608"/>
        <v>1008.0555447964391</v>
      </c>
      <c r="AI336" s="15">
        <f t="shared" si="540"/>
        <v>5.5161110895928785E-6</v>
      </c>
      <c r="AJ336" s="16">
        <f t="shared" si="541"/>
        <v>27.481638765159047</v>
      </c>
      <c r="AK336" s="17">
        <f t="shared" si="542"/>
        <v>1.3805135622081749E-2</v>
      </c>
      <c r="AL336" s="18">
        <f t="shared" si="609"/>
        <v>0.43180033662192785</v>
      </c>
      <c r="AM336" s="19">
        <f t="shared" si="610"/>
        <v>1004.1569172301374</v>
      </c>
      <c r="AN336" s="15">
        <f t="shared" si="543"/>
        <v>5.5083138344602754E-6</v>
      </c>
      <c r="AO336" s="16">
        <f t="shared" si="544"/>
        <v>27.436804548146579</v>
      </c>
      <c r="AP336" s="17">
        <f t="shared" si="545"/>
        <v>1.3785621481986086E-2</v>
      </c>
      <c r="AQ336" s="18">
        <f t="shared" si="611"/>
        <v>0.43250593737671661</v>
      </c>
      <c r="AR336" s="19">
        <f t="shared" si="612"/>
        <v>999.6585354974701</v>
      </c>
      <c r="AS336" s="15">
        <f t="shared" si="546"/>
        <v>5.4993170709949405E-6</v>
      </c>
      <c r="AT336" s="16">
        <f t="shared" si="547"/>
        <v>27.385073158220905</v>
      </c>
      <c r="AU336" s="17">
        <f t="shared" si="548"/>
        <v>1.3763105340127908E-2</v>
      </c>
      <c r="AV336" s="18">
        <f t="shared" si="613"/>
        <v>0.43332295667633047</v>
      </c>
      <c r="AW336" s="19">
        <f t="shared" si="614"/>
        <v>994.56040141877099</v>
      </c>
      <c r="AX336" s="15">
        <f t="shared" si="549"/>
        <v>5.4891208028375423E-6</v>
      </c>
      <c r="AY336" s="16">
        <f t="shared" si="550"/>
        <v>27.326444616315868</v>
      </c>
      <c r="AZ336" s="17">
        <f t="shared" si="551"/>
        <v>1.3737587205618693E-2</v>
      </c>
      <c r="BA336" s="18">
        <f t="shared" si="615"/>
        <v>0.43425264560881405</v>
      </c>
      <c r="BB336" s="19">
        <f t="shared" si="616"/>
        <v>988.86251442549519</v>
      </c>
      <c r="BC336" s="15">
        <f t="shared" si="552"/>
        <v>5.477725028850991E-6</v>
      </c>
      <c r="BD336" s="16">
        <f t="shared" si="553"/>
        <v>27.260918915893193</v>
      </c>
      <c r="BE336" s="17">
        <f t="shared" si="554"/>
        <v>1.3709067075612657E-2</v>
      </c>
      <c r="BF336" s="18">
        <f t="shared" si="617"/>
        <v>0.43529643686367625</v>
      </c>
      <c r="BG336" s="19">
        <f t="shared" si="618"/>
        <v>982.56486194035767</v>
      </c>
      <c r="BH336" s="15">
        <f t="shared" si="555"/>
        <v>5.465129723880716E-6</v>
      </c>
      <c r="BI336" s="16">
        <f t="shared" si="556"/>
        <v>27.18849591231411</v>
      </c>
      <c r="BJ336" s="17">
        <f t="shared" si="557"/>
        <v>1.3677544887155614E-2</v>
      </c>
      <c r="BK336" s="18">
        <f t="shared" si="619"/>
        <v>0.43645595210521859</v>
      </c>
      <c r="BL336" s="19">
        <f t="shared" si="620"/>
        <v>975.66730115942403</v>
      </c>
      <c r="BM336" s="15">
        <f t="shared" si="558"/>
        <v>5.4513346023188484E-6</v>
      </c>
      <c r="BN336" s="16">
        <f t="shared" si="559"/>
        <v>27.109173963333376</v>
      </c>
      <c r="BO336" s="17">
        <f t="shared" si="560"/>
        <v>1.3643019925458598E-2</v>
      </c>
      <c r="BP336" s="18">
        <f t="shared" si="621"/>
        <v>0.43773303036706657</v>
      </c>
      <c r="BQ336" s="19">
        <f t="shared" si="622"/>
        <v>968.16840523809719</v>
      </c>
      <c r="BR336" s="15">
        <f t="shared" si="561"/>
        <v>5.4363368104761946E-6</v>
      </c>
      <c r="BS336" s="16">
        <f t="shared" si="562"/>
        <v>27.022936660238116</v>
      </c>
      <c r="BT336" s="17">
        <f t="shared" si="563"/>
        <v>1.3605485048612078E-2</v>
      </c>
      <c r="BU336" s="18">
        <f t="shared" si="623"/>
        <v>0.43912995167466506</v>
      </c>
      <c r="BV336" s="19">
        <f t="shared" si="624"/>
        <v>960.05567608712386</v>
      </c>
      <c r="BW336" s="15">
        <f t="shared" si="564"/>
        <v>5.4201113521742479E-6</v>
      </c>
      <c r="BX336" s="16">
        <f t="shared" si="565"/>
        <v>26.929640275001923</v>
      </c>
      <c r="BY336" s="17">
        <f t="shared" si="566"/>
        <v>1.3564877698841437E-2</v>
      </c>
      <c r="BZ336" s="18">
        <f t="shared" si="625"/>
        <v>0.44065129532136132</v>
      </c>
      <c r="CA336" s="19">
        <f t="shared" si="626"/>
        <v>951.23472641332762</v>
      </c>
      <c r="CB336" s="15">
        <f t="shared" si="567"/>
        <v>5.4024694528266551E-6</v>
      </c>
      <c r="CC336" s="16">
        <f t="shared" si="568"/>
        <v>26.828199353753266</v>
      </c>
      <c r="CD336" s="17">
        <f t="shared" si="569"/>
        <v>1.3520725431207792E-2</v>
      </c>
      <c r="CE336" s="18">
        <f t="shared" si="627"/>
        <v>0.4423174553478843</v>
      </c>
      <c r="CF336" s="19">
        <f t="shared" si="628"/>
        <v>941.10480391653266</v>
      </c>
      <c r="CG336" s="15">
        <f t="shared" si="570"/>
        <v>5.3822096078330659E-6</v>
      </c>
      <c r="CH336" s="16">
        <f t="shared" si="571"/>
        <v>26.711705245040125</v>
      </c>
      <c r="CI336" s="17">
        <f t="shared" si="572"/>
        <v>1.3470021247902537E-2</v>
      </c>
      <c r="CJ336" s="18">
        <f t="shared" si="629"/>
        <v>0.44424647400305173</v>
      </c>
      <c r="CK336" s="19">
        <f t="shared" si="630"/>
        <v>926.5459549185631</v>
      </c>
      <c r="CL336" s="15">
        <f t="shared" si="573"/>
        <v>5.3530919098371267E-6</v>
      </c>
      <c r="CM336" s="16">
        <f t="shared" si="574"/>
        <v>26.544278481563474</v>
      </c>
      <c r="CN336" s="17">
        <f t="shared" si="575"/>
        <v>1.3397148573058272E-2</v>
      </c>
      <c r="CO336" s="18">
        <f t="shared" si="631"/>
        <v>0.44704853733206273</v>
      </c>
      <c r="CP336" s="19">
        <f t="shared" si="632"/>
        <v>894.97817695907577</v>
      </c>
      <c r="CQ336" s="15">
        <f t="shared" si="576"/>
        <v>5.2899563539181512E-6</v>
      </c>
      <c r="CR336" s="16">
        <f t="shared" si="577"/>
        <v>26.181249035029371</v>
      </c>
      <c r="CS336" s="17">
        <f t="shared" si="578"/>
        <v>1.3239139624746588E-2</v>
      </c>
      <c r="CT336" s="18">
        <f t="shared" si="633"/>
        <v>0.45324731657534484</v>
      </c>
      <c r="CU336" s="19">
        <f t="shared" si="634"/>
        <v>810.29805298675819</v>
      </c>
      <c r="CV336" s="15">
        <f t="shared" si="579"/>
        <v>5.1205961059735173E-6</v>
      </c>
      <c r="CW336" s="16">
        <f t="shared" si="580"/>
        <v>25.207427609347718</v>
      </c>
      <c r="CX336" s="17">
        <f t="shared" si="581"/>
        <v>1.2815282825293041E-2</v>
      </c>
      <c r="CY336" s="18">
        <f t="shared" si="635"/>
        <v>0.47075731223432699</v>
      </c>
      <c r="CZ336" s="20">
        <f t="shared" si="585"/>
        <v>612.02415004704085</v>
      </c>
      <c r="DA336" s="15">
        <f t="shared" si="582"/>
        <v>5.439049327228282E-6</v>
      </c>
      <c r="DB336" s="16">
        <f t="shared" si="583"/>
        <v>35.746299648635812</v>
      </c>
      <c r="DC336" s="17">
        <f t="shared" si="584"/>
        <v>1.3612273646780521E-2</v>
      </c>
      <c r="DD336" s="18">
        <f t="shared" si="636"/>
        <v>0.33196669267474133</v>
      </c>
    </row>
    <row r="337" spans="2:108" x14ac:dyDescent="0.25">
      <c r="B337">
        <v>70</v>
      </c>
      <c r="C337">
        <f t="shared" si="637"/>
        <v>6.8433026644167602E-2</v>
      </c>
      <c r="D337" s="19">
        <f t="shared" si="534"/>
        <v>1018.8646779765177</v>
      </c>
      <c r="E337" s="15">
        <f t="shared" si="586"/>
        <v>5.537729355953036E-6</v>
      </c>
      <c r="F337" s="16">
        <f t="shared" si="535"/>
        <v>27.605943796729953</v>
      </c>
      <c r="G337" s="17">
        <f t="shared" si="532"/>
        <v>1.3859239517773648E-2</v>
      </c>
      <c r="H337" s="18">
        <f t="shared" si="587"/>
        <v>0.42985601061477013</v>
      </c>
      <c r="I337" s="19">
        <f t="shared" si="588"/>
        <v>1018.5411484848966</v>
      </c>
      <c r="J337" s="15">
        <f t="shared" si="589"/>
        <v>5.5370822969697935E-6</v>
      </c>
      <c r="K337" s="16">
        <f t="shared" si="536"/>
        <v>27.602223207576309</v>
      </c>
      <c r="L337" s="17">
        <f t="shared" si="590"/>
        <v>1.3857620127432507E-2</v>
      </c>
      <c r="M337" s="18">
        <f t="shared" si="591"/>
        <v>0.42991395223775808</v>
      </c>
      <c r="N337" s="19">
        <f t="shared" si="592"/>
        <v>1017.6369308045217</v>
      </c>
      <c r="O337" s="15">
        <f t="shared" si="593"/>
        <v>5.5352738616090439E-6</v>
      </c>
      <c r="P337" s="16">
        <f t="shared" si="594"/>
        <v>27.591824704251998</v>
      </c>
      <c r="Q337" s="17">
        <f t="shared" si="533"/>
        <v>1.3859239517773648E-2</v>
      </c>
      <c r="R337" s="18">
        <f t="shared" si="595"/>
        <v>0.43007597347808668</v>
      </c>
      <c r="S337" s="19">
        <f t="shared" si="596"/>
        <v>1016.1362327636217</v>
      </c>
      <c r="T337" s="15">
        <f t="shared" si="597"/>
        <v>5.532272465527244E-6</v>
      </c>
      <c r="U337" s="16">
        <f t="shared" si="598"/>
        <v>27.57456667678165</v>
      </c>
      <c r="V337" s="17">
        <f t="shared" si="599"/>
        <v>1.3845582593324642E-2</v>
      </c>
      <c r="W337" s="18">
        <f t="shared" si="600"/>
        <v>0.43034514408923796</v>
      </c>
      <c r="X337" s="19">
        <f t="shared" si="601"/>
        <v>1014.0368928569825</v>
      </c>
      <c r="Y337" s="15">
        <f t="shared" si="602"/>
        <v>5.5280737857139655E-6</v>
      </c>
      <c r="Z337" s="16">
        <f t="shared" si="603"/>
        <v>27.550424267855298</v>
      </c>
      <c r="AA337" s="17">
        <f t="shared" si="604"/>
        <v>1.3835074584454883E-2</v>
      </c>
      <c r="AB337" s="18">
        <f t="shared" si="605"/>
        <v>0.43072225510382928</v>
      </c>
      <c r="AC337" s="19">
        <f t="shared" si="606"/>
        <v>1011.3378149931123</v>
      </c>
      <c r="AD337" s="15">
        <f t="shared" si="537"/>
        <v>5.5226756299862251E-6</v>
      </c>
      <c r="AE337" s="16">
        <f t="shared" si="538"/>
        <v>27.51938487242079</v>
      </c>
      <c r="AF337" s="17">
        <f t="shared" si="539"/>
        <v>1.3821564654955609E-2</v>
      </c>
      <c r="AG337" s="18">
        <f t="shared" si="607"/>
        <v>0.43120807113716692</v>
      </c>
      <c r="AH337" s="19">
        <f t="shared" si="608"/>
        <v>1008.038965105877</v>
      </c>
      <c r="AI337" s="15">
        <f t="shared" si="540"/>
        <v>5.5160779302117546E-6</v>
      </c>
      <c r="AJ337" s="16">
        <f t="shared" si="541"/>
        <v>27.481448098717586</v>
      </c>
      <c r="AK337" s="17">
        <f t="shared" si="542"/>
        <v>1.3805052634312627E-2</v>
      </c>
      <c r="AL337" s="18">
        <f t="shared" si="609"/>
        <v>0.43180333245509173</v>
      </c>
      <c r="AM337" s="19">
        <f t="shared" si="610"/>
        <v>1004.1403575097786</v>
      </c>
      <c r="AN337" s="15">
        <f t="shared" si="543"/>
        <v>5.5082807150195579E-6</v>
      </c>
      <c r="AO337" s="16">
        <f t="shared" si="544"/>
        <v>27.436614111362452</v>
      </c>
      <c r="AP337" s="17">
        <f t="shared" si="545"/>
        <v>1.3785538594175559E-2</v>
      </c>
      <c r="AQ337" s="18">
        <f t="shared" si="611"/>
        <v>0.43250893938853541</v>
      </c>
      <c r="AR337" s="19">
        <f t="shared" si="612"/>
        <v>999.64199926716401</v>
      </c>
      <c r="AS337" s="15">
        <f t="shared" si="546"/>
        <v>5.4992839985343285E-6</v>
      </c>
      <c r="AT337" s="16">
        <f t="shared" si="547"/>
        <v>27.384882991572386</v>
      </c>
      <c r="AU337" s="17">
        <f t="shared" si="548"/>
        <v>1.3763022569894189E-2</v>
      </c>
      <c r="AV337" s="18">
        <f t="shared" si="613"/>
        <v>0.43332596576621496</v>
      </c>
      <c r="AW337" s="19">
        <f t="shared" si="614"/>
        <v>994.54389223466694</v>
      </c>
      <c r="AX337" s="15">
        <f t="shared" si="549"/>
        <v>5.4890877844693344E-6</v>
      </c>
      <c r="AY337" s="16">
        <f t="shared" si="550"/>
        <v>27.326254760698667</v>
      </c>
      <c r="AZ337" s="17">
        <f t="shared" si="551"/>
        <v>1.3737504570761686E-2</v>
      </c>
      <c r="BA337" s="18">
        <f t="shared" si="615"/>
        <v>0.43425566268176363</v>
      </c>
      <c r="BB337" s="19">
        <f t="shared" si="616"/>
        <v>988.84603570538866</v>
      </c>
      <c r="BC337" s="15">
        <f t="shared" si="552"/>
        <v>5.4776920714107778E-6</v>
      </c>
      <c r="BD337" s="16">
        <f t="shared" si="553"/>
        <v>27.260729410611969</v>
      </c>
      <c r="BE337" s="17">
        <f t="shared" si="554"/>
        <v>1.3708984593239749E-2</v>
      </c>
      <c r="BF337" s="18">
        <f t="shared" si="617"/>
        <v>0.43529946286391419</v>
      </c>
      <c r="BG337" s="19">
        <f t="shared" si="618"/>
        <v>982.54841539880192</v>
      </c>
      <c r="BH337" s="15">
        <f t="shared" si="555"/>
        <v>5.4650968307976045E-6</v>
      </c>
      <c r="BI337" s="16">
        <f t="shared" si="556"/>
        <v>27.188306777086222</v>
      </c>
      <c r="BJ337" s="17">
        <f t="shared" si="557"/>
        <v>1.367746256584881E-2</v>
      </c>
      <c r="BK337" s="18">
        <f t="shared" si="619"/>
        <v>0.436458988307386</v>
      </c>
      <c r="BL337" s="19">
        <f t="shared" si="620"/>
        <v>975.6508719623173</v>
      </c>
      <c r="BM337" s="15">
        <f t="shared" si="558"/>
        <v>5.4513017439246354E-6</v>
      </c>
      <c r="BN337" s="16">
        <f t="shared" si="559"/>
        <v>27.108985027566646</v>
      </c>
      <c r="BO337" s="17">
        <f t="shared" si="560"/>
        <v>1.3642937690967473E-2</v>
      </c>
      <c r="BP337" s="18">
        <f t="shared" si="621"/>
        <v>0.43773608114250617</v>
      </c>
      <c r="BQ337" s="19">
        <f t="shared" si="622"/>
        <v>968.15183888697266</v>
      </c>
      <c r="BR337" s="15">
        <f t="shared" si="561"/>
        <v>5.4363036777739463E-6</v>
      </c>
      <c r="BS337" s="16">
        <f t="shared" si="562"/>
        <v>27.022746147200184</v>
      </c>
      <c r="BT337" s="17">
        <f t="shared" si="563"/>
        <v>1.3605402127612007E-2</v>
      </c>
      <c r="BU337" s="18">
        <f t="shared" si="623"/>
        <v>0.4391330475843363</v>
      </c>
      <c r="BV337" s="19">
        <f t="shared" si="624"/>
        <v>960.03781226533329</v>
      </c>
      <c r="BW337" s="15">
        <f t="shared" si="564"/>
        <v>5.4200756245306667E-6</v>
      </c>
      <c r="BX337" s="16">
        <f t="shared" si="565"/>
        <v>26.929434841051332</v>
      </c>
      <c r="BY337" s="17">
        <f t="shared" si="566"/>
        <v>1.356478828349844E-2</v>
      </c>
      <c r="BZ337" s="18">
        <f t="shared" si="625"/>
        <v>0.44065465687487942</v>
      </c>
      <c r="CA337" s="19">
        <f t="shared" si="626"/>
        <v>951.2084016551554</v>
      </c>
      <c r="CB337" s="15">
        <f t="shared" si="567"/>
        <v>5.4024168033103116E-6</v>
      </c>
      <c r="CC337" s="16">
        <f t="shared" si="568"/>
        <v>26.827896619034284</v>
      </c>
      <c r="CD337" s="17">
        <f t="shared" si="569"/>
        <v>1.3520593665603048E-2</v>
      </c>
      <c r="CE337" s="18">
        <f t="shared" si="627"/>
        <v>0.44232244660204212</v>
      </c>
      <c r="CF337" s="19">
        <f t="shared" si="628"/>
        <v>941.03449073695162</v>
      </c>
      <c r="CG337" s="15">
        <f t="shared" si="570"/>
        <v>5.3820689814739036E-6</v>
      </c>
      <c r="CH337" s="16">
        <f t="shared" si="571"/>
        <v>26.710896643474943</v>
      </c>
      <c r="CI337" s="17">
        <f t="shared" si="572"/>
        <v>1.3469669303221089E-2</v>
      </c>
      <c r="CJ337" s="18">
        <f t="shared" si="629"/>
        <v>0.44425992238702028</v>
      </c>
      <c r="CK337" s="19">
        <f t="shared" si="630"/>
        <v>926.29857643462628</v>
      </c>
      <c r="CL337" s="15">
        <f t="shared" si="573"/>
        <v>5.3525971528692524E-6</v>
      </c>
      <c r="CM337" s="16">
        <f t="shared" si="574"/>
        <v>26.541433628998199</v>
      </c>
      <c r="CN337" s="17">
        <f t="shared" si="575"/>
        <v>1.339591034798801E-2</v>
      </c>
      <c r="CO337" s="18">
        <f t="shared" si="631"/>
        <v>0.44709645438115697</v>
      </c>
      <c r="CP337" s="19">
        <f t="shared" si="632"/>
        <v>894.22343188706043</v>
      </c>
      <c r="CQ337" s="15">
        <f t="shared" si="576"/>
        <v>5.2884468637741207E-6</v>
      </c>
      <c r="CR337" s="16">
        <f t="shared" si="577"/>
        <v>26.172569466701194</v>
      </c>
      <c r="CS337" s="17">
        <f t="shared" si="578"/>
        <v>1.3235361833505608E-2</v>
      </c>
      <c r="CT337" s="18">
        <f t="shared" si="633"/>
        <v>0.45339762627492491</v>
      </c>
      <c r="CU337" s="19">
        <f t="shared" si="634"/>
        <v>808.69604561670974</v>
      </c>
      <c r="CV337" s="15">
        <f t="shared" si="579"/>
        <v>5.11739209123342E-6</v>
      </c>
      <c r="CW337" s="16">
        <f t="shared" si="580"/>
        <v>25.189004524592161</v>
      </c>
      <c r="CX337" s="17">
        <f t="shared" si="581"/>
        <v>1.2807264158282211E-2</v>
      </c>
      <c r="CY337" s="18">
        <f t="shared" si="635"/>
        <v>0.47110162127020511</v>
      </c>
      <c r="CZ337" s="20">
        <f t="shared" si="585"/>
        <v>610.19628641630516</v>
      </c>
      <c r="DA337" s="15">
        <f t="shared" si="582"/>
        <v>5.4701531027980101E-6</v>
      </c>
      <c r="DB337" s="16">
        <f t="shared" si="583"/>
        <v>35.799307693927148</v>
      </c>
      <c r="DC337" s="17">
        <f t="shared" si="584"/>
        <v>1.3690116865150256E-2</v>
      </c>
      <c r="DD337" s="18">
        <f t="shared" si="636"/>
        <v>0.33147514949656132</v>
      </c>
    </row>
    <row r="338" spans="2:108" x14ac:dyDescent="0.25">
      <c r="B338">
        <v>71</v>
      </c>
      <c r="C338">
        <f t="shared" si="637"/>
        <v>6.9410641310512861E-2</v>
      </c>
      <c r="D338" s="19">
        <f t="shared" si="534"/>
        <v>1018.8481601950381</v>
      </c>
      <c r="E338" s="15">
        <f t="shared" si="586"/>
        <v>5.5376963203900762E-6</v>
      </c>
      <c r="F338" s="16">
        <f t="shared" si="535"/>
        <v>27.605753842242937</v>
      </c>
      <c r="G338" s="17">
        <f t="shared" si="532"/>
        <v>1.3859156839883447E-2</v>
      </c>
      <c r="H338" s="18">
        <f t="shared" si="587"/>
        <v>0.42985896844299876</v>
      </c>
      <c r="I338" s="19">
        <f t="shared" si="588"/>
        <v>1018.5245928659053</v>
      </c>
      <c r="J338" s="15">
        <f t="shared" si="589"/>
        <v>5.5370491857318116E-6</v>
      </c>
      <c r="K338" s="16">
        <f t="shared" si="536"/>
        <v>27.602032817957912</v>
      </c>
      <c r="L338" s="17">
        <f t="shared" si="590"/>
        <v>1.3857537260150914E-2</v>
      </c>
      <c r="M338" s="18">
        <f t="shared" si="591"/>
        <v>0.4299169176408445</v>
      </c>
      <c r="N338" s="19">
        <f t="shared" si="592"/>
        <v>1017.6203335033971</v>
      </c>
      <c r="O338" s="15">
        <f t="shared" si="593"/>
        <v>5.5352406670067943E-6</v>
      </c>
      <c r="P338" s="16">
        <f t="shared" si="594"/>
        <v>27.591633835289066</v>
      </c>
      <c r="Q338" s="17">
        <f t="shared" si="533"/>
        <v>1.3859156839883447E-2</v>
      </c>
      <c r="R338" s="18">
        <f t="shared" si="595"/>
        <v>0.43007894858842372</v>
      </c>
      <c r="S338" s="19">
        <f t="shared" si="596"/>
        <v>1016.1196205103561</v>
      </c>
      <c r="T338" s="15">
        <f t="shared" si="597"/>
        <v>5.532239241020713E-6</v>
      </c>
      <c r="U338" s="16">
        <f t="shared" si="598"/>
        <v>27.574375635869096</v>
      </c>
      <c r="V338" s="17">
        <f t="shared" si="599"/>
        <v>1.3845499442566583E-2</v>
      </c>
      <c r="W338" s="18">
        <f t="shared" si="600"/>
        <v>0.43034812560838914</v>
      </c>
      <c r="X338" s="19">
        <f t="shared" si="601"/>
        <v>1014.0202846241091</v>
      </c>
      <c r="Y338" s="15">
        <f t="shared" si="602"/>
        <v>5.5280405692482191E-6</v>
      </c>
      <c r="Z338" s="16">
        <f t="shared" si="603"/>
        <v>27.550233273177255</v>
      </c>
      <c r="AA338" s="17">
        <f t="shared" si="604"/>
        <v>1.3834991453820446E-2</v>
      </c>
      <c r="AB338" s="18">
        <f t="shared" si="605"/>
        <v>0.43072524112785393</v>
      </c>
      <c r="AC338" s="19">
        <f t="shared" si="606"/>
        <v>1011.321219024377</v>
      </c>
      <c r="AD338" s="15">
        <f t="shared" si="537"/>
        <v>5.5226424380487538E-6</v>
      </c>
      <c r="AE338" s="16">
        <f t="shared" si="538"/>
        <v>27.519194018780333</v>
      </c>
      <c r="AF338" s="17">
        <f t="shared" si="539"/>
        <v>1.3821481585707925E-2</v>
      </c>
      <c r="AG338" s="18">
        <f t="shared" si="607"/>
        <v>0.43121106169096418</v>
      </c>
      <c r="AH338" s="19">
        <f t="shared" si="608"/>
        <v>1008.0223856052422</v>
      </c>
      <c r="AI338" s="15">
        <f t="shared" si="540"/>
        <v>5.5160447712104852E-6</v>
      </c>
      <c r="AJ338" s="16">
        <f t="shared" si="541"/>
        <v>27.481257434460282</v>
      </c>
      <c r="AK338" s="17">
        <f t="shared" si="542"/>
        <v>1.3804969647494163E-2</v>
      </c>
      <c r="AL338" s="18">
        <f t="shared" si="609"/>
        <v>0.43180632829550697</v>
      </c>
      <c r="AM338" s="19">
        <f t="shared" si="610"/>
        <v>1004.1237979804121</v>
      </c>
      <c r="AN338" s="15">
        <f t="shared" si="543"/>
        <v>5.5082475959608242E-6</v>
      </c>
      <c r="AO338" s="16">
        <f t="shared" si="544"/>
        <v>27.436423676774737</v>
      </c>
      <c r="AP338" s="17">
        <f t="shared" si="545"/>
        <v>1.3785455707321023E-2</v>
      </c>
      <c r="AQ338" s="18">
        <f t="shared" si="611"/>
        <v>0.43251194140740368</v>
      </c>
      <c r="AR338" s="19">
        <f t="shared" si="612"/>
        <v>999.62546322884828</v>
      </c>
      <c r="AS338" s="15">
        <f t="shared" si="546"/>
        <v>5.4992509264576969E-6</v>
      </c>
      <c r="AT338" s="16">
        <f t="shared" si="547"/>
        <v>27.384692827131754</v>
      </c>
      <c r="AU338" s="17">
        <f t="shared" si="548"/>
        <v>1.3762939800621455E-2</v>
      </c>
      <c r="AV338" s="18">
        <f t="shared" si="613"/>
        <v>0.43332897486295419</v>
      </c>
      <c r="AW338" s="19">
        <f t="shared" si="614"/>
        <v>994.52738324085897</v>
      </c>
      <c r="AX338" s="15">
        <f t="shared" si="549"/>
        <v>5.4890547664817188E-6</v>
      </c>
      <c r="AY338" s="16">
        <f t="shared" si="550"/>
        <v>27.326064907269878</v>
      </c>
      <c r="AZ338" s="17">
        <f t="shared" si="551"/>
        <v>1.3737421936857184E-2</v>
      </c>
      <c r="BA338" s="18">
        <f t="shared" si="615"/>
        <v>0.43425867976185956</v>
      </c>
      <c r="BB338" s="19">
        <f t="shared" si="616"/>
        <v>988.82955715098592</v>
      </c>
      <c r="BC338" s="15">
        <f t="shared" si="552"/>
        <v>5.4776591143019721E-6</v>
      </c>
      <c r="BD338" s="16">
        <f t="shared" si="553"/>
        <v>27.260539907236335</v>
      </c>
      <c r="BE338" s="17">
        <f t="shared" si="554"/>
        <v>1.3708902111696251E-2</v>
      </c>
      <c r="BF338" s="18">
        <f t="shared" si="617"/>
        <v>0.43530248887579454</v>
      </c>
      <c r="BG338" s="19">
        <f t="shared" si="618"/>
        <v>982.53196878369863</v>
      </c>
      <c r="BH338" s="15">
        <f t="shared" si="555"/>
        <v>5.4650639375673981E-6</v>
      </c>
      <c r="BI338" s="16">
        <f t="shared" si="556"/>
        <v>27.188117641012532</v>
      </c>
      <c r="BJ338" s="17">
        <f t="shared" si="557"/>
        <v>1.367738024417387E-2</v>
      </c>
      <c r="BK338" s="18">
        <f t="shared" si="619"/>
        <v>0.43646202456537431</v>
      </c>
      <c r="BL338" s="19">
        <f t="shared" si="620"/>
        <v>975.63444068268177</v>
      </c>
      <c r="BM338" s="15">
        <f t="shared" si="558"/>
        <v>5.4512688813653642E-6</v>
      </c>
      <c r="BN338" s="16">
        <f t="shared" si="559"/>
        <v>27.10879606785084</v>
      </c>
      <c r="BO338" s="17">
        <f t="shared" si="560"/>
        <v>1.3642855446052487E-2</v>
      </c>
      <c r="BP338" s="18">
        <f t="shared" si="621"/>
        <v>0.43773913234718836</v>
      </c>
      <c r="BQ338" s="19">
        <f t="shared" si="622"/>
        <v>968.13525605290044</v>
      </c>
      <c r="BR338" s="15">
        <f t="shared" si="561"/>
        <v>5.4362705121058017E-6</v>
      </c>
      <c r="BS338" s="16">
        <f t="shared" si="562"/>
        <v>27.022555444608354</v>
      </c>
      <c r="BT338" s="17">
        <f t="shared" si="563"/>
        <v>1.3605319124108397E-2</v>
      </c>
      <c r="BU338" s="18">
        <f t="shared" si="623"/>
        <v>0.43913614661804923</v>
      </c>
      <c r="BV338" s="19">
        <f t="shared" si="624"/>
        <v>960.01984634963731</v>
      </c>
      <c r="BW338" s="15">
        <f t="shared" si="564"/>
        <v>5.420039692699275E-6</v>
      </c>
      <c r="BX338" s="16">
        <f t="shared" si="565"/>
        <v>26.929228233020829</v>
      </c>
      <c r="BY338" s="17">
        <f t="shared" si="566"/>
        <v>1.3564698357135925E-2</v>
      </c>
      <c r="BZ338" s="18">
        <f t="shared" si="625"/>
        <v>0.44065803769181194</v>
      </c>
      <c r="CA338" s="19">
        <f t="shared" si="626"/>
        <v>951.18157143655878</v>
      </c>
      <c r="CB338" s="15">
        <f t="shared" si="567"/>
        <v>5.4023631428731178E-6</v>
      </c>
      <c r="CC338" s="16">
        <f t="shared" si="568"/>
        <v>26.827588071520424</v>
      </c>
      <c r="CD338" s="17">
        <f t="shared" si="569"/>
        <v>1.3520459369973214E-2</v>
      </c>
      <c r="CE338" s="18">
        <f t="shared" si="627"/>
        <v>0.44232753380894496</v>
      </c>
      <c r="CF338" s="19">
        <f t="shared" si="628"/>
        <v>940.96228559680696</v>
      </c>
      <c r="CG338" s="15">
        <f t="shared" si="570"/>
        <v>5.3819245711936143E-6</v>
      </c>
      <c r="CH338" s="16">
        <f t="shared" si="571"/>
        <v>26.710066284363279</v>
      </c>
      <c r="CI338" s="17">
        <f t="shared" si="572"/>
        <v>1.3469307888544654E-2</v>
      </c>
      <c r="CJ338" s="18">
        <f t="shared" si="629"/>
        <v>0.44427373348245425</v>
      </c>
      <c r="CK338" s="19">
        <f t="shared" si="630"/>
        <v>926.04648451671926</v>
      </c>
      <c r="CL338" s="15">
        <f t="shared" si="573"/>
        <v>5.3520929690334385E-6</v>
      </c>
      <c r="CM338" s="16">
        <f t="shared" si="574"/>
        <v>26.538534571942272</v>
      </c>
      <c r="CN338" s="17">
        <f t="shared" si="575"/>
        <v>1.3394648530356202E-2</v>
      </c>
      <c r="CO338" s="18">
        <f t="shared" si="631"/>
        <v>0.44714529498790712</v>
      </c>
      <c r="CP338" s="19">
        <f t="shared" si="632"/>
        <v>893.4637011025078</v>
      </c>
      <c r="CQ338" s="15">
        <f t="shared" si="576"/>
        <v>5.2869274022050161E-6</v>
      </c>
      <c r="CR338" s="16">
        <f t="shared" si="577"/>
        <v>26.163832562678841</v>
      </c>
      <c r="CS338" s="17">
        <f t="shared" si="578"/>
        <v>1.3231559086843451E-2</v>
      </c>
      <c r="CT338" s="18">
        <f t="shared" si="633"/>
        <v>0.45354902961139087</v>
      </c>
      <c r="CU338" s="19">
        <f t="shared" si="634"/>
        <v>807.10234704285313</v>
      </c>
      <c r="CV338" s="15">
        <f t="shared" si="579"/>
        <v>5.1142046940857066E-6</v>
      </c>
      <c r="CW338" s="16">
        <f t="shared" si="580"/>
        <v>25.17067699099281</v>
      </c>
      <c r="CX338" s="17">
        <f t="shared" si="581"/>
        <v>1.2799287080012586E-2</v>
      </c>
      <c r="CY338" s="18">
        <f t="shared" si="635"/>
        <v>0.47144464465394753</v>
      </c>
      <c r="CZ338" s="20">
        <f t="shared" si="585"/>
        <v>608.39182488395363</v>
      </c>
      <c r="DA338" s="15">
        <f t="shared" si="582"/>
        <v>5.5007682170753869E-6</v>
      </c>
      <c r="DB338" s="16">
        <f t="shared" si="583"/>
        <v>35.851637078365343</v>
      </c>
      <c r="DC338" s="17">
        <f t="shared" si="584"/>
        <v>1.3766737114057516E-2</v>
      </c>
      <c r="DD338" s="18">
        <f t="shared" si="636"/>
        <v>0.33099132527141367</v>
      </c>
    </row>
    <row r="339" spans="2:108" x14ac:dyDescent="0.25">
      <c r="B339">
        <v>72</v>
      </c>
      <c r="C339">
        <f t="shared" si="637"/>
        <v>7.0388255976858105E-2</v>
      </c>
      <c r="D339" s="19">
        <f t="shared" si="534"/>
        <v>1018.8316404817663</v>
      </c>
      <c r="E339" s="15">
        <f t="shared" si="586"/>
        <v>5.5376632809635323E-6</v>
      </c>
      <c r="F339" s="16">
        <f t="shared" si="535"/>
        <v>27.605563865540311</v>
      </c>
      <c r="G339" s="17">
        <f t="shared" si="532"/>
        <v>1.3859074152323875E-2</v>
      </c>
      <c r="H339" s="18">
        <f t="shared" si="587"/>
        <v>0.42986192665786505</v>
      </c>
      <c r="I339" s="19">
        <f t="shared" si="588"/>
        <v>1018.5080367413723</v>
      </c>
      <c r="J339" s="15">
        <f t="shared" si="589"/>
        <v>5.5370160734827451E-6</v>
      </c>
      <c r="K339" s="16">
        <f t="shared" si="536"/>
        <v>27.601842422525781</v>
      </c>
      <c r="L339" s="17">
        <f t="shared" si="590"/>
        <v>1.3857454390338888E-2</v>
      </c>
      <c r="M339" s="18">
        <f t="shared" si="591"/>
        <v>0.42991988317539331</v>
      </c>
      <c r="N339" s="19">
        <f t="shared" si="592"/>
        <v>1017.6037364757343</v>
      </c>
      <c r="O339" s="15">
        <f t="shared" si="593"/>
        <v>5.5352074729514695E-6</v>
      </c>
      <c r="P339" s="16">
        <f t="shared" si="594"/>
        <v>27.591442969470943</v>
      </c>
      <c r="Q339" s="17">
        <f t="shared" si="533"/>
        <v>1.3859074152323875E-2</v>
      </c>
      <c r="R339" s="18">
        <f t="shared" si="595"/>
        <v>0.43008192369090281</v>
      </c>
      <c r="S339" s="19">
        <f t="shared" si="596"/>
        <v>1016.1030085938949</v>
      </c>
      <c r="T339" s="15">
        <f t="shared" si="597"/>
        <v>5.5322060171877909E-6</v>
      </c>
      <c r="U339" s="16">
        <f t="shared" si="598"/>
        <v>27.574184598829788</v>
      </c>
      <c r="V339" s="17">
        <f t="shared" si="599"/>
        <v>1.384541629349436E-2</v>
      </c>
      <c r="W339" s="18">
        <f t="shared" si="600"/>
        <v>0.43035110710840385</v>
      </c>
      <c r="X339" s="19">
        <f t="shared" si="601"/>
        <v>1014.0036766332977</v>
      </c>
      <c r="Y339" s="15">
        <f t="shared" si="602"/>
        <v>5.5280073532665961E-6</v>
      </c>
      <c r="Z339" s="16">
        <f t="shared" si="603"/>
        <v>27.55004228128292</v>
      </c>
      <c r="AA339" s="17">
        <f t="shared" si="604"/>
        <v>1.3834908324397618E-2</v>
      </c>
      <c r="AB339" s="18">
        <f t="shared" si="605"/>
        <v>0.43072822714975917</v>
      </c>
      <c r="AC339" s="19">
        <f t="shared" si="606"/>
        <v>1011.3046232532731</v>
      </c>
      <c r="AD339" s="15">
        <f t="shared" si="537"/>
        <v>5.5226092465065462E-6</v>
      </c>
      <c r="AE339" s="16">
        <f t="shared" si="538"/>
        <v>27.519003167412642</v>
      </c>
      <c r="AF339" s="17">
        <f t="shared" si="539"/>
        <v>1.3821398517449464E-2</v>
      </c>
      <c r="AG339" s="18">
        <f t="shared" si="607"/>
        <v>0.43121405225062898</v>
      </c>
      <c r="AH339" s="19">
        <f t="shared" si="608"/>
        <v>1008.0058062946406</v>
      </c>
      <c r="AI339" s="15">
        <f t="shared" si="540"/>
        <v>5.5160116125892821E-6</v>
      </c>
      <c r="AJ339" s="16">
        <f t="shared" si="541"/>
        <v>27.481066772388367</v>
      </c>
      <c r="AK339" s="17">
        <f t="shared" si="542"/>
        <v>1.3804886661626888E-2</v>
      </c>
      <c r="AL339" s="18">
        <f t="shared" si="609"/>
        <v>0.43180932414315371</v>
      </c>
      <c r="AM339" s="19">
        <f t="shared" si="610"/>
        <v>1004.1072386420367</v>
      </c>
      <c r="AN339" s="15">
        <f t="shared" si="543"/>
        <v>5.5082144772840736E-6</v>
      </c>
      <c r="AO339" s="16">
        <f t="shared" si="544"/>
        <v>27.436233244383423</v>
      </c>
      <c r="AP339" s="17">
        <f t="shared" si="545"/>
        <v>1.3785372821422472E-2</v>
      </c>
      <c r="AQ339" s="18">
        <f t="shared" si="611"/>
        <v>0.43251494343332103</v>
      </c>
      <c r="AR339" s="19">
        <f t="shared" si="612"/>
        <v>999.60892738248288</v>
      </c>
      <c r="AS339" s="15">
        <f t="shared" si="546"/>
        <v>5.499217854764966E-6</v>
      </c>
      <c r="AT339" s="16">
        <f t="shared" si="547"/>
        <v>27.384502664898552</v>
      </c>
      <c r="AU339" s="17">
        <f t="shared" si="548"/>
        <v>1.3762857032309509E-2</v>
      </c>
      <c r="AV339" s="18">
        <f t="shared" si="613"/>
        <v>0.43333198396655487</v>
      </c>
      <c r="AW339" s="19">
        <f t="shared" si="614"/>
        <v>994.51087443700953</v>
      </c>
      <c r="AX339" s="15">
        <f t="shared" si="549"/>
        <v>5.4890217488740194E-6</v>
      </c>
      <c r="AY339" s="16">
        <f t="shared" si="550"/>
        <v>27.325875056025609</v>
      </c>
      <c r="AZ339" s="17">
        <f t="shared" si="551"/>
        <v>1.3737339303903496E-2</v>
      </c>
      <c r="BA339" s="18">
        <f t="shared" si="615"/>
        <v>0.43426169684916299</v>
      </c>
      <c r="BB339" s="19">
        <f t="shared" si="616"/>
        <v>988.81307875915491</v>
      </c>
      <c r="BC339" s="15">
        <f t="shared" si="552"/>
        <v>5.4776261575183103E-6</v>
      </c>
      <c r="BD339" s="16">
        <f t="shared" si="553"/>
        <v>27.260350405730279</v>
      </c>
      <c r="BE339" s="17">
        <f t="shared" si="554"/>
        <v>1.370881963096649E-2</v>
      </c>
      <c r="BF339" s="18">
        <f t="shared" si="617"/>
        <v>0.435305514899892</v>
      </c>
      <c r="BG339" s="19">
        <f t="shared" si="618"/>
        <v>982.51552206938709</v>
      </c>
      <c r="BH339" s="15">
        <f t="shared" si="555"/>
        <v>5.4650310441387742E-6</v>
      </c>
      <c r="BI339" s="16">
        <f t="shared" si="556"/>
        <v>27.187928503797949</v>
      </c>
      <c r="BJ339" s="17">
        <f t="shared" si="557"/>
        <v>1.3677297922002353E-2</v>
      </c>
      <c r="BK339" s="18">
        <f t="shared" si="619"/>
        <v>0.43646506088392234</v>
      </c>
      <c r="BL339" s="19">
        <f t="shared" si="620"/>
        <v>975.61800714171125</v>
      </c>
      <c r="BM339" s="15">
        <f t="shared" si="558"/>
        <v>5.4512360142834223E-6</v>
      </c>
      <c r="BN339" s="16">
        <f t="shared" si="559"/>
        <v>27.10860708212968</v>
      </c>
      <c r="BO339" s="17">
        <f t="shared" si="560"/>
        <v>1.3642773189818639E-2</v>
      </c>
      <c r="BP339" s="18">
        <f t="shared" si="621"/>
        <v>0.4377421840143344</v>
      </c>
      <c r="BQ339" s="19">
        <f t="shared" si="622"/>
        <v>968.11865571210683</v>
      </c>
      <c r="BR339" s="15">
        <f t="shared" si="561"/>
        <v>5.4362373114242145E-6</v>
      </c>
      <c r="BS339" s="16">
        <f t="shared" si="562"/>
        <v>27.022364540689228</v>
      </c>
      <c r="BT339" s="17">
        <f t="shared" si="563"/>
        <v>1.3605236032976871E-2</v>
      </c>
      <c r="BU339" s="18">
        <f t="shared" si="623"/>
        <v>0.4391392489672642</v>
      </c>
      <c r="BV339" s="19">
        <f t="shared" si="624"/>
        <v>960.00177378066508</v>
      </c>
      <c r="BW339" s="15">
        <f t="shared" si="564"/>
        <v>5.4200035475613305E-6</v>
      </c>
      <c r="BX339" s="16">
        <f t="shared" si="565"/>
        <v>26.929020398477647</v>
      </c>
      <c r="BY339" s="17">
        <f t="shared" si="566"/>
        <v>1.3564607896932477E-2</v>
      </c>
      <c r="BZ339" s="18">
        <f t="shared" si="625"/>
        <v>0.44066143863104434</v>
      </c>
      <c r="CA339" s="19">
        <f t="shared" si="626"/>
        <v>951.15422162020093</v>
      </c>
      <c r="CB339" s="15">
        <f t="shared" si="567"/>
        <v>5.4023084432404025E-6</v>
      </c>
      <c r="CC339" s="16">
        <f t="shared" si="568"/>
        <v>26.827273548632309</v>
      </c>
      <c r="CD339" s="17">
        <f t="shared" si="569"/>
        <v>1.3520322473555457E-2</v>
      </c>
      <c r="CE339" s="18">
        <f t="shared" si="627"/>
        <v>0.44233271965584714</v>
      </c>
      <c r="CF339" s="19">
        <f t="shared" si="628"/>
        <v>940.88816736873821</v>
      </c>
      <c r="CG339" s="15">
        <f t="shared" si="570"/>
        <v>5.3817763347374775E-6</v>
      </c>
      <c r="CH339" s="16">
        <f t="shared" si="571"/>
        <v>26.709213924740489</v>
      </c>
      <c r="CI339" s="17">
        <f t="shared" si="572"/>
        <v>1.3468936898122622E-2</v>
      </c>
      <c r="CJ339" s="18">
        <f t="shared" si="629"/>
        <v>0.44428791139847057</v>
      </c>
      <c r="CK339" s="19">
        <f t="shared" si="630"/>
        <v>925.78971271008936</v>
      </c>
      <c r="CL339" s="15">
        <f t="shared" si="573"/>
        <v>5.3515794254201791E-6</v>
      </c>
      <c r="CM339" s="16">
        <f t="shared" si="574"/>
        <v>26.535581696166027</v>
      </c>
      <c r="CN339" s="17">
        <f t="shared" si="575"/>
        <v>1.3393363288069787E-2</v>
      </c>
      <c r="CO339" s="18">
        <f t="shared" si="631"/>
        <v>0.4471950532530603</v>
      </c>
      <c r="CP339" s="19">
        <f t="shared" si="632"/>
        <v>892.69917344529097</v>
      </c>
      <c r="CQ339" s="15">
        <f t="shared" si="576"/>
        <v>5.2853983468905823E-6</v>
      </c>
      <c r="CR339" s="16">
        <f t="shared" si="577"/>
        <v>26.155040494620845</v>
      </c>
      <c r="CS339" s="17">
        <f t="shared" si="578"/>
        <v>1.3227732329976781E-2</v>
      </c>
      <c r="CT339" s="18">
        <f t="shared" si="633"/>
        <v>0.45370149100546908</v>
      </c>
      <c r="CU339" s="19">
        <f t="shared" si="634"/>
        <v>805.51698930728219</v>
      </c>
      <c r="CV339" s="15">
        <f t="shared" si="579"/>
        <v>5.1110339786145657E-6</v>
      </c>
      <c r="CW339" s="16">
        <f t="shared" si="580"/>
        <v>25.152445377033743</v>
      </c>
      <c r="CX339" s="17">
        <f t="shared" si="581"/>
        <v>1.2791351750867255E-2</v>
      </c>
      <c r="CY339" s="18">
        <f t="shared" si="635"/>
        <v>0.47178636875415164</v>
      </c>
      <c r="CZ339" s="20">
        <f t="shared" si="585"/>
        <v>606.61012055063304</v>
      </c>
      <c r="DA339" s="15">
        <f t="shared" si="582"/>
        <v>5.5309102055813241E-6</v>
      </c>
      <c r="DB339" s="16">
        <f t="shared" si="583"/>
        <v>35.903306504031633</v>
      </c>
      <c r="DC339" s="17">
        <f t="shared" si="584"/>
        <v>1.3842173274150226E-2</v>
      </c>
      <c r="DD339" s="18">
        <f t="shared" si="636"/>
        <v>0.33051498664573925</v>
      </c>
    </row>
    <row r="340" spans="2:108" x14ac:dyDescent="0.25">
      <c r="B340">
        <v>73</v>
      </c>
      <c r="C340">
        <f t="shared" si="637"/>
        <v>7.136587064320335E-2</v>
      </c>
      <c r="D340" s="19">
        <f t="shared" si="534"/>
        <v>1018.8151189095194</v>
      </c>
      <c r="E340" s="15">
        <f t="shared" si="586"/>
        <v>5.537630237819039E-6</v>
      </c>
      <c r="F340" s="16">
        <f t="shared" si="535"/>
        <v>27.60537386745947</v>
      </c>
      <c r="G340" s="17">
        <f t="shared" si="532"/>
        <v>1.3858991455459418E-2</v>
      </c>
      <c r="H340" s="18">
        <f t="shared" si="587"/>
        <v>0.42986488524634436</v>
      </c>
      <c r="I340" s="19">
        <f t="shared" si="588"/>
        <v>1018.4914801176268</v>
      </c>
      <c r="J340" s="15">
        <f t="shared" si="589"/>
        <v>5.5369829602352538E-6</v>
      </c>
      <c r="K340" s="16">
        <f t="shared" si="536"/>
        <v>27.601652021352706</v>
      </c>
      <c r="L340" s="17">
        <f t="shared" si="590"/>
        <v>1.3857371518028109E-2</v>
      </c>
      <c r="M340" s="18">
        <f t="shared" si="591"/>
        <v>0.42992284884027532</v>
      </c>
      <c r="N340" s="19">
        <f t="shared" si="592"/>
        <v>1017.5871397145353</v>
      </c>
      <c r="O340" s="15">
        <f t="shared" si="593"/>
        <v>5.5351742794290708E-6</v>
      </c>
      <c r="P340" s="16">
        <f t="shared" si="594"/>
        <v>27.591252106717157</v>
      </c>
      <c r="Q340" s="17">
        <f t="shared" si="533"/>
        <v>1.3858991455459418E-2</v>
      </c>
      <c r="R340" s="18">
        <f t="shared" si="595"/>
        <v>0.43008489878677708</v>
      </c>
      <c r="S340" s="19">
        <f t="shared" si="596"/>
        <v>1016.0863970119829</v>
      </c>
      <c r="T340" s="15">
        <f t="shared" si="597"/>
        <v>5.5321727940239663E-6</v>
      </c>
      <c r="U340" s="16">
        <f t="shared" si="598"/>
        <v>27.573993565637799</v>
      </c>
      <c r="V340" s="17">
        <f t="shared" si="599"/>
        <v>1.3845333146096685E-2</v>
      </c>
      <c r="W340" s="18">
        <f t="shared" si="600"/>
        <v>0.43035408858968516</v>
      </c>
      <c r="X340" s="19">
        <f t="shared" si="601"/>
        <v>1013.9870688850003</v>
      </c>
      <c r="Y340" s="15">
        <f t="shared" si="602"/>
        <v>5.5279741377700012E-6</v>
      </c>
      <c r="Z340" s="16">
        <f t="shared" si="603"/>
        <v>27.5498512921775</v>
      </c>
      <c r="AA340" s="17">
        <f t="shared" si="604"/>
        <v>1.3834825196188668E-2</v>
      </c>
      <c r="AB340" s="18">
        <f t="shared" si="605"/>
        <v>0.4307312131694625</v>
      </c>
      <c r="AC340" s="19">
        <f t="shared" si="606"/>
        <v>1011.2880276802356</v>
      </c>
      <c r="AD340" s="15">
        <f t="shared" si="537"/>
        <v>5.5225760553604713E-6</v>
      </c>
      <c r="AE340" s="16">
        <f t="shared" si="538"/>
        <v>27.518812318322709</v>
      </c>
      <c r="AF340" s="17">
        <f t="shared" si="539"/>
        <v>1.3821315450182404E-2</v>
      </c>
      <c r="AG340" s="18">
        <f t="shared" si="607"/>
        <v>0.43121704281608236</v>
      </c>
      <c r="AH340" s="19">
        <f t="shared" si="608"/>
        <v>1007.9892271741804</v>
      </c>
      <c r="AI340" s="15">
        <f t="shared" si="540"/>
        <v>5.5159784543483611E-6</v>
      </c>
      <c r="AJ340" s="16">
        <f t="shared" si="541"/>
        <v>27.480876112503076</v>
      </c>
      <c r="AK340" s="17">
        <f t="shared" si="542"/>
        <v>1.3804803676711344E-2</v>
      </c>
      <c r="AL340" s="18">
        <f t="shared" si="609"/>
        <v>0.4318123199980119</v>
      </c>
      <c r="AM340" s="19">
        <f t="shared" si="610"/>
        <v>1004.0906794946521</v>
      </c>
      <c r="AN340" s="15">
        <f t="shared" si="543"/>
        <v>5.5081813589893044E-6</v>
      </c>
      <c r="AO340" s="16">
        <f t="shared" si="544"/>
        <v>27.436042814188497</v>
      </c>
      <c r="AP340" s="17">
        <f t="shared" si="545"/>
        <v>1.3785289936479903E-2</v>
      </c>
      <c r="AQ340" s="18">
        <f t="shared" si="611"/>
        <v>0.43251794546628713</v>
      </c>
      <c r="AR340" s="19">
        <f t="shared" si="612"/>
        <v>999.59239172802404</v>
      </c>
      <c r="AS340" s="15">
        <f t="shared" si="546"/>
        <v>5.4991847834560487E-6</v>
      </c>
      <c r="AT340" s="16">
        <f t="shared" si="547"/>
        <v>27.384312504872277</v>
      </c>
      <c r="AU340" s="17">
        <f t="shared" si="548"/>
        <v>1.3762774264958127E-2</v>
      </c>
      <c r="AV340" s="18">
        <f t="shared" si="613"/>
        <v>0.43333499307702433</v>
      </c>
      <c r="AW340" s="19">
        <f t="shared" si="614"/>
        <v>994.49436582274438</v>
      </c>
      <c r="AX340" s="15">
        <f t="shared" si="549"/>
        <v>5.4889887316454884E-6</v>
      </c>
      <c r="AY340" s="16">
        <f t="shared" si="550"/>
        <v>27.325685206961559</v>
      </c>
      <c r="AZ340" s="17">
        <f t="shared" si="551"/>
        <v>1.373725667189875E-2</v>
      </c>
      <c r="BA340" s="18">
        <f t="shared" si="615"/>
        <v>0.43426471394374183</v>
      </c>
      <c r="BB340" s="19">
        <f t="shared" si="616"/>
        <v>988.79660052647523</v>
      </c>
      <c r="BC340" s="15">
        <f t="shared" si="552"/>
        <v>5.4775932010529507E-6</v>
      </c>
      <c r="BD340" s="16">
        <f t="shared" si="553"/>
        <v>27.260160906054466</v>
      </c>
      <c r="BE340" s="17">
        <f t="shared" si="554"/>
        <v>1.3708737151033339E-2</v>
      </c>
      <c r="BF340" s="18">
        <f t="shared" si="617"/>
        <v>0.43530854093683424</v>
      </c>
      <c r="BG340" s="19">
        <f t="shared" si="618"/>
        <v>982.49907522830688</v>
      </c>
      <c r="BH340" s="15">
        <f t="shared" si="555"/>
        <v>5.4649981504566139E-6</v>
      </c>
      <c r="BI340" s="16">
        <f t="shared" si="556"/>
        <v>27.18773936512553</v>
      </c>
      <c r="BJ340" s="17">
        <f t="shared" si="557"/>
        <v>1.367721559919631E-2</v>
      </c>
      <c r="BK340" s="18">
        <f t="shared" si="619"/>
        <v>0.43646809726811975</v>
      </c>
      <c r="BL340" s="19">
        <f t="shared" si="620"/>
        <v>975.60157115057223</v>
      </c>
      <c r="BM340" s="15">
        <f t="shared" si="558"/>
        <v>5.451203142301145E-6</v>
      </c>
      <c r="BN340" s="16">
        <f t="shared" si="559"/>
        <v>27.108418068231579</v>
      </c>
      <c r="BO340" s="17">
        <f t="shared" si="560"/>
        <v>1.3642690921320757E-2</v>
      </c>
      <c r="BP340" s="18">
        <f t="shared" si="621"/>
        <v>0.43774523617902933</v>
      </c>
      <c r="BQ340" s="19">
        <f t="shared" si="622"/>
        <v>968.1020368018319</v>
      </c>
      <c r="BR340" s="15">
        <f t="shared" si="561"/>
        <v>5.4362040736036639E-6</v>
      </c>
      <c r="BS340" s="16">
        <f t="shared" si="562"/>
        <v>27.022173423221066</v>
      </c>
      <c r="BT340" s="17">
        <f t="shared" si="563"/>
        <v>1.3605152848897902E-2</v>
      </c>
      <c r="BU340" s="18">
        <f t="shared" si="623"/>
        <v>0.43914235483073855</v>
      </c>
      <c r="BV340" s="19">
        <f t="shared" si="624"/>
        <v>959.98358991055943</v>
      </c>
      <c r="BW340" s="15">
        <f t="shared" si="564"/>
        <v>5.4199671798211199E-6</v>
      </c>
      <c r="BX340" s="16">
        <f t="shared" si="565"/>
        <v>26.928811283971434</v>
      </c>
      <c r="BY340" s="17">
        <f t="shared" si="566"/>
        <v>1.3564516879623777E-2</v>
      </c>
      <c r="BZ340" s="18">
        <f t="shared" si="625"/>
        <v>0.44066486056817233</v>
      </c>
      <c r="CA340" s="19">
        <f t="shared" si="626"/>
        <v>951.12633809675026</v>
      </c>
      <c r="CB340" s="15">
        <f t="shared" si="567"/>
        <v>5.4022526761935011E-6</v>
      </c>
      <c r="CC340" s="16">
        <f t="shared" si="568"/>
        <v>26.826952888112629</v>
      </c>
      <c r="CD340" s="17">
        <f t="shared" si="569"/>
        <v>1.3520182905727107E-2</v>
      </c>
      <c r="CE340" s="18">
        <f t="shared" si="627"/>
        <v>0.44233800682507385</v>
      </c>
      <c r="CF340" s="19">
        <f t="shared" si="628"/>
        <v>940.81211578136629</v>
      </c>
      <c r="CG340" s="15">
        <f t="shared" si="570"/>
        <v>5.3816242315627329E-6</v>
      </c>
      <c r="CH340" s="16">
        <f t="shared" si="571"/>
        <v>26.70833933148571</v>
      </c>
      <c r="CI340" s="17">
        <f t="shared" si="572"/>
        <v>1.3468556230488886E-2</v>
      </c>
      <c r="CJ340" s="18">
        <f t="shared" si="629"/>
        <v>0.44430246008327146</v>
      </c>
      <c r="CK340" s="19">
        <f t="shared" si="630"/>
        <v>925.5282960076222</v>
      </c>
      <c r="CL340" s="15">
        <f t="shared" si="573"/>
        <v>5.3510565920152453E-6</v>
      </c>
      <c r="CM340" s="16">
        <f t="shared" si="574"/>
        <v>26.532575404087655</v>
      </c>
      <c r="CN340" s="17">
        <f t="shared" si="575"/>
        <v>1.3392054796281709E-2</v>
      </c>
      <c r="CO340" s="18">
        <f t="shared" si="631"/>
        <v>0.44724572300243842</v>
      </c>
      <c r="CP340" s="19">
        <f t="shared" si="632"/>
        <v>891.93003353695269</v>
      </c>
      <c r="CQ340" s="15">
        <f t="shared" si="576"/>
        <v>5.2838600670739058E-6</v>
      </c>
      <c r="CR340" s="16">
        <f t="shared" si="577"/>
        <v>26.146195385674957</v>
      </c>
      <c r="CS340" s="17">
        <f t="shared" si="578"/>
        <v>1.3223882487007881E-2</v>
      </c>
      <c r="CT340" s="18">
        <f t="shared" si="633"/>
        <v>0.45385497563516985</v>
      </c>
      <c r="CU340" s="19">
        <f t="shared" si="634"/>
        <v>803.93999710129526</v>
      </c>
      <c r="CV340" s="15">
        <f t="shared" si="579"/>
        <v>5.1078799942025907E-6</v>
      </c>
      <c r="CW340" s="16">
        <f t="shared" si="580"/>
        <v>25.134309966664894</v>
      </c>
      <c r="CX340" s="17">
        <f t="shared" si="581"/>
        <v>1.2783458294435713E-2</v>
      </c>
      <c r="CY340" s="18">
        <f t="shared" si="635"/>
        <v>0.4721267814973355</v>
      </c>
      <c r="CZ340" s="20">
        <f t="shared" si="585"/>
        <v>604.85055414843862</v>
      </c>
      <c r="DA340" s="15">
        <f t="shared" si="582"/>
        <v>5.56059390928078E-6</v>
      </c>
      <c r="DB340" s="16">
        <f t="shared" si="583"/>
        <v>35.954333929695281</v>
      </c>
      <c r="DC340" s="17">
        <f t="shared" si="584"/>
        <v>1.3916462487815596E-2</v>
      </c>
      <c r="DD340" s="18">
        <f t="shared" si="636"/>
        <v>0.33004591026277064</v>
      </c>
    </row>
    <row r="341" spans="2:108" x14ac:dyDescent="0.25">
      <c r="B341">
        <v>74</v>
      </c>
      <c r="C341">
        <f t="shared" si="637"/>
        <v>7.2343485309548608E-2</v>
      </c>
      <c r="D341" s="19">
        <f t="shared" si="534"/>
        <v>1018.79859554772</v>
      </c>
      <c r="E341" s="15">
        <f t="shared" si="586"/>
        <v>5.5375971910954409E-6</v>
      </c>
      <c r="F341" s="16">
        <f t="shared" si="535"/>
        <v>27.605183848798781</v>
      </c>
      <c r="G341" s="17">
        <f t="shared" si="532"/>
        <v>1.3858908749637558E-2</v>
      </c>
      <c r="H341" s="18">
        <f t="shared" si="587"/>
        <v>0.42986784419601914</v>
      </c>
      <c r="I341" s="19">
        <f t="shared" si="588"/>
        <v>1018.4749230011815</v>
      </c>
      <c r="J341" s="15">
        <f t="shared" si="589"/>
        <v>5.5369498460023633E-6</v>
      </c>
      <c r="K341" s="16">
        <f t="shared" si="536"/>
        <v>27.601461614513589</v>
      </c>
      <c r="L341" s="17">
        <f t="shared" si="590"/>
        <v>1.3857288643251179E-2</v>
      </c>
      <c r="M341" s="18">
        <f t="shared" si="591"/>
        <v>0.42992581463432833</v>
      </c>
      <c r="N341" s="19">
        <f t="shared" si="592"/>
        <v>1017.5705432130227</v>
      </c>
      <c r="O341" s="15">
        <f t="shared" si="593"/>
        <v>5.5351410864260456E-6</v>
      </c>
      <c r="P341" s="16">
        <f t="shared" si="594"/>
        <v>27.59106124694976</v>
      </c>
      <c r="Q341" s="17">
        <f t="shared" si="533"/>
        <v>1.3858908749637558E-2</v>
      </c>
      <c r="R341" s="18">
        <f t="shared" si="595"/>
        <v>0.4300878738772605</v>
      </c>
      <c r="S341" s="19">
        <f t="shared" si="596"/>
        <v>1016.0697857623537</v>
      </c>
      <c r="T341" s="15">
        <f t="shared" si="597"/>
        <v>5.5321395715247077E-6</v>
      </c>
      <c r="U341" s="16">
        <f t="shared" si="598"/>
        <v>27.573802536267067</v>
      </c>
      <c r="V341" s="17">
        <f t="shared" si="599"/>
        <v>1.3845250000362212E-2</v>
      </c>
      <c r="W341" s="18">
        <f t="shared" si="600"/>
        <v>0.43035707005263818</v>
      </c>
      <c r="X341" s="19">
        <f t="shared" si="601"/>
        <v>1013.9704613796359</v>
      </c>
      <c r="Y341" s="15">
        <f t="shared" si="602"/>
        <v>5.5279409227592728E-6</v>
      </c>
      <c r="Z341" s="16">
        <f t="shared" si="603"/>
        <v>27.549660305865814</v>
      </c>
      <c r="AA341" s="17">
        <f t="shared" si="604"/>
        <v>1.3834742069195693E-2</v>
      </c>
      <c r="AB341" s="18">
        <f t="shared" si="605"/>
        <v>0.43073419918688766</v>
      </c>
      <c r="AC341" s="19">
        <f t="shared" si="606"/>
        <v>1011.2714323056945</v>
      </c>
      <c r="AD341" s="15">
        <f t="shared" si="537"/>
        <v>5.5225428646113889E-6</v>
      </c>
      <c r="AE341" s="16">
        <f t="shared" si="538"/>
        <v>27.518621471515488</v>
      </c>
      <c r="AF341" s="17">
        <f t="shared" si="539"/>
        <v>1.3821232383908894E-2</v>
      </c>
      <c r="AG341" s="18">
        <f t="shared" si="607"/>
        <v>0.43122003338724618</v>
      </c>
      <c r="AH341" s="19">
        <f t="shared" si="608"/>
        <v>1007.9726482439726</v>
      </c>
      <c r="AI341" s="15">
        <f t="shared" si="540"/>
        <v>5.5159452964879452E-6</v>
      </c>
      <c r="AJ341" s="16">
        <f t="shared" si="541"/>
        <v>27.480685454805684</v>
      </c>
      <c r="AK341" s="17">
        <f t="shared" si="542"/>
        <v>1.3804720692748088E-2</v>
      </c>
      <c r="AL341" s="18">
        <f t="shared" si="609"/>
        <v>0.43181531586006094</v>
      </c>
      <c r="AM341" s="19">
        <f t="shared" si="610"/>
        <v>1004.0741205382589</v>
      </c>
      <c r="AN341" s="15">
        <f t="shared" si="543"/>
        <v>5.5081482410765191E-6</v>
      </c>
      <c r="AO341" s="16">
        <f t="shared" si="544"/>
        <v>27.435852386189978</v>
      </c>
      <c r="AP341" s="17">
        <f t="shared" si="545"/>
        <v>1.3785207052493325E-2</v>
      </c>
      <c r="AQ341" s="18">
        <f t="shared" si="611"/>
        <v>0.43252094750630099</v>
      </c>
      <c r="AR341" s="19">
        <f t="shared" si="612"/>
        <v>999.57585626542368</v>
      </c>
      <c r="AS341" s="15">
        <f t="shared" si="546"/>
        <v>5.4991517125308474E-6</v>
      </c>
      <c r="AT341" s="16">
        <f t="shared" si="547"/>
        <v>27.384122347052372</v>
      </c>
      <c r="AU341" s="17">
        <f t="shared" si="548"/>
        <v>1.3762691498567072E-2</v>
      </c>
      <c r="AV341" s="18">
        <f t="shared" si="613"/>
        <v>0.43333800219437074</v>
      </c>
      <c r="AW341" s="19">
        <f t="shared" si="614"/>
        <v>994.47785739764947</v>
      </c>
      <c r="AX341" s="15">
        <f t="shared" si="549"/>
        <v>5.4889557147952999E-6</v>
      </c>
      <c r="AY341" s="16">
        <f t="shared" si="550"/>
        <v>27.325495360072971</v>
      </c>
      <c r="AZ341" s="17">
        <f t="shared" si="551"/>
        <v>1.3737174040840877E-2</v>
      </c>
      <c r="BA341" s="18">
        <f t="shared" si="615"/>
        <v>0.43426773104567096</v>
      </c>
      <c r="BB341" s="19">
        <f t="shared" si="616"/>
        <v>988.78012244921808</v>
      </c>
      <c r="BC341" s="15">
        <f t="shared" si="552"/>
        <v>5.4775602448984369E-6</v>
      </c>
      <c r="BD341" s="16">
        <f t="shared" si="553"/>
        <v>27.25997140816601</v>
      </c>
      <c r="BE341" s="17">
        <f t="shared" si="554"/>
        <v>1.3708654671878141E-2</v>
      </c>
      <c r="BF341" s="18">
        <f t="shared" si="617"/>
        <v>0.43531156698730578</v>
      </c>
      <c r="BG341" s="19">
        <f t="shared" si="618"/>
        <v>982.48262823090283</v>
      </c>
      <c r="BH341" s="15">
        <f t="shared" si="555"/>
        <v>5.4649652564618061E-6</v>
      </c>
      <c r="BI341" s="16">
        <f t="shared" si="556"/>
        <v>27.187550224655382</v>
      </c>
      <c r="BJ341" s="17">
        <f t="shared" si="557"/>
        <v>1.3677133275607808E-2</v>
      </c>
      <c r="BK341" s="18">
        <f t="shared" si="619"/>
        <v>0.43647113372342522</v>
      </c>
      <c r="BL341" s="19">
        <f t="shared" si="620"/>
        <v>975.58513251009754</v>
      </c>
      <c r="BM341" s="15">
        <f t="shared" si="558"/>
        <v>5.4511702650201954E-6</v>
      </c>
      <c r="BN341" s="16">
        <f t="shared" si="559"/>
        <v>27.108229023866123</v>
      </c>
      <c r="BO341" s="17">
        <f t="shared" si="560"/>
        <v>1.3642608639561918E-2</v>
      </c>
      <c r="BP341" s="18">
        <f t="shared" si="621"/>
        <v>0.43774828887827916</v>
      </c>
      <c r="BQ341" s="19">
        <f t="shared" si="622"/>
        <v>968.08539822000898</v>
      </c>
      <c r="BR341" s="15">
        <f t="shared" si="561"/>
        <v>5.4361707964400176E-6</v>
      </c>
      <c r="BS341" s="16">
        <f t="shared" si="562"/>
        <v>27.021982079530105</v>
      </c>
      <c r="BT341" s="17">
        <f t="shared" si="563"/>
        <v>1.3605069566355219E-2</v>
      </c>
      <c r="BU341" s="18">
        <f t="shared" si="623"/>
        <v>0.43914546441458713</v>
      </c>
      <c r="BV341" s="19">
        <f t="shared" si="624"/>
        <v>959.96529000527016</v>
      </c>
      <c r="BW341" s="15">
        <f t="shared" si="564"/>
        <v>5.4199305800105413E-6</v>
      </c>
      <c r="BX341" s="16">
        <f t="shared" si="565"/>
        <v>26.928600835060607</v>
      </c>
      <c r="BY341" s="17">
        <f t="shared" si="566"/>
        <v>1.3564425281514062E-2</v>
      </c>
      <c r="BZ341" s="18">
        <f t="shared" si="625"/>
        <v>0.44066830439507276</v>
      </c>
      <c r="CA341" s="19">
        <f t="shared" si="626"/>
        <v>951.09790679496552</v>
      </c>
      <c r="CB341" s="15">
        <f t="shared" si="567"/>
        <v>5.4021958135899319E-6</v>
      </c>
      <c r="CC341" s="16">
        <f t="shared" si="568"/>
        <v>26.826625928142104</v>
      </c>
      <c r="CD341" s="17">
        <f t="shared" si="569"/>
        <v>1.3520040596056155E-2</v>
      </c>
      <c r="CE341" s="18">
        <f t="shared" si="627"/>
        <v>0.44234339799212041</v>
      </c>
      <c r="CF341" s="19">
        <f t="shared" si="628"/>
        <v>940.73411141672614</v>
      </c>
      <c r="CG341" s="15">
        <f t="shared" si="570"/>
        <v>5.3814682228334527E-6</v>
      </c>
      <c r="CH341" s="16">
        <f t="shared" si="571"/>
        <v>26.707442281292352</v>
      </c>
      <c r="CI341" s="17">
        <f t="shared" si="572"/>
        <v>1.3468165788449022E-2</v>
      </c>
      <c r="CJ341" s="18">
        <f t="shared" si="629"/>
        <v>0.44431738332464848</v>
      </c>
      <c r="CK341" s="19">
        <f t="shared" si="630"/>
        <v>925.26227076329951</v>
      </c>
      <c r="CL341" s="15">
        <f t="shared" si="573"/>
        <v>5.3505245415265994E-6</v>
      </c>
      <c r="CM341" s="16">
        <f t="shared" si="574"/>
        <v>26.529516113777944</v>
      </c>
      <c r="CN341" s="17">
        <f t="shared" si="575"/>
        <v>1.3390723236957711E-2</v>
      </c>
      <c r="CO341" s="18">
        <f t="shared" si="631"/>
        <v>0.4472972978031462</v>
      </c>
      <c r="CP341" s="19">
        <f t="shared" si="632"/>
        <v>891.15646181043405</v>
      </c>
      <c r="CQ341" s="15">
        <f t="shared" si="576"/>
        <v>5.282312923620869E-6</v>
      </c>
      <c r="CR341" s="16">
        <f t="shared" si="577"/>
        <v>26.137299310819991</v>
      </c>
      <c r="CS341" s="17">
        <f t="shared" si="578"/>
        <v>1.3220010461073474E-2</v>
      </c>
      <c r="CT341" s="18">
        <f t="shared" si="633"/>
        <v>0.45400944943097166</v>
      </c>
      <c r="CU341" s="19">
        <f t="shared" si="634"/>
        <v>802.37138826595367</v>
      </c>
      <c r="CV341" s="15">
        <f t="shared" si="579"/>
        <v>5.1047427765319076E-6</v>
      </c>
      <c r="CW341" s="16">
        <f t="shared" si="580"/>
        <v>25.116270965058469</v>
      </c>
      <c r="CX341" s="17">
        <f t="shared" si="581"/>
        <v>1.2775606800019388E-2</v>
      </c>
      <c r="CY341" s="18">
        <f t="shared" si="635"/>
        <v>0.4724658722716672</v>
      </c>
      <c r="CZ341" s="20">
        <f t="shared" si="585"/>
        <v>603.11253083338136</v>
      </c>
      <c r="DA341" s="15">
        <f t="shared" si="582"/>
        <v>5.5898335122741768E-6</v>
      </c>
      <c r="DB341" s="16">
        <f t="shared" si="583"/>
        <v>36.004736605831937</v>
      </c>
      <c r="DC341" s="17">
        <f t="shared" si="584"/>
        <v>1.3989640253510207E-2</v>
      </c>
      <c r="DD341" s="18">
        <f t="shared" si="636"/>
        <v>0.32958388224386526</v>
      </c>
    </row>
    <row r="342" spans="2:108" x14ac:dyDescent="0.25">
      <c r="B342">
        <v>75</v>
      </c>
      <c r="C342">
        <f t="shared" si="637"/>
        <v>7.3321099975893866E-2</v>
      </c>
      <c r="D342" s="19">
        <f t="shared" si="534"/>
        <v>1018.7820704625789</v>
      </c>
      <c r="E342" s="15">
        <f t="shared" si="586"/>
        <v>5.5375641409251583E-6</v>
      </c>
      <c r="F342" s="16">
        <f t="shared" si="535"/>
        <v>27.604993810319655</v>
      </c>
      <c r="G342" s="17">
        <f t="shared" si="532"/>
        <v>1.3858826035189703E-2</v>
      </c>
      <c r="H342" s="18">
        <f t="shared" si="587"/>
        <v>0.42987080349504658</v>
      </c>
      <c r="I342" s="19">
        <f t="shared" si="588"/>
        <v>1018.4583653987082</v>
      </c>
      <c r="J342" s="15">
        <f t="shared" si="589"/>
        <v>5.5369167307974169E-6</v>
      </c>
      <c r="K342" s="16">
        <f t="shared" si="536"/>
        <v>27.601271202085144</v>
      </c>
      <c r="L342" s="17">
        <f t="shared" si="590"/>
        <v>1.385720576604149E-2</v>
      </c>
      <c r="M342" s="18">
        <f t="shared" si="591"/>
        <v>0.42992878055636202</v>
      </c>
      <c r="N342" s="19">
        <f t="shared" si="592"/>
        <v>1017.5539469646355</v>
      </c>
      <c r="O342" s="15">
        <f t="shared" si="593"/>
        <v>5.5351078939292708E-6</v>
      </c>
      <c r="P342" s="16">
        <f t="shared" si="594"/>
        <v>27.590870390093308</v>
      </c>
      <c r="Q342" s="17">
        <f t="shared" si="533"/>
        <v>1.3858826035189703E-2</v>
      </c>
      <c r="R342" s="18">
        <f t="shared" si="595"/>
        <v>0.43009084896352801</v>
      </c>
      <c r="S342" s="19">
        <f t="shared" si="596"/>
        <v>1016.0531748427318</v>
      </c>
      <c r="T342" s="15">
        <f t="shared" si="597"/>
        <v>5.5321063496854648E-6</v>
      </c>
      <c r="U342" s="16">
        <f t="shared" si="598"/>
        <v>27.573611510691414</v>
      </c>
      <c r="V342" s="17">
        <f t="shared" si="599"/>
        <v>1.3845166856279557E-2</v>
      </c>
      <c r="W342" s="18">
        <f t="shared" si="600"/>
        <v>0.43036005149766982</v>
      </c>
      <c r="X342" s="19">
        <f t="shared" si="601"/>
        <v>1013.953854117591</v>
      </c>
      <c r="Y342" s="15">
        <f t="shared" si="602"/>
        <v>5.5279077082351826E-6</v>
      </c>
      <c r="Z342" s="16">
        <f t="shared" si="603"/>
        <v>27.549469322352294</v>
      </c>
      <c r="AA342" s="17">
        <f t="shared" si="604"/>
        <v>1.3834658943420624E-2</v>
      </c>
      <c r="AB342" s="18">
        <f t="shared" si="605"/>
        <v>0.43073718520196447</v>
      </c>
      <c r="AC342" s="19">
        <f t="shared" si="606"/>
        <v>1011.2548371300751</v>
      </c>
      <c r="AD342" s="15">
        <f t="shared" si="537"/>
        <v>5.5225096742601511E-6</v>
      </c>
      <c r="AE342" s="16">
        <f t="shared" si="538"/>
        <v>27.518430626995862</v>
      </c>
      <c r="AF342" s="17">
        <f t="shared" si="539"/>
        <v>1.3821149318631067E-2</v>
      </c>
      <c r="AG342" s="18">
        <f t="shared" si="607"/>
        <v>0.43122302396404327</v>
      </c>
      <c r="AH342" s="19">
        <f t="shared" si="608"/>
        <v>1007.9560695041301</v>
      </c>
      <c r="AI342" s="15">
        <f t="shared" si="540"/>
        <v>5.5159121390082612E-6</v>
      </c>
      <c r="AJ342" s="16">
        <f t="shared" si="541"/>
        <v>27.480494799297496</v>
      </c>
      <c r="AK342" s="17">
        <f t="shared" si="542"/>
        <v>1.3804637709737685E-2</v>
      </c>
      <c r="AL342" s="18">
        <f t="shared" si="609"/>
        <v>0.43181831172927981</v>
      </c>
      <c r="AM342" s="19">
        <f t="shared" si="610"/>
        <v>1004.0575617728579</v>
      </c>
      <c r="AN342" s="15">
        <f t="shared" si="543"/>
        <v>5.508115123545716E-6</v>
      </c>
      <c r="AO342" s="16">
        <f t="shared" si="544"/>
        <v>27.435661960387865</v>
      </c>
      <c r="AP342" s="17">
        <f t="shared" si="545"/>
        <v>1.378512416946273E-2</v>
      </c>
      <c r="AQ342" s="18">
        <f t="shared" si="611"/>
        <v>0.43252394955336215</v>
      </c>
      <c r="AR342" s="19">
        <f t="shared" si="612"/>
        <v>999.55932099462893</v>
      </c>
      <c r="AS342" s="15">
        <f t="shared" si="546"/>
        <v>5.499118641989258E-6</v>
      </c>
      <c r="AT342" s="16">
        <f t="shared" si="547"/>
        <v>27.383932191438234</v>
      </c>
      <c r="AU342" s="17">
        <f t="shared" si="548"/>
        <v>1.3762608733136079E-2</v>
      </c>
      <c r="AV342" s="18">
        <f t="shared" si="613"/>
        <v>0.4333410113186032</v>
      </c>
      <c r="AW342" s="19">
        <f t="shared" si="614"/>
        <v>994.46134916126721</v>
      </c>
      <c r="AX342" s="15">
        <f t="shared" si="549"/>
        <v>5.4889226983225349E-6</v>
      </c>
      <c r="AY342" s="16">
        <f t="shared" si="550"/>
        <v>27.325305515354572</v>
      </c>
      <c r="AZ342" s="17">
        <f t="shared" si="551"/>
        <v>1.3737091410727582E-2</v>
      </c>
      <c r="BA342" s="18">
        <f t="shared" si="615"/>
        <v>0.43427074815503369</v>
      </c>
      <c r="BB342" s="19">
        <f t="shared" si="616"/>
        <v>988.76364452332541</v>
      </c>
      <c r="BC342" s="15">
        <f t="shared" si="552"/>
        <v>5.477527289046651E-6</v>
      </c>
      <c r="BD342" s="16">
        <f t="shared" si="553"/>
        <v>27.259781912018241</v>
      </c>
      <c r="BE342" s="17">
        <f t="shared" si="554"/>
        <v>1.3708572193480579E-2</v>
      </c>
      <c r="BF342" s="18">
        <f t="shared" si="617"/>
        <v>0.43531459305205161</v>
      </c>
      <c r="BG342" s="19">
        <f t="shared" si="618"/>
        <v>982.46618104552738</v>
      </c>
      <c r="BH342" s="15">
        <f t="shared" si="555"/>
        <v>5.4649323620910555E-6</v>
      </c>
      <c r="BI342" s="16">
        <f t="shared" si="556"/>
        <v>27.187361082023564</v>
      </c>
      <c r="BJ342" s="17">
        <f t="shared" si="557"/>
        <v>1.3677050951078436E-2</v>
      </c>
      <c r="BK342" s="18">
        <f t="shared" si="619"/>
        <v>0.43647417025568358</v>
      </c>
      <c r="BL342" s="19">
        <f t="shared" si="620"/>
        <v>975.56869101048358</v>
      </c>
      <c r="BM342" s="15">
        <f t="shared" si="558"/>
        <v>5.4511373820209679E-6</v>
      </c>
      <c r="BN342" s="16">
        <f t="shared" si="559"/>
        <v>27.108039946620558</v>
      </c>
      <c r="BO342" s="17">
        <f t="shared" si="560"/>
        <v>1.3642526343491983E-2</v>
      </c>
      <c r="BP342" s="18">
        <f t="shared" si="621"/>
        <v>0.43775134215106737</v>
      </c>
      <c r="BQ342" s="19">
        <f t="shared" si="622"/>
        <v>968.06873882498166</v>
      </c>
      <c r="BR342" s="15">
        <f t="shared" si="561"/>
        <v>5.4361374776499638E-6</v>
      </c>
      <c r="BS342" s="16">
        <f t="shared" si="562"/>
        <v>27.021790496487288</v>
      </c>
      <c r="BT342" s="17">
        <f t="shared" si="563"/>
        <v>1.3604986179634397E-2</v>
      </c>
      <c r="BU342" s="18">
        <f t="shared" si="623"/>
        <v>0.4391485779323358</v>
      </c>
      <c r="BV342" s="19">
        <f t="shared" si="624"/>
        <v>959.94686924692371</v>
      </c>
      <c r="BW342" s="15">
        <f t="shared" si="564"/>
        <v>5.4198937384938477E-6</v>
      </c>
      <c r="BX342" s="16">
        <f t="shared" si="565"/>
        <v>26.928388996339621</v>
      </c>
      <c r="BY342" s="17">
        <f t="shared" si="566"/>
        <v>1.3564333078488013E-2</v>
      </c>
      <c r="BZ342" s="18">
        <f t="shared" si="625"/>
        <v>0.4406717710194592</v>
      </c>
      <c r="CA342" s="19">
        <f t="shared" si="626"/>
        <v>951.06891369150139</v>
      </c>
      <c r="CB342" s="15">
        <f t="shared" si="567"/>
        <v>5.4021378273830033E-6</v>
      </c>
      <c r="CC342" s="16">
        <f t="shared" si="568"/>
        <v>26.826292507452266</v>
      </c>
      <c r="CD342" s="17">
        <f t="shared" si="569"/>
        <v>1.3519895474350327E-2</v>
      </c>
      <c r="CE342" s="18">
        <f t="shared" si="627"/>
        <v>0.4423488958238041</v>
      </c>
      <c r="CF342" s="19">
        <f t="shared" si="628"/>
        <v>940.65413570669421</v>
      </c>
      <c r="CG342" s="15">
        <f t="shared" si="570"/>
        <v>5.381308271413389E-6</v>
      </c>
      <c r="CH342" s="16">
        <f t="shared" si="571"/>
        <v>26.706522560626983</v>
      </c>
      <c r="CI342" s="17">
        <f t="shared" si="572"/>
        <v>1.3467765479062378E-2</v>
      </c>
      <c r="CJ342" s="18">
        <f t="shared" si="629"/>
        <v>0.4443326847506765</v>
      </c>
      <c r="CK342" s="19">
        <f t="shared" si="630"/>
        <v>924.99167460836009</v>
      </c>
      <c r="CL342" s="15">
        <f t="shared" si="573"/>
        <v>5.3499833492167202E-6</v>
      </c>
      <c r="CM342" s="16">
        <f t="shared" si="574"/>
        <v>26.526404257996141</v>
      </c>
      <c r="CN342" s="17">
        <f t="shared" si="575"/>
        <v>1.3389368798456716E-2</v>
      </c>
      <c r="CO342" s="18">
        <f t="shared" si="631"/>
        <v>0.44734977097926215</v>
      </c>
      <c r="CP342" s="19">
        <f t="shared" si="632"/>
        <v>890.37863454486285</v>
      </c>
      <c r="CQ342" s="15">
        <f t="shared" si="576"/>
        <v>5.2807572690897264E-6</v>
      </c>
      <c r="CR342" s="16">
        <f t="shared" si="577"/>
        <v>26.128354297265922</v>
      </c>
      <c r="CS342" s="17">
        <f t="shared" si="578"/>
        <v>1.3216117134518821E-2</v>
      </c>
      <c r="CT342" s="18">
        <f t="shared" si="633"/>
        <v>0.4541648790700768</v>
      </c>
      <c r="CU342" s="19">
        <f t="shared" si="634"/>
        <v>800.81117426275091</v>
      </c>
      <c r="CV342" s="15">
        <f t="shared" si="579"/>
        <v>5.1016223485255024E-6</v>
      </c>
      <c r="CW342" s="16">
        <f t="shared" si="580"/>
        <v>25.098328504021637</v>
      </c>
      <c r="CX342" s="17">
        <f t="shared" si="581"/>
        <v>1.2767797324987486E-2</v>
      </c>
      <c r="CY342" s="18">
        <f t="shared" si="635"/>
        <v>0.47280363183613816</v>
      </c>
      <c r="CZ342" s="20">
        <f t="shared" si="585"/>
        <v>601.39547903973369</v>
      </c>
      <c r="DA342" s="15">
        <f t="shared" si="582"/>
        <v>5.6186425771514034E-6</v>
      </c>
      <c r="DB342" s="16">
        <f t="shared" si="583"/>
        <v>36.054531107847723</v>
      </c>
      <c r="DC342" s="17">
        <f t="shared" si="584"/>
        <v>1.4061740514240237E-2</v>
      </c>
      <c r="DD342" s="18">
        <f t="shared" si="636"/>
        <v>0.32912869770021741</v>
      </c>
    </row>
    <row r="343" spans="2:108" x14ac:dyDescent="0.25">
      <c r="B343">
        <v>76</v>
      </c>
      <c r="C343">
        <f t="shared" si="637"/>
        <v>7.4298714642239111E-2</v>
      </c>
      <c r="D343" s="19">
        <f t="shared" si="534"/>
        <v>1018.7655437172671</v>
      </c>
      <c r="E343" s="15">
        <f t="shared" si="586"/>
        <v>5.5375310874345344E-6</v>
      </c>
      <c r="F343" s="16">
        <f t="shared" si="535"/>
        <v>27.60480375274857</v>
      </c>
      <c r="G343" s="17">
        <f t="shared" si="532"/>
        <v>1.385874331243205E-2</v>
      </c>
      <c r="H343" s="18">
        <f t="shared" si="587"/>
        <v>0.42987376313212733</v>
      </c>
      <c r="I343" s="19">
        <f t="shared" si="588"/>
        <v>1018.4418073170156</v>
      </c>
      <c r="J343" s="15">
        <f t="shared" si="589"/>
        <v>5.5368836146340316E-6</v>
      </c>
      <c r="K343" s="16">
        <f t="shared" si="536"/>
        <v>27.60108078414568</v>
      </c>
      <c r="L343" s="17">
        <f t="shared" si="590"/>
        <v>1.3857122886433121E-2</v>
      </c>
      <c r="M343" s="18">
        <f t="shared" si="591"/>
        <v>0.42993174660516098</v>
      </c>
      <c r="N343" s="19">
        <f t="shared" si="592"/>
        <v>1017.5373509630247</v>
      </c>
      <c r="O343" s="15">
        <f t="shared" si="593"/>
        <v>5.5350747019260503E-6</v>
      </c>
      <c r="P343" s="16">
        <f t="shared" si="594"/>
        <v>27.590679536074781</v>
      </c>
      <c r="Q343" s="17">
        <f t="shared" si="533"/>
        <v>1.385874331243205E-2</v>
      </c>
      <c r="R343" s="18">
        <f t="shared" si="595"/>
        <v>0.43009382404671687</v>
      </c>
      <c r="S343" s="19">
        <f t="shared" si="596"/>
        <v>1016.0365642508348</v>
      </c>
      <c r="T343" s="15">
        <f t="shared" si="597"/>
        <v>5.5320731285016704E-6</v>
      </c>
      <c r="U343" s="16">
        <f t="shared" si="598"/>
        <v>27.573420488884601</v>
      </c>
      <c r="V343" s="17">
        <f t="shared" si="599"/>
        <v>1.3845083713837289E-2</v>
      </c>
      <c r="W343" s="18">
        <f t="shared" si="600"/>
        <v>0.43036303292518807</v>
      </c>
      <c r="X343" s="19">
        <f t="shared" si="601"/>
        <v>1013.9372470992207</v>
      </c>
      <c r="Y343" s="15">
        <f t="shared" si="602"/>
        <v>5.5278744941984421E-6</v>
      </c>
      <c r="Z343" s="16">
        <f t="shared" si="603"/>
        <v>27.549278341641035</v>
      </c>
      <c r="AA343" s="17">
        <f t="shared" si="604"/>
        <v>1.3834575818865243E-2</v>
      </c>
      <c r="AB343" s="18">
        <f t="shared" si="605"/>
        <v>0.43074017121462788</v>
      </c>
      <c r="AC343" s="19">
        <f t="shared" si="606"/>
        <v>1011.2382421537973</v>
      </c>
      <c r="AD343" s="15">
        <f t="shared" si="537"/>
        <v>5.5224764843075948E-6</v>
      </c>
      <c r="AE343" s="16">
        <f t="shared" si="538"/>
        <v>27.518239784768667</v>
      </c>
      <c r="AF343" s="17">
        <f t="shared" si="539"/>
        <v>1.3821066254351018E-2</v>
      </c>
      <c r="AG343" s="18">
        <f t="shared" si="607"/>
        <v>0.43122601454639714</v>
      </c>
      <c r="AH343" s="19">
        <f t="shared" si="608"/>
        <v>1007.9394909547688</v>
      </c>
      <c r="AI343" s="15">
        <f t="shared" si="540"/>
        <v>5.5158789819095379E-6</v>
      </c>
      <c r="AJ343" s="16">
        <f t="shared" si="541"/>
        <v>27.48030414597984</v>
      </c>
      <c r="AK343" s="17">
        <f t="shared" si="542"/>
        <v>1.3804554727680713E-2</v>
      </c>
      <c r="AL343" s="18">
        <f t="shared" si="609"/>
        <v>0.43182130760564708</v>
      </c>
      <c r="AM343" s="19">
        <f t="shared" si="610"/>
        <v>1004.041003198451</v>
      </c>
      <c r="AN343" s="15">
        <f t="shared" si="543"/>
        <v>5.5080820063969027E-6</v>
      </c>
      <c r="AO343" s="16">
        <f t="shared" si="544"/>
        <v>27.435471536782188</v>
      </c>
      <c r="AP343" s="17">
        <f t="shared" si="545"/>
        <v>1.3785041287388137E-2</v>
      </c>
      <c r="AQ343" s="18">
        <f t="shared" si="611"/>
        <v>0.43252695160746957</v>
      </c>
      <c r="AR343" s="19">
        <f t="shared" si="612"/>
        <v>999.54278591558182</v>
      </c>
      <c r="AS343" s="15">
        <f t="shared" si="546"/>
        <v>5.4990855718311636E-6</v>
      </c>
      <c r="AT343" s="16">
        <f t="shared" si="547"/>
        <v>27.38374203802919</v>
      </c>
      <c r="AU343" s="17">
        <f t="shared" si="548"/>
        <v>1.3762525968664854E-2</v>
      </c>
      <c r="AV343" s="18">
        <f t="shared" si="613"/>
        <v>0.43334402044973169</v>
      </c>
      <c r="AW343" s="19">
        <f t="shared" si="614"/>
        <v>994.44484111309293</v>
      </c>
      <c r="AX343" s="15">
        <f t="shared" si="549"/>
        <v>5.4888896822261863E-6</v>
      </c>
      <c r="AY343" s="16">
        <f t="shared" si="550"/>
        <v>27.325115672800568</v>
      </c>
      <c r="AZ343" s="17">
        <f t="shared" si="551"/>
        <v>1.3737008781556342E-2</v>
      </c>
      <c r="BA343" s="18">
        <f t="shared" si="615"/>
        <v>0.43427376527192157</v>
      </c>
      <c r="BB343" s="19">
        <f t="shared" si="616"/>
        <v>988.74716674438832</v>
      </c>
      <c r="BC343" s="15">
        <f t="shared" si="552"/>
        <v>5.4774943334887771E-6</v>
      </c>
      <c r="BD343" s="16">
        <f t="shared" si="553"/>
        <v>27.259592417560462</v>
      </c>
      <c r="BE343" s="17">
        <f t="shared" si="554"/>
        <v>1.3708489715818587E-2</v>
      </c>
      <c r="BF343" s="18">
        <f t="shared" si="617"/>
        <v>0.43531761913188105</v>
      </c>
      <c r="BG343" s="19">
        <f t="shared" si="618"/>
        <v>982.44973363834129</v>
      </c>
      <c r="BH343" s="15">
        <f t="shared" si="555"/>
        <v>5.4648994672766832E-6</v>
      </c>
      <c r="BI343" s="16">
        <f t="shared" si="556"/>
        <v>27.187171936840926</v>
      </c>
      <c r="BJ343" s="17">
        <f t="shared" si="557"/>
        <v>1.3676968625438813E-2</v>
      </c>
      <c r="BK343" s="18">
        <f t="shared" si="619"/>
        <v>0.43647720687114477</v>
      </c>
      <c r="BL343" s="19">
        <f t="shared" si="620"/>
        <v>975.55224643098973</v>
      </c>
      <c r="BM343" s="15">
        <f t="shared" si="558"/>
        <v>5.4511044928619797E-6</v>
      </c>
      <c r="BN343" s="16">
        <f t="shared" si="559"/>
        <v>27.10785083395638</v>
      </c>
      <c r="BO343" s="17">
        <f t="shared" si="560"/>
        <v>1.3642444032006056E-2</v>
      </c>
      <c r="BP343" s="18">
        <f t="shared" si="621"/>
        <v>0.43775439603841054</v>
      </c>
      <c r="BQ343" s="19">
        <f t="shared" si="622"/>
        <v>968.05205743525778</v>
      </c>
      <c r="BR343" s="15">
        <f t="shared" si="561"/>
        <v>5.4361041148705159E-6</v>
      </c>
      <c r="BS343" s="16">
        <f t="shared" si="562"/>
        <v>27.021598660505461</v>
      </c>
      <c r="BT343" s="17">
        <f t="shared" si="563"/>
        <v>1.36049026828216E-2</v>
      </c>
      <c r="BU343" s="18">
        <f t="shared" si="623"/>
        <v>0.43915169560496775</v>
      </c>
      <c r="BV343" s="19">
        <f t="shared" si="624"/>
        <v>959.92832273626163</v>
      </c>
      <c r="BW343" s="15">
        <f t="shared" si="564"/>
        <v>5.419856645472523E-6</v>
      </c>
      <c r="BX343" s="16">
        <f t="shared" si="565"/>
        <v>26.928175711467006</v>
      </c>
      <c r="BY343" s="17">
        <f t="shared" si="566"/>
        <v>1.3564240246022947E-2</v>
      </c>
      <c r="BZ343" s="18">
        <f t="shared" si="625"/>
        <v>0.44067526136442553</v>
      </c>
      <c r="CA343" s="19">
        <f t="shared" si="626"/>
        <v>951.03934482042905</v>
      </c>
      <c r="CB343" s="15">
        <f t="shared" si="567"/>
        <v>5.4020786896408588E-6</v>
      </c>
      <c r="CC343" s="16">
        <f t="shared" si="568"/>
        <v>26.825952465434931</v>
      </c>
      <c r="CD343" s="17">
        <f t="shared" si="569"/>
        <v>1.3519747470704745E-2</v>
      </c>
      <c r="CE343" s="18">
        <f t="shared" si="627"/>
        <v>0.44235450297647072</v>
      </c>
      <c r="CF343" s="19">
        <f t="shared" si="628"/>
        <v>940.57217092846997</v>
      </c>
      <c r="CG343" s="15">
        <f t="shared" si="570"/>
        <v>5.3811443418569405E-6</v>
      </c>
      <c r="CH343" s="16">
        <f t="shared" si="571"/>
        <v>26.705579965677401</v>
      </c>
      <c r="CI343" s="17">
        <f t="shared" si="572"/>
        <v>1.3467355213619484E-2</v>
      </c>
      <c r="CJ343" s="18">
        <f t="shared" si="629"/>
        <v>0.44434836783058407</v>
      </c>
      <c r="CK343" s="19">
        <f t="shared" si="630"/>
        <v>924.71654637014751</v>
      </c>
      <c r="CL343" s="15">
        <f t="shared" si="573"/>
        <v>5.3494330927402951E-6</v>
      </c>
      <c r="CM343" s="16">
        <f t="shared" si="574"/>
        <v>26.523240283256698</v>
      </c>
      <c r="CN343" s="17">
        <f t="shared" si="575"/>
        <v>1.3387991675124609E-2</v>
      </c>
      <c r="CO343" s="18">
        <f t="shared" si="631"/>
        <v>0.44740313562701856</v>
      </c>
      <c r="CP343" s="19">
        <f t="shared" si="632"/>
        <v>889.59672390488583</v>
      </c>
      <c r="CQ343" s="15">
        <f t="shared" si="576"/>
        <v>5.2791934478097718E-6</v>
      </c>
      <c r="CR343" s="16">
        <f t="shared" si="577"/>
        <v>26.119362324906184</v>
      </c>
      <c r="CS343" s="17">
        <f t="shared" si="578"/>
        <v>1.3212203369094623E-2</v>
      </c>
      <c r="CT343" s="18">
        <f t="shared" si="633"/>
        <v>0.45432123196983604</v>
      </c>
      <c r="CU343" s="19">
        <f t="shared" si="634"/>
        <v>799.2593606161131</v>
      </c>
      <c r="CV343" s="15">
        <f t="shared" si="579"/>
        <v>5.0985187212322268E-6</v>
      </c>
      <c r="CW343" s="16">
        <f t="shared" si="580"/>
        <v>25.080482647085297</v>
      </c>
      <c r="CX343" s="17">
        <f t="shared" si="581"/>
        <v>1.2760029896991902E-2</v>
      </c>
      <c r="CY343" s="18">
        <f t="shared" si="635"/>
        <v>0.47314005223487837</v>
      </c>
      <c r="CZ343" s="20">
        <f t="shared" si="585"/>
        <v>599.69884939294263</v>
      </c>
      <c r="DA343" s="15">
        <f t="shared" si="582"/>
        <v>5.6470340781701228E-6</v>
      </c>
      <c r="DB343" s="16">
        <f t="shared" si="583"/>
        <v>36.103733367604661</v>
      </c>
      <c r="DC343" s="17">
        <f t="shared" si="584"/>
        <v>1.4132795740596607E-2</v>
      </c>
      <c r="DD343" s="18">
        <f t="shared" si="636"/>
        <v>0.32868016027299835</v>
      </c>
    </row>
    <row r="344" spans="2:108" x14ac:dyDescent="0.25">
      <c r="B344">
        <v>77</v>
      </c>
      <c r="C344">
        <f t="shared" si="637"/>
        <v>7.5276329308584355E-2</v>
      </c>
      <c r="D344" s="19">
        <f t="shared" si="534"/>
        <v>1018.749015372078</v>
      </c>
      <c r="E344" s="15">
        <f t="shared" si="586"/>
        <v>5.5374980307441563E-6</v>
      </c>
      <c r="F344" s="16">
        <f t="shared" si="535"/>
        <v>27.604613676778897</v>
      </c>
      <c r="G344" s="17">
        <f t="shared" si="532"/>
        <v>1.3858660581666394E-2</v>
      </c>
      <c r="H344" s="18">
        <f t="shared" si="587"/>
        <v>0.42987672309647684</v>
      </c>
      <c r="I344" s="19">
        <f t="shared" si="588"/>
        <v>1018.4252487630288</v>
      </c>
      <c r="J344" s="15">
        <f t="shared" si="589"/>
        <v>5.5368504975260581E-6</v>
      </c>
      <c r="K344" s="16">
        <f t="shared" si="536"/>
        <v>27.60089036077483</v>
      </c>
      <c r="L344" s="17">
        <f t="shared" si="590"/>
        <v>1.385704000446074E-2</v>
      </c>
      <c r="M344" s="18">
        <f t="shared" si="591"/>
        <v>0.42993471277948919</v>
      </c>
      <c r="N344" s="19">
        <f t="shared" si="592"/>
        <v>1017.5207552020481</v>
      </c>
      <c r="O344" s="15">
        <f t="shared" si="593"/>
        <v>5.5350415104040969E-6</v>
      </c>
      <c r="P344" s="16">
        <f t="shared" si="594"/>
        <v>27.590488684823555</v>
      </c>
      <c r="Q344" s="17">
        <f t="shared" si="533"/>
        <v>1.3858660581666394E-2</v>
      </c>
      <c r="R344" s="18">
        <f t="shared" si="595"/>
        <v>0.43009679912792698</v>
      </c>
      <c r="S344" s="19">
        <f t="shared" si="596"/>
        <v>1016.0199539843758</v>
      </c>
      <c r="T344" s="15">
        <f t="shared" si="597"/>
        <v>5.5320399079687522E-6</v>
      </c>
      <c r="U344" s="16">
        <f t="shared" si="598"/>
        <v>27.573229470820323</v>
      </c>
      <c r="V344" s="17">
        <f t="shared" si="599"/>
        <v>1.3845000573023968E-2</v>
      </c>
      <c r="W344" s="18">
        <f t="shared" si="600"/>
        <v>0.43036601433560184</v>
      </c>
      <c r="X344" s="19">
        <f t="shared" si="601"/>
        <v>1013.9206403248489</v>
      </c>
      <c r="Y344" s="15">
        <f t="shared" si="602"/>
        <v>5.5278412806496976E-6</v>
      </c>
      <c r="Z344" s="16">
        <f t="shared" si="603"/>
        <v>27.549087363735762</v>
      </c>
      <c r="AA344" s="17">
        <f t="shared" si="604"/>
        <v>1.3834492695531166E-2</v>
      </c>
      <c r="AB344" s="18">
        <f t="shared" si="605"/>
        <v>0.43074315722481865</v>
      </c>
      <c r="AC344" s="19">
        <f t="shared" si="606"/>
        <v>1011.2216473772756</v>
      </c>
      <c r="AD344" s="15">
        <f t="shared" si="537"/>
        <v>5.5224432947545518E-6</v>
      </c>
      <c r="AE344" s="16">
        <f t="shared" si="538"/>
        <v>27.518048944838668</v>
      </c>
      <c r="AF344" s="17">
        <f t="shared" si="539"/>
        <v>1.3820983191070828E-2</v>
      </c>
      <c r="AG344" s="18">
        <f t="shared" si="607"/>
        <v>0.43122900513423262</v>
      </c>
      <c r="AH344" s="19">
        <f t="shared" si="608"/>
        <v>1007.9229125960061</v>
      </c>
      <c r="AI344" s="15">
        <f t="shared" si="540"/>
        <v>5.5158458251920134E-6</v>
      </c>
      <c r="AJ344" s="16">
        <f t="shared" si="541"/>
        <v>27.48011349485407</v>
      </c>
      <c r="AK344" s="17">
        <f t="shared" si="542"/>
        <v>1.3804471746577762E-2</v>
      </c>
      <c r="AL344" s="18">
        <f t="shared" si="609"/>
        <v>0.43182430348914086</v>
      </c>
      <c r="AM344" s="19">
        <f t="shared" si="610"/>
        <v>1004.0244448150406</v>
      </c>
      <c r="AN344" s="15">
        <f t="shared" si="543"/>
        <v>5.5080488896300818E-6</v>
      </c>
      <c r="AO344" s="16">
        <f t="shared" si="544"/>
        <v>27.435281115372966</v>
      </c>
      <c r="AP344" s="17">
        <f t="shared" si="545"/>
        <v>1.3784958406269554E-2</v>
      </c>
      <c r="AQ344" s="18">
        <f t="shared" si="611"/>
        <v>0.43252995366862235</v>
      </c>
      <c r="AR344" s="19">
        <f t="shared" si="612"/>
        <v>999.52625102821833</v>
      </c>
      <c r="AS344" s="15">
        <f t="shared" si="546"/>
        <v>5.4990525020564364E-6</v>
      </c>
      <c r="AT344" s="16">
        <f t="shared" si="547"/>
        <v>27.38355188682451</v>
      </c>
      <c r="AU344" s="17">
        <f t="shared" si="548"/>
        <v>1.3762443205153081E-2</v>
      </c>
      <c r="AV344" s="18">
        <f t="shared" si="613"/>
        <v>0.43334702958776716</v>
      </c>
      <c r="AW344" s="19">
        <f t="shared" si="614"/>
        <v>994.42833325257118</v>
      </c>
      <c r="AX344" s="15">
        <f t="shared" si="549"/>
        <v>5.4888566665051427E-6</v>
      </c>
      <c r="AY344" s="16">
        <f t="shared" si="550"/>
        <v>27.324925832404567</v>
      </c>
      <c r="AZ344" s="17">
        <f t="shared" si="551"/>
        <v>1.3736926153324376E-2</v>
      </c>
      <c r="BA344" s="18">
        <f t="shared" si="615"/>
        <v>0.43427678239643552</v>
      </c>
      <c r="BB344" s="19">
        <f t="shared" si="616"/>
        <v>988.73068910762458</v>
      </c>
      <c r="BC344" s="15">
        <f t="shared" si="552"/>
        <v>5.4774613782152497E-6</v>
      </c>
      <c r="BD344" s="16">
        <f t="shared" si="553"/>
        <v>27.259402924737682</v>
      </c>
      <c r="BE344" s="17">
        <f t="shared" si="554"/>
        <v>1.370840723886823E-2</v>
      </c>
      <c r="BF344" s="18">
        <f t="shared" si="617"/>
        <v>0.43532064522767205</v>
      </c>
      <c r="BG344" s="19">
        <f t="shared" si="618"/>
        <v>982.43328597321249</v>
      </c>
      <c r="BH344" s="15">
        <f t="shared" si="555"/>
        <v>5.4648665719464254E-6</v>
      </c>
      <c r="BI344" s="16">
        <f t="shared" si="556"/>
        <v>27.186982788691942</v>
      </c>
      <c r="BJ344" s="17">
        <f t="shared" si="557"/>
        <v>1.3676886298508089E-2</v>
      </c>
      <c r="BK344" s="18">
        <f t="shared" si="619"/>
        <v>0.43648024357648257</v>
      </c>
      <c r="BL344" s="19">
        <f t="shared" si="620"/>
        <v>975.53579853964175</v>
      </c>
      <c r="BM344" s="15">
        <f t="shared" si="558"/>
        <v>5.4510715970792835E-6</v>
      </c>
      <c r="BN344" s="16">
        <f t="shared" si="559"/>
        <v>27.10766168320588</v>
      </c>
      <c r="BO344" s="17">
        <f t="shared" si="560"/>
        <v>1.3642361703943015E-2</v>
      </c>
      <c r="BP344" s="18">
        <f t="shared" si="621"/>
        <v>0.43775745058341381</v>
      </c>
      <c r="BQ344" s="19">
        <f t="shared" si="622"/>
        <v>968.03535282930113</v>
      </c>
      <c r="BR344" s="15">
        <f t="shared" si="561"/>
        <v>5.4360707056586031E-6</v>
      </c>
      <c r="BS344" s="16">
        <f t="shared" si="562"/>
        <v>27.021406557536963</v>
      </c>
      <c r="BT344" s="17">
        <f t="shared" si="563"/>
        <v>1.3604819069802576E-2</v>
      </c>
      <c r="BU344" s="18">
        <f t="shared" si="623"/>
        <v>0.43915481766096315</v>
      </c>
      <c r="BV344" s="19">
        <f t="shared" si="624"/>
        <v>959.90964549514467</v>
      </c>
      <c r="BW344" s="15">
        <f t="shared" si="564"/>
        <v>5.4198192909902896E-6</v>
      </c>
      <c r="BX344" s="16">
        <f t="shared" si="565"/>
        <v>26.927960923194163</v>
      </c>
      <c r="BY344" s="17">
        <f t="shared" si="566"/>
        <v>1.3564146759201354E-2</v>
      </c>
      <c r="BZ344" s="18">
        <f t="shared" si="625"/>
        <v>0.44067877636797681</v>
      </c>
      <c r="CA344" s="19">
        <f t="shared" si="626"/>
        <v>951.009186282467</v>
      </c>
      <c r="CB344" s="15">
        <f t="shared" si="567"/>
        <v>5.4020183725649348E-6</v>
      </c>
      <c r="CC344" s="16">
        <f t="shared" si="568"/>
        <v>26.82560564224837</v>
      </c>
      <c r="CD344" s="17">
        <f t="shared" si="569"/>
        <v>1.3519596515548127E-2</v>
      </c>
      <c r="CE344" s="18">
        <f t="shared" si="627"/>
        <v>0.44236022209425535</v>
      </c>
      <c r="CF344" s="19">
        <f t="shared" si="628"/>
        <v>940.48820019917275</v>
      </c>
      <c r="CG344" s="15">
        <f t="shared" si="570"/>
        <v>5.3809764003983466E-6</v>
      </c>
      <c r="CH344" s="16">
        <f t="shared" si="571"/>
        <v>26.704614302290487</v>
      </c>
      <c r="CI344" s="17">
        <f t="shared" si="572"/>
        <v>1.3466934907614981E-2</v>
      </c>
      <c r="CJ344" s="18">
        <f t="shared" si="629"/>
        <v>0.44436443587579122</v>
      </c>
      <c r="CK344" s="19">
        <f t="shared" si="630"/>
        <v>924.43692599362407</v>
      </c>
      <c r="CL344" s="15">
        <f t="shared" si="573"/>
        <v>5.3488738519872489E-6</v>
      </c>
      <c r="CM344" s="16">
        <f t="shared" si="574"/>
        <v>26.520024648926675</v>
      </c>
      <c r="CN344" s="17">
        <f t="shared" si="575"/>
        <v>1.3386592066901386E-2</v>
      </c>
      <c r="CO344" s="18">
        <f t="shared" si="631"/>
        <v>0.44745738462947338</v>
      </c>
      <c r="CP344" s="19">
        <f t="shared" si="632"/>
        <v>888.81089798406765</v>
      </c>
      <c r="CQ344" s="15">
        <f t="shared" si="576"/>
        <v>5.2776217959681363E-6</v>
      </c>
      <c r="CR344" s="16">
        <f t="shared" si="577"/>
        <v>26.110325326816778</v>
      </c>
      <c r="CS344" s="17">
        <f t="shared" si="578"/>
        <v>1.320827000617425E-2</v>
      </c>
      <c r="CT344" s="18">
        <f t="shared" si="633"/>
        <v>0.45447847628042576</v>
      </c>
      <c r="CU344" s="19">
        <f t="shared" si="634"/>
        <v>797.71594732935625</v>
      </c>
      <c r="CV344" s="15">
        <f t="shared" si="579"/>
        <v>5.0954318946587124E-6</v>
      </c>
      <c r="CW344" s="16">
        <f t="shared" si="580"/>
        <v>25.062733394287598</v>
      </c>
      <c r="CX344" s="17">
        <f t="shared" si="581"/>
        <v>1.2752304516049227E-2</v>
      </c>
      <c r="CY344" s="18">
        <f t="shared" si="635"/>
        <v>0.4734751267163293</v>
      </c>
      <c r="CZ344" s="20">
        <f t="shared" si="585"/>
        <v>598.02211367797759</v>
      </c>
      <c r="DA344" s="15">
        <f t="shared" si="582"/>
        <v>5.6750204324079093E-6</v>
      </c>
      <c r="DB344" s="16">
        <f t="shared" si="583"/>
        <v>36.152358703338649</v>
      </c>
      <c r="DC344" s="17">
        <f t="shared" si="584"/>
        <v>1.4202837008719214E-2</v>
      </c>
      <c r="DD344" s="18">
        <f t="shared" si="636"/>
        <v>0.32823808170010293</v>
      </c>
    </row>
    <row r="345" spans="2:108" x14ac:dyDescent="0.25">
      <c r="B345">
        <v>78</v>
      </c>
      <c r="C345">
        <f t="shared" si="637"/>
        <v>7.6253943974929614E-2</v>
      </c>
      <c r="D345" s="19">
        <f t="shared" si="534"/>
        <v>1018.7324854845804</v>
      </c>
      <c r="E345" s="15">
        <f t="shared" si="586"/>
        <v>5.5374649709691612E-6</v>
      </c>
      <c r="F345" s="16">
        <f t="shared" si="535"/>
        <v>27.604423583072673</v>
      </c>
      <c r="G345" s="17">
        <f t="shared" si="532"/>
        <v>1.3858577843180887E-2</v>
      </c>
      <c r="H345" s="18">
        <f t="shared" si="587"/>
        <v>0.42987968337779792</v>
      </c>
      <c r="I345" s="19">
        <f t="shared" si="588"/>
        <v>1018.4086897437708</v>
      </c>
      <c r="J345" s="15">
        <f t="shared" si="589"/>
        <v>5.5368173794875425E-6</v>
      </c>
      <c r="K345" s="16">
        <f t="shared" si="536"/>
        <v>27.600699932053363</v>
      </c>
      <c r="L345" s="17">
        <f t="shared" si="590"/>
        <v>1.3856957120159497E-2</v>
      </c>
      <c r="M345" s="18">
        <f t="shared" si="591"/>
        <v>0.42993767907809288</v>
      </c>
      <c r="N345" s="19">
        <f t="shared" si="592"/>
        <v>1017.5041596757667</v>
      </c>
      <c r="O345" s="15">
        <f t="shared" si="593"/>
        <v>5.5350083193515337E-6</v>
      </c>
      <c r="P345" s="16">
        <f t="shared" si="594"/>
        <v>27.590297836271318</v>
      </c>
      <c r="Q345" s="17">
        <f t="shared" si="533"/>
        <v>1.3858577843180887E-2</v>
      </c>
      <c r="R345" s="18">
        <f t="shared" si="595"/>
        <v>0.43009977420822232</v>
      </c>
      <c r="S345" s="19">
        <f t="shared" si="596"/>
        <v>1016.0033440410652</v>
      </c>
      <c r="T345" s="15">
        <f t="shared" si="597"/>
        <v>5.5320066880821303E-6</v>
      </c>
      <c r="U345" s="16">
        <f t="shared" si="598"/>
        <v>27.573038456472247</v>
      </c>
      <c r="V345" s="17">
        <f t="shared" si="599"/>
        <v>1.3844917433828124E-2</v>
      </c>
      <c r="W345" s="18">
        <f t="shared" si="600"/>
        <v>0.43036899572932064</v>
      </c>
      <c r="X345" s="19">
        <f t="shared" si="601"/>
        <v>1013.9040337947695</v>
      </c>
      <c r="Y345" s="15">
        <f t="shared" si="602"/>
        <v>5.5278080675895396E-6</v>
      </c>
      <c r="Z345" s="16">
        <f t="shared" si="603"/>
        <v>27.548896388639847</v>
      </c>
      <c r="AA345" s="17">
        <f t="shared" si="604"/>
        <v>1.383440957341987E-2</v>
      </c>
      <c r="AB345" s="18">
        <f t="shared" si="605"/>
        <v>0.43074614323248323</v>
      </c>
      <c r="AC345" s="19">
        <f t="shared" si="606"/>
        <v>1011.2050528009189</v>
      </c>
      <c r="AD345" s="15">
        <f t="shared" si="537"/>
        <v>5.5224101056018385E-6</v>
      </c>
      <c r="AE345" s="16">
        <f t="shared" si="538"/>
        <v>27.517858107210564</v>
      </c>
      <c r="AF345" s="17">
        <f t="shared" si="539"/>
        <v>1.3820900128792541E-2</v>
      </c>
      <c r="AG345" s="18">
        <f t="shared" si="607"/>
        <v>0.43123199572747534</v>
      </c>
      <c r="AH345" s="19">
        <f t="shared" si="608"/>
        <v>1007.9063344279617</v>
      </c>
      <c r="AI345" s="15">
        <f t="shared" si="540"/>
        <v>5.5158126688559238E-6</v>
      </c>
      <c r="AJ345" s="16">
        <f t="shared" si="541"/>
        <v>27.479922845921557</v>
      </c>
      <c r="AK345" s="17">
        <f t="shared" si="542"/>
        <v>1.3804388766429426E-2</v>
      </c>
      <c r="AL345" s="18">
        <f t="shared" si="609"/>
        <v>0.43182729937973902</v>
      </c>
      <c r="AM345" s="19">
        <f t="shared" si="610"/>
        <v>1004.0078866226295</v>
      </c>
      <c r="AN345" s="15">
        <f t="shared" si="543"/>
        <v>5.5080157732452592E-6</v>
      </c>
      <c r="AO345" s="16">
        <f t="shared" si="544"/>
        <v>27.435090696160238</v>
      </c>
      <c r="AP345" s="17">
        <f t="shared" si="545"/>
        <v>1.3784875526106998E-2</v>
      </c>
      <c r="AQ345" s="18">
        <f t="shared" si="611"/>
        <v>0.43253295573681927</v>
      </c>
      <c r="AR345" s="19">
        <f t="shared" si="612"/>
        <v>999.50971633246843</v>
      </c>
      <c r="AS345" s="15">
        <f t="shared" si="546"/>
        <v>5.4990194326649373E-6</v>
      </c>
      <c r="AT345" s="16">
        <f t="shared" si="547"/>
        <v>27.383361737823385</v>
      </c>
      <c r="AU345" s="17">
        <f t="shared" si="548"/>
        <v>1.3762360442600412E-2</v>
      </c>
      <c r="AV345" s="18">
        <f t="shared" si="613"/>
        <v>0.43335003873272188</v>
      </c>
      <c r="AW345" s="19">
        <f t="shared" si="614"/>
        <v>994.41182557909156</v>
      </c>
      <c r="AX345" s="15">
        <f t="shared" si="549"/>
        <v>5.4888236511581836E-6</v>
      </c>
      <c r="AY345" s="16">
        <f t="shared" si="550"/>
        <v>27.324735994159553</v>
      </c>
      <c r="AZ345" s="17">
        <f t="shared" si="551"/>
        <v>1.3736843526028625E-2</v>
      </c>
      <c r="BA345" s="18">
        <f t="shared" si="615"/>
        <v>0.43427979952868662</v>
      </c>
      <c r="BB345" s="19">
        <f t="shared" si="616"/>
        <v>988.71421160785474</v>
      </c>
      <c r="BC345" s="15">
        <f t="shared" si="552"/>
        <v>5.4774284232157102E-6</v>
      </c>
      <c r="BD345" s="16">
        <f t="shared" si="553"/>
        <v>27.259213433490331</v>
      </c>
      <c r="BE345" s="17">
        <f t="shared" si="554"/>
        <v>1.3708324762603578E-2</v>
      </c>
      <c r="BF345" s="18">
        <f t="shared" si="617"/>
        <v>0.4353236713403757</v>
      </c>
      <c r="BG345" s="19">
        <f t="shared" si="618"/>
        <v>982.41683801161321</v>
      </c>
      <c r="BH345" s="15">
        <f t="shared" si="555"/>
        <v>5.4648336760232269E-6</v>
      </c>
      <c r="BI345" s="16">
        <f t="shared" si="556"/>
        <v>27.186793637133551</v>
      </c>
      <c r="BJ345" s="17">
        <f t="shared" si="557"/>
        <v>1.3676803970093417E-2</v>
      </c>
      <c r="BK345" s="18">
        <f t="shared" si="619"/>
        <v>0.43648328037881318</v>
      </c>
      <c r="BL345" s="19">
        <f t="shared" si="620"/>
        <v>975.51934709293892</v>
      </c>
      <c r="BM345" s="15">
        <f t="shared" si="558"/>
        <v>5.4510386941858779E-6</v>
      </c>
      <c r="BN345" s="16">
        <f t="shared" si="559"/>
        <v>27.107472491568796</v>
      </c>
      <c r="BO345" s="17">
        <f t="shared" si="560"/>
        <v>1.364227935808405E-2</v>
      </c>
      <c r="BP345" s="18">
        <f t="shared" si="621"/>
        <v>0.43776050583132553</v>
      </c>
      <c r="BQ345" s="19">
        <f t="shared" si="622"/>
        <v>968.01862374536006</v>
      </c>
      <c r="BR345" s="15">
        <f t="shared" si="561"/>
        <v>5.4360372474907203E-6</v>
      </c>
      <c r="BS345" s="16">
        <f t="shared" si="562"/>
        <v>27.021214173071641</v>
      </c>
      <c r="BT345" s="17">
        <f t="shared" si="563"/>
        <v>1.3604735334261759E-2</v>
      </c>
      <c r="BU345" s="18">
        <f t="shared" si="623"/>
        <v>0.43915794433633193</v>
      </c>
      <c r="BV345" s="19">
        <f t="shared" si="624"/>
        <v>959.89083246911525</v>
      </c>
      <c r="BW345" s="15">
        <f t="shared" si="564"/>
        <v>5.419781664938231E-6</v>
      </c>
      <c r="BX345" s="16">
        <f t="shared" si="565"/>
        <v>26.927744573394826</v>
      </c>
      <c r="BY345" s="17">
        <f t="shared" si="566"/>
        <v>1.3564052592723712E-2</v>
      </c>
      <c r="BZ345" s="18">
        <f t="shared" si="625"/>
        <v>0.44068231698254923</v>
      </c>
      <c r="CA345" s="19">
        <f t="shared" si="626"/>
        <v>950.97842425391866</v>
      </c>
      <c r="CB345" s="15">
        <f t="shared" si="567"/>
        <v>5.401956848507838E-6</v>
      </c>
      <c r="CC345" s="16">
        <f t="shared" si="568"/>
        <v>26.825251878920064</v>
      </c>
      <c r="CD345" s="17">
        <f t="shared" si="569"/>
        <v>1.3519442539687516E-2</v>
      </c>
      <c r="CE345" s="18">
        <f t="shared" si="627"/>
        <v>0.44236605580739941</v>
      </c>
      <c r="CF345" s="19">
        <f t="shared" si="628"/>
        <v>940.40220746960961</v>
      </c>
      <c r="CG345" s="15">
        <f t="shared" si="570"/>
        <v>5.3808044149392193E-6</v>
      </c>
      <c r="CH345" s="16">
        <f t="shared" si="571"/>
        <v>26.703625385900509</v>
      </c>
      <c r="CI345" s="17">
        <f t="shared" si="572"/>
        <v>1.3466504480716443E-2</v>
      </c>
      <c r="CJ345" s="18">
        <f t="shared" si="629"/>
        <v>0.44438089204110254</v>
      </c>
      <c r="CK345" s="19">
        <f t="shared" si="630"/>
        <v>924.15285446552434</v>
      </c>
      <c r="CL345" s="15">
        <f t="shared" si="573"/>
        <v>5.3483057089310494E-6</v>
      </c>
      <c r="CM345" s="16">
        <f t="shared" si="574"/>
        <v>26.51675782635353</v>
      </c>
      <c r="CN345" s="17">
        <f t="shared" si="575"/>
        <v>1.338517017894152E-2</v>
      </c>
      <c r="CO345" s="18">
        <f t="shared" si="631"/>
        <v>0.44751251067068104</v>
      </c>
      <c r="CP345" s="19">
        <f t="shared" si="632"/>
        <v>888.02132085191238</v>
      </c>
      <c r="CQ345" s="15">
        <f t="shared" si="576"/>
        <v>5.276042641703825E-6</v>
      </c>
      <c r="CR345" s="16">
        <f t="shared" si="577"/>
        <v>26.101245189796991</v>
      </c>
      <c r="CS345" s="17">
        <f t="shared" si="578"/>
        <v>1.3204317866989066E-2</v>
      </c>
      <c r="CT345" s="18">
        <f t="shared" si="633"/>
        <v>0.45463658087686021</v>
      </c>
      <c r="CU345" s="19">
        <f t="shared" si="634"/>
        <v>796.18092927563328</v>
      </c>
      <c r="CV345" s="15">
        <f t="shared" si="579"/>
        <v>5.0923618585512669E-6</v>
      </c>
      <c r="CW345" s="16">
        <f t="shared" si="580"/>
        <v>25.045080686669781</v>
      </c>
      <c r="CX345" s="17">
        <f t="shared" si="581"/>
        <v>1.2744621156497616E-2</v>
      </c>
      <c r="CY345" s="18">
        <f t="shared" si="635"/>
        <v>0.47380884965700565</v>
      </c>
      <c r="CZ345" s="20">
        <f t="shared" si="585"/>
        <v>596.36476386015136</v>
      </c>
      <c r="DA345" s="15">
        <f t="shared" si="582"/>
        <v>5.7026135290261738E-6</v>
      </c>
      <c r="DB345" s="16">
        <f t="shared" si="583"/>
        <v>36.200421848055612</v>
      </c>
      <c r="DC345" s="17">
        <f t="shared" si="584"/>
        <v>1.4271894073535589E-2</v>
      </c>
      <c r="DD345" s="18">
        <f t="shared" si="636"/>
        <v>0.32780228140781387</v>
      </c>
    </row>
    <row r="346" spans="2:108" x14ac:dyDescent="0.25">
      <c r="B346">
        <v>79</v>
      </c>
      <c r="C346">
        <f t="shared" si="637"/>
        <v>7.7231558641274872E-2</v>
      </c>
      <c r="D346" s="19">
        <f t="shared" si="534"/>
        <v>1018.7159541097622</v>
      </c>
      <c r="E346" s="15">
        <f t="shared" si="586"/>
        <v>5.5374319082195245E-6</v>
      </c>
      <c r="F346" s="16">
        <f t="shared" si="535"/>
        <v>27.604233472262266</v>
      </c>
      <c r="G346" s="17">
        <f t="shared" si="532"/>
        <v>1.3858495097250763E-2</v>
      </c>
      <c r="H346" s="18">
        <f t="shared" si="587"/>
        <v>0.42988264396625497</v>
      </c>
      <c r="I346" s="19">
        <f t="shared" si="588"/>
        <v>1018.3921302663449</v>
      </c>
      <c r="J346" s="15">
        <f t="shared" si="589"/>
        <v>5.5367842605326899E-6</v>
      </c>
      <c r="K346" s="16">
        <f t="shared" si="536"/>
        <v>27.600509498062966</v>
      </c>
      <c r="L346" s="17">
        <f t="shared" si="590"/>
        <v>1.3856874233564942E-2</v>
      </c>
      <c r="M346" s="18">
        <f t="shared" si="591"/>
        <v>0.42994064549970384</v>
      </c>
      <c r="N346" s="19">
        <f t="shared" si="592"/>
        <v>1017.4875643784391</v>
      </c>
      <c r="O346" s="15">
        <f t="shared" si="593"/>
        <v>5.5349751287568789E-6</v>
      </c>
      <c r="P346" s="16">
        <f t="shared" si="594"/>
        <v>27.590106990352048</v>
      </c>
      <c r="Q346" s="17">
        <f t="shared" si="533"/>
        <v>1.3858495097250763E-2</v>
      </c>
      <c r="R346" s="18">
        <f t="shared" si="595"/>
        <v>0.43010274928863124</v>
      </c>
      <c r="S346" s="19">
        <f t="shared" si="596"/>
        <v>1015.9867344186129</v>
      </c>
      <c r="T346" s="15">
        <f t="shared" si="597"/>
        <v>5.5319734688372256E-6</v>
      </c>
      <c r="U346" s="16">
        <f t="shared" si="598"/>
        <v>27.572847445814048</v>
      </c>
      <c r="V346" s="17">
        <f t="shared" si="599"/>
        <v>1.3844834296238303E-2</v>
      </c>
      <c r="W346" s="18">
        <f t="shared" si="600"/>
        <v>0.43037197710675379</v>
      </c>
      <c r="X346" s="19">
        <f t="shared" si="601"/>
        <v>1013.8874275092467</v>
      </c>
      <c r="Y346" s="15">
        <f t="shared" si="602"/>
        <v>5.5277748550184939E-6</v>
      </c>
      <c r="Z346" s="16">
        <f t="shared" si="603"/>
        <v>27.548705416356334</v>
      </c>
      <c r="AA346" s="17">
        <f t="shared" si="604"/>
        <v>1.3834326452532674E-2</v>
      </c>
      <c r="AB346" s="18">
        <f t="shared" si="605"/>
        <v>0.43074912923757286</v>
      </c>
      <c r="AC346" s="19">
        <f t="shared" si="606"/>
        <v>1011.1884584251301</v>
      </c>
      <c r="AD346" s="15">
        <f t="shared" si="537"/>
        <v>5.5223769168502605E-6</v>
      </c>
      <c r="AE346" s="16">
        <f t="shared" si="538"/>
        <v>27.517667271888996</v>
      </c>
      <c r="AF346" s="17">
        <f t="shared" si="539"/>
        <v>1.3820817067518171E-2</v>
      </c>
      <c r="AG346" s="18">
        <f t="shared" si="607"/>
        <v>0.43123498632605195</v>
      </c>
      <c r="AH346" s="19">
        <f t="shared" si="608"/>
        <v>1007.8897564507573</v>
      </c>
      <c r="AI346" s="15">
        <f t="shared" si="540"/>
        <v>5.5157795129015158E-6</v>
      </c>
      <c r="AJ346" s="16">
        <f t="shared" si="541"/>
        <v>27.479732199183708</v>
      </c>
      <c r="AK346" s="17">
        <f t="shared" si="542"/>
        <v>1.3804305787236324E-2</v>
      </c>
      <c r="AL346" s="18">
        <f t="shared" si="609"/>
        <v>0.43183029527741895</v>
      </c>
      <c r="AM346" s="19">
        <f t="shared" si="610"/>
        <v>1003.9913286212208</v>
      </c>
      <c r="AN346" s="15">
        <f t="shared" si="543"/>
        <v>5.5079826572424417E-6</v>
      </c>
      <c r="AO346" s="16">
        <f t="shared" si="544"/>
        <v>27.434900279144038</v>
      </c>
      <c r="AP346" s="17">
        <f t="shared" si="545"/>
        <v>1.3784792646900482E-2</v>
      </c>
      <c r="AQ346" s="18">
        <f t="shared" si="611"/>
        <v>0.43253595781205928</v>
      </c>
      <c r="AR346" s="19">
        <f t="shared" si="612"/>
        <v>999.49318182825493</v>
      </c>
      <c r="AS346" s="15">
        <f t="shared" si="546"/>
        <v>5.4989863636565106E-6</v>
      </c>
      <c r="AT346" s="16">
        <f t="shared" si="547"/>
        <v>27.383171591024933</v>
      </c>
      <c r="AU346" s="17">
        <f t="shared" si="548"/>
        <v>1.3762277681006456E-2</v>
      </c>
      <c r="AV346" s="18">
        <f t="shared" si="613"/>
        <v>0.43335304788460921</v>
      </c>
      <c r="AW346" s="19">
        <f t="shared" si="614"/>
        <v>994.39531809198411</v>
      </c>
      <c r="AX346" s="15">
        <f t="shared" si="549"/>
        <v>5.4887906361839681E-6</v>
      </c>
      <c r="AY346" s="16">
        <f t="shared" si="550"/>
        <v>27.324546158057817</v>
      </c>
      <c r="AZ346" s="17">
        <f t="shared" si="551"/>
        <v>1.373676089966574E-2</v>
      </c>
      <c r="BA346" s="18">
        <f t="shared" si="615"/>
        <v>0.43428281666879676</v>
      </c>
      <c r="BB346" s="19">
        <f t="shared" si="616"/>
        <v>988.69773423947834</v>
      </c>
      <c r="BC346" s="15">
        <f t="shared" si="552"/>
        <v>5.4773954684789568E-6</v>
      </c>
      <c r="BD346" s="16">
        <f t="shared" si="553"/>
        <v>27.259023943754002</v>
      </c>
      <c r="BE346" s="17">
        <f t="shared" si="554"/>
        <v>1.3708242286996603E-2</v>
      </c>
      <c r="BF346" s="18">
        <f t="shared" si="617"/>
        <v>0.43532669747102037</v>
      </c>
      <c r="BG346" s="19">
        <f t="shared" si="618"/>
        <v>982.40038971251511</v>
      </c>
      <c r="BH346" s="15">
        <f t="shared" si="555"/>
        <v>5.4648007794250303E-6</v>
      </c>
      <c r="BI346" s="16">
        <f t="shared" si="556"/>
        <v>27.186604481693923</v>
      </c>
      <c r="BJ346" s="17">
        <f t="shared" si="557"/>
        <v>1.3676721639989429E-2</v>
      </c>
      <c r="BK346" s="18">
        <f t="shared" si="619"/>
        <v>0.43648631728571513</v>
      </c>
      <c r="BL346" s="19">
        <f t="shared" si="620"/>
        <v>975.50289183556492</v>
      </c>
      <c r="BM346" s="15">
        <f t="shared" si="558"/>
        <v>5.4510057836711308E-6</v>
      </c>
      <c r="BN346" s="16">
        <f t="shared" si="559"/>
        <v>27.107283256108996</v>
      </c>
      <c r="BO346" s="17">
        <f t="shared" si="560"/>
        <v>1.3642196993151201E-2</v>
      </c>
      <c r="BP346" s="18">
        <f t="shared" si="621"/>
        <v>0.4377635618295907</v>
      </c>
      <c r="BQ346" s="19">
        <f t="shared" si="622"/>
        <v>968.00186888133339</v>
      </c>
      <c r="BR346" s="15">
        <f t="shared" si="561"/>
        <v>5.4360037377626672E-6</v>
      </c>
      <c r="BS346" s="16">
        <f t="shared" si="562"/>
        <v>27.021021492135333</v>
      </c>
      <c r="BT346" s="17">
        <f t="shared" si="563"/>
        <v>1.3604651469681638E-2</v>
      </c>
      <c r="BU346" s="18">
        <f t="shared" si="623"/>
        <v>0.4391610758746391</v>
      </c>
      <c r="BV346" s="19">
        <f t="shared" si="624"/>
        <v>959.87187853001456</v>
      </c>
      <c r="BW346" s="15">
        <f t="shared" si="564"/>
        <v>5.4197437570600294E-6</v>
      </c>
      <c r="BX346" s="16">
        <f t="shared" si="565"/>
        <v>26.927526603095167</v>
      </c>
      <c r="BY346" s="17">
        <f t="shared" si="566"/>
        <v>1.35639577209216E-2</v>
      </c>
      <c r="BZ346" s="18">
        <f t="shared" si="625"/>
        <v>0.44068588417451982</v>
      </c>
      <c r="CA346" s="19">
        <f t="shared" si="626"/>
        <v>950.94704499531372</v>
      </c>
      <c r="CB346" s="15">
        <f t="shared" si="567"/>
        <v>5.4018940899906279E-6</v>
      </c>
      <c r="CC346" s="16">
        <f t="shared" si="568"/>
        <v>26.824891017446106</v>
      </c>
      <c r="CD346" s="17">
        <f t="shared" si="569"/>
        <v>1.3519285474351547E-2</v>
      </c>
      <c r="CE346" s="18">
        <f t="shared" si="627"/>
        <v>0.44237200673062305</v>
      </c>
      <c r="CF346" s="19">
        <f t="shared" si="628"/>
        <v>940.3141775172702</v>
      </c>
      <c r="CG346" s="15">
        <f t="shared" si="570"/>
        <v>5.3806283550345406E-6</v>
      </c>
      <c r="CH346" s="16">
        <f t="shared" si="571"/>
        <v>26.702613041448608</v>
      </c>
      <c r="CI346" s="17">
        <f t="shared" si="572"/>
        <v>1.3466063856729322E-2</v>
      </c>
      <c r="CJ346" s="18">
        <f t="shared" si="629"/>
        <v>0.44439773932604387</v>
      </c>
      <c r="CK346" s="19">
        <f t="shared" si="630"/>
        <v>923.86437374111756</v>
      </c>
      <c r="CL346" s="15">
        <f t="shared" si="573"/>
        <v>5.347728747482236E-6</v>
      </c>
      <c r="CM346" s="16">
        <f t="shared" si="574"/>
        <v>26.51344029802285</v>
      </c>
      <c r="CN346" s="17">
        <f t="shared" si="575"/>
        <v>1.3383726221247373E-2</v>
      </c>
      <c r="CO346" s="18">
        <f t="shared" si="631"/>
        <v>0.4475685062493685</v>
      </c>
      <c r="CP346" s="19">
        <f t="shared" si="632"/>
        <v>887.22815260409868</v>
      </c>
      <c r="CQ346" s="15">
        <f t="shared" si="576"/>
        <v>5.2744563052081976E-6</v>
      </c>
      <c r="CR346" s="16">
        <f t="shared" si="577"/>
        <v>26.092123754947131</v>
      </c>
      <c r="CS346" s="17">
        <f t="shared" si="578"/>
        <v>1.3200347752879923E-2</v>
      </c>
      <c r="CT346" s="18">
        <f t="shared" si="633"/>
        <v>0.45479551535041163</v>
      </c>
      <c r="CU346" s="19">
        <f t="shared" si="634"/>
        <v>794.65429656531421</v>
      </c>
      <c r="CV346" s="15">
        <f t="shared" si="579"/>
        <v>5.0893085931306284E-6</v>
      </c>
      <c r="CW346" s="16">
        <f t="shared" si="580"/>
        <v>25.027524410501112</v>
      </c>
      <c r="CX346" s="17">
        <f t="shared" si="581"/>
        <v>1.2736979768835635E-2</v>
      </c>
      <c r="CY346" s="18">
        <f t="shared" si="635"/>
        <v>0.47414121648958968</v>
      </c>
      <c r="CZ346" s="20">
        <f t="shared" si="585"/>
        <v>594.72631115561876</v>
      </c>
      <c r="DA346" s="15">
        <f t="shared" si="582"/>
        <v>5.7298247567735607E-6</v>
      </c>
      <c r="DB346" s="16">
        <f t="shared" si="583"/>
        <v>36.247936976487054</v>
      </c>
      <c r="DC346" s="17">
        <f t="shared" si="584"/>
        <v>1.4339995437593463E-2</v>
      </c>
      <c r="DD346" s="18">
        <f t="shared" si="636"/>
        <v>0.32737258612580883</v>
      </c>
    </row>
    <row r="347" spans="2:108" x14ac:dyDescent="0.25">
      <c r="B347">
        <v>80</v>
      </c>
      <c r="C347">
        <f t="shared" si="637"/>
        <v>7.8209173307620117E-2</v>
      </c>
      <c r="D347" s="19">
        <f t="shared" si="534"/>
        <v>1018.6994213001668</v>
      </c>
      <c r="E347" s="15">
        <f t="shared" si="586"/>
        <v>5.5373988426003341E-6</v>
      </c>
      <c r="F347" s="16">
        <f t="shared" si="535"/>
        <v>27.604043344951918</v>
      </c>
      <c r="G347" s="17">
        <f t="shared" si="532"/>
        <v>1.3858412344139025E-2</v>
      </c>
      <c r="H347" s="18">
        <f t="shared" si="587"/>
        <v>0.42988560485244987</v>
      </c>
      <c r="I347" s="19">
        <f t="shared" si="588"/>
        <v>1018.3755703379188</v>
      </c>
      <c r="J347" s="15">
        <f t="shared" si="589"/>
        <v>5.5367511406758386E-6</v>
      </c>
      <c r="K347" s="16">
        <f t="shared" si="536"/>
        <v>27.600319058886065</v>
      </c>
      <c r="L347" s="17">
        <f t="shared" si="590"/>
        <v>1.3856791344712962E-2</v>
      </c>
      <c r="M347" s="18">
        <f t="shared" si="591"/>
        <v>0.42994361204304238</v>
      </c>
      <c r="N347" s="19">
        <f t="shared" si="592"/>
        <v>1017.4709693045172</v>
      </c>
      <c r="O347" s="15">
        <f t="shared" si="593"/>
        <v>5.5349419386090349E-6</v>
      </c>
      <c r="P347" s="16">
        <f t="shared" si="594"/>
        <v>27.589916147001947</v>
      </c>
      <c r="Q347" s="17">
        <f t="shared" si="533"/>
        <v>1.3858412344139025E-2</v>
      </c>
      <c r="R347" s="18">
        <f t="shared" si="595"/>
        <v>0.43010572437014738</v>
      </c>
      <c r="S347" s="19">
        <f t="shared" si="596"/>
        <v>1015.9701251147295</v>
      </c>
      <c r="T347" s="15">
        <f t="shared" si="597"/>
        <v>5.53194025022946E-6</v>
      </c>
      <c r="U347" s="16">
        <f t="shared" si="598"/>
        <v>27.572656438819386</v>
      </c>
      <c r="V347" s="17">
        <f t="shared" si="599"/>
        <v>1.3844751160243047E-2</v>
      </c>
      <c r="W347" s="18">
        <f t="shared" si="600"/>
        <v>0.43037495846831092</v>
      </c>
      <c r="X347" s="19">
        <f t="shared" si="601"/>
        <v>1013.8708214685161</v>
      </c>
      <c r="Y347" s="15">
        <f t="shared" si="602"/>
        <v>5.5277416429370324E-6</v>
      </c>
      <c r="Z347" s="16">
        <f t="shared" si="603"/>
        <v>27.548514446887935</v>
      </c>
      <c r="AA347" s="17">
        <f t="shared" si="604"/>
        <v>1.3834243332870755E-2</v>
      </c>
      <c r="AB347" s="18">
        <f t="shared" si="605"/>
        <v>0.43075211524004436</v>
      </c>
      <c r="AC347" s="19">
        <f t="shared" si="606"/>
        <v>1011.1718642503062</v>
      </c>
      <c r="AD347" s="15">
        <f t="shared" si="537"/>
        <v>5.5223437285006133E-6</v>
      </c>
      <c r="AE347" s="16">
        <f t="shared" si="538"/>
        <v>27.517476438878518</v>
      </c>
      <c r="AF347" s="17">
        <f t="shared" si="539"/>
        <v>1.3820734007249711E-2</v>
      </c>
      <c r="AG347" s="18">
        <f t="shared" si="607"/>
        <v>0.43123797692989047</v>
      </c>
      <c r="AH347" s="19">
        <f t="shared" si="608"/>
        <v>1007.8731786645162</v>
      </c>
      <c r="AI347" s="15">
        <f t="shared" si="540"/>
        <v>5.5157463573290332E-6</v>
      </c>
      <c r="AJ347" s="16">
        <f t="shared" si="541"/>
        <v>27.479541554641933</v>
      </c>
      <c r="AK347" s="17">
        <f t="shared" si="542"/>
        <v>1.3804222808999062E-2</v>
      </c>
      <c r="AL347" s="18">
        <f t="shared" si="609"/>
        <v>0.43183329118215791</v>
      </c>
      <c r="AM347" s="19">
        <f t="shared" si="610"/>
        <v>1003.9747708108181</v>
      </c>
      <c r="AN347" s="15">
        <f t="shared" si="543"/>
        <v>5.5079495416216369E-6</v>
      </c>
      <c r="AO347" s="16">
        <f t="shared" si="544"/>
        <v>27.434709864324407</v>
      </c>
      <c r="AP347" s="17">
        <f t="shared" si="545"/>
        <v>1.3784709768650026E-2</v>
      </c>
      <c r="AQ347" s="18">
        <f t="shared" si="611"/>
        <v>0.4325389598943411</v>
      </c>
      <c r="AR347" s="19">
        <f t="shared" si="612"/>
        <v>999.47664751549303</v>
      </c>
      <c r="AS347" s="15">
        <f t="shared" si="546"/>
        <v>5.4989532950309869E-6</v>
      </c>
      <c r="AT347" s="16">
        <f t="shared" si="547"/>
        <v>27.382981446428168</v>
      </c>
      <c r="AU347" s="17">
        <f t="shared" si="548"/>
        <v>1.3762194920370788E-2</v>
      </c>
      <c r="AV347" s="18">
        <f t="shared" si="613"/>
        <v>0.43335605704344415</v>
      </c>
      <c r="AW347" s="19">
        <f t="shared" si="614"/>
        <v>994.37881079051522</v>
      </c>
      <c r="AX347" s="15">
        <f t="shared" si="549"/>
        <v>5.4887576215810309E-6</v>
      </c>
      <c r="AY347" s="16">
        <f t="shared" si="550"/>
        <v>27.324356324090925</v>
      </c>
      <c r="AZ347" s="17">
        <f t="shared" si="551"/>
        <v>1.3736678274232052E-2</v>
      </c>
      <c r="BA347" s="18">
        <f t="shared" si="615"/>
        <v>0.4342858338168995</v>
      </c>
      <c r="BB347" s="19">
        <f t="shared" si="616"/>
        <v>988.68125699644827</v>
      </c>
      <c r="BC347" s="15">
        <f t="shared" si="552"/>
        <v>5.4773625139928972E-6</v>
      </c>
      <c r="BD347" s="16">
        <f t="shared" si="553"/>
        <v>27.258834455459155</v>
      </c>
      <c r="BE347" s="17">
        <f t="shared" si="554"/>
        <v>1.3708159812017034E-2</v>
      </c>
      <c r="BF347" s="18">
        <f t="shared" si="617"/>
        <v>0.43532972362071654</v>
      </c>
      <c r="BG347" s="19">
        <f t="shared" si="618"/>
        <v>982.38394103228325</v>
      </c>
      <c r="BH347" s="15">
        <f t="shared" si="555"/>
        <v>5.4647678820645667E-6</v>
      </c>
      <c r="BI347" s="16">
        <f t="shared" si="556"/>
        <v>27.186415321871259</v>
      </c>
      <c r="BJ347" s="17">
        <f t="shared" si="557"/>
        <v>1.3676639307977722E-2</v>
      </c>
      <c r="BK347" s="18">
        <f t="shared" si="619"/>
        <v>0.43648935430524843</v>
      </c>
      <c r="BL347" s="19">
        <f t="shared" si="620"/>
        <v>975.48643250010389</v>
      </c>
      <c r="BM347" s="15">
        <f t="shared" si="558"/>
        <v>5.4509728650002085E-6</v>
      </c>
      <c r="BN347" s="16">
        <f t="shared" si="559"/>
        <v>27.107093973751194</v>
      </c>
      <c r="BO347" s="17">
        <f t="shared" si="560"/>
        <v>1.3642114607805947E-2</v>
      </c>
      <c r="BP347" s="18">
        <f t="shared" si="621"/>
        <v>0.43776661862790417</v>
      </c>
      <c r="BQ347" s="19">
        <f t="shared" si="622"/>
        <v>967.98508689467349</v>
      </c>
      <c r="BR347" s="15">
        <f t="shared" si="561"/>
        <v>5.4359701737893477E-6</v>
      </c>
      <c r="BS347" s="16">
        <f t="shared" si="562"/>
        <v>27.020828499288744</v>
      </c>
      <c r="BT347" s="17">
        <f t="shared" si="563"/>
        <v>1.3604567469342237E-2</v>
      </c>
      <c r="BU347" s="18">
        <f t="shared" si="623"/>
        <v>0.43916421252702365</v>
      </c>
      <c r="BV347" s="19">
        <f t="shared" si="624"/>
        <v>959.85277847864745</v>
      </c>
      <c r="BW347" s="15">
        <f t="shared" si="564"/>
        <v>5.4197055569572948E-6</v>
      </c>
      <c r="BX347" s="16">
        <f t="shared" si="565"/>
        <v>26.927306952504445</v>
      </c>
      <c r="BY347" s="17">
        <f t="shared" si="566"/>
        <v>1.3563862117771037E-2</v>
      </c>
      <c r="BZ347" s="18">
        <f t="shared" si="625"/>
        <v>0.44068947892370708</v>
      </c>
      <c r="CA347" s="19">
        <f t="shared" si="626"/>
        <v>950.91503485975113</v>
      </c>
      <c r="CB347" s="15">
        <f t="shared" si="567"/>
        <v>5.401830069719503E-6</v>
      </c>
      <c r="CC347" s="16">
        <f t="shared" si="568"/>
        <v>26.824522900887139</v>
      </c>
      <c r="CD347" s="17">
        <f t="shared" si="569"/>
        <v>1.3519125251232202E-2</v>
      </c>
      <c r="CE347" s="18">
        <f t="shared" si="627"/>
        <v>0.44237807746155466</v>
      </c>
      <c r="CF347" s="19">
        <f t="shared" si="628"/>
        <v>940.22409593860186</v>
      </c>
      <c r="CG347" s="15">
        <f t="shared" si="570"/>
        <v>5.3804481918772045E-6</v>
      </c>
      <c r="CH347" s="16">
        <f t="shared" si="571"/>
        <v>26.701577103293921</v>
      </c>
      <c r="CI347" s="17">
        <f t="shared" si="572"/>
        <v>1.3465612963558258E-2</v>
      </c>
      <c r="CJ347" s="18">
        <f t="shared" si="629"/>
        <v>0.44441498057633572</v>
      </c>
      <c r="CK347" s="19">
        <f t="shared" si="630"/>
        <v>923.57152667354308</v>
      </c>
      <c r="CL347" s="15">
        <f t="shared" si="573"/>
        <v>5.3471430533470864E-6</v>
      </c>
      <c r="CM347" s="16">
        <f t="shared" si="574"/>
        <v>26.510072556745744</v>
      </c>
      <c r="CN347" s="17">
        <f t="shared" si="575"/>
        <v>1.3382260408315498E-2</v>
      </c>
      <c r="CO347" s="18">
        <f t="shared" si="631"/>
        <v>0.44762536369212358</v>
      </c>
      <c r="CP347" s="19">
        <f t="shared" si="632"/>
        <v>886.43154941554724</v>
      </c>
      <c r="CQ347" s="15">
        <f t="shared" si="576"/>
        <v>5.2728630988310949E-6</v>
      </c>
      <c r="CR347" s="16">
        <f t="shared" si="577"/>
        <v>26.082962818278794</v>
      </c>
      <c r="CS347" s="17">
        <f t="shared" si="578"/>
        <v>1.3196360445562751E-2</v>
      </c>
      <c r="CT347" s="18">
        <f t="shared" si="633"/>
        <v>0.45495524999950793</v>
      </c>
      <c r="CU347" s="19">
        <f t="shared" si="634"/>
        <v>793.13603489116485</v>
      </c>
      <c r="CV347" s="15">
        <f t="shared" si="579"/>
        <v>5.0862720697823299E-6</v>
      </c>
      <c r="CW347" s="16">
        <f t="shared" si="580"/>
        <v>25.010064401248393</v>
      </c>
      <c r="CX347" s="17">
        <f t="shared" si="581"/>
        <v>1.2729380281450046E-2</v>
      </c>
      <c r="CY347" s="18">
        <f t="shared" si="635"/>
        <v>0.4744722236351207</v>
      </c>
      <c r="CZ347" s="20">
        <f t="shared" si="585"/>
        <v>593.106285148903</v>
      </c>
      <c r="DA347" s="15">
        <f t="shared" si="582"/>
        <v>5.75666502984698E-6</v>
      </c>
      <c r="DB347" s="16">
        <f t="shared" si="583"/>
        <v>36.29491773068181</v>
      </c>
      <c r="DC347" s="17">
        <f t="shared" si="584"/>
        <v>1.4407168415782995E-2</v>
      </c>
      <c r="DD347" s="18">
        <f t="shared" si="636"/>
        <v>0.32694882952404425</v>
      </c>
    </row>
    <row r="348" spans="2:108" x14ac:dyDescent="0.25">
      <c r="B348">
        <v>81</v>
      </c>
      <c r="C348">
        <f t="shared" si="637"/>
        <v>7.9186787973965361E-2</v>
      </c>
      <c r="D348" s="19">
        <f t="shared" si="534"/>
        <v>1018.682887106021</v>
      </c>
      <c r="E348" s="15">
        <f t="shared" si="586"/>
        <v>5.5373657742120431E-6</v>
      </c>
      <c r="F348" s="16">
        <f t="shared" si="535"/>
        <v>27.60385320171924</v>
      </c>
      <c r="G348" s="17">
        <f t="shared" si="532"/>
        <v>1.3858329584097079E-2</v>
      </c>
      <c r="H348" s="18">
        <f t="shared" si="587"/>
        <v>0.42988856602739856</v>
      </c>
      <c r="I348" s="19">
        <f t="shared" si="588"/>
        <v>1018.3590099657098</v>
      </c>
      <c r="J348" s="15">
        <f t="shared" si="589"/>
        <v>5.5367180199314196E-6</v>
      </c>
      <c r="K348" s="16">
        <f t="shared" si="536"/>
        <v>27.600128614605662</v>
      </c>
      <c r="L348" s="17">
        <f t="shared" si="590"/>
        <v>1.385670845363967E-2</v>
      </c>
      <c r="M348" s="18">
        <f t="shared" si="591"/>
        <v>0.42994657870681963</v>
      </c>
      <c r="N348" s="19">
        <f t="shared" si="592"/>
        <v>1017.4543744486419</v>
      </c>
      <c r="O348" s="15">
        <f t="shared" si="593"/>
        <v>5.5349087488972841E-6</v>
      </c>
      <c r="P348" s="16">
        <f t="shared" si="594"/>
        <v>27.58972530615938</v>
      </c>
      <c r="Q348" s="17">
        <f t="shared" si="533"/>
        <v>1.3858329584097079E-2</v>
      </c>
      <c r="R348" s="18">
        <f t="shared" si="595"/>
        <v>0.43010869945373092</v>
      </c>
      <c r="S348" s="19">
        <f t="shared" si="596"/>
        <v>1015.9535161271292</v>
      </c>
      <c r="T348" s="15">
        <f t="shared" si="597"/>
        <v>5.5319070322542586E-6</v>
      </c>
      <c r="U348" s="16">
        <f t="shared" si="598"/>
        <v>27.572465435461986</v>
      </c>
      <c r="V348" s="17">
        <f t="shared" si="599"/>
        <v>1.3844668025830903E-2</v>
      </c>
      <c r="W348" s="18">
        <f t="shared" si="600"/>
        <v>0.43037793981440059</v>
      </c>
      <c r="X348" s="19">
        <f t="shared" si="601"/>
        <v>1013.8542156727851</v>
      </c>
      <c r="Y348" s="15">
        <f t="shared" si="602"/>
        <v>5.527708431345571E-6</v>
      </c>
      <c r="Z348" s="16">
        <f t="shared" si="603"/>
        <v>27.54832348023703</v>
      </c>
      <c r="AA348" s="17">
        <f t="shared" si="604"/>
        <v>1.3834160214435159E-2</v>
      </c>
      <c r="AB348" s="18">
        <f t="shared" si="605"/>
        <v>0.43075510123985944</v>
      </c>
      <c r="AC348" s="19">
        <f t="shared" si="606"/>
        <v>1011.155270276838</v>
      </c>
      <c r="AD348" s="15">
        <f t="shared" si="537"/>
        <v>5.5223105405536768E-6</v>
      </c>
      <c r="AE348" s="16">
        <f t="shared" si="538"/>
        <v>27.517285608183634</v>
      </c>
      <c r="AF348" s="17">
        <f t="shared" si="539"/>
        <v>1.3820650947989113E-2</v>
      </c>
      <c r="AG348" s="18">
        <f t="shared" si="607"/>
        <v>0.43124096753891961</v>
      </c>
      <c r="AH348" s="19">
        <f t="shared" si="608"/>
        <v>1007.8566010693635</v>
      </c>
      <c r="AI348" s="15">
        <f t="shared" si="540"/>
        <v>5.5157132021387277E-6</v>
      </c>
      <c r="AJ348" s="16">
        <f t="shared" si="541"/>
        <v>27.479350912297679</v>
      </c>
      <c r="AK348" s="17">
        <f t="shared" si="542"/>
        <v>1.3804139831718272E-2</v>
      </c>
      <c r="AL348" s="18">
        <f t="shared" si="609"/>
        <v>0.43183628709393257</v>
      </c>
      <c r="AM348" s="19">
        <f t="shared" si="610"/>
        <v>1003.9582131914253</v>
      </c>
      <c r="AN348" s="15">
        <f t="shared" si="543"/>
        <v>5.5079164263828516E-6</v>
      </c>
      <c r="AO348" s="16">
        <f t="shared" si="544"/>
        <v>27.434519451701391</v>
      </c>
      <c r="AP348" s="17">
        <f t="shared" si="545"/>
        <v>1.378462689135565E-2</v>
      </c>
      <c r="AQ348" s="18">
        <f t="shared" si="611"/>
        <v>0.43254196198366346</v>
      </c>
      <c r="AR348" s="19">
        <f t="shared" si="612"/>
        <v>999.46011339408949</v>
      </c>
      <c r="AS348" s="15">
        <f t="shared" si="546"/>
        <v>5.4989202267881797E-6</v>
      </c>
      <c r="AT348" s="16">
        <f t="shared" si="547"/>
        <v>27.382791304032029</v>
      </c>
      <c r="AU348" s="17">
        <f t="shared" si="548"/>
        <v>1.3762112160692943E-2</v>
      </c>
      <c r="AV348" s="18">
        <f t="shared" si="613"/>
        <v>0.43335906620924297</v>
      </c>
      <c r="AW348" s="19">
        <f t="shared" si="614"/>
        <v>994.36230367388237</v>
      </c>
      <c r="AX348" s="15">
        <f t="shared" si="549"/>
        <v>5.4887246073477651E-6</v>
      </c>
      <c r="AY348" s="16">
        <f t="shared" si="550"/>
        <v>27.324166492249645</v>
      </c>
      <c r="AZ348" s="17">
        <f t="shared" si="551"/>
        <v>1.3736595649723536E-2</v>
      </c>
      <c r="BA348" s="18">
        <f t="shared" si="615"/>
        <v>0.43428885097314096</v>
      </c>
      <c r="BB348" s="19">
        <f t="shared" si="616"/>
        <v>988.66477987224459</v>
      </c>
      <c r="BC348" s="15">
        <f t="shared" si="552"/>
        <v>5.4773295597444897E-6</v>
      </c>
      <c r="BD348" s="16">
        <f t="shared" si="553"/>
        <v>27.25864496853081</v>
      </c>
      <c r="BE348" s="17">
        <f t="shared" si="554"/>
        <v>1.3708077337632235E-2</v>
      </c>
      <c r="BF348" s="18">
        <f t="shared" si="617"/>
        <v>0.43533274979066156</v>
      </c>
      <c r="BG348" s="19">
        <f t="shared" si="618"/>
        <v>982.3674919245683</v>
      </c>
      <c r="BH348" s="15">
        <f t="shared" si="555"/>
        <v>5.4647349838491369E-6</v>
      </c>
      <c r="BI348" s="16">
        <f t="shared" si="556"/>
        <v>27.186226157132534</v>
      </c>
      <c r="BJ348" s="17">
        <f t="shared" si="557"/>
        <v>1.3676556973826297E-2</v>
      </c>
      <c r="BK348" s="18">
        <f t="shared" si="619"/>
        <v>0.43649239144597501</v>
      </c>
      <c r="BL348" s="19">
        <f t="shared" si="620"/>
        <v>975.46996880676159</v>
      </c>
      <c r="BM348" s="15">
        <f t="shared" si="558"/>
        <v>5.450939937613523E-6</v>
      </c>
      <c r="BN348" s="16">
        <f t="shared" si="559"/>
        <v>27.106904641277758</v>
      </c>
      <c r="BO348" s="17">
        <f t="shared" si="560"/>
        <v>1.3642032200647808E-2</v>
      </c>
      <c r="BP348" s="18">
        <f t="shared" si="621"/>
        <v>0.43776967627826263</v>
      </c>
      <c r="BQ348" s="19">
        <f t="shared" si="622"/>
        <v>967.96827640232573</v>
      </c>
      <c r="BR348" s="15">
        <f t="shared" si="561"/>
        <v>5.435936552804652E-6</v>
      </c>
      <c r="BS348" s="16">
        <f t="shared" si="562"/>
        <v>27.020635178626748</v>
      </c>
      <c r="BT348" s="17">
        <f t="shared" si="563"/>
        <v>1.3604483326320834E-2</v>
      </c>
      <c r="BU348" s="18">
        <f t="shared" si="623"/>
        <v>0.43916735455221029</v>
      </c>
      <c r="BV348" s="19">
        <f t="shared" si="624"/>
        <v>959.83352704749211</v>
      </c>
      <c r="BW348" s="15">
        <f t="shared" si="564"/>
        <v>5.4196670540949847E-6</v>
      </c>
      <c r="BX348" s="16">
        <f t="shared" si="565"/>
        <v>26.927085561046159</v>
      </c>
      <c r="BY348" s="17">
        <f t="shared" si="566"/>
        <v>1.3563765756906036E-2</v>
      </c>
      <c r="BZ348" s="18">
        <f t="shared" si="625"/>
        <v>0.44069310222286318</v>
      </c>
      <c r="CA348" s="19">
        <f t="shared" si="626"/>
        <v>950.88238030094226</v>
      </c>
      <c r="CB348" s="15">
        <f t="shared" si="567"/>
        <v>5.4017647606018844E-6</v>
      </c>
      <c r="CC348" s="16">
        <f t="shared" si="568"/>
        <v>26.824147373460836</v>
      </c>
      <c r="CD348" s="17">
        <f t="shared" si="569"/>
        <v>1.3518961802525051E-2</v>
      </c>
      <c r="CE348" s="18">
        <f t="shared" si="627"/>
        <v>0.44238427057921725</v>
      </c>
      <c r="CF348" s="19">
        <f t="shared" si="628"/>
        <v>940.13194914061694</v>
      </c>
      <c r="CG348" s="15">
        <f t="shared" si="570"/>
        <v>5.3802638982812345E-6</v>
      </c>
      <c r="CH348" s="16">
        <f t="shared" si="571"/>
        <v>26.700517415117094</v>
      </c>
      <c r="CI348" s="17">
        <f t="shared" si="572"/>
        <v>1.3465151733165084E-2</v>
      </c>
      <c r="CJ348" s="18">
        <f t="shared" si="629"/>
        <v>0.44443261848548932</v>
      </c>
      <c r="CK348" s="19">
        <f t="shared" si="630"/>
        <v>923.27435694567987</v>
      </c>
      <c r="CL348" s="15">
        <f t="shared" si="573"/>
        <v>5.3465487138913603E-6</v>
      </c>
      <c r="CM348" s="16">
        <f t="shared" si="574"/>
        <v>26.506655104875318</v>
      </c>
      <c r="CN348" s="17">
        <f t="shared" si="575"/>
        <v>1.338077295879561E-2</v>
      </c>
      <c r="CO348" s="18">
        <f t="shared" si="631"/>
        <v>0.44768307516610428</v>
      </c>
      <c r="CP348" s="19">
        <f t="shared" si="632"/>
        <v>885.63166359597017</v>
      </c>
      <c r="CQ348" s="15">
        <f t="shared" si="576"/>
        <v>5.2712633271919414E-6</v>
      </c>
      <c r="CR348" s="16">
        <f t="shared" si="577"/>
        <v>26.073764131353656</v>
      </c>
      <c r="CS348" s="17">
        <f t="shared" si="578"/>
        <v>1.3192356707406616E-2</v>
      </c>
      <c r="CT348" s="18">
        <f t="shared" si="633"/>
        <v>0.45511575582017155</v>
      </c>
      <c r="CU348" s="19">
        <f t="shared" si="634"/>
        <v>791.62612585260729</v>
      </c>
      <c r="CV348" s="15">
        <f t="shared" si="579"/>
        <v>5.0832522517052149E-6</v>
      </c>
      <c r="CW348" s="16">
        <f t="shared" si="580"/>
        <v>24.992700447304983</v>
      </c>
      <c r="CX348" s="17">
        <f t="shared" si="581"/>
        <v>1.2721822602238827E-2</v>
      </c>
      <c r="CY348" s="18">
        <f t="shared" si="635"/>
        <v>0.47480186843905048</v>
      </c>
      <c r="CZ348" s="20">
        <f t="shared" si="585"/>
        <v>591.50423295495136</v>
      </c>
      <c r="DA348" s="15">
        <f t="shared" si="582"/>
        <v>5.7831448122195443E-6</v>
      </c>
      <c r="DB348" s="16">
        <f t="shared" si="583"/>
        <v>36.341377244306408</v>
      </c>
      <c r="DC348" s="17">
        <f t="shared" si="584"/>
        <v>1.4473439196222159E-2</v>
      </c>
      <c r="DD348" s="18">
        <f t="shared" si="636"/>
        <v>0.32653085187015118</v>
      </c>
    </row>
    <row r="349" spans="2:108" x14ac:dyDescent="0.25">
      <c r="B349">
        <v>82</v>
      </c>
      <c r="C349">
        <f t="shared" si="637"/>
        <v>8.016440264031062E-2</v>
      </c>
      <c r="D349" s="19">
        <f t="shared" si="534"/>
        <v>1018.6663515753554</v>
      </c>
      <c r="E349" s="15">
        <f t="shared" si="586"/>
        <v>5.5373327031507118E-6</v>
      </c>
      <c r="F349" s="16">
        <f t="shared" si="535"/>
        <v>27.603663043116587</v>
      </c>
      <c r="G349" s="17">
        <f t="shared" si="532"/>
        <v>1.3858246817365329E-2</v>
      </c>
      <c r="H349" s="18">
        <f t="shared" si="587"/>
        <v>0.42989152748250997</v>
      </c>
      <c r="I349" s="19">
        <f t="shared" si="588"/>
        <v>1018.3424491569714</v>
      </c>
      <c r="J349" s="15">
        <f t="shared" si="589"/>
        <v>5.5366848983139434E-6</v>
      </c>
      <c r="K349" s="16">
        <f t="shared" si="536"/>
        <v>27.599938165305169</v>
      </c>
      <c r="L349" s="17">
        <f t="shared" si="590"/>
        <v>1.3856625560381383E-2</v>
      </c>
      <c r="M349" s="18">
        <f t="shared" si="591"/>
        <v>0.42994954548974046</v>
      </c>
      <c r="N349" s="19">
        <f t="shared" si="592"/>
        <v>1017.4377798056379</v>
      </c>
      <c r="O349" s="15">
        <f t="shared" si="593"/>
        <v>5.5348755596112767E-6</v>
      </c>
      <c r="P349" s="16">
        <f t="shared" si="594"/>
        <v>27.589534467764835</v>
      </c>
      <c r="Q349" s="17">
        <f t="shared" si="533"/>
        <v>1.3858246817365329E-2</v>
      </c>
      <c r="R349" s="18">
        <f t="shared" si="595"/>
        <v>0.43011167454030874</v>
      </c>
      <c r="S349" s="19">
        <f t="shared" si="596"/>
        <v>1015.9369074535302</v>
      </c>
      <c r="T349" s="15">
        <f t="shared" si="597"/>
        <v>5.5318738149070609E-6</v>
      </c>
      <c r="U349" s="16">
        <f t="shared" si="598"/>
        <v>27.572274435715599</v>
      </c>
      <c r="V349" s="17">
        <f t="shared" si="599"/>
        <v>1.3844584892990463E-2</v>
      </c>
      <c r="W349" s="18">
        <f t="shared" si="600"/>
        <v>0.43038092114543103</v>
      </c>
      <c r="X349" s="19">
        <f t="shared" si="601"/>
        <v>1013.837610122234</v>
      </c>
      <c r="Y349" s="15">
        <f t="shared" si="602"/>
        <v>5.527675220244468E-6</v>
      </c>
      <c r="Z349" s="16">
        <f t="shared" si="603"/>
        <v>27.54813251640569</v>
      </c>
      <c r="AA349" s="17">
        <f t="shared" si="604"/>
        <v>1.3834077097226777E-2</v>
      </c>
      <c r="AB349" s="18">
        <f t="shared" si="605"/>
        <v>0.43075808723698472</v>
      </c>
      <c r="AC349" s="19">
        <f t="shared" si="606"/>
        <v>1011.13867650511</v>
      </c>
      <c r="AD349" s="15">
        <f t="shared" si="537"/>
        <v>5.5222773530102203E-6</v>
      </c>
      <c r="AE349" s="16">
        <f t="shared" si="538"/>
        <v>27.517094779808765</v>
      </c>
      <c r="AF349" s="17">
        <f t="shared" si="539"/>
        <v>1.3820567889738303E-2</v>
      </c>
      <c r="AG349" s="18">
        <f t="shared" si="607"/>
        <v>0.43124395815306948</v>
      </c>
      <c r="AH349" s="19">
        <f t="shared" si="608"/>
        <v>1007.8400236654256</v>
      </c>
      <c r="AI349" s="15">
        <f t="shared" si="540"/>
        <v>5.5156800473308516E-6</v>
      </c>
      <c r="AJ349" s="16">
        <f t="shared" si="541"/>
        <v>27.479160272152392</v>
      </c>
      <c r="AK349" s="17">
        <f t="shared" si="542"/>
        <v>1.3804056855394589E-2</v>
      </c>
      <c r="AL349" s="18">
        <f t="shared" si="609"/>
        <v>0.43183928301271962</v>
      </c>
      <c r="AM349" s="19">
        <f t="shared" si="610"/>
        <v>1003.9416557630464</v>
      </c>
      <c r="AN349" s="15">
        <f t="shared" si="543"/>
        <v>5.5078833115260934E-6</v>
      </c>
      <c r="AO349" s="16">
        <f t="shared" si="544"/>
        <v>27.434329041275031</v>
      </c>
      <c r="AP349" s="17">
        <f t="shared" si="545"/>
        <v>1.378454401501737E-2</v>
      </c>
      <c r="AQ349" s="18">
        <f t="shared" si="611"/>
        <v>0.43254496408002513</v>
      </c>
      <c r="AR349" s="19">
        <f t="shared" si="612"/>
        <v>999.44357946394211</v>
      </c>
      <c r="AS349" s="15">
        <f t="shared" si="546"/>
        <v>5.4988871589278841E-6</v>
      </c>
      <c r="AT349" s="16">
        <f t="shared" si="547"/>
        <v>27.382601163835332</v>
      </c>
      <c r="AU349" s="17">
        <f t="shared" si="548"/>
        <v>1.3762029401972405E-2</v>
      </c>
      <c r="AV349" s="18">
        <f t="shared" si="613"/>
        <v>0.43336207538202376</v>
      </c>
      <c r="AW349" s="19">
        <f t="shared" si="614"/>
        <v>994.34579674120914</v>
      </c>
      <c r="AX349" s="15">
        <f t="shared" si="549"/>
        <v>5.4886915934824183E-6</v>
      </c>
      <c r="AY349" s="16">
        <f t="shared" si="550"/>
        <v>27.323976662523904</v>
      </c>
      <c r="AZ349" s="17">
        <f t="shared" si="551"/>
        <v>1.3736513026135809E-2</v>
      </c>
      <c r="BA349" s="18">
        <f t="shared" si="615"/>
        <v>0.43429186813768078</v>
      </c>
      <c r="BB349" s="19">
        <f t="shared" si="616"/>
        <v>988.64830285984795</v>
      </c>
      <c r="BC349" s="15">
        <f t="shared" si="552"/>
        <v>5.4772966057196963E-6</v>
      </c>
      <c r="BD349" s="16">
        <f t="shared" si="553"/>
        <v>27.258455482888252</v>
      </c>
      <c r="BE349" s="17">
        <f t="shared" si="554"/>
        <v>1.3707994863807076E-2</v>
      </c>
      <c r="BF349" s="18">
        <f t="shared" si="617"/>
        <v>0.43533577598214451</v>
      </c>
      <c r="BG349" s="19">
        <f t="shared" si="618"/>
        <v>982.35104234019752</v>
      </c>
      <c r="BH349" s="15">
        <f t="shared" si="555"/>
        <v>5.4647020846803952E-6</v>
      </c>
      <c r="BI349" s="16">
        <f t="shared" si="556"/>
        <v>27.186036986912271</v>
      </c>
      <c r="BJ349" s="17">
        <f t="shared" si="557"/>
        <v>1.3676474637289023E-2</v>
      </c>
      <c r="BK349" s="18">
        <f t="shared" si="619"/>
        <v>0.43649542871697822</v>
      </c>
      <c r="BL349" s="19">
        <f t="shared" si="620"/>
        <v>975.45350046309113</v>
      </c>
      <c r="BM349" s="15">
        <f t="shared" si="558"/>
        <v>5.4509070009261828E-6</v>
      </c>
      <c r="BN349" s="16">
        <f t="shared" si="559"/>
        <v>27.106715255325547</v>
      </c>
      <c r="BO349" s="17">
        <f t="shared" si="560"/>
        <v>1.3641949770212981E-2</v>
      </c>
      <c r="BP349" s="18">
        <f t="shared" si="621"/>
        <v>0.43777273483501544</v>
      </c>
      <c r="BQ349" s="19">
        <f t="shared" si="622"/>
        <v>967.95143598070422</v>
      </c>
      <c r="BR349" s="15">
        <f t="shared" si="561"/>
        <v>5.4359028719614093E-6</v>
      </c>
      <c r="BS349" s="16">
        <f t="shared" si="562"/>
        <v>27.020441513778096</v>
      </c>
      <c r="BT349" s="17">
        <f t="shared" si="563"/>
        <v>1.3604399033491832E-2</v>
      </c>
      <c r="BU349" s="18">
        <f t="shared" si="623"/>
        <v>0.43917050221651505</v>
      </c>
      <c r="BV349" s="19">
        <f t="shared" si="624"/>
        <v>959.81411890344782</v>
      </c>
      <c r="BW349" s="15">
        <f t="shared" si="564"/>
        <v>5.4196282378068967E-6</v>
      </c>
      <c r="BX349" s="16">
        <f t="shared" si="565"/>
        <v>26.926862367389649</v>
      </c>
      <c r="BY349" s="17">
        <f t="shared" si="566"/>
        <v>1.3563668611632364E-2</v>
      </c>
      <c r="BZ349" s="18">
        <f t="shared" si="625"/>
        <v>0.44069675507715944</v>
      </c>
      <c r="CA349" s="19">
        <f t="shared" si="626"/>
        <v>950.84906788095395</v>
      </c>
      <c r="CB349" s="15">
        <f t="shared" si="567"/>
        <v>5.4016981357619078E-6</v>
      </c>
      <c r="CC349" s="16">
        <f t="shared" si="568"/>
        <v>26.823764280630968</v>
      </c>
      <c r="CD349" s="17">
        <f t="shared" si="569"/>
        <v>1.3518795060968048E-2</v>
      </c>
      <c r="CE349" s="18">
        <f t="shared" si="627"/>
        <v>0.4423905886425708</v>
      </c>
      <c r="CF349" s="19">
        <f t="shared" si="628"/>
        <v>940.0377243318801</v>
      </c>
      <c r="CG349" s="15">
        <f t="shared" si="570"/>
        <v>5.3800754486637615E-6</v>
      </c>
      <c r="CH349" s="16">
        <f t="shared" si="571"/>
        <v>26.69943382981662</v>
      </c>
      <c r="CI349" s="17">
        <f t="shared" si="572"/>
        <v>1.3464680101523718E-2</v>
      </c>
      <c r="CJ349" s="18">
        <f t="shared" si="629"/>
        <v>0.44445065559651986</v>
      </c>
      <c r="CK349" s="19">
        <f t="shared" si="630"/>
        <v>922.97290900450889</v>
      </c>
      <c r="CL349" s="15">
        <f t="shared" si="573"/>
        <v>5.3459458180090183E-6</v>
      </c>
      <c r="CM349" s="16">
        <f t="shared" si="574"/>
        <v>26.50318845355185</v>
      </c>
      <c r="CN349" s="17">
        <f t="shared" si="575"/>
        <v>1.3379264095162057E-2</v>
      </c>
      <c r="CO349" s="18">
        <f t="shared" si="631"/>
        <v>0.4477416326912767</v>
      </c>
      <c r="CP349" s="19">
        <f t="shared" si="632"/>
        <v>884.828643647577</v>
      </c>
      <c r="CQ349" s="15">
        <f t="shared" si="576"/>
        <v>5.269657287295154E-6</v>
      </c>
      <c r="CR349" s="16">
        <f t="shared" si="577"/>
        <v>26.064529401947134</v>
      </c>
      <c r="CS349" s="17">
        <f t="shared" si="578"/>
        <v>1.3188337281722558E-2</v>
      </c>
      <c r="CT349" s="18">
        <f t="shared" si="633"/>
        <v>0.45527700449605712</v>
      </c>
      <c r="CU349" s="19">
        <f t="shared" si="634"/>
        <v>790.12454726027545</v>
      </c>
      <c r="CV349" s="15">
        <f t="shared" si="579"/>
        <v>5.0802490945205514E-6</v>
      </c>
      <c r="CW349" s="16">
        <f t="shared" si="580"/>
        <v>24.975432293493167</v>
      </c>
      <c r="CX349" s="17">
        <f t="shared" si="581"/>
        <v>1.2714306620135615E-2</v>
      </c>
      <c r="CY349" s="18">
        <f t="shared" si="635"/>
        <v>0.47513014911095214</v>
      </c>
      <c r="CZ349" s="20">
        <f t="shared" si="585"/>
        <v>589.91971842335317</v>
      </c>
      <c r="DA349" s="15">
        <f t="shared" si="582"/>
        <v>5.8092741405368243E-6</v>
      </c>
      <c r="DB349" s="16">
        <f t="shared" si="583"/>
        <v>36.387328165722749</v>
      </c>
      <c r="DC349" s="17">
        <f t="shared" si="584"/>
        <v>1.4538832897559053E-2</v>
      </c>
      <c r="DD349" s="18">
        <f t="shared" si="636"/>
        <v>0.32611849970606921</v>
      </c>
    </row>
    <row r="350" spans="2:108" x14ac:dyDescent="0.25">
      <c r="B350">
        <v>83</v>
      </c>
      <c r="C350">
        <f t="shared" si="637"/>
        <v>8.1142017306655878E-2</v>
      </c>
      <c r="D350" s="19">
        <f t="shared" si="534"/>
        <v>1018.6498147541191</v>
      </c>
      <c r="E350" s="15">
        <f t="shared" si="586"/>
        <v>5.5372996295082381E-6</v>
      </c>
      <c r="F350" s="16">
        <f t="shared" si="535"/>
        <v>27.60347286967237</v>
      </c>
      <c r="G350" s="17">
        <f t="shared" si="532"/>
        <v>1.3858164044173775E-2</v>
      </c>
      <c r="H350" s="18">
        <f t="shared" si="587"/>
        <v>0.42989448920956536</v>
      </c>
      <c r="I350" s="19">
        <f t="shared" si="588"/>
        <v>1018.3258879189807</v>
      </c>
      <c r="J350" s="15">
        <f t="shared" si="589"/>
        <v>5.536651775837962E-6</v>
      </c>
      <c r="K350" s="16">
        <f t="shared" si="536"/>
        <v>27.599747711068275</v>
      </c>
      <c r="L350" s="17">
        <f t="shared" si="590"/>
        <v>1.3856542664974523E-2</v>
      </c>
      <c r="M350" s="18">
        <f t="shared" si="591"/>
        <v>0.42995251239050514</v>
      </c>
      <c r="N350" s="19">
        <f t="shared" si="592"/>
        <v>1017.4211853705092</v>
      </c>
      <c r="O350" s="15">
        <f t="shared" si="593"/>
        <v>5.5348423707410193E-6</v>
      </c>
      <c r="P350" s="16">
        <f t="shared" si="594"/>
        <v>27.589343631760855</v>
      </c>
      <c r="Q350" s="17">
        <f t="shared" si="533"/>
        <v>1.3858164044173775E-2</v>
      </c>
      <c r="R350" s="18">
        <f t="shared" si="595"/>
        <v>0.43011464963077589</v>
      </c>
      <c r="S350" s="19">
        <f t="shared" si="596"/>
        <v>1015.9202990916573</v>
      </c>
      <c r="T350" s="15">
        <f t="shared" si="597"/>
        <v>5.5318405981833151E-6</v>
      </c>
      <c r="U350" s="16">
        <f t="shared" si="598"/>
        <v>27.572083439554056</v>
      </c>
      <c r="V350" s="17">
        <f t="shared" si="599"/>
        <v>1.3844501761710331E-2</v>
      </c>
      <c r="W350" s="18">
        <f t="shared" si="600"/>
        <v>0.43038390246180924</v>
      </c>
      <c r="X350" s="19">
        <f t="shared" si="601"/>
        <v>1013.8210048170162</v>
      </c>
      <c r="Y350" s="15">
        <f t="shared" si="602"/>
        <v>5.5276420096340334E-6</v>
      </c>
      <c r="Z350" s="16">
        <f t="shared" si="603"/>
        <v>27.547941555395685</v>
      </c>
      <c r="AA350" s="17">
        <f t="shared" si="604"/>
        <v>1.3833993981246389E-2</v>
      </c>
      <c r="AB350" s="18">
        <f t="shared" si="605"/>
        <v>0.43076107323139168</v>
      </c>
      <c r="AC350" s="19">
        <f t="shared" si="606"/>
        <v>1011.1220829355001</v>
      </c>
      <c r="AD350" s="15">
        <f t="shared" si="537"/>
        <v>5.5222441658710009E-6</v>
      </c>
      <c r="AE350" s="16">
        <f t="shared" si="538"/>
        <v>27.516903953758252</v>
      </c>
      <c r="AF350" s="17">
        <f t="shared" si="539"/>
        <v>1.3820484832499173E-2</v>
      </c>
      <c r="AG350" s="18">
        <f t="shared" si="607"/>
        <v>0.43124694877227143</v>
      </c>
      <c r="AH350" s="19">
        <f t="shared" si="608"/>
        <v>1007.8234464528308</v>
      </c>
      <c r="AI350" s="15">
        <f t="shared" si="540"/>
        <v>5.5156468929056625E-6</v>
      </c>
      <c r="AJ350" s="16">
        <f t="shared" si="541"/>
        <v>27.478969634207552</v>
      </c>
      <c r="AK350" s="17">
        <f t="shared" si="542"/>
        <v>1.380397388002865E-2</v>
      </c>
      <c r="AL350" s="18">
        <f t="shared" si="609"/>
        <v>0.43184227893849525</v>
      </c>
      <c r="AM350" s="19">
        <f t="shared" si="610"/>
        <v>1003.925098525685</v>
      </c>
      <c r="AN350" s="15">
        <f t="shared" si="543"/>
        <v>5.5078501970513707E-6</v>
      </c>
      <c r="AO350" s="16">
        <f t="shared" si="544"/>
        <v>27.434138633045379</v>
      </c>
      <c r="AP350" s="17">
        <f t="shared" si="545"/>
        <v>1.3784461139635207E-2</v>
      </c>
      <c r="AQ350" s="18">
        <f t="shared" si="611"/>
        <v>0.43254796618342473</v>
      </c>
      <c r="AR350" s="19">
        <f t="shared" si="612"/>
        <v>999.42704572493869</v>
      </c>
      <c r="AS350" s="15">
        <f t="shared" si="546"/>
        <v>5.4988540914498774E-6</v>
      </c>
      <c r="AT350" s="16">
        <f t="shared" si="547"/>
        <v>27.382411025836795</v>
      </c>
      <c r="AU350" s="17">
        <f t="shared" si="548"/>
        <v>1.3761946644208619E-2</v>
      </c>
      <c r="AV350" s="18">
        <f t="shared" si="613"/>
        <v>0.43336508456180622</v>
      </c>
      <c r="AW350" s="19">
        <f t="shared" si="614"/>
        <v>994.32928999154024</v>
      </c>
      <c r="AX350" s="15">
        <f t="shared" si="549"/>
        <v>5.4886585799830811E-6</v>
      </c>
      <c r="AY350" s="16">
        <f t="shared" si="550"/>
        <v>27.323786834902712</v>
      </c>
      <c r="AZ350" s="17">
        <f t="shared" si="551"/>
        <v>1.3736430403464093E-2</v>
      </c>
      <c r="BA350" s="18">
        <f t="shared" si="615"/>
        <v>0.43429488531069305</v>
      </c>
      <c r="BB350" s="19">
        <f t="shared" si="616"/>
        <v>988.63182595171099</v>
      </c>
      <c r="BC350" s="15">
        <f t="shared" si="552"/>
        <v>5.4772636519034221E-6</v>
      </c>
      <c r="BD350" s="16">
        <f t="shared" si="553"/>
        <v>27.258265998444678</v>
      </c>
      <c r="BE350" s="17">
        <f t="shared" si="554"/>
        <v>1.3707912390503776E-2</v>
      </c>
      <c r="BF350" s="18">
        <f t="shared" si="617"/>
        <v>0.43533880219655169</v>
      </c>
      <c r="BG350" s="19">
        <f t="shared" si="618"/>
        <v>982.33459222706415</v>
      </c>
      <c r="BH350" s="15">
        <f t="shared" si="555"/>
        <v>5.4646691844541286E-6</v>
      </c>
      <c r="BI350" s="16">
        <f t="shared" si="556"/>
        <v>27.185847810611236</v>
      </c>
      <c r="BJ350" s="17">
        <f t="shared" si="557"/>
        <v>1.3676392298105088E-2</v>
      </c>
      <c r="BK350" s="18">
        <f t="shared" si="619"/>
        <v>0.43649846612788401</v>
      </c>
      <c r="BL350" s="19">
        <f t="shared" si="620"/>
        <v>975.43702716372525</v>
      </c>
      <c r="BM350" s="15">
        <f t="shared" si="558"/>
        <v>5.450874054327451E-6</v>
      </c>
      <c r="BN350" s="16">
        <f t="shared" si="559"/>
        <v>27.106525812382841</v>
      </c>
      <c r="BO350" s="17">
        <f t="shared" si="560"/>
        <v>1.3641867314972977E-2</v>
      </c>
      <c r="BP350" s="18">
        <f t="shared" si="621"/>
        <v>0.4377757943549147</v>
      </c>
      <c r="BQ350" s="19">
        <f t="shared" si="622"/>
        <v>967.93456416570405</v>
      </c>
      <c r="BR350" s="15">
        <f t="shared" si="561"/>
        <v>5.4358691283314081E-6</v>
      </c>
      <c r="BS350" s="16">
        <f t="shared" si="562"/>
        <v>27.020247487905596</v>
      </c>
      <c r="BT350" s="17">
        <f t="shared" si="563"/>
        <v>1.3604314583526815E-2</v>
      </c>
      <c r="BU350" s="18">
        <f t="shared" si="623"/>
        <v>0.43917365579384282</v>
      </c>
      <c r="BV350" s="19">
        <f t="shared" si="624"/>
        <v>959.794548650617</v>
      </c>
      <c r="BW350" s="15">
        <f t="shared" si="564"/>
        <v>5.4195890973012349E-6</v>
      </c>
      <c r="BX350" s="16">
        <f t="shared" si="565"/>
        <v>26.926637309482096</v>
      </c>
      <c r="BY350" s="17">
        <f t="shared" si="566"/>
        <v>1.3563570654941463E-2</v>
      </c>
      <c r="BZ350" s="18">
        <f t="shared" si="625"/>
        <v>0.44070043850366469</v>
      </c>
      <c r="CA350" s="19">
        <f t="shared" si="626"/>
        <v>950.81508427765095</v>
      </c>
      <c r="CB350" s="15">
        <f t="shared" si="567"/>
        <v>5.4016301685553023E-6</v>
      </c>
      <c r="CC350" s="16">
        <f t="shared" si="568"/>
        <v>26.823373469192987</v>
      </c>
      <c r="CD350" s="17">
        <f t="shared" si="569"/>
        <v>1.3518624959878749E-2</v>
      </c>
      <c r="CE350" s="18">
        <f t="shared" si="627"/>
        <v>0.44239703418911236</v>
      </c>
      <c r="CF350" s="19">
        <f t="shared" si="628"/>
        <v>939.94140951292547</v>
      </c>
      <c r="CG350" s="15">
        <f t="shared" si="570"/>
        <v>5.379882819025851E-6</v>
      </c>
      <c r="CH350" s="16">
        <f t="shared" si="571"/>
        <v>26.698326209398644</v>
      </c>
      <c r="CI350" s="17">
        <f t="shared" si="572"/>
        <v>1.346419800857218E-2</v>
      </c>
      <c r="CJ350" s="18">
        <f t="shared" si="629"/>
        <v>0.44446909430376547</v>
      </c>
      <c r="CK350" s="19">
        <f t="shared" si="630"/>
        <v>922.66722799792251</v>
      </c>
      <c r="CL350" s="15">
        <f t="shared" si="573"/>
        <v>5.3453344559958452E-6</v>
      </c>
      <c r="CM350" s="16">
        <f t="shared" si="574"/>
        <v>26.499673121976109</v>
      </c>
      <c r="CN350" s="17">
        <f t="shared" si="575"/>
        <v>1.3377734043397514E-2</v>
      </c>
      <c r="CO350" s="18">
        <f t="shared" si="631"/>
        <v>0.44780102815219158</v>
      </c>
      <c r="CP350" s="19">
        <f t="shared" si="632"/>
        <v>884.02263432463781</v>
      </c>
      <c r="CQ350" s="15">
        <f t="shared" si="576"/>
        <v>5.2680452686492758E-6</v>
      </c>
      <c r="CR350" s="16">
        <f t="shared" si="577"/>
        <v>26.055260294733333</v>
      </c>
      <c r="CS350" s="17">
        <f t="shared" si="578"/>
        <v>1.3184302893061739E-2</v>
      </c>
      <c r="CT350" s="18">
        <f t="shared" si="633"/>
        <v>0.45543896838814324</v>
      </c>
      <c r="CU350" s="19">
        <f t="shared" si="634"/>
        <v>788.63127342200869</v>
      </c>
      <c r="CV350" s="15">
        <f t="shared" si="579"/>
        <v>5.0772625468440175E-6</v>
      </c>
      <c r="CW350" s="16">
        <f t="shared" si="580"/>
        <v>24.958259644353099</v>
      </c>
      <c r="CX350" s="17">
        <f t="shared" si="581"/>
        <v>1.2706832206541197E-2</v>
      </c>
      <c r="CY350" s="18">
        <f t="shared" si="635"/>
        <v>0.47545706466767834</v>
      </c>
      <c r="CZ350" s="20">
        <f t="shared" si="585"/>
        <v>588.35232138248568</v>
      </c>
      <c r="DA350" s="15">
        <f t="shared" si="582"/>
        <v>5.8350626456752904E-6</v>
      </c>
      <c r="DB350" s="16">
        <f t="shared" si="583"/>
        <v>36.432782679907916</v>
      </c>
      <c r="DC350" s="17">
        <f t="shared" si="584"/>
        <v>1.4603373622926052E-2</v>
      </c>
      <c r="DD350" s="18">
        <f t="shared" si="636"/>
        <v>0.32571162554273198</v>
      </c>
    </row>
    <row r="351" spans="2:108" x14ac:dyDescent="0.25">
      <c r="B351">
        <v>84</v>
      </c>
      <c r="C351">
        <f t="shared" si="637"/>
        <v>8.2119631973001123E-2</v>
      </c>
      <c r="D351" s="19">
        <f t="shared" si="534"/>
        <v>1018.6332766862868</v>
      </c>
      <c r="E351" s="15">
        <f t="shared" si="586"/>
        <v>5.5372665533725738E-6</v>
      </c>
      <c r="F351" s="16">
        <f t="shared" si="535"/>
        <v>27.603282681892296</v>
      </c>
      <c r="G351" s="17">
        <f t="shared" si="532"/>
        <v>1.3858081264742526E-2</v>
      </c>
      <c r="H351" s="18">
        <f t="shared" si="587"/>
        <v>0.42989745120069922</v>
      </c>
      <c r="I351" s="19">
        <f t="shared" si="588"/>
        <v>1018.3093262590276</v>
      </c>
      <c r="J351" s="15">
        <f t="shared" si="589"/>
        <v>5.5366186525180555E-6</v>
      </c>
      <c r="K351" s="16">
        <f t="shared" si="536"/>
        <v>27.599557251978815</v>
      </c>
      <c r="L351" s="17">
        <f t="shared" si="590"/>
        <v>1.3856459767455575E-2</v>
      </c>
      <c r="M351" s="18">
        <f t="shared" si="591"/>
        <v>0.4299554794078117</v>
      </c>
      <c r="N351" s="19">
        <f t="shared" si="592"/>
        <v>1017.4045911384344</v>
      </c>
      <c r="O351" s="15">
        <f t="shared" si="593"/>
        <v>5.5348091822768692E-6</v>
      </c>
      <c r="P351" s="16">
        <f t="shared" si="594"/>
        <v>27.589152798091995</v>
      </c>
      <c r="Q351" s="17">
        <f t="shared" si="533"/>
        <v>1.3858081264742526E-2</v>
      </c>
      <c r="R351" s="18">
        <f t="shared" si="595"/>
        <v>0.43011762472599613</v>
      </c>
      <c r="S351" s="19">
        <f t="shared" si="596"/>
        <v>1015.9036910392425</v>
      </c>
      <c r="T351" s="15">
        <f t="shared" si="597"/>
        <v>5.5318073820784852E-6</v>
      </c>
      <c r="U351" s="16">
        <f t="shared" si="598"/>
        <v>27.571892446951288</v>
      </c>
      <c r="V351" s="17">
        <f t="shared" si="599"/>
        <v>1.3844418631979155E-2</v>
      </c>
      <c r="W351" s="18">
        <f t="shared" si="600"/>
        <v>0.43038688376394069</v>
      </c>
      <c r="X351" s="19">
        <f t="shared" si="601"/>
        <v>1013.8043997572593</v>
      </c>
      <c r="Y351" s="15">
        <f t="shared" si="602"/>
        <v>5.5276087995145188E-6</v>
      </c>
      <c r="Z351" s="16">
        <f t="shared" si="603"/>
        <v>27.547750597208481</v>
      </c>
      <c r="AA351" s="17">
        <f t="shared" si="604"/>
        <v>1.3833910866494622E-2</v>
      </c>
      <c r="AB351" s="18">
        <f t="shared" si="605"/>
        <v>0.43076405922305627</v>
      </c>
      <c r="AC351" s="19">
        <f t="shared" si="606"/>
        <v>1011.1054895683798</v>
      </c>
      <c r="AD351" s="15">
        <f t="shared" si="537"/>
        <v>5.5222109791367598E-6</v>
      </c>
      <c r="AE351" s="16">
        <f t="shared" si="538"/>
        <v>27.516713130036365</v>
      </c>
      <c r="AF351" s="17">
        <f t="shared" si="539"/>
        <v>1.3820401776273581E-2</v>
      </c>
      <c r="AG351" s="18">
        <f t="shared" si="607"/>
        <v>0.43124993939645784</v>
      </c>
      <c r="AH351" s="19">
        <f t="shared" si="608"/>
        <v>1007.8068694317083</v>
      </c>
      <c r="AI351" s="15">
        <f t="shared" si="540"/>
        <v>5.5156137388634178E-6</v>
      </c>
      <c r="AJ351" s="16">
        <f t="shared" si="541"/>
        <v>27.478778998464644</v>
      </c>
      <c r="AK351" s="17">
        <f t="shared" si="542"/>
        <v>1.3803890905621107E-2</v>
      </c>
      <c r="AL351" s="18">
        <f t="shared" si="609"/>
        <v>0.43184527487123553</v>
      </c>
      <c r="AM351" s="19">
        <f t="shared" si="610"/>
        <v>1003.9085414793451</v>
      </c>
      <c r="AN351" s="15">
        <f t="shared" si="543"/>
        <v>5.5078170829586905E-6</v>
      </c>
      <c r="AO351" s="16">
        <f t="shared" si="544"/>
        <v>27.433948227012468</v>
      </c>
      <c r="AP351" s="17">
        <f t="shared" si="545"/>
        <v>1.3784378265209179E-2</v>
      </c>
      <c r="AQ351" s="18">
        <f t="shared" si="611"/>
        <v>0.43255096829386114</v>
      </c>
      <c r="AR351" s="19">
        <f t="shared" si="612"/>
        <v>999.4105121769561</v>
      </c>
      <c r="AS351" s="15">
        <f t="shared" si="546"/>
        <v>5.498821024353913E-6</v>
      </c>
      <c r="AT351" s="16">
        <f t="shared" si="547"/>
        <v>27.382220890034993</v>
      </c>
      <c r="AU351" s="17">
        <f t="shared" si="548"/>
        <v>1.3761863887400971E-2</v>
      </c>
      <c r="AV351" s="18">
        <f t="shared" si="613"/>
        <v>0.4333680937486124</v>
      </c>
      <c r="AW351" s="19">
        <f t="shared" si="614"/>
        <v>994.3127834238353</v>
      </c>
      <c r="AX351" s="15">
        <f t="shared" si="549"/>
        <v>5.4886255668476717E-6</v>
      </c>
      <c r="AY351" s="16">
        <f t="shared" si="550"/>
        <v>27.323597009374105</v>
      </c>
      <c r="AZ351" s="17">
        <f t="shared" si="551"/>
        <v>1.3736347781703176E-2</v>
      </c>
      <c r="BA351" s="18">
        <f t="shared" si="615"/>
        <v>0.43429790249236749</v>
      </c>
      <c r="BB351" s="19">
        <f t="shared" si="616"/>
        <v>988.61534913972991</v>
      </c>
      <c r="BC351" s="15">
        <f t="shared" si="552"/>
        <v>5.4772306982794599E-6</v>
      </c>
      <c r="BD351" s="16">
        <f t="shared" si="553"/>
        <v>27.258076515106893</v>
      </c>
      <c r="BE351" s="17">
        <f t="shared" si="554"/>
        <v>1.3707829917681774E-2</v>
      </c>
      <c r="BF351" s="18">
        <f t="shared" si="617"/>
        <v>0.43534182843537167</v>
      </c>
      <c r="BG351" s="19">
        <f t="shared" si="618"/>
        <v>982.31814153001619</v>
      </c>
      <c r="BH351" s="15">
        <f t="shared" si="555"/>
        <v>5.4646362830600332E-6</v>
      </c>
      <c r="BI351" s="16">
        <f t="shared" si="556"/>
        <v>27.185658627595185</v>
      </c>
      <c r="BJ351" s="17">
        <f t="shared" si="557"/>
        <v>1.3676309955998436E-2</v>
      </c>
      <c r="BK351" s="18">
        <f t="shared" si="619"/>
        <v>0.43650150368888097</v>
      </c>
      <c r="BL351" s="19">
        <f t="shared" si="620"/>
        <v>975.42054859011455</v>
      </c>
      <c r="BM351" s="15">
        <f t="shared" si="558"/>
        <v>5.4508410971802298E-6</v>
      </c>
      <c r="BN351" s="16">
        <f t="shared" si="559"/>
        <v>27.106336308786318</v>
      </c>
      <c r="BO351" s="17">
        <f t="shared" si="560"/>
        <v>1.3641784833333337E-2</v>
      </c>
      <c r="BP351" s="18">
        <f t="shared" si="621"/>
        <v>0.43777885489716417</v>
      </c>
      <c r="BQ351" s="19">
        <f t="shared" si="622"/>
        <v>967.91765945274869</v>
      </c>
      <c r="BR351" s="15">
        <f t="shared" si="561"/>
        <v>5.4358353189054978E-6</v>
      </c>
      <c r="BS351" s="16">
        <f t="shared" si="562"/>
        <v>27.020053083706607</v>
      </c>
      <c r="BT351" s="17">
        <f t="shared" si="563"/>
        <v>1.3604229968894802E-2</v>
      </c>
      <c r="BU351" s="18">
        <f t="shared" si="623"/>
        <v>0.43917681556567995</v>
      </c>
      <c r="BV351" s="19">
        <f t="shared" si="624"/>
        <v>959.77481083311636</v>
      </c>
      <c r="BW351" s="15">
        <f t="shared" si="564"/>
        <v>5.4195496216662336E-6</v>
      </c>
      <c r="BX351" s="16">
        <f t="shared" si="565"/>
        <v>26.926410324580836</v>
      </c>
      <c r="BY351" s="17">
        <f t="shared" si="566"/>
        <v>1.3563471859524527E-2</v>
      </c>
      <c r="BZ351" s="18">
        <f t="shared" si="625"/>
        <v>0.44070415353081888</v>
      </c>
      <c r="CA351" s="19">
        <f t="shared" si="626"/>
        <v>950.78041629183906</v>
      </c>
      <c r="CB351" s="15">
        <f t="shared" si="567"/>
        <v>5.4015608325836789E-6</v>
      </c>
      <c r="CC351" s="16">
        <f t="shared" si="568"/>
        <v>26.822974787356149</v>
      </c>
      <c r="CD351" s="17">
        <f t="shared" si="569"/>
        <v>1.3518451433190073E-2</v>
      </c>
      <c r="CE351" s="18">
        <f t="shared" si="627"/>
        <v>0.44240360973353277</v>
      </c>
      <c r="CF351" s="19">
        <f t="shared" si="628"/>
        <v>939.84299346614694</v>
      </c>
      <c r="CG351" s="15">
        <f t="shared" si="570"/>
        <v>5.3796859869322946E-6</v>
      </c>
      <c r="CH351" s="16">
        <f t="shared" si="571"/>
        <v>26.69719442486069</v>
      </c>
      <c r="CI351" s="17">
        <f t="shared" si="572"/>
        <v>1.3463705398162022E-2</v>
      </c>
      <c r="CJ351" s="18">
        <f t="shared" si="629"/>
        <v>0.44448793685480381</v>
      </c>
      <c r="CK351" s="19">
        <f t="shared" si="630"/>
        <v>922.35735971393433</v>
      </c>
      <c r="CL351" s="15">
        <f t="shared" si="573"/>
        <v>5.3447147194278689E-6</v>
      </c>
      <c r="CM351" s="16">
        <f t="shared" si="574"/>
        <v>26.496109636710244</v>
      </c>
      <c r="CN351" s="17">
        <f t="shared" si="575"/>
        <v>1.3376183032688716E-2</v>
      </c>
      <c r="CO351" s="18">
        <f t="shared" si="631"/>
        <v>0.44786125330930859</v>
      </c>
      <c r="CP351" s="19">
        <f t="shared" si="632"/>
        <v>883.21377669462674</v>
      </c>
      <c r="CQ351" s="15">
        <f t="shared" si="576"/>
        <v>5.2664275533892536E-6</v>
      </c>
      <c r="CR351" s="16">
        <f t="shared" si="577"/>
        <v>26.045958431988208</v>
      </c>
      <c r="CS351" s="17">
        <f t="shared" si="578"/>
        <v>1.3180254247521467E-2</v>
      </c>
      <c r="CT351" s="18">
        <f t="shared" si="633"/>
        <v>0.45560162052412784</v>
      </c>
      <c r="CU351" s="19">
        <f t="shared" si="634"/>
        <v>787.1462754113611</v>
      </c>
      <c r="CV351" s="15">
        <f t="shared" si="579"/>
        <v>5.0742925508227224E-6</v>
      </c>
      <c r="CW351" s="16">
        <f t="shared" si="580"/>
        <v>24.94118216723065</v>
      </c>
      <c r="CX351" s="17">
        <f t="shared" si="581"/>
        <v>1.2699399216667521E-2</v>
      </c>
      <c r="CY351" s="18">
        <f t="shared" si="635"/>
        <v>0.47578261487977846</v>
      </c>
      <c r="CZ351" s="20">
        <f t="shared" si="585"/>
        <v>586.80163692147312</v>
      </c>
      <c r="DA351" s="15">
        <f t="shared" si="582"/>
        <v>5.8605195730500933E-6</v>
      </c>
      <c r="DB351" s="16">
        <f t="shared" si="583"/>
        <v>36.477752529277275</v>
      </c>
      <c r="DC351" s="17">
        <f t="shared" si="584"/>
        <v>1.4667084510763987E-2</v>
      </c>
      <c r="DD351" s="18">
        <f t="shared" si="636"/>
        <v>0.32531008757169744</v>
      </c>
    </row>
    <row r="352" spans="2:108" x14ac:dyDescent="0.25">
      <c r="B352">
        <v>85</v>
      </c>
      <c r="C352">
        <f t="shared" si="637"/>
        <v>8.3097246639346367E-2</v>
      </c>
      <c r="D352" s="19">
        <f t="shared" si="534"/>
        <v>1018.6167374139599</v>
      </c>
      <c r="E352" s="15">
        <f t="shared" si="586"/>
        <v>5.5372334748279198E-6</v>
      </c>
      <c r="F352" s="16">
        <f t="shared" si="535"/>
        <v>27.603092480260536</v>
      </c>
      <c r="G352" s="17">
        <f t="shared" si="532"/>
        <v>1.3857998479282315E-2</v>
      </c>
      <c r="H352" s="18">
        <f t="shared" si="587"/>
        <v>0.42990041344838092</v>
      </c>
      <c r="I352" s="19">
        <f t="shared" si="588"/>
        <v>1018.2927641844037</v>
      </c>
      <c r="J352" s="15">
        <f t="shared" si="589"/>
        <v>5.536585528368808E-6</v>
      </c>
      <c r="K352" s="16">
        <f t="shared" si="536"/>
        <v>27.599366788120641</v>
      </c>
      <c r="L352" s="17">
        <f t="shared" si="590"/>
        <v>1.3856376867861042E-2</v>
      </c>
      <c r="M352" s="18">
        <f t="shared" si="591"/>
        <v>0.42995844654035792</v>
      </c>
      <c r="N352" s="19">
        <f t="shared" si="592"/>
        <v>1017.3879971047626</v>
      </c>
      <c r="O352" s="15">
        <f t="shared" si="593"/>
        <v>5.5347759942095262E-6</v>
      </c>
      <c r="P352" s="16">
        <f t="shared" si="594"/>
        <v>27.588961966704769</v>
      </c>
      <c r="Q352" s="17">
        <f t="shared" si="533"/>
        <v>1.3857998479282315E-2</v>
      </c>
      <c r="R352" s="18">
        <f t="shared" si="595"/>
        <v>0.43012059982680256</v>
      </c>
      <c r="S352" s="19">
        <f t="shared" si="596"/>
        <v>1015.8870832940271</v>
      </c>
      <c r="T352" s="15">
        <f t="shared" si="597"/>
        <v>5.531774166588055E-6</v>
      </c>
      <c r="U352" s="16">
        <f t="shared" si="598"/>
        <v>27.571701457881311</v>
      </c>
      <c r="V352" s="17">
        <f t="shared" si="599"/>
        <v>1.3844335503785632E-2</v>
      </c>
      <c r="W352" s="18">
        <f t="shared" si="600"/>
        <v>0.43038986505222959</v>
      </c>
      <c r="X352" s="19">
        <f t="shared" si="601"/>
        <v>1013.7877949430656</v>
      </c>
      <c r="Y352" s="15">
        <f t="shared" si="602"/>
        <v>5.5275755898861317E-6</v>
      </c>
      <c r="Z352" s="16">
        <f t="shared" si="603"/>
        <v>27.547559641845254</v>
      </c>
      <c r="AA352" s="17">
        <f t="shared" si="604"/>
        <v>1.3833827752971999E-2</v>
      </c>
      <c r="AB352" s="18">
        <f t="shared" si="605"/>
        <v>0.43076704521195924</v>
      </c>
      <c r="AC352" s="19">
        <f t="shared" si="606"/>
        <v>1011.0888964041136</v>
      </c>
      <c r="AD352" s="15">
        <f t="shared" si="537"/>
        <v>5.522177792808228E-6</v>
      </c>
      <c r="AE352" s="16">
        <f t="shared" si="538"/>
        <v>27.516522308647303</v>
      </c>
      <c r="AF352" s="17">
        <f t="shared" si="539"/>
        <v>1.3820318721063355E-2</v>
      </c>
      <c r="AG352" s="18">
        <f t="shared" si="607"/>
        <v>0.43125293002556225</v>
      </c>
      <c r="AH352" s="19">
        <f t="shared" si="608"/>
        <v>1007.7902926021884</v>
      </c>
      <c r="AI352" s="15">
        <f t="shared" si="540"/>
        <v>5.5155805852043767E-6</v>
      </c>
      <c r="AJ352" s="16">
        <f t="shared" si="541"/>
        <v>27.478588364925166</v>
      </c>
      <c r="AK352" s="17">
        <f t="shared" si="542"/>
        <v>1.3803807932172603E-2</v>
      </c>
      <c r="AL352" s="18">
        <f t="shared" si="609"/>
        <v>0.43184827081091637</v>
      </c>
      <c r="AM352" s="19">
        <f t="shared" si="610"/>
        <v>1003.8919846240302</v>
      </c>
      <c r="AN352" s="15">
        <f t="shared" si="543"/>
        <v>5.5077839692480602E-6</v>
      </c>
      <c r="AO352" s="16">
        <f t="shared" si="544"/>
        <v>27.433757823176347</v>
      </c>
      <c r="AP352" s="17">
        <f t="shared" si="545"/>
        <v>1.3784295391739306E-2</v>
      </c>
      <c r="AQ352" s="18">
        <f t="shared" si="611"/>
        <v>0.43255397041133309</v>
      </c>
      <c r="AR352" s="19">
        <f t="shared" si="612"/>
        <v>999.3939788198594</v>
      </c>
      <c r="AS352" s="15">
        <f t="shared" si="546"/>
        <v>5.49878795763972E-6</v>
      </c>
      <c r="AT352" s="16">
        <f t="shared" si="547"/>
        <v>27.382030756428382</v>
      </c>
      <c r="AU352" s="17">
        <f t="shared" si="548"/>
        <v>1.3761781131548778E-2</v>
      </c>
      <c r="AV352" s="18">
        <f t="shared" si="613"/>
        <v>0.43337110294246617</v>
      </c>
      <c r="AW352" s="19">
        <f t="shared" si="614"/>
        <v>994.29627703696349</v>
      </c>
      <c r="AX352" s="15">
        <f t="shared" si="549"/>
        <v>5.4885925540739275E-6</v>
      </c>
      <c r="AY352" s="16">
        <f t="shared" si="550"/>
        <v>27.323407185925078</v>
      </c>
      <c r="AZ352" s="17">
        <f t="shared" si="551"/>
        <v>1.3736265160847395E-2</v>
      </c>
      <c r="BA352" s="18">
        <f t="shared" si="615"/>
        <v>0.43430091968291018</v>
      </c>
      <c r="BB352" s="19">
        <f t="shared" si="616"/>
        <v>988.59887241521483</v>
      </c>
      <c r="BC352" s="15">
        <f t="shared" si="552"/>
        <v>5.4771977448304304E-6</v>
      </c>
      <c r="BD352" s="16">
        <f t="shared" si="553"/>
        <v>27.25788703277497</v>
      </c>
      <c r="BE352" s="17">
        <f t="shared" si="554"/>
        <v>1.3707747445297574E-2</v>
      </c>
      <c r="BF352" s="18">
        <f t="shared" si="617"/>
        <v>0.43534485470020051</v>
      </c>
      <c r="BG352" s="19">
        <f t="shared" si="618"/>
        <v>982.30169019074356</v>
      </c>
      <c r="BH352" s="15">
        <f t="shared" si="555"/>
        <v>5.4646033803814868E-6</v>
      </c>
      <c r="BI352" s="16">
        <f t="shared" si="556"/>
        <v>27.18546943719355</v>
      </c>
      <c r="BJ352" s="17">
        <f t="shared" si="557"/>
        <v>1.3676227610677197E-2</v>
      </c>
      <c r="BK352" s="18">
        <f t="shared" si="619"/>
        <v>0.43650454141074146</v>
      </c>
      <c r="BL352" s="19">
        <f t="shared" si="620"/>
        <v>975.40406441027153</v>
      </c>
      <c r="BM352" s="15">
        <f t="shared" si="558"/>
        <v>5.4508081288205431E-6</v>
      </c>
      <c r="BN352" s="16">
        <f t="shared" si="559"/>
        <v>27.106146740718124</v>
      </c>
      <c r="BO352" s="17">
        <f t="shared" si="560"/>
        <v>1.3641702323632331E-2</v>
      </c>
      <c r="BP352" s="18">
        <f t="shared" si="621"/>
        <v>0.4377819165234666</v>
      </c>
      <c r="BQ352" s="19">
        <f t="shared" si="622"/>
        <v>967.90072029687269</v>
      </c>
      <c r="BR352" s="15">
        <f t="shared" si="561"/>
        <v>5.4358014405937462E-6</v>
      </c>
      <c r="BS352" s="16">
        <f t="shared" si="562"/>
        <v>27.019858283414035</v>
      </c>
      <c r="BT352" s="17">
        <f t="shared" si="563"/>
        <v>1.3604145181862636E-2</v>
      </c>
      <c r="BU352" s="18">
        <f t="shared" si="623"/>
        <v>0.4391799818210787</v>
      </c>
      <c r="BV352" s="19">
        <f t="shared" si="624"/>
        <v>959.75489993791291</v>
      </c>
      <c r="BW352" s="15">
        <f t="shared" si="564"/>
        <v>5.419509799875827E-6</v>
      </c>
      <c r="BX352" s="16">
        <f t="shared" si="565"/>
        <v>26.926181349285997</v>
      </c>
      <c r="BY352" s="17">
        <f t="shared" si="566"/>
        <v>1.3563372197786694E-2</v>
      </c>
      <c r="BZ352" s="18">
        <f t="shared" si="625"/>
        <v>0.44070790119790104</v>
      </c>
      <c r="CA352" s="19">
        <f t="shared" si="626"/>
        <v>950.74505085410919</v>
      </c>
      <c r="CB352" s="15">
        <f t="shared" si="567"/>
        <v>5.4014901017082189E-6</v>
      </c>
      <c r="CC352" s="16">
        <f t="shared" si="568"/>
        <v>26.822568084822255</v>
      </c>
      <c r="CD352" s="17">
        <f t="shared" si="569"/>
        <v>1.3518274415484565E-2</v>
      </c>
      <c r="CE352" s="18">
        <f t="shared" si="627"/>
        <v>0.44241031776642931</v>
      </c>
      <c r="CF352" s="19">
        <f t="shared" si="628"/>
        <v>939.74246574520714</v>
      </c>
      <c r="CG352" s="15">
        <f t="shared" si="570"/>
        <v>5.3794849314904147E-6</v>
      </c>
      <c r="CH352" s="16">
        <f t="shared" si="571"/>
        <v>26.696038356069881</v>
      </c>
      <c r="CI352" s="17">
        <f t="shared" si="572"/>
        <v>1.3463202218005272E-2</v>
      </c>
      <c r="CJ352" s="18">
        <f t="shared" si="629"/>
        <v>0.44450718535245859</v>
      </c>
      <c r="CK352" s="19">
        <f t="shared" si="630"/>
        <v>922.04335052224053</v>
      </c>
      <c r="CL352" s="15">
        <f t="shared" si="573"/>
        <v>5.3440867010444812E-6</v>
      </c>
      <c r="CM352" s="16">
        <f t="shared" si="574"/>
        <v>26.492498531005765</v>
      </c>
      <c r="CN352" s="17">
        <f t="shared" si="575"/>
        <v>1.337461129513394E-2</v>
      </c>
      <c r="CO352" s="18">
        <f t="shared" si="631"/>
        <v>0.4479222998098773</v>
      </c>
      <c r="CP352" s="19">
        <f t="shared" si="632"/>
        <v>882.40220820069089</v>
      </c>
      <c r="CQ352" s="15">
        <f t="shared" si="576"/>
        <v>5.2648044164013826E-6</v>
      </c>
      <c r="CR352" s="16">
        <f t="shared" si="577"/>
        <v>26.036625394307947</v>
      </c>
      <c r="CS352" s="17">
        <f t="shared" si="578"/>
        <v>1.3176192033057905E-2</v>
      </c>
      <c r="CT352" s="18">
        <f t="shared" si="633"/>
        <v>0.45576493458757278</v>
      </c>
      <c r="CU352" s="19">
        <f t="shared" si="634"/>
        <v>785.66952131964331</v>
      </c>
      <c r="CV352" s="15">
        <f t="shared" si="579"/>
        <v>5.0713390426392871E-6</v>
      </c>
      <c r="CW352" s="16">
        <f t="shared" si="580"/>
        <v>24.924199495175898</v>
      </c>
      <c r="CX352" s="17">
        <f t="shared" si="581"/>
        <v>1.269200749079924E-2</v>
      </c>
      <c r="CY352" s="18">
        <f t="shared" si="635"/>
        <v>0.4761068002209935</v>
      </c>
      <c r="CZ352" s="20">
        <f t="shared" si="585"/>
        <v>585.26727470795902</v>
      </c>
      <c r="DA352" s="15">
        <f t="shared" si="582"/>
        <v>5.885653801753096E-6</v>
      </c>
      <c r="DB352" s="16">
        <f t="shared" si="583"/>
        <v>36.52224903346918</v>
      </c>
      <c r="DC352" s="17">
        <f t="shared" si="584"/>
        <v>1.4729987782718754E-2</v>
      </c>
      <c r="DD352" s="18">
        <f t="shared" si="636"/>
        <v>0.32491374939268669</v>
      </c>
    </row>
    <row r="353" spans="2:108" x14ac:dyDescent="0.25">
      <c r="B353">
        <v>86</v>
      </c>
      <c r="C353">
        <f t="shared" si="637"/>
        <v>8.4074861305691626E-2</v>
      </c>
      <c r="D353" s="19">
        <f t="shared" si="534"/>
        <v>1018.6001969774629</v>
      </c>
      <c r="E353" s="15">
        <f t="shared" si="586"/>
        <v>5.5372003939549265E-6</v>
      </c>
      <c r="F353" s="16">
        <f t="shared" si="535"/>
        <v>27.602902265240822</v>
      </c>
      <c r="G353" s="17">
        <f t="shared" si="532"/>
        <v>1.3857915687994982E-2</v>
      </c>
      <c r="H353" s="18">
        <f t="shared" si="587"/>
        <v>0.42990337594539785</v>
      </c>
      <c r="I353" s="19">
        <f t="shared" si="588"/>
        <v>1018.2762017023935</v>
      </c>
      <c r="J353" s="15">
        <f t="shared" si="589"/>
        <v>5.5365524034047876E-6</v>
      </c>
      <c r="K353" s="16">
        <f t="shared" si="536"/>
        <v>27.599176319577523</v>
      </c>
      <c r="L353" s="17">
        <f t="shared" si="590"/>
        <v>1.3856293966227382E-2</v>
      </c>
      <c r="M353" s="18">
        <f t="shared" si="591"/>
        <v>0.42996141378684255</v>
      </c>
      <c r="N353" s="19">
        <f t="shared" si="592"/>
        <v>1017.371403265008</v>
      </c>
      <c r="O353" s="15">
        <f t="shared" si="593"/>
        <v>5.5347428065300167E-6</v>
      </c>
      <c r="P353" s="16">
        <f t="shared" si="594"/>
        <v>27.588771137547589</v>
      </c>
      <c r="Q353" s="17">
        <f t="shared" si="533"/>
        <v>1.3857915687994982E-2</v>
      </c>
      <c r="R353" s="18">
        <f t="shared" si="595"/>
        <v>0.430123574933999</v>
      </c>
      <c r="S353" s="19">
        <f t="shared" si="596"/>
        <v>1015.8704758537627</v>
      </c>
      <c r="T353" s="15">
        <f t="shared" si="597"/>
        <v>5.5317409517075257E-6</v>
      </c>
      <c r="U353" s="16">
        <f t="shared" si="598"/>
        <v>27.57151047231827</v>
      </c>
      <c r="V353" s="17">
        <f t="shared" si="599"/>
        <v>1.3844252377118506E-2</v>
      </c>
      <c r="W353" s="18">
        <f t="shared" si="600"/>
        <v>0.43039284632707797</v>
      </c>
      <c r="X353" s="19">
        <f t="shared" si="601"/>
        <v>1013.7711903745131</v>
      </c>
      <c r="Y353" s="15">
        <f t="shared" si="602"/>
        <v>5.527542380749027E-6</v>
      </c>
      <c r="Z353" s="16">
        <f t="shared" si="603"/>
        <v>27.5473686893069</v>
      </c>
      <c r="AA353" s="17">
        <f t="shared" si="604"/>
        <v>1.3833744640678903E-2</v>
      </c>
      <c r="AB353" s="18">
        <f t="shared" si="605"/>
        <v>0.43077003119808555</v>
      </c>
      <c r="AC353" s="19">
        <f t="shared" si="606"/>
        <v>1011.0723034430594</v>
      </c>
      <c r="AD353" s="15">
        <f t="shared" si="537"/>
        <v>5.5221446068861187E-6</v>
      </c>
      <c r="AE353" s="16">
        <f t="shared" si="538"/>
        <v>27.516331489595181</v>
      </c>
      <c r="AF353" s="17">
        <f t="shared" si="539"/>
        <v>1.382023566687028E-2</v>
      </c>
      <c r="AG353" s="18">
        <f t="shared" si="607"/>
        <v>0.43125592065951951</v>
      </c>
      <c r="AH353" s="19">
        <f t="shared" si="608"/>
        <v>1007.7737159644029</v>
      </c>
      <c r="AI353" s="15">
        <f t="shared" si="540"/>
        <v>5.5155474319288061E-6</v>
      </c>
      <c r="AJ353" s="16">
        <f t="shared" si="541"/>
        <v>27.478397733590633</v>
      </c>
      <c r="AK353" s="17">
        <f t="shared" si="542"/>
        <v>1.380372495968381E-2</v>
      </c>
      <c r="AL353" s="18">
        <f t="shared" si="609"/>
        <v>0.43185126675751334</v>
      </c>
      <c r="AM353" s="19">
        <f t="shared" si="610"/>
        <v>1003.8754279597434</v>
      </c>
      <c r="AN353" s="15">
        <f t="shared" si="543"/>
        <v>5.5077508559194875E-6</v>
      </c>
      <c r="AO353" s="16">
        <f t="shared" si="544"/>
        <v>27.433567421537049</v>
      </c>
      <c r="AP353" s="17">
        <f t="shared" si="545"/>
        <v>1.3784212519225606E-2</v>
      </c>
      <c r="AQ353" s="18">
        <f t="shared" si="611"/>
        <v>0.43255697253583936</v>
      </c>
      <c r="AR353" s="19">
        <f t="shared" si="612"/>
        <v>999.3774456535009</v>
      </c>
      <c r="AS353" s="15">
        <f t="shared" si="546"/>
        <v>5.4987548913070017E-6</v>
      </c>
      <c r="AT353" s="16">
        <f t="shared" si="547"/>
        <v>27.381840625015258</v>
      </c>
      <c r="AU353" s="17">
        <f t="shared" si="548"/>
        <v>1.3761698376651298E-2</v>
      </c>
      <c r="AV353" s="18">
        <f t="shared" si="613"/>
        <v>0.43337411214339377</v>
      </c>
      <c r="AW353" s="19">
        <f t="shared" si="614"/>
        <v>994.2797708296971</v>
      </c>
      <c r="AX353" s="15">
        <f t="shared" si="549"/>
        <v>5.4885595416593948E-6</v>
      </c>
      <c r="AY353" s="16">
        <f t="shared" si="550"/>
        <v>27.323217364541517</v>
      </c>
      <c r="AZ353" s="17">
        <f t="shared" si="551"/>
        <v>1.3736182540890611E-2</v>
      </c>
      <c r="BA353" s="18">
        <f t="shared" si="615"/>
        <v>0.43430393688254509</v>
      </c>
      <c r="BB353" s="19">
        <f t="shared" si="616"/>
        <v>988.58239576885876</v>
      </c>
      <c r="BC353" s="15">
        <f t="shared" si="552"/>
        <v>5.4771647915377182E-6</v>
      </c>
      <c r="BD353" s="16">
        <f t="shared" si="553"/>
        <v>27.257697551341877</v>
      </c>
      <c r="BE353" s="17">
        <f t="shared" si="554"/>
        <v>1.3707664973304588E-2</v>
      </c>
      <c r="BF353" s="18">
        <f t="shared" si="617"/>
        <v>0.43534788099274785</v>
      </c>
      <c r="BG353" s="19">
        <f t="shared" si="618"/>
        <v>982.28523814766436</v>
      </c>
      <c r="BH353" s="15">
        <f t="shared" si="555"/>
        <v>5.4645704762953284E-6</v>
      </c>
      <c r="BI353" s="16">
        <f t="shared" si="556"/>
        <v>27.185280238698141</v>
      </c>
      <c r="BJ353" s="17">
        <f t="shared" si="557"/>
        <v>1.3676145261833137E-2</v>
      </c>
      <c r="BK353" s="18">
        <f t="shared" si="619"/>
        <v>0.43650757930484257</v>
      </c>
      <c r="BL353" s="19">
        <f t="shared" si="620"/>
        <v>975.38757427852181</v>
      </c>
      <c r="BM353" s="15">
        <f t="shared" si="558"/>
        <v>5.450775148557044E-6</v>
      </c>
      <c r="BN353" s="16">
        <f t="shared" si="559"/>
        <v>27.105957104203</v>
      </c>
      <c r="BO353" s="17">
        <f t="shared" si="560"/>
        <v>1.3641619784139733E-2</v>
      </c>
      <c r="BP353" s="18">
        <f t="shared" si="621"/>
        <v>0.43778497929807053</v>
      </c>
      <c r="BQ353" s="19">
        <f t="shared" si="622"/>
        <v>967.88374511283848</v>
      </c>
      <c r="BR353" s="15">
        <f t="shared" si="561"/>
        <v>5.4357674902256777E-6</v>
      </c>
      <c r="BS353" s="16">
        <f t="shared" si="562"/>
        <v>27.019663068797641</v>
      </c>
      <c r="BT353" s="17">
        <f t="shared" si="563"/>
        <v>1.3604060214495591E-2</v>
      </c>
      <c r="BU353" s="18">
        <f t="shared" si="623"/>
        <v>0.43918315485663656</v>
      </c>
      <c r="BV353" s="19">
        <f t="shared" si="624"/>
        <v>959.73481039768023</v>
      </c>
      <c r="BW353" s="15">
        <f t="shared" si="564"/>
        <v>5.4194696207953613E-6</v>
      </c>
      <c r="BX353" s="16">
        <f t="shared" si="565"/>
        <v>26.925950319573325</v>
      </c>
      <c r="BY353" s="17">
        <f t="shared" si="566"/>
        <v>1.3563271641861335E-2</v>
      </c>
      <c r="BZ353" s="18">
        <f t="shared" si="625"/>
        <v>0.44071168255449489</v>
      </c>
      <c r="CA353" s="19">
        <f t="shared" si="626"/>
        <v>950.70897503138463</v>
      </c>
      <c r="CB353" s="15">
        <f t="shared" si="567"/>
        <v>5.40141795006277E-6</v>
      </c>
      <c r="CC353" s="16">
        <f t="shared" si="568"/>
        <v>26.822153212860922</v>
      </c>
      <c r="CD353" s="17">
        <f t="shared" si="569"/>
        <v>1.3518093842027179E-2</v>
      </c>
      <c r="CE353" s="18">
        <f t="shared" si="627"/>
        <v>0.44241716075307502</v>
      </c>
      <c r="CF353" s="19">
        <f t="shared" si="628"/>
        <v>939.63981666400571</v>
      </c>
      <c r="CG353" s="15">
        <f t="shared" si="570"/>
        <v>5.3792796333280114E-6</v>
      </c>
      <c r="CH353" s="16">
        <f t="shared" si="571"/>
        <v>26.694857891636065</v>
      </c>
      <c r="CI353" s="17">
        <f t="shared" si="572"/>
        <v>1.3462688419619251E-2</v>
      </c>
      <c r="CJ353" s="18">
        <f t="shared" si="629"/>
        <v>0.44452684175688728</v>
      </c>
      <c r="CK353" s="19">
        <f t="shared" si="630"/>
        <v>921.72524731808153</v>
      </c>
      <c r="CL353" s="15">
        <f t="shared" si="573"/>
        <v>5.3434504946361632E-6</v>
      </c>
      <c r="CM353" s="16">
        <f t="shared" si="574"/>
        <v>26.488840344157936</v>
      </c>
      <c r="CN353" s="17">
        <f t="shared" si="575"/>
        <v>1.3373019065462019E-2</v>
      </c>
      <c r="CO353" s="18">
        <f t="shared" si="631"/>
        <v>0.44798415919838674</v>
      </c>
      <c r="CP353" s="19">
        <f t="shared" si="632"/>
        <v>881.58806272521019</v>
      </c>
      <c r="CQ353" s="15">
        <f t="shared" si="576"/>
        <v>5.2631761254504212E-6</v>
      </c>
      <c r="CR353" s="16">
        <f t="shared" si="577"/>
        <v>26.027262721339916</v>
      </c>
      <c r="CS353" s="17">
        <f t="shared" si="578"/>
        <v>1.3172116919804177E-2</v>
      </c>
      <c r="CT353" s="18">
        <f t="shared" si="633"/>
        <v>0.45592888490684097</v>
      </c>
      <c r="CU353" s="19">
        <f t="shared" si="634"/>
        <v>784.20097649245395</v>
      </c>
      <c r="CV353" s="15">
        <f t="shared" si="579"/>
        <v>5.0684019529849087E-6</v>
      </c>
      <c r="CW353" s="16">
        <f t="shared" si="580"/>
        <v>24.907311229663222</v>
      </c>
      <c r="CX353" s="17">
        <f t="shared" si="581"/>
        <v>1.2684656855477663E-2</v>
      </c>
      <c r="CY353" s="18">
        <f t="shared" si="635"/>
        <v>0.47642962182065884</v>
      </c>
      <c r="CZ353" s="20">
        <f t="shared" si="585"/>
        <v>583.74885833980397</v>
      </c>
      <c r="DA353" s="15">
        <f t="shared" si="582"/>
        <v>5.9104738625962272E-6</v>
      </c>
      <c r="DB353" s="16">
        <f t="shared" si="583"/>
        <v>36.566283108145683</v>
      </c>
      <c r="DC353" s="17">
        <f t="shared" si="584"/>
        <v>1.4792104788798312E-2</v>
      </c>
      <c r="DD353" s="18">
        <f t="shared" si="636"/>
        <v>0.32452247975606907</v>
      </c>
    </row>
    <row r="354" spans="2:108" x14ac:dyDescent="0.25">
      <c r="B354">
        <v>87</v>
      </c>
      <c r="C354">
        <f t="shared" si="637"/>
        <v>8.5052475972036884E-2</v>
      </c>
      <c r="D354" s="19">
        <f t="shared" si="534"/>
        <v>1018.5836554154334</v>
      </c>
      <c r="E354" s="15">
        <f t="shared" si="586"/>
        <v>5.5371673108308676E-6</v>
      </c>
      <c r="F354" s="16">
        <f t="shared" si="535"/>
        <v>27.602712037277485</v>
      </c>
      <c r="G354" s="17">
        <f t="shared" si="532"/>
        <v>1.3857832891073925E-2</v>
      </c>
      <c r="H354" s="18">
        <f t="shared" si="587"/>
        <v>0.42990633868483907</v>
      </c>
      <c r="I354" s="19">
        <f t="shared" si="588"/>
        <v>1018.2596388202651</v>
      </c>
      <c r="J354" s="15">
        <f t="shared" si="589"/>
        <v>5.5365192776405312E-6</v>
      </c>
      <c r="K354" s="16">
        <f t="shared" si="536"/>
        <v>27.598985846433045</v>
      </c>
      <c r="L354" s="17">
        <f t="shared" si="590"/>
        <v>1.3856211062590976E-2</v>
      </c>
      <c r="M354" s="18">
        <f t="shared" si="591"/>
        <v>0.42996438114596741</v>
      </c>
      <c r="N354" s="19">
        <f t="shared" si="592"/>
        <v>1017.3548096148463</v>
      </c>
      <c r="O354" s="15">
        <f t="shared" si="593"/>
        <v>5.5347096192296924E-6</v>
      </c>
      <c r="P354" s="16">
        <f t="shared" si="594"/>
        <v>27.588580310570734</v>
      </c>
      <c r="Q354" s="17">
        <f t="shared" si="533"/>
        <v>1.3857832891073925E-2</v>
      </c>
      <c r="R354" s="18">
        <f t="shared" si="595"/>
        <v>0.43012655004835987</v>
      </c>
      <c r="S354" s="19">
        <f t="shared" si="596"/>
        <v>1015.8538687162126</v>
      </c>
      <c r="T354" s="15">
        <f t="shared" si="597"/>
        <v>5.5317077374324259E-6</v>
      </c>
      <c r="U354" s="16">
        <f t="shared" si="598"/>
        <v>27.571319490236444</v>
      </c>
      <c r="V354" s="17">
        <f t="shared" si="599"/>
        <v>1.3844169251966583E-2</v>
      </c>
      <c r="W354" s="18">
        <f t="shared" si="600"/>
        <v>0.43039582758888606</v>
      </c>
      <c r="X354" s="19">
        <f t="shared" si="601"/>
        <v>1013.7545860516559</v>
      </c>
      <c r="Y354" s="15">
        <f t="shared" si="602"/>
        <v>5.5275091721033124E-6</v>
      </c>
      <c r="Z354" s="16">
        <f t="shared" si="603"/>
        <v>27.547177739594041</v>
      </c>
      <c r="AA354" s="17">
        <f t="shared" si="604"/>
        <v>1.3833661529615609E-2</v>
      </c>
      <c r="AB354" s="18">
        <f t="shared" si="605"/>
        <v>0.43077301718142452</v>
      </c>
      <c r="AC354" s="19">
        <f t="shared" si="606"/>
        <v>1011.055710685568</v>
      </c>
      <c r="AD354" s="15">
        <f t="shared" si="537"/>
        <v>5.5221114213711367E-6</v>
      </c>
      <c r="AE354" s="16">
        <f t="shared" si="538"/>
        <v>27.516140672884031</v>
      </c>
      <c r="AF354" s="17">
        <f t="shared" si="539"/>
        <v>1.3820152613696117E-2</v>
      </c>
      <c r="AG354" s="18">
        <f t="shared" si="607"/>
        <v>0.43125891129826582</v>
      </c>
      <c r="AH354" s="19">
        <f t="shared" si="608"/>
        <v>1007.7571395184842</v>
      </c>
      <c r="AI354" s="15">
        <f t="shared" si="540"/>
        <v>5.5155142790369694E-6</v>
      </c>
      <c r="AJ354" s="16">
        <f t="shared" si="541"/>
        <v>27.47820710446257</v>
      </c>
      <c r="AK354" s="17">
        <f t="shared" si="542"/>
        <v>1.3803641988155384E-2</v>
      </c>
      <c r="AL354" s="18">
        <f t="shared" si="609"/>
        <v>0.43185426271100197</v>
      </c>
      <c r="AM354" s="19">
        <f t="shared" si="610"/>
        <v>1003.8588714864873</v>
      </c>
      <c r="AN354" s="15">
        <f t="shared" si="543"/>
        <v>5.5077177429729749E-6</v>
      </c>
      <c r="AO354" s="16">
        <f t="shared" si="544"/>
        <v>27.433377022094604</v>
      </c>
      <c r="AP354" s="17">
        <f t="shared" si="545"/>
        <v>1.3784129647668085E-2</v>
      </c>
      <c r="AQ354" s="18">
        <f t="shared" si="611"/>
        <v>0.432559974667379</v>
      </c>
      <c r="AR354" s="19">
        <f t="shared" si="612"/>
        <v>999.36091267771917</v>
      </c>
      <c r="AS354" s="15">
        <f t="shared" si="546"/>
        <v>5.498721825355439E-6</v>
      </c>
      <c r="AT354" s="16">
        <f t="shared" si="547"/>
        <v>27.381650495793771</v>
      </c>
      <c r="AU354" s="17">
        <f t="shared" si="548"/>
        <v>1.3761615622707737E-2</v>
      </c>
      <c r="AV354" s="18">
        <f t="shared" si="613"/>
        <v>0.43337712135142409</v>
      </c>
      <c r="AW354" s="19">
        <f t="shared" si="614"/>
        <v>994.26326480070509</v>
      </c>
      <c r="AX354" s="15">
        <f t="shared" si="549"/>
        <v>5.4885265296014104E-6</v>
      </c>
      <c r="AY354" s="16">
        <f t="shared" si="550"/>
        <v>27.323027545208106</v>
      </c>
      <c r="AZ354" s="17">
        <f t="shared" si="551"/>
        <v>1.3736099921826159E-2</v>
      </c>
      <c r="BA354" s="18">
        <f t="shared" si="615"/>
        <v>0.43430695409151504</v>
      </c>
      <c r="BB354" s="19">
        <f t="shared" si="616"/>
        <v>988.5659191907065</v>
      </c>
      <c r="BC354" s="15">
        <f t="shared" si="552"/>
        <v>5.4771318383814131E-6</v>
      </c>
      <c r="BD354" s="16">
        <f t="shared" si="553"/>
        <v>27.257508070693124</v>
      </c>
      <c r="BE354" s="17">
        <f t="shared" si="554"/>
        <v>1.3707582501652989E-2</v>
      </c>
      <c r="BF354" s="18">
        <f t="shared" si="617"/>
        <v>0.43535090731484266</v>
      </c>
      <c r="BG354" s="19">
        <f t="shared" si="618"/>
        <v>982.26878533581089</v>
      </c>
      <c r="BH354" s="15">
        <f t="shared" si="555"/>
        <v>5.4645375706716222E-6</v>
      </c>
      <c r="BI354" s="16">
        <f t="shared" si="556"/>
        <v>27.185091031361825</v>
      </c>
      <c r="BJ354" s="17">
        <f t="shared" si="557"/>
        <v>1.3676062909141064E-2</v>
      </c>
      <c r="BK354" s="18">
        <f t="shared" si="619"/>
        <v>0.4365106173831873</v>
      </c>
      <c r="BL354" s="19">
        <f t="shared" si="620"/>
        <v>975.37107783526255</v>
      </c>
      <c r="BM354" s="15">
        <f t="shared" si="558"/>
        <v>5.4507421556705256E-6</v>
      </c>
      <c r="BN354" s="16">
        <f t="shared" si="559"/>
        <v>27.105767395105516</v>
      </c>
      <c r="BO354" s="17">
        <f t="shared" si="560"/>
        <v>1.3641537213055584E-2</v>
      </c>
      <c r="BP354" s="18">
        <f t="shared" si="621"/>
        <v>0.43778804328781501</v>
      </c>
      <c r="BQ354" s="19">
        <f t="shared" si="622"/>
        <v>967.86673227528786</v>
      </c>
      <c r="BR354" s="15">
        <f t="shared" si="561"/>
        <v>5.4357334645505771E-6</v>
      </c>
      <c r="BS354" s="16">
        <f t="shared" si="562"/>
        <v>27.01946742116581</v>
      </c>
      <c r="BT354" s="17">
        <f t="shared" si="563"/>
        <v>1.3603975058658126E-2</v>
      </c>
      <c r="BU354" s="18">
        <f t="shared" si="623"/>
        <v>0.43918633497646825</v>
      </c>
      <c r="BV354" s="19">
        <f t="shared" si="624"/>
        <v>959.71453659367091</v>
      </c>
      <c r="BW354" s="15">
        <f t="shared" si="564"/>
        <v>5.4194290731873426E-6</v>
      </c>
      <c r="BX354" s="16">
        <f t="shared" si="565"/>
        <v>26.925717170827212</v>
      </c>
      <c r="BY354" s="17">
        <f t="shared" si="566"/>
        <v>1.3563170163624447E-2</v>
      </c>
      <c r="BZ354" s="18">
        <f t="shared" si="625"/>
        <v>0.44071549865995019</v>
      </c>
      <c r="CA354" s="19">
        <f t="shared" si="626"/>
        <v>950.67217603317351</v>
      </c>
      <c r="CB354" s="15">
        <f t="shared" si="567"/>
        <v>5.4013443520663475E-6</v>
      </c>
      <c r="CC354" s="16">
        <f t="shared" si="568"/>
        <v>26.821730024381495</v>
      </c>
      <c r="CD354" s="17">
        <f t="shared" si="569"/>
        <v>1.3517909648796546E-2</v>
      </c>
      <c r="CE354" s="18">
        <f t="shared" si="627"/>
        <v>0.44242414113224376</v>
      </c>
      <c r="CF354" s="19">
        <f t="shared" si="628"/>
        <v>939.53503728524777</v>
      </c>
      <c r="CG354" s="15">
        <f t="shared" si="570"/>
        <v>5.3790700745704957E-6</v>
      </c>
      <c r="CH354" s="16">
        <f t="shared" si="571"/>
        <v>26.693652928780349</v>
      </c>
      <c r="CI354" s="17">
        <f t="shared" si="572"/>
        <v>1.3462163958269343E-2</v>
      </c>
      <c r="CJ354" s="18">
        <f t="shared" si="629"/>
        <v>0.44454690788774298</v>
      </c>
      <c r="CK354" s="19">
        <f t="shared" si="630"/>
        <v>921.4030974683518</v>
      </c>
      <c r="CL354" s="15">
        <f t="shared" si="573"/>
        <v>5.3428061949367042E-6</v>
      </c>
      <c r="CM354" s="16">
        <f t="shared" si="574"/>
        <v>26.485135620886044</v>
      </c>
      <c r="CN354" s="17">
        <f t="shared" si="575"/>
        <v>1.3371406580762593E-2</v>
      </c>
      <c r="CO354" s="18">
        <f t="shared" si="631"/>
        <v>0.44804682292659181</v>
      </c>
      <c r="CP354" s="19">
        <f t="shared" si="632"/>
        <v>880.77147065423208</v>
      </c>
      <c r="CQ354" s="15">
        <f t="shared" si="576"/>
        <v>5.2615429413084642E-6</v>
      </c>
      <c r="CR354" s="16">
        <f t="shared" si="577"/>
        <v>26.017871912523667</v>
      </c>
      <c r="CS354" s="17">
        <f t="shared" si="578"/>
        <v>1.3168029560392928E-2</v>
      </c>
      <c r="CT354" s="18">
        <f t="shared" si="633"/>
        <v>0.4560934464438629</v>
      </c>
      <c r="CU354" s="19">
        <f t="shared" si="634"/>
        <v>782.74060375160593</v>
      </c>
      <c r="CV354" s="15">
        <f t="shared" si="579"/>
        <v>5.0654812075032123E-6</v>
      </c>
      <c r="CW354" s="16">
        <f t="shared" si="580"/>
        <v>24.890516943143467</v>
      </c>
      <c r="CX354" s="17">
        <f t="shared" si="581"/>
        <v>1.267734712461157E-2</v>
      </c>
      <c r="CY354" s="18">
        <f t="shared" si="635"/>
        <v>0.4767510814188517</v>
      </c>
      <c r="CZ354" s="20">
        <f t="shared" si="585"/>
        <v>582.24602472892036</v>
      </c>
      <c r="DA354" s="15">
        <f t="shared" si="582"/>
        <v>5.9349879551299751E-6</v>
      </c>
      <c r="DB354" s="16">
        <f t="shared" si="583"/>
        <v>36.609865282861307</v>
      </c>
      <c r="DC354" s="17">
        <f t="shared" si="584"/>
        <v>1.4853456049964742E-2</v>
      </c>
      <c r="DD354" s="18">
        <f t="shared" si="636"/>
        <v>0.32413615231939047</v>
      </c>
    </row>
    <row r="355" spans="2:108" x14ac:dyDescent="0.25">
      <c r="B355">
        <v>88</v>
      </c>
      <c r="C355">
        <f t="shared" si="637"/>
        <v>8.6030090638382128E-2</v>
      </c>
      <c r="D355" s="19">
        <f t="shared" si="534"/>
        <v>1018.5671127649074</v>
      </c>
      <c r="E355" s="15">
        <f t="shared" si="586"/>
        <v>5.5371342255298147E-6</v>
      </c>
      <c r="F355" s="16">
        <f t="shared" si="535"/>
        <v>27.602521796796434</v>
      </c>
      <c r="G355" s="17">
        <f t="shared" si="532"/>
        <v>1.3857750088704518E-2</v>
      </c>
      <c r="H355" s="18">
        <f t="shared" si="587"/>
        <v>0.42990930166008023</v>
      </c>
      <c r="I355" s="19">
        <f t="shared" si="588"/>
        <v>1018.2430755452629</v>
      </c>
      <c r="J355" s="15">
        <f t="shared" si="589"/>
        <v>5.5364861510905263E-6</v>
      </c>
      <c r="K355" s="16">
        <f t="shared" si="536"/>
        <v>27.598795368770524</v>
      </c>
      <c r="L355" s="17">
        <f t="shared" si="590"/>
        <v>1.3856128156988085E-2</v>
      </c>
      <c r="M355" s="18">
        <f t="shared" si="591"/>
        <v>0.42996734861643826</v>
      </c>
      <c r="N355" s="19">
        <f t="shared" si="592"/>
        <v>1017.3382161501097</v>
      </c>
      <c r="O355" s="15">
        <f t="shared" si="593"/>
        <v>5.5346764323002204E-6</v>
      </c>
      <c r="P355" s="16">
        <f t="shared" si="594"/>
        <v>27.58838948572626</v>
      </c>
      <c r="Q355" s="17">
        <f t="shared" si="533"/>
        <v>1.3857750088704518E-2</v>
      </c>
      <c r="R355" s="18">
        <f t="shared" si="595"/>
        <v>0.43012952517063219</v>
      </c>
      <c r="S355" s="19">
        <f t="shared" si="596"/>
        <v>1015.8372618791524</v>
      </c>
      <c r="T355" s="15">
        <f t="shared" si="597"/>
        <v>5.5316745237583053E-6</v>
      </c>
      <c r="U355" s="16">
        <f t="shared" si="598"/>
        <v>27.571128511610251</v>
      </c>
      <c r="V355" s="17">
        <f t="shared" si="599"/>
        <v>1.3844086128318729E-2</v>
      </c>
      <c r="W355" s="18">
        <f t="shared" si="600"/>
        <v>0.43039880883805176</v>
      </c>
      <c r="X355" s="19">
        <f t="shared" si="601"/>
        <v>1013.7379819745248</v>
      </c>
      <c r="Y355" s="15">
        <f t="shared" si="602"/>
        <v>5.5274759639490498E-6</v>
      </c>
      <c r="Z355" s="16">
        <f t="shared" si="603"/>
        <v>27.546986792707035</v>
      </c>
      <c r="AA355" s="17">
        <f t="shared" si="604"/>
        <v>1.3833578419782264E-2</v>
      </c>
      <c r="AB355" s="18">
        <f t="shared" si="605"/>
        <v>0.43077600316196951</v>
      </c>
      <c r="AC355" s="19">
        <f t="shared" si="606"/>
        <v>1011.0391181319834</v>
      </c>
      <c r="AD355" s="15">
        <f t="shared" si="537"/>
        <v>5.5220782362639671E-6</v>
      </c>
      <c r="AE355" s="16">
        <f t="shared" si="538"/>
        <v>27.515949858517807</v>
      </c>
      <c r="AF355" s="17">
        <f t="shared" si="539"/>
        <v>1.3820069561542586E-2</v>
      </c>
      <c r="AG355" s="18">
        <f t="shared" si="607"/>
        <v>0.43126190194173847</v>
      </c>
      <c r="AH355" s="19">
        <f t="shared" si="608"/>
        <v>1007.7405632645657</v>
      </c>
      <c r="AI355" s="15">
        <f t="shared" si="540"/>
        <v>5.5154811265291316E-6</v>
      </c>
      <c r="AJ355" s="16">
        <f t="shared" si="541"/>
        <v>27.478016477542504</v>
      </c>
      <c r="AK355" s="17">
        <f t="shared" si="542"/>
        <v>1.3803559017587988E-2</v>
      </c>
      <c r="AL355" s="18">
        <f t="shared" si="609"/>
        <v>0.43185725867135755</v>
      </c>
      <c r="AM355" s="19">
        <f t="shared" si="610"/>
        <v>1003.8423152042634</v>
      </c>
      <c r="AN355" s="15">
        <f t="shared" si="543"/>
        <v>5.5076846304085267E-6</v>
      </c>
      <c r="AO355" s="16">
        <f t="shared" si="544"/>
        <v>27.433186624849029</v>
      </c>
      <c r="AP355" s="17">
        <f t="shared" si="545"/>
        <v>1.3784046777066754E-2</v>
      </c>
      <c r="AQ355" s="18">
        <f t="shared" si="611"/>
        <v>0.43256297680595113</v>
      </c>
      <c r="AR355" s="19">
        <f t="shared" si="612"/>
        <v>999.34437989233754</v>
      </c>
      <c r="AS355" s="15">
        <f t="shared" si="546"/>
        <v>5.498688759784676E-6</v>
      </c>
      <c r="AT355" s="16">
        <f t="shared" si="547"/>
        <v>27.381460368761878</v>
      </c>
      <c r="AU355" s="17">
        <f t="shared" si="548"/>
        <v>1.3761532869717197E-2</v>
      </c>
      <c r="AV355" s="18">
        <f t="shared" si="613"/>
        <v>0.43338013056658875</v>
      </c>
      <c r="AW355" s="19">
        <f t="shared" si="614"/>
        <v>994.24675894854624</v>
      </c>
      <c r="AX355" s="15">
        <f t="shared" si="549"/>
        <v>5.4884935178970927E-6</v>
      </c>
      <c r="AY355" s="16">
        <f t="shared" si="550"/>
        <v>27.322837727908279</v>
      </c>
      <c r="AZ355" s="17">
        <f t="shared" si="551"/>
        <v>1.3736017303646826E-2</v>
      </c>
      <c r="BA355" s="18">
        <f t="shared" si="615"/>
        <v>0.43430997131008303</v>
      </c>
      <c r="BB355" s="19">
        <f t="shared" si="616"/>
        <v>988.54944267012218</v>
      </c>
      <c r="BC355" s="15">
        <f t="shared" si="552"/>
        <v>5.4770988853402452E-6</v>
      </c>
      <c r="BD355" s="16">
        <f t="shared" si="553"/>
        <v>27.257318590706404</v>
      </c>
      <c r="BE355" s="17">
        <f t="shared" si="554"/>
        <v>1.3707500030289541E-2</v>
      </c>
      <c r="BF355" s="18">
        <f t="shared" si="617"/>
        <v>0.43535393366843878</v>
      </c>
      <c r="BG355" s="19">
        <f t="shared" si="618"/>
        <v>982.252331686714</v>
      </c>
      <c r="BH355" s="15">
        <f t="shared" si="555"/>
        <v>5.4645046633734293E-6</v>
      </c>
      <c r="BI355" s="16">
        <f t="shared" si="556"/>
        <v>27.184901814397211</v>
      </c>
      <c r="BJ355" s="17">
        <f t="shared" si="557"/>
        <v>1.3675980552258266E-2</v>
      </c>
      <c r="BK355" s="18">
        <f t="shared" si="619"/>
        <v>0.43651365565842576</v>
      </c>
      <c r="BL355" s="19">
        <f t="shared" si="620"/>
        <v>975.35457470672759</v>
      </c>
      <c r="BM355" s="15">
        <f t="shared" si="558"/>
        <v>5.4507091494134556E-6</v>
      </c>
      <c r="BN355" s="16">
        <f t="shared" si="559"/>
        <v>27.105577609127366</v>
      </c>
      <c r="BO355" s="17">
        <f t="shared" si="560"/>
        <v>1.3641454608509043E-2</v>
      </c>
      <c r="BP355" s="18">
        <f t="shared" si="621"/>
        <v>0.43779110856217351</v>
      </c>
      <c r="BQ355" s="19">
        <f t="shared" si="622"/>
        <v>967.84968011892681</v>
      </c>
      <c r="BR355" s="15">
        <f t="shared" si="561"/>
        <v>5.4356993602378542E-6</v>
      </c>
      <c r="BS355" s="16">
        <f t="shared" si="562"/>
        <v>27.019271321367658</v>
      </c>
      <c r="BT355" s="17">
        <f t="shared" si="563"/>
        <v>1.3603889706014788E-2</v>
      </c>
      <c r="BU355" s="18">
        <f t="shared" si="623"/>
        <v>0.43918952249217197</v>
      </c>
      <c r="BV355" s="19">
        <f t="shared" si="624"/>
        <v>959.69407285860052</v>
      </c>
      <c r="BW355" s="15">
        <f t="shared" si="564"/>
        <v>5.4193881457172013E-6</v>
      </c>
      <c r="BX355" s="16">
        <f t="shared" si="565"/>
        <v>26.925481837873903</v>
      </c>
      <c r="BY355" s="17">
        <f t="shared" si="566"/>
        <v>1.3563067734709075E-2</v>
      </c>
      <c r="BZ355" s="18">
        <f t="shared" si="625"/>
        <v>0.44071935058284217</v>
      </c>
      <c r="CA355" s="19">
        <f t="shared" si="626"/>
        <v>950.63464121752918</v>
      </c>
      <c r="CB355" s="15">
        <f t="shared" si="567"/>
        <v>5.4012692824350586E-6</v>
      </c>
      <c r="CC355" s="16">
        <f t="shared" si="568"/>
        <v>26.821298374001586</v>
      </c>
      <c r="CD355" s="17">
        <f t="shared" si="569"/>
        <v>1.351772177251483E-2</v>
      </c>
      <c r="CE355" s="18">
        <f t="shared" si="627"/>
        <v>0.44243126131509014</v>
      </c>
      <c r="CF355" s="19">
        <f t="shared" si="628"/>
        <v>939.42811940865033</v>
      </c>
      <c r="CG355" s="15">
        <f t="shared" si="570"/>
        <v>5.3788562388173014E-6</v>
      </c>
      <c r="CH355" s="16">
        <f t="shared" si="571"/>
        <v>26.692423373199478</v>
      </c>
      <c r="CI355" s="17">
        <f t="shared" si="572"/>
        <v>1.3461628792909951E-2</v>
      </c>
      <c r="CJ355" s="18">
        <f t="shared" si="629"/>
        <v>0.44456738542640295</v>
      </c>
      <c r="CK355" s="19">
        <f t="shared" si="630"/>
        <v>921.07694875990512</v>
      </c>
      <c r="CL355" s="15">
        <f t="shared" si="573"/>
        <v>5.3421538975198108E-6</v>
      </c>
      <c r="CM355" s="16">
        <f t="shared" si="574"/>
        <v>26.48138491073891</v>
      </c>
      <c r="CN355" s="17">
        <f t="shared" si="575"/>
        <v>1.3369774080227366E-2</v>
      </c>
      <c r="CO355" s="18">
        <f t="shared" si="631"/>
        <v>0.44811028236312833</v>
      </c>
      <c r="CP355" s="19">
        <f t="shared" si="632"/>
        <v>879.95255894258332</v>
      </c>
      <c r="CQ355" s="15">
        <f t="shared" si="576"/>
        <v>5.2599051178851673E-6</v>
      </c>
      <c r="CR355" s="16">
        <f t="shared" si="577"/>
        <v>26.008454427839709</v>
      </c>
      <c r="CS355" s="17">
        <f t="shared" si="578"/>
        <v>1.3163930590282209E-2</v>
      </c>
      <c r="CT355" s="18">
        <f t="shared" si="633"/>
        <v>0.45625859478277153</v>
      </c>
      <c r="CU355" s="19">
        <f t="shared" si="634"/>
        <v>781.28836360329808</v>
      </c>
      <c r="CV355" s="15">
        <f t="shared" si="579"/>
        <v>5.0625767272065968E-6</v>
      </c>
      <c r="CW355" s="16">
        <f t="shared" si="580"/>
        <v>24.873816181437927</v>
      </c>
      <c r="CX355" s="17">
        <f t="shared" si="581"/>
        <v>1.26700781005192E-2</v>
      </c>
      <c r="CY355" s="18">
        <f t="shared" si="635"/>
        <v>0.47707118132413184</v>
      </c>
      <c r="CZ355" s="20">
        <f t="shared" si="585"/>
        <v>580.758423515554</v>
      </c>
      <c r="DA355" s="15">
        <f t="shared" si="582"/>
        <v>5.9592039637019342E-6</v>
      </c>
      <c r="DB355" s="16">
        <f t="shared" si="583"/>
        <v>36.653005718048931</v>
      </c>
      <c r="DC355" s="17">
        <f t="shared" si="584"/>
        <v>1.4914061298323882E-2</v>
      </c>
      <c r="DD355" s="18">
        <f t="shared" si="636"/>
        <v>0.32375464541710075</v>
      </c>
    </row>
    <row r="356" spans="2:108" x14ac:dyDescent="0.25">
      <c r="B356">
        <v>89</v>
      </c>
      <c r="C356">
        <f t="shared" si="637"/>
        <v>8.7007705304727373E-2</v>
      </c>
      <c r="D356" s="19">
        <f t="shared" si="534"/>
        <v>1018.5505690613998</v>
      </c>
      <c r="E356" s="15">
        <f t="shared" si="586"/>
        <v>5.5371011381228007E-6</v>
      </c>
      <c r="F356" s="16">
        <f t="shared" si="535"/>
        <v>27.602331544206095</v>
      </c>
      <c r="G356" s="17">
        <f t="shared" si="532"/>
        <v>1.3857667281064535E-2</v>
      </c>
      <c r="H356" s="18">
        <f t="shared" si="587"/>
        <v>0.42991226486476897</v>
      </c>
      <c r="I356" s="19">
        <f t="shared" si="588"/>
        <v>1018.2265118845999</v>
      </c>
      <c r="J356" s="15">
        <f t="shared" si="589"/>
        <v>5.5364530237691997E-6</v>
      </c>
      <c r="K356" s="16">
        <f t="shared" si="536"/>
        <v>27.598604886672895</v>
      </c>
      <c r="L356" s="17">
        <f t="shared" si="590"/>
        <v>1.3856045249454808E-2</v>
      </c>
      <c r="M356" s="18">
        <f t="shared" si="591"/>
        <v>0.42997031619696685</v>
      </c>
      <c r="N356" s="19">
        <f t="shared" si="592"/>
        <v>1017.3216228667827</v>
      </c>
      <c r="O356" s="15">
        <f t="shared" si="593"/>
        <v>5.5346432457335657E-6</v>
      </c>
      <c r="P356" s="16">
        <f t="shared" si="594"/>
        <v>27.588198662968001</v>
      </c>
      <c r="Q356" s="17">
        <f t="shared" si="533"/>
        <v>1.3857667281064535E-2</v>
      </c>
      <c r="R356" s="18">
        <f t="shared" si="595"/>
        <v>0.43013250030153527</v>
      </c>
      <c r="S356" s="19">
        <f t="shared" si="596"/>
        <v>1015.820655340372</v>
      </c>
      <c r="T356" s="15">
        <f t="shared" si="597"/>
        <v>5.531641310680745E-6</v>
      </c>
      <c r="U356" s="16">
        <f t="shared" si="598"/>
        <v>27.570937536414277</v>
      </c>
      <c r="V356" s="17">
        <f t="shared" si="599"/>
        <v>1.3844003006163881E-2</v>
      </c>
      <c r="W356" s="18">
        <f t="shared" si="600"/>
        <v>0.43040179007497037</v>
      </c>
      <c r="X356" s="19">
        <f t="shared" si="601"/>
        <v>1013.7213781431284</v>
      </c>
      <c r="Y356" s="15">
        <f t="shared" si="602"/>
        <v>5.5274427562862576E-6</v>
      </c>
      <c r="Z356" s="16">
        <f t="shared" si="603"/>
        <v>27.546795848645978</v>
      </c>
      <c r="AA356" s="17">
        <f t="shared" si="604"/>
        <v>1.3833495311178922E-2</v>
      </c>
      <c r="AB356" s="18">
        <f t="shared" si="605"/>
        <v>0.43077898913971813</v>
      </c>
      <c r="AC356" s="19">
        <f t="shared" si="606"/>
        <v>1011.0225257826423</v>
      </c>
      <c r="AD356" s="15">
        <f t="shared" si="537"/>
        <v>5.5220450515652851E-6</v>
      </c>
      <c r="AE356" s="16">
        <f t="shared" si="538"/>
        <v>27.515759046500385</v>
      </c>
      <c r="AF356" s="17">
        <f t="shared" si="539"/>
        <v>1.3819986510411372E-2</v>
      </c>
      <c r="AG356" s="18">
        <f t="shared" si="607"/>
        <v>0.43126489258987605</v>
      </c>
      <c r="AH356" s="19">
        <f t="shared" si="608"/>
        <v>1007.7239872027814</v>
      </c>
      <c r="AI356" s="15">
        <f t="shared" si="540"/>
        <v>5.5154479744055631E-6</v>
      </c>
      <c r="AJ356" s="16">
        <f t="shared" si="541"/>
        <v>27.477825852831984</v>
      </c>
      <c r="AK356" s="17">
        <f t="shared" si="542"/>
        <v>1.3803476047982302E-2</v>
      </c>
      <c r="AL356" s="18">
        <f t="shared" si="609"/>
        <v>0.43186025463855532</v>
      </c>
      <c r="AM356" s="19">
        <f t="shared" si="610"/>
        <v>1003.8257591130726</v>
      </c>
      <c r="AN356" s="15">
        <f t="shared" si="543"/>
        <v>5.5076515182261463E-6</v>
      </c>
      <c r="AO356" s="16">
        <f t="shared" si="544"/>
        <v>27.432996229800334</v>
      </c>
      <c r="AP356" s="17">
        <f t="shared" si="545"/>
        <v>1.3783963907421622E-2</v>
      </c>
      <c r="AQ356" s="18">
        <f t="shared" si="611"/>
        <v>0.43256597895155496</v>
      </c>
      <c r="AR356" s="19">
        <f t="shared" si="612"/>
        <v>999.32784729716332</v>
      </c>
      <c r="AS356" s="15">
        <f t="shared" si="546"/>
        <v>5.4986556945943274E-6</v>
      </c>
      <c r="AT356" s="16">
        <f t="shared" si="547"/>
        <v>27.381270243917378</v>
      </c>
      <c r="AU356" s="17">
        <f t="shared" si="548"/>
        <v>1.3761450117678721E-2</v>
      </c>
      <c r="AV356" s="18">
        <f t="shared" si="613"/>
        <v>0.43338313978892212</v>
      </c>
      <c r="AW356" s="19">
        <f t="shared" si="614"/>
        <v>994.23025327166249</v>
      </c>
      <c r="AX356" s="15">
        <f t="shared" si="549"/>
        <v>5.4884605065433256E-6</v>
      </c>
      <c r="AY356" s="16">
        <f t="shared" si="550"/>
        <v>27.32264791262412</v>
      </c>
      <c r="AZ356" s="17">
        <f t="shared" si="551"/>
        <v>1.3735934686344813E-2</v>
      </c>
      <c r="BA356" s="18">
        <f t="shared" si="615"/>
        <v>0.43431298853853323</v>
      </c>
      <c r="BB356" s="19">
        <f t="shared" si="616"/>
        <v>988.53296619575588</v>
      </c>
      <c r="BC356" s="15">
        <f t="shared" si="552"/>
        <v>5.4770659323915123E-6</v>
      </c>
      <c r="BD356" s="16">
        <f t="shared" si="553"/>
        <v>27.257129111251192</v>
      </c>
      <c r="BE356" s="17">
        <f t="shared" si="554"/>
        <v>1.3707417559157432E-2</v>
      </c>
      <c r="BF356" s="18">
        <f t="shared" si="617"/>
        <v>0.4353569600556213</v>
      </c>
      <c r="BG356" s="19">
        <f t="shared" si="618"/>
        <v>982.23587712828771</v>
      </c>
      <c r="BH356" s="15">
        <f t="shared" si="555"/>
        <v>5.4644717542565762E-6</v>
      </c>
      <c r="BI356" s="16">
        <f t="shared" si="556"/>
        <v>27.184712586975309</v>
      </c>
      <c r="BJ356" s="17">
        <f t="shared" si="557"/>
        <v>1.367589819082392E-2</v>
      </c>
      <c r="BK356" s="18">
        <f t="shared" si="619"/>
        <v>0.43651669414387678</v>
      </c>
      <c r="BL356" s="19">
        <f t="shared" si="620"/>
        <v>975.33806450476038</v>
      </c>
      <c r="BM356" s="15">
        <f t="shared" si="558"/>
        <v>5.4506761290095209E-6</v>
      </c>
      <c r="BN356" s="16">
        <f t="shared" si="559"/>
        <v>27.105387741804744</v>
      </c>
      <c r="BO356" s="17">
        <f t="shared" si="560"/>
        <v>1.3641371968557232E-2</v>
      </c>
      <c r="BP356" s="18">
        <f t="shared" si="621"/>
        <v>0.43779417519329655</v>
      </c>
      <c r="BQ356" s="19">
        <f t="shared" si="622"/>
        <v>967.83258693874222</v>
      </c>
      <c r="BR356" s="15">
        <f t="shared" si="561"/>
        <v>5.4356651738774856E-6</v>
      </c>
      <c r="BS356" s="16">
        <f t="shared" si="562"/>
        <v>27.019074749795536</v>
      </c>
      <c r="BT356" s="17">
        <f t="shared" si="563"/>
        <v>1.3603804148031338E-2</v>
      </c>
      <c r="BU356" s="18">
        <f t="shared" si="623"/>
        <v>0.43919271772278945</v>
      </c>
      <c r="BV356" s="19">
        <f t="shared" si="624"/>
        <v>959.67341347954016</v>
      </c>
      <c r="BW356" s="15">
        <f t="shared" si="564"/>
        <v>5.4193468269590812E-6</v>
      </c>
      <c r="BX356" s="16">
        <f t="shared" si="565"/>
        <v>26.925244255014711</v>
      </c>
      <c r="BY356" s="17">
        <f t="shared" si="566"/>
        <v>1.3562964326519805E-2</v>
      </c>
      <c r="BZ356" s="18">
        <f t="shared" si="625"/>
        <v>0.4407232394004299</v>
      </c>
      <c r="CA356" s="19">
        <f t="shared" si="626"/>
        <v>950.59635809672125</v>
      </c>
      <c r="CB356" s="15">
        <f t="shared" si="567"/>
        <v>5.4011927161934423E-6</v>
      </c>
      <c r="CC356" s="16">
        <f t="shared" si="568"/>
        <v>26.820858118112291</v>
      </c>
      <c r="CD356" s="17">
        <f t="shared" si="569"/>
        <v>1.3517530150676109E-2</v>
      </c>
      <c r="CE356" s="18">
        <f t="shared" si="627"/>
        <v>0.44243852368408465</v>
      </c>
      <c r="CF356" s="19">
        <f t="shared" si="628"/>
        <v>939.31905555882327</v>
      </c>
      <c r="CG356" s="15">
        <f t="shared" si="570"/>
        <v>5.3786381111176464E-6</v>
      </c>
      <c r="CH356" s="16">
        <f t="shared" si="571"/>
        <v>26.691169138926469</v>
      </c>
      <c r="CI356" s="17">
        <f t="shared" si="572"/>
        <v>1.3461082886123856E-2</v>
      </c>
      <c r="CJ356" s="18">
        <f t="shared" si="629"/>
        <v>0.44458827591825667</v>
      </c>
      <c r="CK356" s="19">
        <f t="shared" si="630"/>
        <v>920.74684935000096</v>
      </c>
      <c r="CL356" s="15">
        <f t="shared" si="573"/>
        <v>5.3414936987000018E-6</v>
      </c>
      <c r="CM356" s="16">
        <f t="shared" si="574"/>
        <v>26.47758876752501</v>
      </c>
      <c r="CN356" s="17">
        <f t="shared" si="575"/>
        <v>1.3368121804902055E-2</v>
      </c>
      <c r="CO356" s="18">
        <f t="shared" si="631"/>
        <v>0.44817452880272701</v>
      </c>
      <c r="CP356" s="19">
        <f t="shared" si="632"/>
        <v>879.13145117947681</v>
      </c>
      <c r="CQ356" s="15">
        <f t="shared" si="576"/>
        <v>5.2582629023589535E-6</v>
      </c>
      <c r="CR356" s="16">
        <f t="shared" si="577"/>
        <v>25.999011688563982</v>
      </c>
      <c r="CS356" s="17">
        <f t="shared" si="578"/>
        <v>1.3159820628083869E-2</v>
      </c>
      <c r="CT356" s="18">
        <f t="shared" si="633"/>
        <v>0.4564243061184351</v>
      </c>
      <c r="CU356" s="19">
        <f t="shared" si="634"/>
        <v>779.84421443333599</v>
      </c>
      <c r="CV356" s="15">
        <f t="shared" si="579"/>
        <v>5.0596884288666722E-6</v>
      </c>
      <c r="CW356" s="16">
        <f t="shared" si="580"/>
        <v>24.857208465983362</v>
      </c>
      <c r="CX356" s="17">
        <f t="shared" si="581"/>
        <v>1.2662849574905398E-2</v>
      </c>
      <c r="CY356" s="18">
        <f t="shared" si="635"/>
        <v>0.4773899243737324</v>
      </c>
      <c r="CZ356" s="20">
        <f t="shared" si="585"/>
        <v>579.28571651141453</v>
      </c>
      <c r="DA356" s="15">
        <f t="shared" si="582"/>
        <v>5.9831294726157893E-6</v>
      </c>
      <c r="DB356" s="16">
        <f t="shared" si="583"/>
        <v>36.69571422116897</v>
      </c>
      <c r="DC356" s="17">
        <f t="shared" si="584"/>
        <v>1.4973939515063615E-2</v>
      </c>
      <c r="DD356" s="18">
        <f t="shared" si="636"/>
        <v>0.32337784184269458</v>
      </c>
    </row>
    <row r="357" spans="2:108" x14ac:dyDescent="0.25">
      <c r="B357">
        <v>90</v>
      </c>
      <c r="C357">
        <f t="shared" si="637"/>
        <v>8.7985319971072631E-2</v>
      </c>
      <c r="D357" s="19">
        <f t="shared" si="534"/>
        <v>1018.5340243389805</v>
      </c>
      <c r="E357" s="15">
        <f t="shared" si="586"/>
        <v>5.5370680486779618E-6</v>
      </c>
      <c r="F357" s="16">
        <f t="shared" si="535"/>
        <v>27.602141279898277</v>
      </c>
      <c r="G357" s="17">
        <f t="shared" si="532"/>
        <v>1.3857584468324502E-2</v>
      </c>
      <c r="H357" s="18">
        <f t="shared" si="587"/>
        <v>0.42991522829281131</v>
      </c>
      <c r="I357" s="19">
        <f t="shared" si="588"/>
        <v>1018.2099478454516</v>
      </c>
      <c r="J357" s="15">
        <f t="shared" si="589"/>
        <v>5.5364198956909035E-6</v>
      </c>
      <c r="K357" s="16">
        <f t="shared" si="536"/>
        <v>27.598414400222694</v>
      </c>
      <c r="L357" s="17">
        <f t="shared" si="590"/>
        <v>1.385596234002707E-2</v>
      </c>
      <c r="M357" s="18">
        <f t="shared" si="591"/>
        <v>0.42997328388627087</v>
      </c>
      <c r="N357" s="19">
        <f t="shared" si="592"/>
        <v>1017.3050297609979</v>
      </c>
      <c r="O357" s="15">
        <f t="shared" si="593"/>
        <v>5.5346100595219964E-6</v>
      </c>
      <c r="P357" s="16">
        <f t="shared" si="594"/>
        <v>27.588007842251475</v>
      </c>
      <c r="Q357" s="17">
        <f t="shared" si="533"/>
        <v>1.3857584468324502E-2</v>
      </c>
      <c r="R357" s="18">
        <f t="shared" si="595"/>
        <v>0.43013547544176206</v>
      </c>
      <c r="S357" s="19">
        <f t="shared" si="596"/>
        <v>1015.8040490976762</v>
      </c>
      <c r="T357" s="15">
        <f t="shared" si="597"/>
        <v>5.531608098195353E-6</v>
      </c>
      <c r="U357" s="16">
        <f t="shared" si="598"/>
        <v>27.570746564623278</v>
      </c>
      <c r="V357" s="17">
        <f t="shared" si="599"/>
        <v>1.3843919885491048E-2</v>
      </c>
      <c r="W357" s="18">
        <f t="shared" si="600"/>
        <v>0.43040477130003468</v>
      </c>
      <c r="X357" s="19">
        <f t="shared" si="601"/>
        <v>1013.7047745574534</v>
      </c>
      <c r="Y357" s="15">
        <f t="shared" si="602"/>
        <v>5.5274095491149072E-6</v>
      </c>
      <c r="Z357" s="16">
        <f t="shared" si="603"/>
        <v>27.546604907410714</v>
      </c>
      <c r="AA357" s="17">
        <f t="shared" si="604"/>
        <v>1.3833412203805509E-2</v>
      </c>
      <c r="AB357" s="18">
        <f t="shared" si="605"/>
        <v>0.43078197511467181</v>
      </c>
      <c r="AC357" s="19">
        <f t="shared" si="606"/>
        <v>1011.0059336378743</v>
      </c>
      <c r="AD357" s="15">
        <f t="shared" si="537"/>
        <v>5.5220118672757488E-6</v>
      </c>
      <c r="AE357" s="16">
        <f t="shared" si="538"/>
        <v>27.515568236835556</v>
      </c>
      <c r="AF357" s="17">
        <f t="shared" si="539"/>
        <v>1.3819903460304128E-2</v>
      </c>
      <c r="AG357" s="18">
        <f t="shared" si="607"/>
        <v>0.4312678832426185</v>
      </c>
      <c r="AH357" s="19">
        <f t="shared" si="608"/>
        <v>1007.7074113332658</v>
      </c>
      <c r="AI357" s="15">
        <f t="shared" si="540"/>
        <v>5.5154148226665323E-6</v>
      </c>
      <c r="AJ357" s="16">
        <f t="shared" si="541"/>
        <v>27.477635230332556</v>
      </c>
      <c r="AK357" s="17">
        <f t="shared" si="542"/>
        <v>1.3803393079338998E-2</v>
      </c>
      <c r="AL357" s="18">
        <f t="shared" si="609"/>
        <v>0.43186325061257025</v>
      </c>
      <c r="AM357" s="19">
        <f t="shared" si="610"/>
        <v>1003.8092032129148</v>
      </c>
      <c r="AN357" s="15">
        <f t="shared" si="543"/>
        <v>5.5076184064258302E-6</v>
      </c>
      <c r="AO357" s="16">
        <f t="shared" si="544"/>
        <v>27.432805836948518</v>
      </c>
      <c r="AP357" s="17">
        <f t="shared" si="545"/>
        <v>1.378388103873268E-2</v>
      </c>
      <c r="AQ357" s="18">
        <f t="shared" si="611"/>
        <v>0.43256898110419006</v>
      </c>
      <c r="AR357" s="19">
        <f t="shared" si="612"/>
        <v>999.31131489198629</v>
      </c>
      <c r="AS357" s="15">
        <f t="shared" si="546"/>
        <v>5.498622629783973E-6</v>
      </c>
      <c r="AT357" s="16">
        <f t="shared" si="547"/>
        <v>27.381080121257842</v>
      </c>
      <c r="AU357" s="17">
        <f t="shared" si="548"/>
        <v>1.376136736659125E-2</v>
      </c>
      <c r="AV357" s="18">
        <f t="shared" si="613"/>
        <v>0.43338614901846201</v>
      </c>
      <c r="AW357" s="19">
        <f t="shared" si="614"/>
        <v>994.21374776837115</v>
      </c>
      <c r="AX357" s="15">
        <f t="shared" si="549"/>
        <v>5.4884274955367429E-6</v>
      </c>
      <c r="AY357" s="16">
        <f t="shared" si="550"/>
        <v>27.322458099336266</v>
      </c>
      <c r="AZ357" s="17">
        <f t="shared" si="551"/>
        <v>1.3735852069911698E-2</v>
      </c>
      <c r="BA357" s="18">
        <f t="shared" si="615"/>
        <v>0.43431600577717305</v>
      </c>
      <c r="BB357" s="19">
        <f t="shared" si="616"/>
        <v>988.51648975550972</v>
      </c>
      <c r="BC357" s="15">
        <f t="shared" si="552"/>
        <v>5.4770329795110198E-6</v>
      </c>
      <c r="BD357" s="16">
        <f t="shared" si="553"/>
        <v>27.256939632188363</v>
      </c>
      <c r="BE357" s="17">
        <f t="shared" si="554"/>
        <v>1.3707335088196106E-2</v>
      </c>
      <c r="BF357" s="18">
        <f t="shared" si="617"/>
        <v>0.43535998647861307</v>
      </c>
      <c r="BG357" s="19">
        <f t="shared" si="618"/>
        <v>982.21942158471245</v>
      </c>
      <c r="BH357" s="15">
        <f t="shared" si="555"/>
        <v>5.4644388431694253E-6</v>
      </c>
      <c r="BI357" s="16">
        <f t="shared" si="556"/>
        <v>27.184523348224193</v>
      </c>
      <c r="BJ357" s="17">
        <f t="shared" si="557"/>
        <v>1.367581582445852E-2</v>
      </c>
      <c r="BK357" s="18">
        <f t="shared" si="619"/>
        <v>0.43651973285354928</v>
      </c>
      <c r="BL357" s="19">
        <f t="shared" si="620"/>
        <v>975.32154682659484</v>
      </c>
      <c r="BM357" s="15">
        <f t="shared" si="558"/>
        <v>5.4506430936531906E-6</v>
      </c>
      <c r="BN357" s="16">
        <f t="shared" si="559"/>
        <v>27.105197788505841</v>
      </c>
      <c r="BO357" s="17">
        <f t="shared" si="560"/>
        <v>1.3641289291184163E-2</v>
      </c>
      <c r="BP357" s="18">
        <f t="shared" si="621"/>
        <v>0.43779724325605218</v>
      </c>
      <c r="BQ357" s="19">
        <f t="shared" si="622"/>
        <v>967.81545099025175</v>
      </c>
      <c r="BR357" s="15">
        <f t="shared" si="561"/>
        <v>5.4356309019805036E-6</v>
      </c>
      <c r="BS357" s="16">
        <f t="shared" si="562"/>
        <v>27.018877686387896</v>
      </c>
      <c r="BT357" s="17">
        <f t="shared" si="563"/>
        <v>1.3603718375975956E-2</v>
      </c>
      <c r="BU357" s="18">
        <f t="shared" si="623"/>
        <v>0.43919592099475985</v>
      </c>
      <c r="BV357" s="19">
        <f t="shared" si="624"/>
        <v>959.65255270081207</v>
      </c>
      <c r="BW357" s="15">
        <f t="shared" si="564"/>
        <v>5.4193051054016242E-6</v>
      </c>
      <c r="BX357" s="16">
        <f t="shared" si="565"/>
        <v>26.92500435605934</v>
      </c>
      <c r="BY357" s="17">
        <f t="shared" si="566"/>
        <v>1.3562859910247235E-2</v>
      </c>
      <c r="BZ357" s="18">
        <f t="shared" si="625"/>
        <v>0.44072716619811364</v>
      </c>
      <c r="CA357" s="19">
        <f t="shared" si="626"/>
        <v>950.55731434262088</v>
      </c>
      <c r="CB357" s="15">
        <f t="shared" si="567"/>
        <v>5.4011146286852428E-6</v>
      </c>
      <c r="CC357" s="16">
        <f t="shared" si="568"/>
        <v>26.820409114940141</v>
      </c>
      <c r="CD357" s="17">
        <f t="shared" si="569"/>
        <v>1.3517334721573324E-2</v>
      </c>
      <c r="CE357" s="18">
        <f t="shared" si="627"/>
        <v>0.44244593059200182</v>
      </c>
      <c r="CF357" s="19">
        <f t="shared" si="628"/>
        <v>939.20783897286037</v>
      </c>
      <c r="CG357" s="15">
        <f t="shared" si="570"/>
        <v>5.3784156779457217E-6</v>
      </c>
      <c r="CH357" s="16">
        <f t="shared" si="571"/>
        <v>26.689890148187892</v>
      </c>
      <c r="CI357" s="17">
        <f t="shared" si="572"/>
        <v>1.3460526204060099E-2</v>
      </c>
      <c r="CJ357" s="18">
        <f t="shared" si="629"/>
        <v>0.44460958077504786</v>
      </c>
      <c r="CK357" s="19">
        <f t="shared" si="630"/>
        <v>920.41284771883682</v>
      </c>
      <c r="CL357" s="15">
        <f t="shared" si="573"/>
        <v>5.3408256954376749E-6</v>
      </c>
      <c r="CM357" s="16">
        <f t="shared" si="574"/>
        <v>26.473747748766623</v>
      </c>
      <c r="CN357" s="17">
        <f t="shared" si="575"/>
        <v>1.3366449997448827E-2</v>
      </c>
      <c r="CO357" s="18">
        <f t="shared" si="631"/>
        <v>0.4482395534750363</v>
      </c>
      <c r="CP357" s="19">
        <f t="shared" si="632"/>
        <v>878.30826765444704</v>
      </c>
      <c r="CQ357" s="15">
        <f t="shared" si="576"/>
        <v>5.2566165353088944E-6</v>
      </c>
      <c r="CR357" s="16">
        <f t="shared" si="577"/>
        <v>25.98954507802614</v>
      </c>
      <c r="CS357" s="17">
        <f t="shared" si="578"/>
        <v>1.3155700275893597E-2</v>
      </c>
      <c r="CT357" s="18">
        <f t="shared" si="633"/>
        <v>0.45659055724491904</v>
      </c>
      <c r="CU357" s="19">
        <f t="shared" si="634"/>
        <v>778.40811269015887</v>
      </c>
      <c r="CV357" s="15">
        <f t="shared" si="579"/>
        <v>5.0568162253803181E-6</v>
      </c>
      <c r="CW357" s="16">
        <f t="shared" si="580"/>
        <v>24.840693295936827</v>
      </c>
      <c r="CX357" s="17">
        <f t="shared" si="581"/>
        <v>1.2655661329777749E-2</v>
      </c>
      <c r="CY357" s="18">
        <f t="shared" si="635"/>
        <v>0.47770731389606208</v>
      </c>
      <c r="CZ357" s="20">
        <f t="shared" si="585"/>
        <v>577.82757717014442</v>
      </c>
      <c r="DA357" s="15">
        <f t="shared" si="582"/>
        <v>6.0067717804469009E-6</v>
      </c>
      <c r="DB357" s="16">
        <f t="shared" si="583"/>
        <v>36.73800026206581</v>
      </c>
      <c r="DC357" s="17">
        <f t="shared" si="584"/>
        <v>1.5033108966281392E-2</v>
      </c>
      <c r="DD357" s="18">
        <f t="shared" si="636"/>
        <v>0.32300562864252724</v>
      </c>
    </row>
    <row r="358" spans="2:108" x14ac:dyDescent="0.25">
      <c r="B358">
        <v>91</v>
      </c>
      <c r="C358">
        <f t="shared" si="637"/>
        <v>8.896293463741789E-2</v>
      </c>
      <c r="D358" s="19">
        <f t="shared" si="534"/>
        <v>1018.5174786303468</v>
      </c>
      <c r="E358" s="15">
        <f t="shared" si="586"/>
        <v>5.537034957260694E-6</v>
      </c>
      <c r="F358" s="16">
        <f t="shared" si="535"/>
        <v>27.601951004248988</v>
      </c>
      <c r="G358" s="17">
        <f t="shared" si="532"/>
        <v>1.3857501650648082E-2</v>
      </c>
      <c r="H358" s="18">
        <f t="shared" si="587"/>
        <v>0.42991819193835901</v>
      </c>
      <c r="I358" s="19">
        <f t="shared" si="588"/>
        <v>1018.1933834349501</v>
      </c>
      <c r="J358" s="15">
        <f t="shared" si="589"/>
        <v>5.5363867668699008E-6</v>
      </c>
      <c r="K358" s="16">
        <f t="shared" si="536"/>
        <v>27.598223909501925</v>
      </c>
      <c r="L358" s="17">
        <f t="shared" si="590"/>
        <v>1.3855879428740567E-2</v>
      </c>
      <c r="M358" s="18">
        <f t="shared" si="591"/>
        <v>0.42997625168307646</v>
      </c>
      <c r="N358" s="19">
        <f t="shared" si="592"/>
        <v>1017.2884368290313</v>
      </c>
      <c r="O358" s="15">
        <f t="shared" si="593"/>
        <v>5.5345768736580631E-6</v>
      </c>
      <c r="P358" s="16">
        <f t="shared" si="594"/>
        <v>27.587817023533859</v>
      </c>
      <c r="Q358" s="17">
        <f t="shared" si="533"/>
        <v>1.3857501650648082E-2</v>
      </c>
      <c r="R358" s="18">
        <f t="shared" si="595"/>
        <v>0.4301384505919798</v>
      </c>
      <c r="S358" s="19">
        <f t="shared" si="596"/>
        <v>1015.7874431488851</v>
      </c>
      <c r="T358" s="15">
        <f t="shared" si="597"/>
        <v>5.5315748862977705E-6</v>
      </c>
      <c r="U358" s="16">
        <f t="shared" si="598"/>
        <v>27.570555596212181</v>
      </c>
      <c r="V358" s="17">
        <f t="shared" si="599"/>
        <v>1.3843836766289324E-2</v>
      </c>
      <c r="W358" s="18">
        <f t="shared" si="600"/>
        <v>0.43040775251363472</v>
      </c>
      <c r="X358" s="19">
        <f t="shared" si="601"/>
        <v>1013.6881712174657</v>
      </c>
      <c r="Y358" s="15">
        <f t="shared" si="602"/>
        <v>5.5273763424349325E-6</v>
      </c>
      <c r="Z358" s="16">
        <f t="shared" si="603"/>
        <v>27.546413969000852</v>
      </c>
      <c r="AA358" s="17">
        <f t="shared" si="604"/>
        <v>1.3833329097661858E-2</v>
      </c>
      <c r="AB358" s="18">
        <f t="shared" si="605"/>
        <v>0.43078496108683567</v>
      </c>
      <c r="AC358" s="19">
        <f t="shared" si="606"/>
        <v>1010.9893416980016</v>
      </c>
      <c r="AD358" s="15">
        <f t="shared" si="537"/>
        <v>5.5219786833960037E-6</v>
      </c>
      <c r="AE358" s="16">
        <f t="shared" si="538"/>
        <v>27.515377429527017</v>
      </c>
      <c r="AF358" s="17">
        <f t="shared" si="539"/>
        <v>1.3819820411222462E-2</v>
      </c>
      <c r="AG358" s="18">
        <f t="shared" si="607"/>
        <v>0.4312708738999072</v>
      </c>
      <c r="AH358" s="19">
        <f t="shared" si="608"/>
        <v>1007.690835656154</v>
      </c>
      <c r="AI358" s="15">
        <f t="shared" si="540"/>
        <v>5.5153816713123085E-6</v>
      </c>
      <c r="AJ358" s="16">
        <f t="shared" si="541"/>
        <v>27.477444610045772</v>
      </c>
      <c r="AK358" s="17">
        <f t="shared" si="542"/>
        <v>1.3803310111658746E-2</v>
      </c>
      <c r="AL358" s="18">
        <f t="shared" si="609"/>
        <v>0.43186624659337747</v>
      </c>
      <c r="AM358" s="19">
        <f t="shared" si="610"/>
        <v>1003.792647503788</v>
      </c>
      <c r="AN358" s="15">
        <f t="shared" si="543"/>
        <v>5.507585295007576E-6</v>
      </c>
      <c r="AO358" s="16">
        <f t="shared" si="544"/>
        <v>27.432615446293561</v>
      </c>
      <c r="AP358" s="17">
        <f t="shared" si="545"/>
        <v>1.3783798170999921E-2</v>
      </c>
      <c r="AQ358" s="18">
        <f t="shared" si="611"/>
        <v>0.4325719832638561</v>
      </c>
      <c r="AR358" s="19">
        <f t="shared" si="612"/>
        <v>999.29478267657726</v>
      </c>
      <c r="AS358" s="15">
        <f t="shared" si="546"/>
        <v>5.4985895653531555E-6</v>
      </c>
      <c r="AT358" s="16">
        <f t="shared" si="547"/>
        <v>27.380890000780639</v>
      </c>
      <c r="AU358" s="17">
        <f t="shared" si="548"/>
        <v>1.3761284616453647E-2</v>
      </c>
      <c r="AV358" s="18">
        <f t="shared" si="613"/>
        <v>0.43338915825524948</v>
      </c>
      <c r="AW358" s="19">
        <f t="shared" si="614"/>
        <v>994.19724243685744</v>
      </c>
      <c r="AX358" s="15">
        <f t="shared" si="549"/>
        <v>5.4883944848737151E-6</v>
      </c>
      <c r="AY358" s="16">
        <f t="shared" si="550"/>
        <v>27.32226828802386</v>
      </c>
      <c r="AZ358" s="17">
        <f t="shared" si="551"/>
        <v>1.3735769454338393E-2</v>
      </c>
      <c r="BA358" s="18">
        <f t="shared" si="615"/>
        <v>0.43431902302633357</v>
      </c>
      <c r="BB358" s="19">
        <f t="shared" si="616"/>
        <v>988.500013336503</v>
      </c>
      <c r="BC358" s="15">
        <f t="shared" si="552"/>
        <v>5.4770000266730068E-6</v>
      </c>
      <c r="BD358" s="16">
        <f t="shared" si="553"/>
        <v>27.256750153369783</v>
      </c>
      <c r="BE358" s="17">
        <f t="shared" si="554"/>
        <v>1.3707252617341093E-2</v>
      </c>
      <c r="BF358" s="18">
        <f t="shared" si="617"/>
        <v>0.43536301293978069</v>
      </c>
      <c r="BG358" s="19">
        <f t="shared" si="618"/>
        <v>982.20296497631875</v>
      </c>
      <c r="BH358" s="15">
        <f t="shared" si="555"/>
        <v>5.4644059299526388E-6</v>
      </c>
      <c r="BI358" s="16">
        <f t="shared" si="556"/>
        <v>27.184334097227666</v>
      </c>
      <c r="BJ358" s="17">
        <f t="shared" si="557"/>
        <v>1.3675733452763296E-2</v>
      </c>
      <c r="BK358" s="18">
        <f t="shared" si="619"/>
        <v>0.43652277180216403</v>
      </c>
      <c r="BL358" s="19">
        <f t="shared" si="620"/>
        <v>975.30502125464409</v>
      </c>
      <c r="BM358" s="15">
        <f t="shared" si="558"/>
        <v>5.4506100425092885E-6</v>
      </c>
      <c r="BN358" s="16">
        <f t="shared" si="559"/>
        <v>27.105007744428406</v>
      </c>
      <c r="BO358" s="17">
        <f t="shared" si="560"/>
        <v>1.3641206574299635E-2</v>
      </c>
      <c r="BP358" s="18">
        <f t="shared" si="621"/>
        <v>0.43780031282806564</v>
      </c>
      <c r="BQ358" s="19">
        <f t="shared" si="622"/>
        <v>967.79827048978439</v>
      </c>
      <c r="BR358" s="15">
        <f t="shared" si="561"/>
        <v>5.4355965409795689E-6</v>
      </c>
      <c r="BS358" s="16">
        <f t="shared" si="562"/>
        <v>27.01868011063252</v>
      </c>
      <c r="BT358" s="17">
        <f t="shared" si="563"/>
        <v>1.3603632380920688E-2</v>
      </c>
      <c r="BU358" s="18">
        <f t="shared" si="623"/>
        <v>0.43919913264186822</v>
      </c>
      <c r="BV358" s="19">
        <f t="shared" si="624"/>
        <v>959.63148472688658</v>
      </c>
      <c r="BW358" s="15">
        <f t="shared" si="564"/>
        <v>5.4192629694537739E-6</v>
      </c>
      <c r="BX358" s="16">
        <f t="shared" si="565"/>
        <v>26.924762074359194</v>
      </c>
      <c r="BY358" s="17">
        <f t="shared" si="566"/>
        <v>1.3562754456882502E-2</v>
      </c>
      <c r="BZ358" s="18">
        <f t="shared" si="625"/>
        <v>0.44073113206889208</v>
      </c>
      <c r="CA358" s="19">
        <f t="shared" si="626"/>
        <v>950.5174977918042</v>
      </c>
      <c r="CB358" s="15">
        <f t="shared" si="567"/>
        <v>5.4010349955836087E-6</v>
      </c>
      <c r="CC358" s="16">
        <f t="shared" si="568"/>
        <v>26.819951224605745</v>
      </c>
      <c r="CD358" s="17">
        <f t="shared" si="569"/>
        <v>1.3517135424323831E-2</v>
      </c>
      <c r="CE358" s="18">
        <f t="shared" si="627"/>
        <v>0.44245348436096338</v>
      </c>
      <c r="CF358" s="19">
        <f t="shared" si="628"/>
        <v>939.09446358767229</v>
      </c>
      <c r="CG358" s="15">
        <f t="shared" si="570"/>
        <v>5.3781889271753449E-6</v>
      </c>
      <c r="CH358" s="16">
        <f t="shared" si="571"/>
        <v>26.688586331258229</v>
      </c>
      <c r="CI358" s="17">
        <f t="shared" si="572"/>
        <v>1.3459958716370559E-2</v>
      </c>
      <c r="CJ358" s="18">
        <f t="shared" si="629"/>
        <v>0.44463130127726219</v>
      </c>
      <c r="CK358" s="19">
        <f t="shared" si="630"/>
        <v>920.07499262411284</v>
      </c>
      <c r="CL358" s="15">
        <f t="shared" si="573"/>
        <v>5.3401499852482258E-6</v>
      </c>
      <c r="CM358" s="16">
        <f t="shared" si="574"/>
        <v>26.469862415177296</v>
      </c>
      <c r="CN358" s="17">
        <f t="shared" si="575"/>
        <v>1.3364758901918832E-2</v>
      </c>
      <c r="CO358" s="18">
        <f t="shared" si="631"/>
        <v>0.44830534755306606</v>
      </c>
      <c r="CP358" s="19">
        <f t="shared" si="632"/>
        <v>877.48312542346241</v>
      </c>
      <c r="CQ358" s="15">
        <f t="shared" si="576"/>
        <v>5.2549662508469252E-6</v>
      </c>
      <c r="CR358" s="16">
        <f t="shared" si="577"/>
        <v>25.980055942369816</v>
      </c>
      <c r="CS358" s="17">
        <f t="shared" si="578"/>
        <v>1.3151570119621821E-2</v>
      </c>
      <c r="CT358" s="18">
        <f t="shared" si="633"/>
        <v>0.45675732554390597</v>
      </c>
      <c r="CU358" s="19">
        <f t="shared" si="634"/>
        <v>776.98001305638638</v>
      </c>
      <c r="CV358" s="15">
        <f t="shared" si="579"/>
        <v>5.0539600261127738E-6</v>
      </c>
      <c r="CW358" s="16">
        <f t="shared" si="580"/>
        <v>24.824270150148443</v>
      </c>
      <c r="CX358" s="17">
        <f t="shared" si="581"/>
        <v>1.2648513138305222E-2</v>
      </c>
      <c r="CY358" s="18">
        <f t="shared" si="635"/>
        <v>0.4780233536753925</v>
      </c>
      <c r="CZ358" s="20">
        <f t="shared" si="585"/>
        <v>576.38369008369489</v>
      </c>
      <c r="DA358" s="15">
        <f t="shared" si="582"/>
        <v>6.0301379135669131E-6</v>
      </c>
      <c r="DB358" s="16">
        <f t="shared" si="583"/>
        <v>36.779872987572844</v>
      </c>
      <c r="DC358" s="17">
        <f t="shared" si="584"/>
        <v>1.5091587236832175E-2</v>
      </c>
      <c r="DD358" s="18">
        <f t="shared" si="636"/>
        <v>0.32263789692061662</v>
      </c>
    </row>
    <row r="359" spans="2:108" x14ac:dyDescent="0.25">
      <c r="B359">
        <v>92</v>
      </c>
      <c r="C359">
        <f t="shared" si="637"/>
        <v>8.9940549303763134E-2</v>
      </c>
      <c r="D359" s="19">
        <f t="shared" si="534"/>
        <v>1018.5009319668901</v>
      </c>
      <c r="E359" s="15">
        <f t="shared" si="586"/>
        <v>5.5370018639337812E-6</v>
      </c>
      <c r="F359" s="16">
        <f t="shared" si="535"/>
        <v>27.601760717619236</v>
      </c>
      <c r="G359" s="17">
        <f t="shared" si="532"/>
        <v>1.3857418828192407E-2</v>
      </c>
      <c r="H359" s="18">
        <f t="shared" si="587"/>
        <v>0.42992115579579732</v>
      </c>
      <c r="I359" s="19">
        <f t="shared" si="588"/>
        <v>1018.1768186601785</v>
      </c>
      <c r="J359" s="15">
        <f t="shared" si="589"/>
        <v>5.5363536373203567E-6</v>
      </c>
      <c r="K359" s="16">
        <f t="shared" si="536"/>
        <v>27.598033414592052</v>
      </c>
      <c r="L359" s="17">
        <f t="shared" si="590"/>
        <v>1.3855796515630745E-2</v>
      </c>
      <c r="M359" s="18">
        <f t="shared" si="591"/>
        <v>0.42997921958611801</v>
      </c>
      <c r="N359" s="19">
        <f t="shared" si="592"/>
        <v>1017.271844067299</v>
      </c>
      <c r="O359" s="15">
        <f t="shared" si="593"/>
        <v>5.534543688134598E-6</v>
      </c>
      <c r="P359" s="16">
        <f t="shared" si="594"/>
        <v>27.587626206773937</v>
      </c>
      <c r="Q359" s="17">
        <f t="shared" si="533"/>
        <v>1.3857418828192407E-2</v>
      </c>
      <c r="R359" s="18">
        <f t="shared" si="595"/>
        <v>0.43014142575283071</v>
      </c>
      <c r="S359" s="19">
        <f t="shared" si="596"/>
        <v>1015.7708374918361</v>
      </c>
      <c r="T359" s="15">
        <f t="shared" si="597"/>
        <v>5.5315416749836726E-6</v>
      </c>
      <c r="U359" s="16">
        <f t="shared" si="598"/>
        <v>27.570364631156114</v>
      </c>
      <c r="V359" s="17">
        <f t="shared" si="599"/>
        <v>1.3843753648547881E-2</v>
      </c>
      <c r="W359" s="18">
        <f t="shared" si="600"/>
        <v>0.4304107337161574</v>
      </c>
      <c r="X359" s="19">
        <f t="shared" si="601"/>
        <v>1013.6715681231103</v>
      </c>
      <c r="Y359" s="15">
        <f t="shared" si="602"/>
        <v>5.5273431362462208E-6</v>
      </c>
      <c r="Z359" s="16">
        <f t="shared" si="603"/>
        <v>27.546223033415767</v>
      </c>
      <c r="AA359" s="17">
        <f t="shared" si="604"/>
        <v>1.3833245992747685E-2</v>
      </c>
      <c r="AB359" s="18">
        <f t="shared" si="605"/>
        <v>0.43078794705621853</v>
      </c>
      <c r="AC359" s="19">
        <f t="shared" si="606"/>
        <v>1010.9727499633393</v>
      </c>
      <c r="AD359" s="15">
        <f t="shared" si="537"/>
        <v>5.5219454999266799E-6</v>
      </c>
      <c r="AE359" s="16">
        <f t="shared" si="538"/>
        <v>27.515186624578401</v>
      </c>
      <c r="AF359" s="17">
        <f t="shared" si="539"/>
        <v>1.3819737363167958E-2</v>
      </c>
      <c r="AG359" s="18">
        <f t="shared" si="607"/>
        <v>0.43127386456168448</v>
      </c>
      <c r="AH359" s="19">
        <f t="shared" si="608"/>
        <v>1007.6742601715814</v>
      </c>
      <c r="AI359" s="15">
        <f t="shared" si="540"/>
        <v>5.5153485203431637E-6</v>
      </c>
      <c r="AJ359" s="16">
        <f t="shared" si="541"/>
        <v>27.477253991973186</v>
      </c>
      <c r="AK359" s="17">
        <f t="shared" si="542"/>
        <v>1.3803227144942228E-2</v>
      </c>
      <c r="AL359" s="18">
        <f t="shared" si="609"/>
        <v>0.431869242580952</v>
      </c>
      <c r="AM359" s="19">
        <f t="shared" si="610"/>
        <v>1003.7760919856888</v>
      </c>
      <c r="AN359" s="15">
        <f t="shared" si="543"/>
        <v>5.5075521839713777E-6</v>
      </c>
      <c r="AO359" s="16">
        <f t="shared" si="544"/>
        <v>27.43242505783542</v>
      </c>
      <c r="AP359" s="17">
        <f t="shared" si="545"/>
        <v>1.3783715304223332E-2</v>
      </c>
      <c r="AQ359" s="18">
        <f t="shared" si="611"/>
        <v>0.43257498543055317</v>
      </c>
      <c r="AR359" s="19">
        <f t="shared" si="612"/>
        <v>999.2782506506868</v>
      </c>
      <c r="AS359" s="15">
        <f t="shared" si="546"/>
        <v>5.4985565013013741E-6</v>
      </c>
      <c r="AT359" s="16">
        <f t="shared" si="547"/>
        <v>27.380699882482897</v>
      </c>
      <c r="AU359" s="17">
        <f t="shared" si="548"/>
        <v>1.3761201867264657E-2</v>
      </c>
      <c r="AV359" s="18">
        <f t="shared" si="613"/>
        <v>0.43339216749932946</v>
      </c>
      <c r="AW359" s="19">
        <f t="shared" si="614"/>
        <v>994.18073727516651</v>
      </c>
      <c r="AX359" s="15">
        <f t="shared" si="549"/>
        <v>5.4883614745503339E-6</v>
      </c>
      <c r="AY359" s="16">
        <f t="shared" si="550"/>
        <v>27.322078478664416</v>
      </c>
      <c r="AZ359" s="17">
        <f t="shared" si="551"/>
        <v>1.3735686839615123E-2</v>
      </c>
      <c r="BA359" s="18">
        <f t="shared" si="615"/>
        <v>0.43432204028637178</v>
      </c>
      <c r="BB359" s="19">
        <f t="shared" si="616"/>
        <v>988.48353692503633</v>
      </c>
      <c r="BC359" s="15">
        <f t="shared" si="552"/>
        <v>5.4769670738500735E-6</v>
      </c>
      <c r="BD359" s="16">
        <f t="shared" si="553"/>
        <v>27.256560674637917</v>
      </c>
      <c r="BE359" s="17">
        <f t="shared" si="554"/>
        <v>1.3707170146523822E-2</v>
      </c>
      <c r="BF359" s="18">
        <f t="shared" si="617"/>
        <v>0.43536603944164121</v>
      </c>
      <c r="BG359" s="19">
        <f t="shared" si="618"/>
        <v>982.18650721946995</v>
      </c>
      <c r="BH359" s="15">
        <f t="shared" si="555"/>
        <v>5.4643730144389404E-6</v>
      </c>
      <c r="BI359" s="16">
        <f t="shared" si="556"/>
        <v>27.184144833023904</v>
      </c>
      <c r="BJ359" s="17">
        <f t="shared" si="557"/>
        <v>1.3675651075319603E-2</v>
      </c>
      <c r="BK359" s="18">
        <f t="shared" si="619"/>
        <v>0.43652581100517507</v>
      </c>
      <c r="BL359" s="19">
        <f t="shared" si="620"/>
        <v>975.28848735629742</v>
      </c>
      <c r="BM359" s="15">
        <f t="shared" si="558"/>
        <v>5.4505769747125958E-6</v>
      </c>
      <c r="BN359" s="16">
        <f t="shared" si="559"/>
        <v>27.104817604597422</v>
      </c>
      <c r="BO359" s="17">
        <f t="shared" si="560"/>
        <v>1.3641123815738275E-2</v>
      </c>
      <c r="BP359" s="18">
        <f t="shared" si="621"/>
        <v>0.43780338398975732</v>
      </c>
      <c r="BQ359" s="19">
        <f t="shared" si="622"/>
        <v>967.78104361479166</v>
      </c>
      <c r="BR359" s="15">
        <f t="shared" si="561"/>
        <v>5.4355620872295844E-6</v>
      </c>
      <c r="BS359" s="16">
        <f t="shared" si="562"/>
        <v>27.018482001570103</v>
      </c>
      <c r="BT359" s="17">
        <f t="shared" si="563"/>
        <v>1.3603546153742971E-2</v>
      </c>
      <c r="BU359" s="18">
        <f t="shared" si="623"/>
        <v>0.43920235300518756</v>
      </c>
      <c r="BV359" s="19">
        <f t="shared" si="624"/>
        <v>959.61020372527503</v>
      </c>
      <c r="BW359" s="15">
        <f t="shared" si="564"/>
        <v>5.419220407450551E-6</v>
      </c>
      <c r="BX359" s="16">
        <f t="shared" si="565"/>
        <v>26.924517342840662</v>
      </c>
      <c r="BY359" s="17">
        <f t="shared" si="566"/>
        <v>1.3562647937231739E-2</v>
      </c>
      <c r="BZ359" s="18">
        <f t="shared" si="625"/>
        <v>0.44073513811282006</v>
      </c>
      <c r="CA359" s="19">
        <f t="shared" si="626"/>
        <v>950.47689645037735</v>
      </c>
      <c r="CB359" s="15">
        <f t="shared" si="567"/>
        <v>5.4009537929007549E-6</v>
      </c>
      <c r="CC359" s="16">
        <f t="shared" si="568"/>
        <v>26.819484309179337</v>
      </c>
      <c r="CD359" s="17">
        <f t="shared" si="569"/>
        <v>1.3516932198893546E-2</v>
      </c>
      <c r="CE359" s="18">
        <f t="shared" si="627"/>
        <v>0.44246118728153166</v>
      </c>
      <c r="CF359" s="19">
        <f t="shared" si="628"/>
        <v>938.97892402709454</v>
      </c>
      <c r="CG359" s="15">
        <f t="shared" si="570"/>
        <v>5.3779578480541893E-6</v>
      </c>
      <c r="CH359" s="16">
        <f t="shared" si="571"/>
        <v>26.687257626311585</v>
      </c>
      <c r="CI359" s="17">
        <f t="shared" si="572"/>
        <v>1.3459380396145465E-2</v>
      </c>
      <c r="CJ359" s="18">
        <f t="shared" si="629"/>
        <v>0.44465343857655731</v>
      </c>
      <c r="CK359" s="19">
        <f t="shared" si="630"/>
        <v>919.73333305757183</v>
      </c>
      <c r="CL359" s="15">
        <f t="shared" si="573"/>
        <v>5.3394666661151443E-6</v>
      </c>
      <c r="CM359" s="16">
        <f t="shared" si="574"/>
        <v>26.465933330162073</v>
      </c>
      <c r="CN359" s="17">
        <f t="shared" si="575"/>
        <v>1.3363048763534715E-2</v>
      </c>
      <c r="CO359" s="18">
        <f t="shared" si="631"/>
        <v>0.44837190216126149</v>
      </c>
      <c r="CP359" s="19">
        <f t="shared" si="632"/>
        <v>876.65613837507476</v>
      </c>
      <c r="CQ359" s="15">
        <f t="shared" si="576"/>
        <v>5.2533122767501504E-6</v>
      </c>
      <c r="CR359" s="16">
        <f t="shared" si="577"/>
        <v>25.97054559131336</v>
      </c>
      <c r="CS359" s="17">
        <f t="shared" si="578"/>
        <v>1.314743072932483E-2</v>
      </c>
      <c r="CT359" s="18">
        <f t="shared" si="633"/>
        <v>0.45692458897309562</v>
      </c>
      <c r="CU359" s="19">
        <f t="shared" si="634"/>
        <v>775.55986860955841</v>
      </c>
      <c r="CV359" s="15">
        <f t="shared" si="579"/>
        <v>5.0511197372191178E-6</v>
      </c>
      <c r="CW359" s="16">
        <f t="shared" si="580"/>
        <v>24.807938489009921</v>
      </c>
      <c r="CX359" s="17">
        <f t="shared" si="581"/>
        <v>1.2641404765622737E-2</v>
      </c>
      <c r="CY359" s="18">
        <f t="shared" si="635"/>
        <v>0.47833804791860768</v>
      </c>
      <c r="CZ359" s="20">
        <f t="shared" si="585"/>
        <v>574.95375050325958</v>
      </c>
      <c r="DA359" s="15">
        <f t="shared" si="582"/>
        <v>6.0532346389260471E-6</v>
      </c>
      <c r="DB359" s="16">
        <f t="shared" si="583"/>
        <v>36.82134123540547</v>
      </c>
      <c r="DC359" s="17">
        <f t="shared" si="584"/>
        <v>1.5149391262318608E-2</v>
      </c>
      <c r="DD359" s="18">
        <f t="shared" si="636"/>
        <v>0.32227454165378466</v>
      </c>
    </row>
    <row r="360" spans="2:108" x14ac:dyDescent="0.25">
      <c r="B360">
        <v>93</v>
      </c>
      <c r="C360">
        <f t="shared" si="637"/>
        <v>9.0918163970108379E-2</v>
      </c>
      <c r="D360" s="19">
        <f t="shared" si="534"/>
        <v>1018.4843843787612</v>
      </c>
      <c r="E360" s="15">
        <f t="shared" si="586"/>
        <v>5.5369687687575235E-6</v>
      </c>
      <c r="F360" s="16">
        <f t="shared" si="535"/>
        <v>27.601570420355753</v>
      </c>
      <c r="G360" s="17">
        <f t="shared" si="532"/>
        <v>1.3857336001108387E-2</v>
      </c>
      <c r="H360" s="18">
        <f t="shared" si="587"/>
        <v>0.42992411985973339</v>
      </c>
      <c r="I360" s="19">
        <f t="shared" si="588"/>
        <v>1018.1602535281662</v>
      </c>
      <c r="J360" s="15">
        <f t="shared" si="589"/>
        <v>5.5363205070563334E-6</v>
      </c>
      <c r="K360" s="16">
        <f t="shared" si="536"/>
        <v>27.59784291557391</v>
      </c>
      <c r="L360" s="17">
        <f t="shared" si="590"/>
        <v>1.3855713600732801E-2</v>
      </c>
      <c r="M360" s="18">
        <f t="shared" si="591"/>
        <v>0.42998218759413964</v>
      </c>
      <c r="N360" s="19">
        <f t="shared" si="592"/>
        <v>1017.255251472352</v>
      </c>
      <c r="O360" s="15">
        <f t="shared" si="593"/>
        <v>5.5345105029447046E-6</v>
      </c>
      <c r="P360" s="16">
        <f t="shared" si="594"/>
        <v>27.587435391932047</v>
      </c>
      <c r="Q360" s="17">
        <f t="shared" si="533"/>
        <v>1.3857336001108387E-2</v>
      </c>
      <c r="R360" s="18">
        <f t="shared" si="595"/>
        <v>0.43014440092493278</v>
      </c>
      <c r="S360" s="19">
        <f t="shared" si="596"/>
        <v>1015.7542321243836</v>
      </c>
      <c r="T360" s="15">
        <f t="shared" si="597"/>
        <v>5.5315084642487673E-6</v>
      </c>
      <c r="U360" s="16">
        <f t="shared" si="598"/>
        <v>27.57017366943041</v>
      </c>
      <c r="V360" s="17">
        <f t="shared" si="599"/>
        <v>1.3843670532255981E-2</v>
      </c>
      <c r="W360" s="18">
        <f t="shared" si="600"/>
        <v>0.43041371490798658</v>
      </c>
      <c r="X360" s="19">
        <f t="shared" si="601"/>
        <v>1013.6549652743129</v>
      </c>
      <c r="Y360" s="15">
        <f t="shared" si="602"/>
        <v>5.5273099305486264E-6</v>
      </c>
      <c r="Z360" s="16">
        <f t="shared" si="603"/>
        <v>27.5460321006546</v>
      </c>
      <c r="AA360" s="17">
        <f t="shared" si="604"/>
        <v>1.383316288906263E-2</v>
      </c>
      <c r="AB360" s="18">
        <f t="shared" si="605"/>
        <v>0.43079093302283283</v>
      </c>
      <c r="AC360" s="19">
        <f t="shared" si="606"/>
        <v>1010.9561584341951</v>
      </c>
      <c r="AD360" s="15">
        <f t="shared" si="537"/>
        <v>5.5219123168683907E-6</v>
      </c>
      <c r="AE360" s="16">
        <f t="shared" si="538"/>
        <v>27.514995821993242</v>
      </c>
      <c r="AF360" s="17">
        <f t="shared" si="539"/>
        <v>1.3819654316142146E-2</v>
      </c>
      <c r="AG360" s="18">
        <f t="shared" si="607"/>
        <v>0.43127685522789438</v>
      </c>
      <c r="AH360" s="19">
        <f t="shared" si="608"/>
        <v>1007.6576848796834</v>
      </c>
      <c r="AI360" s="15">
        <f t="shared" si="540"/>
        <v>5.5153153697593673E-6</v>
      </c>
      <c r="AJ360" s="16">
        <f t="shared" si="541"/>
        <v>27.477063376116359</v>
      </c>
      <c r="AK360" s="17">
        <f t="shared" si="542"/>
        <v>1.3803144179190121E-2</v>
      </c>
      <c r="AL360" s="18">
        <f t="shared" si="609"/>
        <v>0.43187223857526857</v>
      </c>
      <c r="AM360" s="19">
        <f t="shared" si="610"/>
        <v>1003.7595366586122</v>
      </c>
      <c r="AN360" s="15">
        <f t="shared" si="543"/>
        <v>5.5075190733172251E-6</v>
      </c>
      <c r="AO360" s="16">
        <f t="shared" si="544"/>
        <v>27.43223467157404</v>
      </c>
      <c r="AP360" s="17">
        <f t="shared" si="545"/>
        <v>1.3783632438402886E-2</v>
      </c>
      <c r="AQ360" s="18">
        <f t="shared" si="611"/>
        <v>0.43257798760428157</v>
      </c>
      <c r="AR360" s="19">
        <f t="shared" si="612"/>
        <v>999.26171881404389</v>
      </c>
      <c r="AS360" s="15">
        <f t="shared" si="546"/>
        <v>5.4985234376280886E-6</v>
      </c>
      <c r="AT360" s="16">
        <f t="shared" si="547"/>
        <v>27.380509766361506</v>
      </c>
      <c r="AU360" s="17">
        <f t="shared" si="548"/>
        <v>1.3761119119022922E-2</v>
      </c>
      <c r="AV360" s="18">
        <f t="shared" si="613"/>
        <v>0.43339517675075062</v>
      </c>
      <c r="AW360" s="19">
        <f t="shared" si="614"/>
        <v>994.16423228119504</v>
      </c>
      <c r="AX360" s="15">
        <f t="shared" si="549"/>
        <v>5.4883284645623904E-6</v>
      </c>
      <c r="AY360" s="16">
        <f t="shared" si="550"/>
        <v>27.321888671233744</v>
      </c>
      <c r="AZ360" s="17">
        <f t="shared" si="551"/>
        <v>1.3735604225731347E-2</v>
      </c>
      <c r="BA360" s="18">
        <f t="shared" si="615"/>
        <v>0.43432505755767187</v>
      </c>
      <c r="BB360" s="19">
        <f t="shared" si="616"/>
        <v>988.46706050655519</v>
      </c>
      <c r="BC360" s="15">
        <f t="shared" si="552"/>
        <v>5.4769341210131108E-6</v>
      </c>
      <c r="BD360" s="16">
        <f t="shared" si="553"/>
        <v>27.256371195825384</v>
      </c>
      <c r="BE360" s="17">
        <f t="shared" si="554"/>
        <v>1.3707087675671437E-2</v>
      </c>
      <c r="BF360" s="18">
        <f t="shared" si="617"/>
        <v>0.43536906598686903</v>
      </c>
      <c r="BG360" s="19">
        <f t="shared" si="618"/>
        <v>982.17004822644549</v>
      </c>
      <c r="BH360" s="15">
        <f t="shared" si="555"/>
        <v>5.4643400964528908E-6</v>
      </c>
      <c r="BI360" s="16">
        <f t="shared" si="556"/>
        <v>27.183955554604122</v>
      </c>
      <c r="BJ360" s="17">
        <f t="shared" si="557"/>
        <v>1.3675568691688376E-2</v>
      </c>
      <c r="BK360" s="18">
        <f t="shared" si="619"/>
        <v>0.43652885047879159</v>
      </c>
      <c r="BL360" s="19">
        <f t="shared" si="620"/>
        <v>975.27194468372602</v>
      </c>
      <c r="BM360" s="15">
        <f t="shared" si="558"/>
        <v>5.4505438893674531E-6</v>
      </c>
      <c r="BN360" s="16">
        <f t="shared" si="559"/>
        <v>27.104627363862846</v>
      </c>
      <c r="BO360" s="17">
        <f t="shared" si="560"/>
        <v>1.3641041013258526E-2</v>
      </c>
      <c r="BP360" s="18">
        <f t="shared" si="621"/>
        <v>0.43780645682437891</v>
      </c>
      <c r="BQ360" s="19">
        <f t="shared" si="622"/>
        <v>967.7637685041891</v>
      </c>
      <c r="BR360" s="15">
        <f t="shared" si="561"/>
        <v>5.435527537008379E-6</v>
      </c>
      <c r="BS360" s="16">
        <f t="shared" si="562"/>
        <v>27.018283337798174</v>
      </c>
      <c r="BT360" s="17">
        <f t="shared" si="563"/>
        <v>1.3603459685127354E-2</v>
      </c>
      <c r="BU360" s="18">
        <f t="shared" si="623"/>
        <v>0.439205582433016</v>
      </c>
      <c r="BV360" s="19">
        <f t="shared" si="624"/>
        <v>959.58870382941632</v>
      </c>
      <c r="BW360" s="15">
        <f t="shared" si="564"/>
        <v>5.4191774076588328E-6</v>
      </c>
      <c r="BX360" s="16">
        <f t="shared" si="565"/>
        <v>26.924270094038285</v>
      </c>
      <c r="BY360" s="17">
        <f t="shared" si="566"/>
        <v>1.3562540321930532E-2</v>
      </c>
      <c r="BZ360" s="18">
        <f t="shared" si="625"/>
        <v>0.44073918543646834</v>
      </c>
      <c r="CA360" s="19">
        <f t="shared" si="626"/>
        <v>950.43549849852786</v>
      </c>
      <c r="CB360" s="15">
        <f t="shared" si="567"/>
        <v>5.4008709969970565E-6</v>
      </c>
      <c r="CC360" s="16">
        <f t="shared" si="568"/>
        <v>26.819008232733069</v>
      </c>
      <c r="CD360" s="17">
        <f t="shared" si="569"/>
        <v>1.3516724986119739E-2</v>
      </c>
      <c r="CE360" s="18">
        <f t="shared" si="627"/>
        <v>0.44246904161185679</v>
      </c>
      <c r="CF360" s="19">
        <f t="shared" si="628"/>
        <v>938.86121558879904</v>
      </c>
      <c r="CG360" s="15">
        <f t="shared" si="570"/>
        <v>5.3777224311775982E-6</v>
      </c>
      <c r="CH360" s="16">
        <f t="shared" si="571"/>
        <v>26.685903979271188</v>
      </c>
      <c r="CI360" s="17">
        <f t="shared" si="572"/>
        <v>1.3458791219847837E-2</v>
      </c>
      <c r="CJ360" s="18">
        <f t="shared" si="629"/>
        <v>0.44467599369822747</v>
      </c>
      <c r="CK360" s="19">
        <f t="shared" si="630"/>
        <v>919.38791820346091</v>
      </c>
      <c r="CL360" s="15">
        <f t="shared" si="573"/>
        <v>5.3387758364069227E-6</v>
      </c>
      <c r="CM360" s="16">
        <f t="shared" si="574"/>
        <v>26.461961059339799</v>
      </c>
      <c r="CN360" s="17">
        <f t="shared" si="575"/>
        <v>1.3361319828482675E-2</v>
      </c>
      <c r="CO360" s="18">
        <f t="shared" si="631"/>
        <v>0.44843920838321866</v>
      </c>
      <c r="CP360" s="19">
        <f t="shared" si="632"/>
        <v>875.82741729648023</v>
      </c>
      <c r="CQ360" s="15">
        <f t="shared" si="576"/>
        <v>5.2516548345929615E-6</v>
      </c>
      <c r="CR360" s="16">
        <f t="shared" si="577"/>
        <v>25.961015298909523</v>
      </c>
      <c r="CS360" s="17">
        <f t="shared" si="578"/>
        <v>1.3143282659535422E-2</v>
      </c>
      <c r="CT360" s="18">
        <f t="shared" si="633"/>
        <v>0.45709232605461109</v>
      </c>
      <c r="CU360" s="19">
        <f t="shared" si="634"/>
        <v>774.14763097270122</v>
      </c>
      <c r="CV360" s="15">
        <f t="shared" si="579"/>
        <v>5.0482952619454024E-6</v>
      </c>
      <c r="CW360" s="16">
        <f t="shared" si="580"/>
        <v>24.791697756186064</v>
      </c>
      <c r="CX360" s="17">
        <f t="shared" si="581"/>
        <v>1.2634335969584813E-2</v>
      </c>
      <c r="CY360" s="18">
        <f t="shared" si="635"/>
        <v>0.47865140122390087</v>
      </c>
      <c r="CZ360" s="20">
        <f t="shared" si="585"/>
        <v>573.53746388348407</v>
      </c>
      <c r="DA360" s="15">
        <f t="shared" si="582"/>
        <v>6.0760684761386548E-6</v>
      </c>
      <c r="DB360" s="16">
        <f t="shared" si="583"/>
        <v>36.862413547378964</v>
      </c>
      <c r="DC360" s="17">
        <f t="shared" si="584"/>
        <v>1.520653735933745E-2</v>
      </c>
      <c r="DD360" s="18">
        <f t="shared" si="636"/>
        <v>0.32191546151653572</v>
      </c>
    </row>
    <row r="361" spans="2:108" x14ac:dyDescent="0.25">
      <c r="B361">
        <v>94</v>
      </c>
      <c r="C361">
        <f t="shared" si="637"/>
        <v>9.1895778636453637E-2</v>
      </c>
      <c r="D361" s="19">
        <f t="shared" si="534"/>
        <v>1018.4678358949302</v>
      </c>
      <c r="E361" s="15">
        <f t="shared" si="586"/>
        <v>5.5369356717898614E-6</v>
      </c>
      <c r="F361" s="16">
        <f t="shared" si="535"/>
        <v>27.601380112791695</v>
      </c>
      <c r="G361" s="17">
        <f t="shared" si="532"/>
        <v>1.3857253169541032E-2</v>
      </c>
      <c r="H361" s="18">
        <f t="shared" si="587"/>
        <v>0.42992708412498554</v>
      </c>
      <c r="I361" s="19">
        <f t="shared" si="588"/>
        <v>1018.143688045885</v>
      </c>
      <c r="J361" s="15">
        <f t="shared" si="589"/>
        <v>5.5362873760917707E-6</v>
      </c>
      <c r="K361" s="16">
        <f t="shared" si="536"/>
        <v>27.597652412527676</v>
      </c>
      <c r="L361" s="17">
        <f t="shared" si="590"/>
        <v>1.3855630684081622E-2</v>
      </c>
      <c r="M361" s="18">
        <f t="shared" si="591"/>
        <v>0.42998515570589563</v>
      </c>
      <c r="N361" s="19">
        <f t="shared" si="592"/>
        <v>1017.2386590408734</v>
      </c>
      <c r="O361" s="15">
        <f t="shared" si="593"/>
        <v>5.5344773180817474E-6</v>
      </c>
      <c r="P361" s="16">
        <f t="shared" si="594"/>
        <v>27.587244578970044</v>
      </c>
      <c r="Q361" s="17">
        <f t="shared" si="533"/>
        <v>1.3857253169541032E-2</v>
      </c>
      <c r="R361" s="18">
        <f t="shared" si="595"/>
        <v>0.43014737610888037</v>
      </c>
      <c r="S361" s="19">
        <f t="shared" si="596"/>
        <v>1015.7376270444008</v>
      </c>
      <c r="T361" s="15">
        <f t="shared" si="597"/>
        <v>5.5314752540888026E-6</v>
      </c>
      <c r="U361" s="16">
        <f t="shared" si="598"/>
        <v>27.56998271101061</v>
      </c>
      <c r="V361" s="17">
        <f t="shared" si="599"/>
        <v>1.3843587417402983E-2</v>
      </c>
      <c r="W361" s="18">
        <f t="shared" si="600"/>
        <v>0.43041669608950273</v>
      </c>
      <c r="X361" s="19">
        <f t="shared" si="601"/>
        <v>1013.6383626709797</v>
      </c>
      <c r="Y361" s="15">
        <f t="shared" si="602"/>
        <v>5.5272767253419597E-6</v>
      </c>
      <c r="Z361" s="16">
        <f t="shared" si="603"/>
        <v>27.545841170716265</v>
      </c>
      <c r="AA361" s="17">
        <f t="shared" si="604"/>
        <v>1.3833079786606218E-2</v>
      </c>
      <c r="AB361" s="18">
        <f t="shared" si="605"/>
        <v>0.43079391898669456</v>
      </c>
      <c r="AC361" s="19">
        <f t="shared" si="606"/>
        <v>1010.9395671108693</v>
      </c>
      <c r="AD361" s="15">
        <f t="shared" si="537"/>
        <v>5.52187913422174E-6</v>
      </c>
      <c r="AE361" s="16">
        <f t="shared" si="538"/>
        <v>27.514805021774997</v>
      </c>
      <c r="AF361" s="17">
        <f t="shared" si="539"/>
        <v>1.381957127014654E-2</v>
      </c>
      <c r="AG361" s="18">
        <f t="shared" si="607"/>
        <v>0.43127984589848195</v>
      </c>
      <c r="AH361" s="19">
        <f t="shared" si="608"/>
        <v>1007.6411097805957</v>
      </c>
      <c r="AI361" s="15">
        <f t="shared" si="540"/>
        <v>5.5152822195611919E-6</v>
      </c>
      <c r="AJ361" s="16">
        <f t="shared" si="541"/>
        <v>27.476872762476852</v>
      </c>
      <c r="AK361" s="17">
        <f t="shared" si="542"/>
        <v>1.3803061214403103E-2</v>
      </c>
      <c r="AL361" s="18">
        <f t="shared" si="609"/>
        <v>0.43187523457630217</v>
      </c>
      <c r="AM361" s="19">
        <f t="shared" si="610"/>
        <v>1003.7429815225508</v>
      </c>
      <c r="AN361" s="15">
        <f t="shared" si="543"/>
        <v>5.5074859630451022E-6</v>
      </c>
      <c r="AO361" s="16">
        <f t="shared" si="544"/>
        <v>27.432044287509335</v>
      </c>
      <c r="AP361" s="17">
        <f t="shared" si="545"/>
        <v>1.3783549573538542E-2</v>
      </c>
      <c r="AQ361" s="18">
        <f t="shared" si="611"/>
        <v>0.43258098978504211</v>
      </c>
      <c r="AR361" s="19">
        <f t="shared" si="612"/>
        <v>999.24518716635384</v>
      </c>
      <c r="AS361" s="15">
        <f t="shared" si="546"/>
        <v>5.4984903743327086E-6</v>
      </c>
      <c r="AT361" s="16">
        <f t="shared" si="547"/>
        <v>27.380319652413068</v>
      </c>
      <c r="AU361" s="17">
        <f t="shared" si="548"/>
        <v>1.3761036371726971E-2</v>
      </c>
      <c r="AV361" s="18">
        <f t="shared" si="613"/>
        <v>0.43339818600956614</v>
      </c>
      <c r="AW361" s="19">
        <f t="shared" si="614"/>
        <v>994.14772745268283</v>
      </c>
      <c r="AX361" s="15">
        <f t="shared" si="549"/>
        <v>5.4882954549053658E-6</v>
      </c>
      <c r="AY361" s="16">
        <f t="shared" si="550"/>
        <v>27.321698865705851</v>
      </c>
      <c r="AZ361" s="17">
        <f t="shared" si="551"/>
        <v>1.373552161267576E-2</v>
      </c>
      <c r="BA361" s="18">
        <f t="shared" si="615"/>
        <v>0.43432807484064651</v>
      </c>
      <c r="BB361" s="19">
        <f t="shared" si="616"/>
        <v>988.45058406561259</v>
      </c>
      <c r="BC361" s="15">
        <f t="shared" si="552"/>
        <v>5.4769011681312258E-6</v>
      </c>
      <c r="BD361" s="16">
        <f t="shared" si="553"/>
        <v>27.256181716754543</v>
      </c>
      <c r="BE361" s="17">
        <f t="shared" si="554"/>
        <v>1.3707005204706628E-2</v>
      </c>
      <c r="BF361" s="18">
        <f t="shared" si="617"/>
        <v>0.43537209257830262</v>
      </c>
      <c r="BG361" s="19">
        <f t="shared" si="618"/>
        <v>982.15358790532309</v>
      </c>
      <c r="BH361" s="15">
        <f t="shared" si="555"/>
        <v>5.4643071758106468E-6</v>
      </c>
      <c r="BI361" s="16">
        <f t="shared" si="556"/>
        <v>27.183766260911213</v>
      </c>
      <c r="BJ361" s="17">
        <f t="shared" si="557"/>
        <v>1.3675486301409507E-2</v>
      </c>
      <c r="BK361" s="18">
        <f t="shared" si="619"/>
        <v>0.43653189023999961</v>
      </c>
      <c r="BL361" s="19">
        <f t="shared" si="620"/>
        <v>975.25539277369683</v>
      </c>
      <c r="BM361" s="15">
        <f t="shared" si="558"/>
        <v>5.4505107855473936E-6</v>
      </c>
      <c r="BN361" s="16">
        <f t="shared" si="559"/>
        <v>27.104437016897514</v>
      </c>
      <c r="BO361" s="17">
        <f t="shared" si="560"/>
        <v>1.364095816454172E-2</v>
      </c>
      <c r="BP361" s="18">
        <f t="shared" si="621"/>
        <v>0.43780953141804813</v>
      </c>
      <c r="BQ361" s="19">
        <f t="shared" si="622"/>
        <v>967.746443258726</v>
      </c>
      <c r="BR361" s="15">
        <f t="shared" si="561"/>
        <v>5.435492886517453E-6</v>
      </c>
      <c r="BS361" s="16">
        <f t="shared" si="562"/>
        <v>27.018084097475349</v>
      </c>
      <c r="BT361" s="17">
        <f t="shared" si="563"/>
        <v>1.3603372965567352E-2</v>
      </c>
      <c r="BU361" s="18">
        <f t="shared" si="623"/>
        <v>0.43920882128080829</v>
      </c>
      <c r="BV361" s="19">
        <f t="shared" si="624"/>
        <v>959.56697914155359</v>
      </c>
      <c r="BW361" s="15">
        <f t="shared" si="564"/>
        <v>5.4191339582831081E-6</v>
      </c>
      <c r="BX361" s="16">
        <f t="shared" si="565"/>
        <v>26.924020260127865</v>
      </c>
      <c r="BY361" s="17">
        <f t="shared" si="566"/>
        <v>1.3562431581458334E-2</v>
      </c>
      <c r="BZ361" s="18">
        <f t="shared" si="625"/>
        <v>0.44074327515238404</v>
      </c>
      <c r="CA361" s="19">
        <f t="shared" si="626"/>
        <v>950.39329229480745</v>
      </c>
      <c r="CB361" s="15">
        <f t="shared" si="567"/>
        <v>5.400786584589615E-6</v>
      </c>
      <c r="CC361" s="16">
        <f t="shared" si="568"/>
        <v>26.818522861390285</v>
      </c>
      <c r="CD361" s="17">
        <f t="shared" si="569"/>
        <v>1.3516513727732446E-2</v>
      </c>
      <c r="CE361" s="18">
        <f t="shared" si="627"/>
        <v>0.44247704957687328</v>
      </c>
      <c r="CF361" s="19">
        <f t="shared" si="628"/>
        <v>938.74133423103922</v>
      </c>
      <c r="CG361" s="15">
        <f t="shared" si="570"/>
        <v>5.3774826684620785E-6</v>
      </c>
      <c r="CH361" s="16">
        <f t="shared" si="571"/>
        <v>26.684525343656951</v>
      </c>
      <c r="CI361" s="17">
        <f t="shared" si="572"/>
        <v>1.3458191167247172E-2</v>
      </c>
      <c r="CJ361" s="18">
        <f t="shared" si="629"/>
        <v>0.44469896754369836</v>
      </c>
      <c r="CK361" s="19">
        <f t="shared" si="630"/>
        <v>919.03879739885826</v>
      </c>
      <c r="CL361" s="15">
        <f t="shared" si="573"/>
        <v>5.3380775947977174E-6</v>
      </c>
      <c r="CM361" s="16">
        <f t="shared" si="574"/>
        <v>26.457946170086871</v>
      </c>
      <c r="CN361" s="17">
        <f t="shared" si="575"/>
        <v>1.3359572343713875E-2</v>
      </c>
      <c r="CO361" s="18">
        <f t="shared" si="631"/>
        <v>0.44850725726905266</v>
      </c>
      <c r="CP361" s="19">
        <f t="shared" si="632"/>
        <v>874.99706993937616</v>
      </c>
      <c r="CQ361" s="15">
        <f t="shared" si="576"/>
        <v>5.2499941398787524E-6</v>
      </c>
      <c r="CR361" s="16">
        <f t="shared" si="577"/>
        <v>25.951466304302826</v>
      </c>
      <c r="CS361" s="17">
        <f t="shared" si="578"/>
        <v>1.3139126449592553E-2</v>
      </c>
      <c r="CT361" s="18">
        <f t="shared" si="633"/>
        <v>0.4572605158634287</v>
      </c>
      <c r="CU361" s="19">
        <f t="shared" si="634"/>
        <v>772.74325045531953</v>
      </c>
      <c r="CV361" s="15">
        <f t="shared" si="579"/>
        <v>5.04548650091064E-6</v>
      </c>
      <c r="CW361" s="16">
        <f t="shared" si="580"/>
        <v>24.775547380236176</v>
      </c>
      <c r="CX361" s="17">
        <f t="shared" si="581"/>
        <v>1.2627306501471298E-2</v>
      </c>
      <c r="CY361" s="18">
        <f t="shared" si="635"/>
        <v>0.47896341855131108</v>
      </c>
      <c r="CZ361" s="20">
        <f t="shared" si="585"/>
        <v>572.13454544874492</v>
      </c>
      <c r="DA361" s="15">
        <f t="shared" si="582"/>
        <v>6.0986457089143506E-6</v>
      </c>
      <c r="DB361" s="16">
        <f t="shared" si="583"/>
        <v>36.903098181986394</v>
      </c>
      <c r="DC361" s="17">
        <f t="shared" si="584"/>
        <v>1.5263041254088196E-2</v>
      </c>
      <c r="DD361" s="18">
        <f t="shared" si="636"/>
        <v>0.32156055871510442</v>
      </c>
    </row>
    <row r="362" spans="2:108" x14ac:dyDescent="0.25">
      <c r="B362">
        <v>95</v>
      </c>
      <c r="C362">
        <f t="shared" si="637"/>
        <v>9.2873393302798896E-2</v>
      </c>
      <c r="D362" s="19">
        <f t="shared" si="534"/>
        <v>1018.4512865432442</v>
      </c>
      <c r="E362" s="15">
        <f t="shared" si="586"/>
        <v>5.5369025730864882E-6</v>
      </c>
      <c r="F362" s="16">
        <f t="shared" si="535"/>
        <v>27.601189795247308</v>
      </c>
      <c r="G362" s="17">
        <f t="shared" si="532"/>
        <v>1.3857170333629723E-2</v>
      </c>
      <c r="H362" s="18">
        <f t="shared" si="587"/>
        <v>0.42993004858657302</v>
      </c>
      <c r="I362" s="19">
        <f t="shared" si="588"/>
        <v>1018.1271222202448</v>
      </c>
      <c r="J362" s="15">
        <f t="shared" si="589"/>
        <v>5.5362542444404905E-6</v>
      </c>
      <c r="K362" s="16">
        <f t="shared" si="536"/>
        <v>27.597461905532814</v>
      </c>
      <c r="L362" s="17">
        <f t="shared" si="590"/>
        <v>1.3855547765711801E-2</v>
      </c>
      <c r="M362" s="18">
        <f t="shared" si="591"/>
        <v>0.42998812392015129</v>
      </c>
      <c r="N362" s="19">
        <f t="shared" si="592"/>
        <v>1017.2220667696733</v>
      </c>
      <c r="O362" s="15">
        <f t="shared" si="593"/>
        <v>5.5344441335393472E-6</v>
      </c>
      <c r="P362" s="16">
        <f t="shared" si="594"/>
        <v>27.587053767851245</v>
      </c>
      <c r="Q362" s="17">
        <f t="shared" si="533"/>
        <v>1.3857170333629723E-2</v>
      </c>
      <c r="R362" s="18">
        <f t="shared" si="595"/>
        <v>0.43015035130524509</v>
      </c>
      <c r="S362" s="19">
        <f t="shared" si="596"/>
        <v>1015.7210222497795</v>
      </c>
      <c r="T362" s="15">
        <f t="shared" si="597"/>
        <v>5.5314420444995603E-6</v>
      </c>
      <c r="U362" s="16">
        <f t="shared" si="598"/>
        <v>27.569791755872465</v>
      </c>
      <c r="V362" s="17">
        <f t="shared" si="599"/>
        <v>1.3843504303978325E-2</v>
      </c>
      <c r="W362" s="18">
        <f t="shared" si="600"/>
        <v>0.43041967726108321</v>
      </c>
      <c r="X362" s="19">
        <f t="shared" si="601"/>
        <v>1013.6217603129988</v>
      </c>
      <c r="Y362" s="15">
        <f t="shared" si="602"/>
        <v>5.5272435206259985E-6</v>
      </c>
      <c r="Z362" s="16">
        <f t="shared" si="603"/>
        <v>27.545650243599486</v>
      </c>
      <c r="AA362" s="17">
        <f t="shared" si="604"/>
        <v>1.383299668537789E-2</v>
      </c>
      <c r="AB362" s="18">
        <f t="shared" si="605"/>
        <v>0.43079690494782275</v>
      </c>
      <c r="AC362" s="19">
        <f t="shared" si="606"/>
        <v>1010.922975993655</v>
      </c>
      <c r="AD362" s="15">
        <f t="shared" si="537"/>
        <v>5.5218459519873098E-6</v>
      </c>
      <c r="AE362" s="16">
        <f t="shared" si="538"/>
        <v>27.514614223927033</v>
      </c>
      <c r="AF362" s="17">
        <f t="shared" si="539"/>
        <v>1.3819488225182594E-2</v>
      </c>
      <c r="AG362" s="18">
        <f t="shared" si="607"/>
        <v>0.43128283657339378</v>
      </c>
      <c r="AH362" s="19">
        <f t="shared" si="608"/>
        <v>1007.6245348744537</v>
      </c>
      <c r="AI362" s="15">
        <f t="shared" si="540"/>
        <v>5.5152490697489077E-6</v>
      </c>
      <c r="AJ362" s="16">
        <f t="shared" si="541"/>
        <v>27.476682151056217</v>
      </c>
      <c r="AK362" s="17">
        <f t="shared" si="542"/>
        <v>1.3802978250581854E-2</v>
      </c>
      <c r="AL362" s="18">
        <f t="shared" si="609"/>
        <v>0.43187823058402786</v>
      </c>
      <c r="AM362" s="19">
        <f t="shared" si="610"/>
        <v>1003.7264265774949</v>
      </c>
      <c r="AN362" s="15">
        <f t="shared" si="543"/>
        <v>5.5074528531549903E-6</v>
      </c>
      <c r="AO362" s="16">
        <f t="shared" si="544"/>
        <v>27.431853905641191</v>
      </c>
      <c r="AP362" s="17">
        <f t="shared" si="545"/>
        <v>1.3783466709630257E-2</v>
      </c>
      <c r="AQ362" s="18">
        <f t="shared" si="611"/>
        <v>0.43258399197283598</v>
      </c>
      <c r="AR362" s="19">
        <f t="shared" si="612"/>
        <v>999.22865570729698</v>
      </c>
      <c r="AS362" s="15">
        <f t="shared" si="546"/>
        <v>5.4984573114145945E-6</v>
      </c>
      <c r="AT362" s="16">
        <f t="shared" si="547"/>
        <v>27.380129540633916</v>
      </c>
      <c r="AU362" s="17">
        <f t="shared" si="548"/>
        <v>1.3760953625375197E-2</v>
      </c>
      <c r="AV362" s="18">
        <f t="shared" si="613"/>
        <v>0.43340119527583354</v>
      </c>
      <c r="AW362" s="19">
        <f t="shared" si="614"/>
        <v>994.13122278720368</v>
      </c>
      <c r="AX362" s="15">
        <f t="shared" si="549"/>
        <v>5.4882624455744083E-6</v>
      </c>
      <c r="AY362" s="16">
        <f t="shared" si="550"/>
        <v>27.32150906205284</v>
      </c>
      <c r="AZ362" s="17">
        <f t="shared" si="551"/>
        <v>1.3735439000436219E-2</v>
      </c>
      <c r="BA362" s="18">
        <f t="shared" si="615"/>
        <v>0.43433109213573895</v>
      </c>
      <c r="BB362" s="19">
        <f t="shared" si="616"/>
        <v>988.43410758583104</v>
      </c>
      <c r="BC362" s="15">
        <f t="shared" si="552"/>
        <v>5.4768682151716627E-6</v>
      </c>
      <c r="BD362" s="16">
        <f t="shared" si="553"/>
        <v>27.255992237237056</v>
      </c>
      <c r="BE362" s="17">
        <f t="shared" si="554"/>
        <v>1.3706922733547412E-2</v>
      </c>
      <c r="BF362" s="18">
        <f t="shared" si="617"/>
        <v>0.43537511921895145</v>
      </c>
      <c r="BG362" s="19">
        <f t="shared" si="618"/>
        <v>982.13712615986219</v>
      </c>
      <c r="BH362" s="15">
        <f t="shared" si="555"/>
        <v>5.4642742523197241E-6</v>
      </c>
      <c r="BI362" s="16">
        <f t="shared" si="556"/>
        <v>27.183576950838415</v>
      </c>
      <c r="BJ362" s="17">
        <f t="shared" si="557"/>
        <v>1.3675403904001269E-2</v>
      </c>
      <c r="BK362" s="18">
        <f t="shared" si="619"/>
        <v>0.43653493030658358</v>
      </c>
      <c r="BL362" s="19">
        <f t="shared" si="620"/>
        <v>975.23883114739567</v>
      </c>
      <c r="BM362" s="15">
        <f t="shared" si="558"/>
        <v>5.4504776622947923E-6</v>
      </c>
      <c r="BN362" s="16">
        <f t="shared" si="559"/>
        <v>27.104246558195051</v>
      </c>
      <c r="BO362" s="17">
        <f t="shared" si="560"/>
        <v>1.3640875267191217E-2</v>
      </c>
      <c r="BP362" s="18">
        <f t="shared" si="621"/>
        <v>0.4378126078597821</v>
      </c>
      <c r="BQ362" s="19">
        <f t="shared" si="622"/>
        <v>967.72906594138419</v>
      </c>
      <c r="BR362" s="15">
        <f t="shared" si="561"/>
        <v>5.4354581318827681E-6</v>
      </c>
      <c r="BS362" s="16">
        <f t="shared" si="562"/>
        <v>27.017884258325918</v>
      </c>
      <c r="BT362" s="17">
        <f t="shared" si="563"/>
        <v>1.3603285985367438E-2</v>
      </c>
      <c r="BU362" s="18">
        <f t="shared" si="623"/>
        <v>0.43921206991110173</v>
      </c>
      <c r="BV362" s="19">
        <f t="shared" si="624"/>
        <v>959.54502373559751</v>
      </c>
      <c r="BW362" s="15">
        <f t="shared" si="564"/>
        <v>5.4190900474711955E-6</v>
      </c>
      <c r="BX362" s="16">
        <f t="shared" si="565"/>
        <v>26.923767772959373</v>
      </c>
      <c r="BY362" s="17">
        <f t="shared" si="566"/>
        <v>1.3562321686152769E-2</v>
      </c>
      <c r="BZ362" s="18">
        <f t="shared" si="625"/>
        <v>0.44074740837855486</v>
      </c>
      <c r="CA362" s="19">
        <f t="shared" si="626"/>
        <v>950.35026638015006</v>
      </c>
      <c r="CB362" s="15">
        <f t="shared" si="567"/>
        <v>5.4007005327603015E-6</v>
      </c>
      <c r="CC362" s="16">
        <f t="shared" si="568"/>
        <v>26.818028063371727</v>
      </c>
      <c r="CD362" s="17">
        <f t="shared" si="569"/>
        <v>1.3516298366374614E-2</v>
      </c>
      <c r="CE362" s="18">
        <f t="shared" si="627"/>
        <v>0.44248521336754687</v>
      </c>
      <c r="CF362" s="19">
        <f t="shared" si="628"/>
        <v>938.61927655925399</v>
      </c>
      <c r="CG362" s="15">
        <f t="shared" si="570"/>
        <v>5.3772385531185087E-6</v>
      </c>
      <c r="CH362" s="16">
        <f t="shared" si="571"/>
        <v>26.68312168043142</v>
      </c>
      <c r="CI362" s="17">
        <f t="shared" si="572"/>
        <v>1.3457580221352379E-2</v>
      </c>
      <c r="CJ362" s="18">
        <f t="shared" si="629"/>
        <v>0.44472236089304662</v>
      </c>
      <c r="CK362" s="19">
        <f t="shared" si="630"/>
        <v>918.68602009581105</v>
      </c>
      <c r="CL362" s="15">
        <f t="shared" si="573"/>
        <v>5.3373720401916219E-6</v>
      </c>
      <c r="CM362" s="16">
        <f t="shared" si="574"/>
        <v>26.453889231101826</v>
      </c>
      <c r="CN362" s="17">
        <f t="shared" si="575"/>
        <v>1.335780655675496E-2</v>
      </c>
      <c r="CO362" s="18">
        <f t="shared" si="631"/>
        <v>0.44857603984242755</v>
      </c>
      <c r="CP362" s="19">
        <f t="shared" si="632"/>
        <v>874.16520108550935</v>
      </c>
      <c r="CQ362" s="15">
        <f t="shared" si="576"/>
        <v>5.2483304021710187E-6</v>
      </c>
      <c r="CR362" s="16">
        <f t="shared" si="577"/>
        <v>25.941899812483356</v>
      </c>
      <c r="CS362" s="17">
        <f t="shared" si="578"/>
        <v>1.3134962623969433E-2</v>
      </c>
      <c r="CT362" s="18">
        <f t="shared" si="633"/>
        <v>0.45742913801585372</v>
      </c>
      <c r="CU362" s="19">
        <f t="shared" si="634"/>
        <v>771.34667618537583</v>
      </c>
      <c r="CV362" s="15">
        <f t="shared" si="579"/>
        <v>5.0426933523707519E-6</v>
      </c>
      <c r="CW362" s="16">
        <f t="shared" si="580"/>
        <v>24.759486776131823</v>
      </c>
      <c r="CX362" s="17">
        <f t="shared" si="581"/>
        <v>1.2620316106647936E-2</v>
      </c>
      <c r="CY362" s="18">
        <f t="shared" si="635"/>
        <v>0.4792741051949953</v>
      </c>
      <c r="CZ362" s="20">
        <f t="shared" si="585"/>
        <v>570.74471978035047</v>
      </c>
      <c r="DA362" s="15">
        <f t="shared" si="582"/>
        <v>6.1209723958743831E-6</v>
      </c>
      <c r="DB362" s="16">
        <f t="shared" si="583"/>
        <v>36.94340312636983</v>
      </c>
      <c r="DC362" s="17">
        <f t="shared" si="584"/>
        <v>1.5318918109443146E-2</v>
      </c>
      <c r="DD362" s="18">
        <f t="shared" si="636"/>
        <v>0.32120973883014181</v>
      </c>
    </row>
    <row r="363" spans="2:108" x14ac:dyDescent="0.25">
      <c r="B363">
        <v>96</v>
      </c>
      <c r="C363">
        <f t="shared" si="637"/>
        <v>9.385100796914414E-2</v>
      </c>
      <c r="D363" s="19">
        <f t="shared" si="534"/>
        <v>1018.4347363504813</v>
      </c>
      <c r="E363" s="15">
        <f t="shared" si="586"/>
        <v>5.5368694727009626E-6</v>
      </c>
      <c r="F363" s="16">
        <f t="shared" si="535"/>
        <v>27.600999468030537</v>
      </c>
      <c r="G363" s="17">
        <f t="shared" si="532"/>
        <v>1.3857087493508505E-2</v>
      </c>
      <c r="H363" s="18">
        <f t="shared" si="587"/>
        <v>0.42993301323970629</v>
      </c>
      <c r="I363" s="19">
        <f t="shared" si="588"/>
        <v>1018.1105560580903</v>
      </c>
      <c r="J363" s="15">
        <f t="shared" si="589"/>
        <v>5.5362211121161815E-6</v>
      </c>
      <c r="K363" s="16">
        <f t="shared" si="536"/>
        <v>27.597271394668038</v>
      </c>
      <c r="L363" s="17">
        <f t="shared" si="590"/>
        <v>1.3855464845657594E-2</v>
      </c>
      <c r="M363" s="18">
        <f t="shared" si="591"/>
        <v>0.42999109223568366</v>
      </c>
      <c r="N363" s="19">
        <f t="shared" si="592"/>
        <v>1017.205474655686</v>
      </c>
      <c r="O363" s="15">
        <f t="shared" si="593"/>
        <v>5.5344109493113724E-6</v>
      </c>
      <c r="P363" s="16">
        <f t="shared" si="594"/>
        <v>27.586862958540387</v>
      </c>
      <c r="Q363" s="17">
        <f t="shared" si="533"/>
        <v>1.3857087493508505E-2</v>
      </c>
      <c r="R363" s="18">
        <f t="shared" si="595"/>
        <v>0.4301533265145765</v>
      </c>
      <c r="S363" s="19">
        <f t="shared" si="596"/>
        <v>1015.7044177384313</v>
      </c>
      <c r="T363" s="15">
        <f t="shared" si="597"/>
        <v>5.5314088354768627E-6</v>
      </c>
      <c r="U363" s="16">
        <f t="shared" si="598"/>
        <v>27.56960080399196</v>
      </c>
      <c r="V363" s="17">
        <f t="shared" si="599"/>
        <v>1.3843421191971555E-2</v>
      </c>
      <c r="W363" s="18">
        <f t="shared" si="600"/>
        <v>0.43042265842310157</v>
      </c>
      <c r="X363" s="19">
        <f t="shared" si="601"/>
        <v>1013.6051582002402</v>
      </c>
      <c r="Y363" s="15">
        <f t="shared" si="602"/>
        <v>5.5272103164004813E-6</v>
      </c>
      <c r="Z363" s="16">
        <f t="shared" si="603"/>
        <v>27.545459319302761</v>
      </c>
      <c r="AA363" s="17">
        <f t="shared" si="604"/>
        <v>1.3832913585376994E-2</v>
      </c>
      <c r="AB363" s="18">
        <f t="shared" si="605"/>
        <v>0.43079989090623988</v>
      </c>
      <c r="AC363" s="19">
        <f t="shared" si="606"/>
        <v>1010.9063850828373</v>
      </c>
      <c r="AD363" s="15">
        <f t="shared" si="537"/>
        <v>5.5218127701656752E-6</v>
      </c>
      <c r="AE363" s="16">
        <f t="shared" si="538"/>
        <v>27.514423428452631</v>
      </c>
      <c r="AF363" s="17">
        <f t="shared" si="539"/>
        <v>1.381940518125175E-2</v>
      </c>
      <c r="AG363" s="18">
        <f t="shared" si="607"/>
        <v>0.43128582725257775</v>
      </c>
      <c r="AH363" s="19">
        <f t="shared" si="608"/>
        <v>1007.607960161393</v>
      </c>
      <c r="AI363" s="15">
        <f t="shared" si="540"/>
        <v>5.5152159203227868E-6</v>
      </c>
      <c r="AJ363" s="16">
        <f t="shared" si="541"/>
        <v>27.476491541856021</v>
      </c>
      <c r="AK363" s="17">
        <f t="shared" si="542"/>
        <v>1.3802895287727051E-2</v>
      </c>
      <c r="AL363" s="18">
        <f t="shared" si="609"/>
        <v>0.43188122659842026</v>
      </c>
      <c r="AM363" s="19">
        <f t="shared" si="610"/>
        <v>1003.7098718234319</v>
      </c>
      <c r="AN363" s="15">
        <f t="shared" si="543"/>
        <v>5.5074197436468648E-6</v>
      </c>
      <c r="AO363" s="16">
        <f t="shared" si="544"/>
        <v>27.431663525969466</v>
      </c>
      <c r="AP363" s="17">
        <f t="shared" si="545"/>
        <v>1.3783383846677964E-2</v>
      </c>
      <c r="AQ363" s="18">
        <f t="shared" si="611"/>
        <v>0.43258699416766488</v>
      </c>
      <c r="AR363" s="19">
        <f t="shared" si="612"/>
        <v>999.21212443652689</v>
      </c>
      <c r="AS363" s="15">
        <f t="shared" si="546"/>
        <v>5.4984242488730543E-6</v>
      </c>
      <c r="AT363" s="16">
        <f t="shared" si="547"/>
        <v>27.379939431020059</v>
      </c>
      <c r="AU363" s="17">
        <f t="shared" si="548"/>
        <v>1.3760870879965876E-2</v>
      </c>
      <c r="AV363" s="18">
        <f t="shared" si="613"/>
        <v>0.43340420454961542</v>
      </c>
      <c r="AW363" s="19">
        <f t="shared" si="614"/>
        <v>994.11471828215599</v>
      </c>
      <c r="AX363" s="15">
        <f t="shared" si="549"/>
        <v>5.4882294365643127E-6</v>
      </c>
      <c r="AY363" s="16">
        <f t="shared" si="550"/>
        <v>27.321319260244792</v>
      </c>
      <c r="AZ363" s="17">
        <f t="shared" si="551"/>
        <v>1.3735356388999701E-2</v>
      </c>
      <c r="BA363" s="18">
        <f t="shared" si="615"/>
        <v>0.43433410944342432</v>
      </c>
      <c r="BB363" s="19">
        <f t="shared" si="616"/>
        <v>988.41763104986342</v>
      </c>
      <c r="BC363" s="15">
        <f t="shared" si="552"/>
        <v>5.4768352620997271E-6</v>
      </c>
      <c r="BD363" s="16">
        <f t="shared" si="553"/>
        <v>27.255802757073429</v>
      </c>
      <c r="BE363" s="17">
        <f t="shared" si="554"/>
        <v>1.3706840262106964E-2</v>
      </c>
      <c r="BF363" s="18">
        <f t="shared" si="617"/>
        <v>0.43537814591200336</v>
      </c>
      <c r="BG363" s="19">
        <f t="shared" si="618"/>
        <v>982.12066288938661</v>
      </c>
      <c r="BH363" s="15">
        <f t="shared" si="555"/>
        <v>5.464241325778774E-6</v>
      </c>
      <c r="BI363" s="16">
        <f t="shared" si="556"/>
        <v>27.183387623227944</v>
      </c>
      <c r="BJ363" s="17">
        <f t="shared" si="557"/>
        <v>1.3675321498959746E-2</v>
      </c>
      <c r="BK363" s="18">
        <f t="shared" si="619"/>
        <v>0.43653797069714811</v>
      </c>
      <c r="BL363" s="19">
        <f t="shared" si="620"/>
        <v>975.22225931025923</v>
      </c>
      <c r="BM363" s="15">
        <f t="shared" si="558"/>
        <v>5.4504445186205188E-6</v>
      </c>
      <c r="BN363" s="16">
        <f t="shared" si="559"/>
        <v>27.10405598206798</v>
      </c>
      <c r="BO363" s="17">
        <f t="shared" si="560"/>
        <v>1.3640792318731528E-2</v>
      </c>
      <c r="BP363" s="18">
        <f t="shared" si="621"/>
        <v>0.4378156862415285</v>
      </c>
      <c r="BQ363" s="19">
        <f t="shared" si="622"/>
        <v>967.71163457780358</v>
      </c>
      <c r="BR363" s="15">
        <f t="shared" si="561"/>
        <v>5.4354232691556077E-6</v>
      </c>
      <c r="BS363" s="16">
        <f t="shared" si="562"/>
        <v>27.017683797644739</v>
      </c>
      <c r="BT363" s="17">
        <f t="shared" si="563"/>
        <v>1.3603198734645184E-2</v>
      </c>
      <c r="BU363" s="18">
        <f t="shared" si="623"/>
        <v>0.43921532869343766</v>
      </c>
      <c r="BV363" s="19">
        <f t="shared" si="624"/>
        <v>959.52283165997392</v>
      </c>
      <c r="BW363" s="15">
        <f t="shared" si="564"/>
        <v>5.4190456633199483E-6</v>
      </c>
      <c r="BX363" s="16">
        <f t="shared" si="565"/>
        <v>26.923512564089698</v>
      </c>
      <c r="BY363" s="17">
        <f t="shared" si="566"/>
        <v>1.3562210606223904E-2</v>
      </c>
      <c r="BZ363" s="18">
        <f t="shared" si="625"/>
        <v>0.44075158623787525</v>
      </c>
      <c r="CA363" s="19">
        <f t="shared" si="626"/>
        <v>950.30640948163068</v>
      </c>
      <c r="CB363" s="15">
        <f t="shared" si="567"/>
        <v>5.4006128189632612E-6</v>
      </c>
      <c r="CC363" s="16">
        <f t="shared" si="568"/>
        <v>26.817523709038753</v>
      </c>
      <c r="CD363" s="17">
        <f t="shared" si="569"/>
        <v>1.351607884562088E-2</v>
      </c>
      <c r="CE363" s="18">
        <f t="shared" si="627"/>
        <v>0.44249353514017065</v>
      </c>
      <c r="CF363" s="19">
        <f t="shared" si="628"/>
        <v>938.49503981255782</v>
      </c>
      <c r="CG363" s="15">
        <f t="shared" si="570"/>
        <v>5.3769900796251159E-6</v>
      </c>
      <c r="CH363" s="16">
        <f t="shared" si="571"/>
        <v>26.681692957844412</v>
      </c>
      <c r="CI363" s="17">
        <f t="shared" si="572"/>
        <v>1.3456958368344154E-2</v>
      </c>
      <c r="CJ363" s="18">
        <f t="shared" si="629"/>
        <v>0.44474617440753983</v>
      </c>
      <c r="CK363" s="19">
        <f t="shared" si="630"/>
        <v>918.3296358252295</v>
      </c>
      <c r="CL363" s="15">
        <f t="shared" si="573"/>
        <v>5.3366592716504597E-6</v>
      </c>
      <c r="CM363" s="16">
        <f t="shared" si="574"/>
        <v>26.449790811990141</v>
      </c>
      <c r="CN363" s="17">
        <f t="shared" si="575"/>
        <v>1.3356022715527313E-2</v>
      </c>
      <c r="CO363" s="18">
        <f t="shared" si="631"/>
        <v>0.44864554710726012</v>
      </c>
      <c r="CP363" s="19">
        <f t="shared" si="632"/>
        <v>873.33191261182162</v>
      </c>
      <c r="CQ363" s="15">
        <f t="shared" si="576"/>
        <v>5.2466638252236434E-6</v>
      </c>
      <c r="CR363" s="16">
        <f t="shared" si="577"/>
        <v>25.932316995035947</v>
      </c>
      <c r="CS363" s="17">
        <f t="shared" si="578"/>
        <v>1.3130791692599585E-2</v>
      </c>
      <c r="CT363" s="18">
        <f t="shared" si="633"/>
        <v>0.45759817265805597</v>
      </c>
      <c r="CU363" s="19">
        <f t="shared" si="634"/>
        <v>769.95785623278994</v>
      </c>
      <c r="CV363" s="15">
        <f t="shared" si="579"/>
        <v>5.0399157124655802E-6</v>
      </c>
      <c r="CW363" s="16">
        <f t="shared" si="580"/>
        <v>24.743515346677086</v>
      </c>
      <c r="CX363" s="17">
        <f t="shared" si="581"/>
        <v>1.2613364525184583E-2</v>
      </c>
      <c r="CY363" s="18">
        <f t="shared" si="635"/>
        <v>0.4795834667571402</v>
      </c>
      <c r="CZ363" s="20">
        <f t="shared" si="585"/>
        <v>569.36772042358359</v>
      </c>
      <c r="DA363" s="15">
        <f t="shared" si="582"/>
        <v>6.1430543807900943E-6</v>
      </c>
      <c r="DB363" s="16">
        <f t="shared" si="583"/>
        <v>36.98333610771607</v>
      </c>
      <c r="DC363" s="17">
        <f t="shared" si="584"/>
        <v>1.5374182550571118E-2</v>
      </c>
      <c r="DD363" s="18">
        <f t="shared" si="636"/>
        <v>0.32086291066754513</v>
      </c>
    </row>
    <row r="364" spans="2:108" x14ac:dyDescent="0.25">
      <c r="B364">
        <v>97</v>
      </c>
      <c r="C364">
        <f t="shared" si="637"/>
        <v>9.4828622635489385E-2</v>
      </c>
      <c r="D364" s="19">
        <f t="shared" si="534"/>
        <v>1018.418185342402</v>
      </c>
      <c r="E364" s="15">
        <f t="shared" si="586"/>
        <v>5.5368363706848046E-6</v>
      </c>
      <c r="F364" s="16">
        <f t="shared" si="535"/>
        <v>27.600809131437622</v>
      </c>
      <c r="G364" s="17">
        <f t="shared" si="532"/>
        <v>1.3857004649306311E-2</v>
      </c>
      <c r="H364" s="18">
        <f t="shared" si="587"/>
        <v>0.4299359780797779</v>
      </c>
      <c r="I364" s="19">
        <f t="shared" si="588"/>
        <v>1018.093989566198</v>
      </c>
      <c r="J364" s="15">
        <f t="shared" si="589"/>
        <v>5.5361879791323965E-6</v>
      </c>
      <c r="K364" s="16">
        <f t="shared" si="536"/>
        <v>27.597080880011276</v>
      </c>
      <c r="L364" s="17">
        <f t="shared" si="590"/>
        <v>1.3855381923952919E-2</v>
      </c>
      <c r="M364" s="18">
        <f t="shared" si="591"/>
        <v>0.42999406065128182</v>
      </c>
      <c r="N364" s="19">
        <f t="shared" si="592"/>
        <v>1017.1888826959652</v>
      </c>
      <c r="O364" s="15">
        <f t="shared" si="593"/>
        <v>5.5343777653919302E-6</v>
      </c>
      <c r="P364" s="16">
        <f t="shared" si="594"/>
        <v>27.586672151003597</v>
      </c>
      <c r="Q364" s="17">
        <f t="shared" si="533"/>
        <v>1.3857004649306311E-2</v>
      </c>
      <c r="R364" s="18">
        <f t="shared" si="595"/>
        <v>0.43015630173740238</v>
      </c>
      <c r="S364" s="19">
        <f t="shared" si="596"/>
        <v>1015.6878135082881</v>
      </c>
      <c r="T364" s="15">
        <f t="shared" si="597"/>
        <v>5.5313756270165772E-6</v>
      </c>
      <c r="U364" s="16">
        <f t="shared" si="598"/>
        <v>27.569409855345313</v>
      </c>
      <c r="V364" s="17">
        <f t="shared" si="599"/>
        <v>1.3843338081372331E-2</v>
      </c>
      <c r="W364" s="18">
        <f t="shared" si="600"/>
        <v>0.430425639575928</v>
      </c>
      <c r="X364" s="19">
        <f t="shared" si="601"/>
        <v>1013.5885563325567</v>
      </c>
      <c r="Y364" s="15">
        <f t="shared" si="602"/>
        <v>5.5271771126651142E-6</v>
      </c>
      <c r="Z364" s="16">
        <f t="shared" si="603"/>
        <v>27.545268397824401</v>
      </c>
      <c r="AA364" s="17">
        <f t="shared" si="604"/>
        <v>1.3832830486602792E-2</v>
      </c>
      <c r="AB364" s="18">
        <f t="shared" si="605"/>
        <v>0.43080287686197144</v>
      </c>
      <c r="AC364" s="19">
        <f t="shared" si="606"/>
        <v>1010.8897943786944</v>
      </c>
      <c r="AD364" s="15">
        <f t="shared" si="537"/>
        <v>5.5217795887573892E-6</v>
      </c>
      <c r="AE364" s="16">
        <f t="shared" si="538"/>
        <v>27.514232635354986</v>
      </c>
      <c r="AF364" s="17">
        <f t="shared" si="539"/>
        <v>1.3819322138355392E-2</v>
      </c>
      <c r="AG364" s="18">
        <f t="shared" si="607"/>
        <v>0.431288817935983</v>
      </c>
      <c r="AH364" s="19">
        <f t="shared" si="608"/>
        <v>1007.5913856415484</v>
      </c>
      <c r="AI364" s="15">
        <f t="shared" si="540"/>
        <v>5.5151827712830975E-6</v>
      </c>
      <c r="AJ364" s="16">
        <f t="shared" si="541"/>
        <v>27.476300934877806</v>
      </c>
      <c r="AK364" s="17">
        <f t="shared" si="542"/>
        <v>1.380281232583937E-2</v>
      </c>
      <c r="AL364" s="18">
        <f t="shared" si="609"/>
        <v>0.43188422261945475</v>
      </c>
      <c r="AM364" s="19">
        <f t="shared" si="610"/>
        <v>1003.6933172603462</v>
      </c>
      <c r="AN364" s="15">
        <f t="shared" si="543"/>
        <v>5.5073866345206927E-6</v>
      </c>
      <c r="AO364" s="16">
        <f t="shared" si="544"/>
        <v>27.431473148493978</v>
      </c>
      <c r="AP364" s="17">
        <f t="shared" si="545"/>
        <v>1.3783300984681586E-2</v>
      </c>
      <c r="AQ364" s="18">
        <f t="shared" si="611"/>
        <v>0.43258999636953105</v>
      </c>
      <c r="AR364" s="19">
        <f t="shared" si="612"/>
        <v>999.19559335366841</v>
      </c>
      <c r="AS364" s="15">
        <f t="shared" si="546"/>
        <v>5.4983911867073375E-6</v>
      </c>
      <c r="AT364" s="16">
        <f t="shared" si="547"/>
        <v>27.379749323567186</v>
      </c>
      <c r="AU364" s="17">
        <f t="shared" si="548"/>
        <v>1.3760788135497127E-2</v>
      </c>
      <c r="AV364" s="18">
        <f t="shared" si="613"/>
        <v>0.43340721383097947</v>
      </c>
      <c r="AW364" s="19">
        <f t="shared" si="614"/>
        <v>994.09821393475363</v>
      </c>
      <c r="AX364" s="15">
        <f t="shared" si="549"/>
        <v>5.4881964278695082E-6</v>
      </c>
      <c r="AY364" s="16">
        <f t="shared" si="550"/>
        <v>27.321129460249665</v>
      </c>
      <c r="AZ364" s="17">
        <f t="shared" si="551"/>
        <v>1.3735273778352257E-2</v>
      </c>
      <c r="BA364" s="18">
        <f t="shared" si="615"/>
        <v>0.43433712676421171</v>
      </c>
      <c r="BB364" s="19">
        <f t="shared" si="616"/>
        <v>988.40115443935372</v>
      </c>
      <c r="BC364" s="15">
        <f t="shared" si="552"/>
        <v>5.4768023088787079E-6</v>
      </c>
      <c r="BD364" s="16">
        <f t="shared" si="553"/>
        <v>27.255613276052568</v>
      </c>
      <c r="BE364" s="17">
        <f t="shared" si="554"/>
        <v>1.3706757790293404E-2</v>
      </c>
      <c r="BF364" s="18">
        <f t="shared" si="617"/>
        <v>0.43538117266083165</v>
      </c>
      <c r="BG364" s="19">
        <f t="shared" si="618"/>
        <v>982.10419798866815</v>
      </c>
      <c r="BH364" s="15">
        <f t="shared" si="555"/>
        <v>5.4642083959773365E-6</v>
      </c>
      <c r="BI364" s="16">
        <f t="shared" si="556"/>
        <v>27.183198276869682</v>
      </c>
      <c r="BJ364" s="17">
        <f t="shared" si="557"/>
        <v>1.3675239085758222E-2</v>
      </c>
      <c r="BK364" s="18">
        <f t="shared" si="619"/>
        <v>0.43654101143113949</v>
      </c>
      <c r="BL364" s="19">
        <f t="shared" si="620"/>
        <v>975.20567675181599</v>
      </c>
      <c r="BM364" s="15">
        <f t="shared" si="558"/>
        <v>5.4504113535036326E-6</v>
      </c>
      <c r="BN364" s="16">
        <f t="shared" si="559"/>
        <v>27.103865282645884</v>
      </c>
      <c r="BO364" s="17">
        <f t="shared" si="560"/>
        <v>1.364070931660755E-2</v>
      </c>
      <c r="BP364" s="18">
        <f t="shared" si="621"/>
        <v>0.4378187666581953</v>
      </c>
      <c r="BQ364" s="19">
        <f t="shared" si="622"/>
        <v>967.69414715673452</v>
      </c>
      <c r="BR364" s="15">
        <f t="shared" si="561"/>
        <v>5.4353882943134697E-6</v>
      </c>
      <c r="BS364" s="16">
        <f t="shared" si="562"/>
        <v>27.017482692302444</v>
      </c>
      <c r="BT364" s="17">
        <f t="shared" si="563"/>
        <v>1.3603111203333497E-2</v>
      </c>
      <c r="BU364" s="18">
        <f t="shared" si="623"/>
        <v>0.43921859800427698</v>
      </c>
      <c r="BV364" s="19">
        <f t="shared" si="624"/>
        <v>959.50039694045199</v>
      </c>
      <c r="BW364" s="15">
        <f t="shared" si="564"/>
        <v>5.419000793880904E-6</v>
      </c>
      <c r="BX364" s="16">
        <f t="shared" si="565"/>
        <v>26.923254564815196</v>
      </c>
      <c r="BY364" s="17">
        <f t="shared" si="566"/>
        <v>1.3562098311768403E-2</v>
      </c>
      <c r="BZ364" s="18">
        <f t="shared" si="625"/>
        <v>0.44075580985761675</v>
      </c>
      <c r="CA364" s="19">
        <f t="shared" si="626"/>
        <v>950.26171051597044</v>
      </c>
      <c r="CB364" s="15">
        <f t="shared" si="567"/>
        <v>5.4005234210319411E-6</v>
      </c>
      <c r="CC364" s="16">
        <f t="shared" si="568"/>
        <v>26.817009670933658</v>
      </c>
      <c r="CD364" s="17">
        <f t="shared" si="569"/>
        <v>1.3515855109995154E-2</v>
      </c>
      <c r="CE364" s="18">
        <f t="shared" si="627"/>
        <v>0.44250201701570829</v>
      </c>
      <c r="CF364" s="19">
        <f t="shared" si="628"/>
        <v>938.36862185014002</v>
      </c>
      <c r="CG364" s="15">
        <f t="shared" si="570"/>
        <v>5.3767372437002805E-6</v>
      </c>
      <c r="CH364" s="16">
        <f t="shared" si="571"/>
        <v>26.680239151276609</v>
      </c>
      <c r="CI364" s="17">
        <f t="shared" si="572"/>
        <v>1.3456325597506908E-2</v>
      </c>
      <c r="CJ364" s="18">
        <f t="shared" si="629"/>
        <v>0.44477040863219175</v>
      </c>
      <c r="CK364" s="19">
        <f t="shared" si="630"/>
        <v>917.96969416248317</v>
      </c>
      <c r="CL364" s="15">
        <f t="shared" si="573"/>
        <v>5.3359393883249669E-6</v>
      </c>
      <c r="CM364" s="16">
        <f t="shared" si="574"/>
        <v>26.445651482868556</v>
      </c>
      <c r="CN364" s="17">
        <f t="shared" si="575"/>
        <v>1.3354221068174842E-2</v>
      </c>
      <c r="CO364" s="18">
        <f t="shared" si="631"/>
        <v>0.4487157700541069</v>
      </c>
      <c r="CP364" s="19">
        <f t="shared" si="632"/>
        <v>872.49730355510746</v>
      </c>
      <c r="CQ364" s="15">
        <f t="shared" si="576"/>
        <v>5.2449946071102153E-6</v>
      </c>
      <c r="CR364" s="16">
        <f t="shared" si="577"/>
        <v>25.922718990883737</v>
      </c>
      <c r="CS364" s="17">
        <f t="shared" si="578"/>
        <v>1.3126614151200502E-2</v>
      </c>
      <c r="CT364" s="18">
        <f t="shared" si="633"/>
        <v>0.45776760045468334</v>
      </c>
      <c r="CU364" s="19">
        <f t="shared" si="634"/>
        <v>768.57673772495878</v>
      </c>
      <c r="CV364" s="15">
        <f t="shared" si="579"/>
        <v>5.0371534754499182E-6</v>
      </c>
      <c r="CW364" s="16">
        <f t="shared" si="580"/>
        <v>24.727632483837027</v>
      </c>
      <c r="CX364" s="17">
        <f t="shared" si="581"/>
        <v>1.2606451492433396E-2</v>
      </c>
      <c r="CY364" s="18">
        <f t="shared" si="635"/>
        <v>0.47989150912342182</v>
      </c>
      <c r="CZ364" s="20">
        <f t="shared" si="585"/>
        <v>568.00328951356062</v>
      </c>
      <c r="DA364" s="15">
        <f t="shared" si="582"/>
        <v>6.1648973022780688E-6</v>
      </c>
      <c r="DB364" s="16">
        <f t="shared" si="583"/>
        <v>37.022904604106742</v>
      </c>
      <c r="DC364" s="17">
        <f t="shared" si="584"/>
        <v>1.5428848689201446E-2</v>
      </c>
      <c r="DD364" s="18">
        <f t="shared" si="636"/>
        <v>0.32051998611696192</v>
      </c>
    </row>
    <row r="365" spans="2:108" x14ac:dyDescent="0.25">
      <c r="B365">
        <v>98</v>
      </c>
      <c r="C365">
        <f t="shared" si="637"/>
        <v>9.5806237301834643E-2</v>
      </c>
      <c r="D365" s="19">
        <f t="shared" si="534"/>
        <v>1018.4016335437974</v>
      </c>
      <c r="E365" s="15">
        <f t="shared" si="586"/>
        <v>5.5368032670875952E-6</v>
      </c>
      <c r="F365" s="16">
        <f t="shared" si="535"/>
        <v>27.600618785753667</v>
      </c>
      <c r="G365" s="17">
        <f t="shared" si="532"/>
        <v>1.3856921801147231E-2</v>
      </c>
      <c r="H365" s="18">
        <f t="shared" si="587"/>
        <v>0.42993894310235364</v>
      </c>
      <c r="I365" s="19">
        <f t="shared" si="588"/>
        <v>1018.0774227512738</v>
      </c>
      <c r="J365" s="15">
        <f t="shared" si="589"/>
        <v>5.5361548455025489E-6</v>
      </c>
      <c r="K365" s="16">
        <f t="shared" si="536"/>
        <v>27.596890361639648</v>
      </c>
      <c r="L365" s="17">
        <f t="shared" si="590"/>
        <v>1.3855299000631349E-2</v>
      </c>
      <c r="M365" s="18">
        <f t="shared" si="591"/>
        <v>0.42999702916574745</v>
      </c>
      <c r="N365" s="19">
        <f t="shared" si="592"/>
        <v>1017.1722908876812</v>
      </c>
      <c r="O365" s="15">
        <f t="shared" si="593"/>
        <v>5.5343445817753633E-6</v>
      </c>
      <c r="P365" s="16">
        <f t="shared" si="594"/>
        <v>27.586481345208334</v>
      </c>
      <c r="Q365" s="17">
        <f t="shared" si="533"/>
        <v>1.3856921801147231E-2</v>
      </c>
      <c r="R365" s="18">
        <f t="shared" si="595"/>
        <v>0.4301592769742299</v>
      </c>
      <c r="S365" s="19">
        <f t="shared" si="596"/>
        <v>1015.6712095573025</v>
      </c>
      <c r="T365" s="15">
        <f t="shared" si="597"/>
        <v>5.5313424191146058E-6</v>
      </c>
      <c r="U365" s="16">
        <f t="shared" si="598"/>
        <v>27.569218909908976</v>
      </c>
      <c r="V365" s="17">
        <f t="shared" si="599"/>
        <v>1.3843254972170397E-2</v>
      </c>
      <c r="W365" s="18">
        <f t="shared" si="600"/>
        <v>0.43042862071992877</v>
      </c>
      <c r="X365" s="19">
        <f t="shared" si="601"/>
        <v>1013.5719547097844</v>
      </c>
      <c r="Y365" s="15">
        <f t="shared" si="602"/>
        <v>5.5271439094195701E-6</v>
      </c>
      <c r="Z365" s="16">
        <f t="shared" si="603"/>
        <v>27.545077479162522</v>
      </c>
      <c r="AA365" s="17">
        <f t="shared" si="604"/>
        <v>1.3832747389054469E-2</v>
      </c>
      <c r="AB365" s="18">
        <f t="shared" si="605"/>
        <v>0.43080586281504585</v>
      </c>
      <c r="AC365" s="19">
        <f t="shared" si="606"/>
        <v>1010.8732038814968</v>
      </c>
      <c r="AD365" s="15">
        <f t="shared" si="537"/>
        <v>5.521746407762994E-6</v>
      </c>
      <c r="AE365" s="16">
        <f t="shared" si="538"/>
        <v>27.514041844637212</v>
      </c>
      <c r="AF365" s="17">
        <f t="shared" si="539"/>
        <v>1.3819239096494873E-2</v>
      </c>
      <c r="AG365" s="18">
        <f t="shared" si="607"/>
        <v>0.43129180862356015</v>
      </c>
      <c r="AH365" s="19">
        <f t="shared" si="608"/>
        <v>1007.5748113150547</v>
      </c>
      <c r="AI365" s="15">
        <f t="shared" si="540"/>
        <v>5.5151496226301101E-6</v>
      </c>
      <c r="AJ365" s="16">
        <f t="shared" si="541"/>
        <v>27.476110330123127</v>
      </c>
      <c r="AK365" s="17">
        <f t="shared" si="542"/>
        <v>1.3802729364919487E-2</v>
      </c>
      <c r="AL365" s="18">
        <f t="shared" si="609"/>
        <v>0.43188721864710611</v>
      </c>
      <c r="AM365" s="19">
        <f t="shared" si="610"/>
        <v>1003.6767628882193</v>
      </c>
      <c r="AN365" s="15">
        <f t="shared" si="543"/>
        <v>5.5073535257764385E-6</v>
      </c>
      <c r="AO365" s="16">
        <f t="shared" si="544"/>
        <v>27.431282773214519</v>
      </c>
      <c r="AP365" s="17">
        <f t="shared" si="545"/>
        <v>1.378321812364103E-2</v>
      </c>
      <c r="AQ365" s="18">
        <f t="shared" si="611"/>
        <v>0.43259299857843725</v>
      </c>
      <c r="AR365" s="19">
        <f t="shared" si="612"/>
        <v>999.17906245831568</v>
      </c>
      <c r="AS365" s="15">
        <f t="shared" si="546"/>
        <v>5.4983581249166318E-6</v>
      </c>
      <c r="AT365" s="16">
        <f t="shared" si="547"/>
        <v>27.379559218270629</v>
      </c>
      <c r="AU365" s="17">
        <f t="shared" si="548"/>
        <v>1.3760705391966912E-2</v>
      </c>
      <c r="AV365" s="18">
        <f t="shared" si="613"/>
        <v>0.43341022311999899</v>
      </c>
      <c r="AW365" s="19">
        <f t="shared" si="614"/>
        <v>994.08170974201551</v>
      </c>
      <c r="AX365" s="15">
        <f t="shared" si="549"/>
        <v>5.4881634194840317E-6</v>
      </c>
      <c r="AY365" s="16">
        <f t="shared" si="550"/>
        <v>27.320939662033176</v>
      </c>
      <c r="AZ365" s="17">
        <f t="shared" si="551"/>
        <v>1.3735191168478966E-2</v>
      </c>
      <c r="BA365" s="18">
        <f t="shared" si="615"/>
        <v>0.43434014409864585</v>
      </c>
      <c r="BB365" s="19">
        <f t="shared" si="616"/>
        <v>988.38467773489663</v>
      </c>
      <c r="BC365" s="15">
        <f t="shared" si="552"/>
        <v>5.476769355469793E-6</v>
      </c>
      <c r="BD365" s="16">
        <f t="shared" si="553"/>
        <v>27.255423793951309</v>
      </c>
      <c r="BE365" s="17">
        <f t="shared" si="554"/>
        <v>1.3706675318009599E-2</v>
      </c>
      <c r="BF365" s="18">
        <f t="shared" si="617"/>
        <v>0.4353841994690027</v>
      </c>
      <c r="BG365" s="19">
        <f t="shared" si="618"/>
        <v>982.08773134781006</v>
      </c>
      <c r="BH365" s="15">
        <f t="shared" si="555"/>
        <v>5.464175462695621E-6</v>
      </c>
      <c r="BI365" s="16">
        <f t="shared" si="556"/>
        <v>27.183008910499815</v>
      </c>
      <c r="BJ365" s="17">
        <f t="shared" si="557"/>
        <v>1.367515666384663E-2</v>
      </c>
      <c r="BK365" s="18">
        <f t="shared" si="619"/>
        <v>0.4365440525288673</v>
      </c>
      <c r="BL365" s="19">
        <f t="shared" si="620"/>
        <v>975.18908294553671</v>
      </c>
      <c r="BM365" s="15">
        <f t="shared" si="558"/>
        <v>5.4503781658910743E-6</v>
      </c>
      <c r="BN365" s="16">
        <f t="shared" si="559"/>
        <v>27.103674453873673</v>
      </c>
      <c r="BO365" s="17">
        <f t="shared" si="560"/>
        <v>1.3640626258183797E-2</v>
      </c>
      <c r="BP365" s="18">
        <f t="shared" si="621"/>
        <v>0.43782184920767891</v>
      </c>
      <c r="BQ365" s="19">
        <f t="shared" si="622"/>
        <v>967.67660163051562</v>
      </c>
      <c r="BR365" s="15">
        <f t="shared" si="561"/>
        <v>5.4353532032610313E-6</v>
      </c>
      <c r="BS365" s="16">
        <f t="shared" si="562"/>
        <v>27.017280918750927</v>
      </c>
      <c r="BT365" s="17">
        <f t="shared" si="563"/>
        <v>1.3603023381183044E-2</v>
      </c>
      <c r="BU365" s="18">
        <f t="shared" si="623"/>
        <v>0.43922187822691222</v>
      </c>
      <c r="BV365" s="19">
        <f t="shared" si="624"/>
        <v>959.47771358295086</v>
      </c>
      <c r="BW365" s="15">
        <f t="shared" si="564"/>
        <v>5.4189554271659019E-6</v>
      </c>
      <c r="BX365" s="16">
        <f t="shared" si="565"/>
        <v>26.922993706203933</v>
      </c>
      <c r="BY365" s="17">
        <f t="shared" si="566"/>
        <v>1.3561984772783571E-2</v>
      </c>
      <c r="BZ365" s="18">
        <f t="shared" si="625"/>
        <v>0.44076008036890241</v>
      </c>
      <c r="CA365" s="19">
        <f t="shared" si="626"/>
        <v>950.21615859279257</v>
      </c>
      <c r="CB365" s="15">
        <f t="shared" si="567"/>
        <v>5.400432317185586E-6</v>
      </c>
      <c r="CC365" s="16">
        <f t="shared" si="568"/>
        <v>26.816485823817114</v>
      </c>
      <c r="CD365" s="17">
        <f t="shared" si="569"/>
        <v>1.3515627104986879E-2</v>
      </c>
      <c r="CE365" s="18">
        <f t="shared" si="627"/>
        <v>0.4425106610791848</v>
      </c>
      <c r="CF365" s="19">
        <f t="shared" si="628"/>
        <v>938.2400211375965</v>
      </c>
      <c r="CG365" s="15">
        <f t="shared" si="570"/>
        <v>5.3764800422751929E-6</v>
      </c>
      <c r="CH365" s="16">
        <f t="shared" si="571"/>
        <v>26.678760243082358</v>
      </c>
      <c r="CI365" s="17">
        <f t="shared" si="572"/>
        <v>1.3455681901160362E-2</v>
      </c>
      <c r="CJ365" s="18">
        <f t="shared" si="629"/>
        <v>0.44479506399832919</v>
      </c>
      <c r="CK365" s="19">
        <f t="shared" si="630"/>
        <v>917.60624469464585</v>
      </c>
      <c r="CL365" s="15">
        <f t="shared" si="573"/>
        <v>5.3352124893892922E-6</v>
      </c>
      <c r="CM365" s="16">
        <f t="shared" si="574"/>
        <v>26.441471813988429</v>
      </c>
      <c r="CN365" s="17">
        <f t="shared" si="575"/>
        <v>1.3352401862900048E-2</v>
      </c>
      <c r="CO365" s="18">
        <f t="shared" si="631"/>
        <v>0.44878669966624468</v>
      </c>
      <c r="CP365" s="19">
        <f t="shared" si="632"/>
        <v>871.66147017610649</v>
      </c>
      <c r="CQ365" s="15">
        <f t="shared" si="576"/>
        <v>5.2433229403522133E-6</v>
      </c>
      <c r="CR365" s="16">
        <f t="shared" si="577"/>
        <v>25.913106907025224</v>
      </c>
      <c r="CS365" s="17">
        <f t="shared" si="578"/>
        <v>1.3122430481594448E-2</v>
      </c>
      <c r="CT365" s="18">
        <f t="shared" si="633"/>
        <v>0.45793740257756532</v>
      </c>
      <c r="CU365" s="19">
        <f t="shared" si="634"/>
        <v>767.20326695476717</v>
      </c>
      <c r="CV365" s="15">
        <f t="shared" si="579"/>
        <v>5.034406533909535E-6</v>
      </c>
      <c r="CW365" s="16">
        <f t="shared" si="580"/>
        <v>24.711837569979821</v>
      </c>
      <c r="CX365" s="17">
        <f t="shared" si="581"/>
        <v>1.2599576739569469E-2</v>
      </c>
      <c r="CY365" s="18">
        <f t="shared" si="635"/>
        <v>0.48019823843992626</v>
      </c>
      <c r="CZ365" s="20">
        <f t="shared" si="585"/>
        <v>566.6511774189371</v>
      </c>
      <c r="DA365" s="15">
        <f t="shared" si="582"/>
        <v>6.1865066029841447E-6</v>
      </c>
      <c r="DB365" s="16">
        <f t="shared" si="583"/>
        <v>37.062115854850816</v>
      </c>
      <c r="DC365" s="17">
        <f t="shared" si="584"/>
        <v>1.548293014660874E-2</v>
      </c>
      <c r="DD365" s="18">
        <f t="shared" si="636"/>
        <v>0.32018088001753303</v>
      </c>
    </row>
    <row r="366" spans="2:108" x14ac:dyDescent="0.25">
      <c r="B366">
        <v>99</v>
      </c>
      <c r="C366">
        <f t="shared" si="637"/>
        <v>9.6783851968179901E-2</v>
      </c>
      <c r="D366" s="19">
        <f t="shared" si="534"/>
        <v>1018.3850809785354</v>
      </c>
      <c r="E366" s="15">
        <f t="shared" si="586"/>
        <v>5.5367701619570716E-6</v>
      </c>
      <c r="F366" s="16">
        <f t="shared" si="535"/>
        <v>27.600428431253157</v>
      </c>
      <c r="G366" s="17">
        <f t="shared" si="532"/>
        <v>1.3856838949150735E-2</v>
      </c>
      <c r="H366" s="18">
        <f t="shared" si="587"/>
        <v>0.42994190830316448</v>
      </c>
      <c r="I366" s="19">
        <f t="shared" si="588"/>
        <v>1018.0608556199503</v>
      </c>
      <c r="J366" s="15">
        <f t="shared" si="589"/>
        <v>5.5361217112399008E-6</v>
      </c>
      <c r="K366" s="16">
        <f t="shared" si="536"/>
        <v>27.59669983962943</v>
      </c>
      <c r="L366" s="17">
        <f t="shared" si="590"/>
        <v>1.3855216075726073E-2</v>
      </c>
      <c r="M366" s="18">
        <f t="shared" si="591"/>
        <v>0.42999999777789533</v>
      </c>
      <c r="N366" s="19">
        <f t="shared" si="592"/>
        <v>1017.155699228117</v>
      </c>
      <c r="O366" s="15">
        <f t="shared" si="593"/>
        <v>5.5343113984562345E-6</v>
      </c>
      <c r="P366" s="16">
        <f t="shared" si="594"/>
        <v>27.586290541123347</v>
      </c>
      <c r="Q366" s="17">
        <f t="shared" si="533"/>
        <v>1.3856838949150735E-2</v>
      </c>
      <c r="R366" s="18">
        <f t="shared" si="595"/>
        <v>0.4301622522255461</v>
      </c>
      <c r="S366" s="19">
        <f t="shared" si="596"/>
        <v>1015.6546058834485</v>
      </c>
      <c r="T366" s="15">
        <f t="shared" si="597"/>
        <v>5.5313092117668981E-6</v>
      </c>
      <c r="U366" s="16">
        <f t="shared" si="598"/>
        <v>27.569027967659657</v>
      </c>
      <c r="V366" s="17">
        <f t="shared" si="599"/>
        <v>1.3843171864355613E-2</v>
      </c>
      <c r="W366" s="18">
        <f t="shared" si="600"/>
        <v>0.43043160185546636</v>
      </c>
      <c r="X366" s="19">
        <f t="shared" si="601"/>
        <v>1013.5553533317436</v>
      </c>
      <c r="Y366" s="15">
        <f t="shared" si="602"/>
        <v>5.5271107066634882E-6</v>
      </c>
      <c r="Z366" s="16">
        <f t="shared" si="603"/>
        <v>27.544886563315053</v>
      </c>
      <c r="AA366" s="17">
        <f t="shared" si="604"/>
        <v>1.3832664292731119E-2</v>
      </c>
      <c r="AB366" s="18">
        <f t="shared" si="605"/>
        <v>0.43080884876549458</v>
      </c>
      <c r="AC366" s="19">
        <f t="shared" si="606"/>
        <v>1010.8566135915075</v>
      </c>
      <c r="AD366" s="15">
        <f t="shared" si="537"/>
        <v>5.5217132271830157E-6</v>
      </c>
      <c r="AE366" s="16">
        <f t="shared" si="538"/>
        <v>27.513851056302336</v>
      </c>
      <c r="AF366" s="17">
        <f t="shared" si="539"/>
        <v>1.3819156055671513E-2</v>
      </c>
      <c r="AG366" s="18">
        <f t="shared" si="607"/>
        <v>0.43129479931526105</v>
      </c>
      <c r="AH366" s="19">
        <f t="shared" si="608"/>
        <v>1007.5582371820459</v>
      </c>
      <c r="AI366" s="15">
        <f t="shared" si="540"/>
        <v>5.5151164743640922E-6</v>
      </c>
      <c r="AJ366" s="16">
        <f t="shared" si="541"/>
        <v>27.475919727593528</v>
      </c>
      <c r="AK366" s="17">
        <f t="shared" si="542"/>
        <v>1.3802646404968068E-2</v>
      </c>
      <c r="AL366" s="18">
        <f t="shared" si="609"/>
        <v>0.43189021468134964</v>
      </c>
      <c r="AM366" s="19">
        <f t="shared" si="610"/>
        <v>1003.6602087070281</v>
      </c>
      <c r="AN366" s="15">
        <f t="shared" si="543"/>
        <v>5.5073204174140564E-6</v>
      </c>
      <c r="AO366" s="16">
        <f t="shared" si="544"/>
        <v>27.431092400130822</v>
      </c>
      <c r="AP366" s="17">
        <f t="shared" si="545"/>
        <v>1.3783135263556182E-2</v>
      </c>
      <c r="AQ366" s="18">
        <f t="shared" si="611"/>
        <v>0.43259600079438709</v>
      </c>
      <c r="AR366" s="19">
        <f t="shared" si="612"/>
        <v>999.16253175003021</v>
      </c>
      <c r="AS366" s="15">
        <f t="shared" si="546"/>
        <v>5.4983250635000606E-6</v>
      </c>
      <c r="AT366" s="16">
        <f t="shared" si="547"/>
        <v>27.379369115125346</v>
      </c>
      <c r="AU366" s="17">
        <f t="shared" si="548"/>
        <v>1.3760622649373043E-2</v>
      </c>
      <c r="AV366" s="18">
        <f t="shared" si="613"/>
        <v>0.43341323241675328</v>
      </c>
      <c r="AW366" s="19">
        <f t="shared" si="614"/>
        <v>994.06520570075554</v>
      </c>
      <c r="AX366" s="15">
        <f t="shared" si="549"/>
        <v>5.4881304114015117E-6</v>
      </c>
      <c r="AY366" s="16">
        <f t="shared" si="550"/>
        <v>27.320749865558689</v>
      </c>
      <c r="AZ366" s="17">
        <f t="shared" si="551"/>
        <v>1.3735108559363883E-2</v>
      </c>
      <c r="BA366" s="18">
        <f t="shared" si="615"/>
        <v>0.43434316144730883</v>
      </c>
      <c r="BB366" s="19">
        <f t="shared" si="616"/>
        <v>988.36820091599634</v>
      </c>
      <c r="BC366" s="15">
        <f t="shared" si="552"/>
        <v>5.4767364018319928E-6</v>
      </c>
      <c r="BD366" s="16">
        <f t="shared" si="553"/>
        <v>27.255234310533957</v>
      </c>
      <c r="BE366" s="17">
        <f t="shared" si="554"/>
        <v>1.3706592845152963E-2</v>
      </c>
      <c r="BF366" s="18">
        <f t="shared" si="617"/>
        <v>0.4353872263402831</v>
      </c>
      <c r="BG366" s="19">
        <f t="shared" si="618"/>
        <v>982.07126285213167</v>
      </c>
      <c r="BH366" s="15">
        <f t="shared" si="555"/>
        <v>5.4641425257042638E-6</v>
      </c>
      <c r="BI366" s="16">
        <f t="shared" si="556"/>
        <v>27.182819522799512</v>
      </c>
      <c r="BJ366" s="17">
        <f t="shared" si="557"/>
        <v>1.3675074232650939E-2</v>
      </c>
      <c r="BK366" s="18">
        <f t="shared" si="619"/>
        <v>0.4365470940115258</v>
      </c>
      <c r="BL366" s="19">
        <f t="shared" si="620"/>
        <v>975.17247734869431</v>
      </c>
      <c r="BM366" s="15">
        <f t="shared" si="558"/>
        <v>5.4503449546973889E-6</v>
      </c>
      <c r="BN366" s="16">
        <f t="shared" si="559"/>
        <v>27.103483489509983</v>
      </c>
      <c r="BO366" s="17">
        <f t="shared" si="560"/>
        <v>1.3640543140743712E-2</v>
      </c>
      <c r="BP366" s="18">
        <f t="shared" si="621"/>
        <v>0.43782493399089051</v>
      </c>
      <c r="BQ366" s="19">
        <f t="shared" si="622"/>
        <v>967.65899591557627</v>
      </c>
      <c r="BR366" s="15">
        <f t="shared" si="561"/>
        <v>5.4353179918311528E-6</v>
      </c>
      <c r="BS366" s="16">
        <f t="shared" si="562"/>
        <v>27.017078453029129</v>
      </c>
      <c r="BT366" s="17">
        <f t="shared" si="563"/>
        <v>1.3602935257764747E-2</v>
      </c>
      <c r="BU366" s="18">
        <f t="shared" si="623"/>
        <v>0.43922516975137366</v>
      </c>
      <c r="BV366" s="19">
        <f t="shared" si="624"/>
        <v>959.4547755763225</v>
      </c>
      <c r="BW366" s="15">
        <f t="shared" si="564"/>
        <v>5.418909551152645E-6</v>
      </c>
      <c r="BX366" s="16">
        <f t="shared" si="565"/>
        <v>26.922729919127708</v>
      </c>
      <c r="BY366" s="17">
        <f t="shared" si="566"/>
        <v>1.3561869959181284E-2</v>
      </c>
      <c r="BZ366" s="18">
        <f t="shared" si="625"/>
        <v>0.44076439890618546</v>
      </c>
      <c r="CA366" s="19">
        <f t="shared" si="626"/>
        <v>950.16974301763571</v>
      </c>
      <c r="CB366" s="15">
        <f t="shared" si="567"/>
        <v>5.4003394860352714E-6</v>
      </c>
      <c r="CC366" s="16">
        <f t="shared" si="568"/>
        <v>26.815952044702811</v>
      </c>
      <c r="CD366" s="17">
        <f t="shared" si="569"/>
        <v>1.3515394777066134E-2</v>
      </c>
      <c r="CE366" s="18">
        <f t="shared" si="627"/>
        <v>0.44251946937912306</v>
      </c>
      <c r="CF366" s="19">
        <f t="shared" si="628"/>
        <v>938.10923673321531</v>
      </c>
      <c r="CG366" s="15">
        <f t="shared" si="570"/>
        <v>5.3762184734664304E-6</v>
      </c>
      <c r="CH366" s="16">
        <f t="shared" si="571"/>
        <v>26.677256222431975</v>
      </c>
      <c r="CI366" s="17">
        <f t="shared" si="572"/>
        <v>1.3455027274590877E-2</v>
      </c>
      <c r="CJ366" s="18">
        <f t="shared" si="629"/>
        <v>0.44482014082616578</v>
      </c>
      <c r="CK366" s="19">
        <f t="shared" si="630"/>
        <v>917.23933698933615</v>
      </c>
      <c r="CL366" s="15">
        <f t="shared" si="573"/>
        <v>5.3344786739786724E-6</v>
      </c>
      <c r="CM366" s="16">
        <f t="shared" si="574"/>
        <v>26.437252375377366</v>
      </c>
      <c r="CN366" s="17">
        <f t="shared" si="575"/>
        <v>1.3350565347808048E-2</v>
      </c>
      <c r="CO366" s="18">
        <f t="shared" si="631"/>
        <v>0.44885832692545513</v>
      </c>
      <c r="CP366" s="19">
        <f t="shared" si="632"/>
        <v>870.82450602296262</v>
      </c>
      <c r="CQ366" s="15">
        <f t="shared" si="576"/>
        <v>5.2416490120459255E-6</v>
      </c>
      <c r="CR366" s="16">
        <f t="shared" si="577"/>
        <v>25.903481819264069</v>
      </c>
      <c r="CS366" s="17">
        <f t="shared" si="578"/>
        <v>1.3118241152026098E-2</v>
      </c>
      <c r="CT366" s="18">
        <f t="shared" si="633"/>
        <v>0.45810756069451958</v>
      </c>
      <c r="CU366" s="19">
        <f t="shared" si="634"/>
        <v>765.83738948153621</v>
      </c>
      <c r="CV366" s="15">
        <f t="shared" si="579"/>
        <v>5.0316747789630733E-6</v>
      </c>
      <c r="CW366" s="16">
        <f t="shared" si="580"/>
        <v>24.696129979037664</v>
      </c>
      <c r="CX366" s="17">
        <f t="shared" si="581"/>
        <v>1.2592739994096132E-2</v>
      </c>
      <c r="CY366" s="18">
        <f t="shared" si="635"/>
        <v>0.48050366109144943</v>
      </c>
      <c r="CZ366" s="20">
        <f t="shared" si="585"/>
        <v>565.31114240254476</v>
      </c>
      <c r="DA366" s="15">
        <f t="shared" si="582"/>
        <v>6.2078875382865053E-6</v>
      </c>
      <c r="DB366" s="16">
        <f t="shared" si="583"/>
        <v>37.1009768703262</v>
      </c>
      <c r="DC366" s="17">
        <f t="shared" si="584"/>
        <v>1.5536440075394063E-2</v>
      </c>
      <c r="DD366" s="18">
        <f t="shared" si="636"/>
        <v>0.31984551003046313</v>
      </c>
    </row>
    <row r="367" spans="2:108" x14ac:dyDescent="0.25">
      <c r="B367">
        <v>100</v>
      </c>
      <c r="C367">
        <f t="shared" si="637"/>
        <v>9.7761466634525146E-2</v>
      </c>
      <c r="D367" s="19">
        <f t="shared" si="534"/>
        <v>1018.3685276696038</v>
      </c>
      <c r="E367" s="15">
        <f t="shared" si="586"/>
        <v>5.536737055339208E-6</v>
      </c>
      <c r="F367" s="16">
        <f t="shared" si="535"/>
        <v>27.600238068200444</v>
      </c>
      <c r="G367" s="17">
        <f t="shared" si="532"/>
        <v>1.3856756093431883E-2</v>
      </c>
      <c r="H367" s="18">
        <f t="shared" si="587"/>
        <v>0.42994487367809897</v>
      </c>
      <c r="I367" s="19">
        <f t="shared" si="588"/>
        <v>1018.0442881787849</v>
      </c>
      <c r="J367" s="15">
        <f t="shared" si="589"/>
        <v>5.5360885763575702E-6</v>
      </c>
      <c r="K367" s="16">
        <f t="shared" si="536"/>
        <v>27.596509314056025</v>
      </c>
      <c r="L367" s="17">
        <f t="shared" si="590"/>
        <v>1.3855133149269923E-2</v>
      </c>
      <c r="M367" s="18">
        <f t="shared" si="591"/>
        <v>0.43000296648655367</v>
      </c>
      <c r="N367" s="19">
        <f t="shared" si="592"/>
        <v>1017.1391077146645</v>
      </c>
      <c r="O367" s="15">
        <f t="shared" si="593"/>
        <v>5.5342782154293296E-6</v>
      </c>
      <c r="P367" s="16">
        <f t="shared" si="594"/>
        <v>27.586099738718641</v>
      </c>
      <c r="Q367" s="17">
        <f t="shared" si="533"/>
        <v>1.3856756093431883E-2</v>
      </c>
      <c r="R367" s="18">
        <f t="shared" si="595"/>
        <v>0.43016522749181846</v>
      </c>
      <c r="S367" s="19">
        <f t="shared" si="596"/>
        <v>1015.6380024847219</v>
      </c>
      <c r="T367" s="15">
        <f t="shared" si="597"/>
        <v>5.531276004969445E-6</v>
      </c>
      <c r="U367" s="16">
        <f t="shared" si="598"/>
        <v>27.568837028574301</v>
      </c>
      <c r="V367" s="17">
        <f t="shared" si="599"/>
        <v>1.3843088757917951E-2</v>
      </c>
      <c r="W367" s="18">
        <f t="shared" si="600"/>
        <v>0.43043458298289955</v>
      </c>
      <c r="X367" s="19">
        <f t="shared" si="601"/>
        <v>1013.5387521982389</v>
      </c>
      <c r="Y367" s="15">
        <f t="shared" si="602"/>
        <v>5.527077504396478E-6</v>
      </c>
      <c r="Z367" s="16">
        <f t="shared" si="603"/>
        <v>27.544695650279746</v>
      </c>
      <c r="AA367" s="17">
        <f t="shared" si="604"/>
        <v>1.3832581197631763E-2</v>
      </c>
      <c r="AB367" s="18">
        <f t="shared" si="605"/>
        <v>0.43081183471335183</v>
      </c>
      <c r="AC367" s="19">
        <f t="shared" si="606"/>
        <v>1010.8400235089822</v>
      </c>
      <c r="AD367" s="15">
        <f t="shared" si="537"/>
        <v>5.5216800470179649E-6</v>
      </c>
      <c r="AE367" s="16">
        <f t="shared" si="538"/>
        <v>27.513660270353295</v>
      </c>
      <c r="AF367" s="17">
        <f t="shared" si="539"/>
        <v>1.3819073015886592E-2</v>
      </c>
      <c r="AG367" s="18">
        <f t="shared" si="607"/>
        <v>0.43129779001103885</v>
      </c>
      <c r="AH367" s="19">
        <f t="shared" si="608"/>
        <v>1007.5416632426553</v>
      </c>
      <c r="AI367" s="15">
        <f t="shared" si="540"/>
        <v>5.5150833264853107E-6</v>
      </c>
      <c r="AJ367" s="16">
        <f t="shared" si="541"/>
        <v>27.475729127290535</v>
      </c>
      <c r="AK367" s="17">
        <f t="shared" si="542"/>
        <v>1.3802563445985782E-2</v>
      </c>
      <c r="AL367" s="18">
        <f t="shared" si="609"/>
        <v>0.43189321072216069</v>
      </c>
      <c r="AM367" s="19">
        <f t="shared" si="610"/>
        <v>1003.643654716746</v>
      </c>
      <c r="AN367" s="15">
        <f t="shared" si="543"/>
        <v>5.5072873094334922E-6</v>
      </c>
      <c r="AO367" s="16">
        <f t="shared" si="544"/>
        <v>27.430902029242578</v>
      </c>
      <c r="AP367" s="17">
        <f t="shared" si="545"/>
        <v>1.3783052404426909E-2</v>
      </c>
      <c r="AQ367" s="18">
        <f t="shared" si="611"/>
        <v>0.43259900301738485</v>
      </c>
      <c r="AR367" s="19">
        <f t="shared" si="612"/>
        <v>999.1460012283386</v>
      </c>
      <c r="AS367" s="15">
        <f t="shared" si="546"/>
        <v>5.4982920024566778E-6</v>
      </c>
      <c r="AT367" s="16">
        <f t="shared" si="547"/>
        <v>27.379179014125896</v>
      </c>
      <c r="AU367" s="17">
        <f t="shared" si="548"/>
        <v>1.376053990771315E-2</v>
      </c>
      <c r="AV367" s="18">
        <f t="shared" si="613"/>
        <v>0.43341624172132792</v>
      </c>
      <c r="AW367" s="19">
        <f t="shared" si="614"/>
        <v>994.048701807572</v>
      </c>
      <c r="AX367" s="15">
        <f t="shared" si="549"/>
        <v>5.4880974036151441E-6</v>
      </c>
      <c r="AY367" s="16">
        <f t="shared" si="550"/>
        <v>27.320560070787078</v>
      </c>
      <c r="AZ367" s="17">
        <f t="shared" si="551"/>
        <v>1.3735025950989976E-2</v>
      </c>
      <c r="BA367" s="18">
        <f t="shared" si="615"/>
        <v>0.43434617881082238</v>
      </c>
      <c r="BB367" s="19">
        <f t="shared" si="616"/>
        <v>988.35172396102496</v>
      </c>
      <c r="BC367" s="15">
        <f t="shared" si="552"/>
        <v>5.4767034479220503E-6</v>
      </c>
      <c r="BD367" s="16">
        <f t="shared" si="553"/>
        <v>27.255044825551785</v>
      </c>
      <c r="BE367" s="17">
        <f t="shared" si="554"/>
        <v>1.370651037161524E-2</v>
      </c>
      <c r="BF367" s="18">
        <f t="shared" si="617"/>
        <v>0.43539025327864811</v>
      </c>
      <c r="BG367" s="19">
        <f t="shared" si="618"/>
        <v>982.05479238205282</v>
      </c>
      <c r="BH367" s="15">
        <f t="shared" si="555"/>
        <v>5.4641095847641058E-6</v>
      </c>
      <c r="BI367" s="16">
        <f t="shared" si="556"/>
        <v>27.182630112393607</v>
      </c>
      <c r="BJ367" s="17">
        <f t="shared" si="557"/>
        <v>1.3674991791572612E-2</v>
      </c>
      <c r="BK367" s="18">
        <f t="shared" si="619"/>
        <v>0.43655013590121539</v>
      </c>
      <c r="BL367" s="19">
        <f t="shared" si="620"/>
        <v>975.15585940223264</v>
      </c>
      <c r="BM367" s="15">
        <f t="shared" si="558"/>
        <v>5.450311718804465E-6</v>
      </c>
      <c r="BN367" s="16">
        <f t="shared" si="559"/>
        <v>27.103292383125677</v>
      </c>
      <c r="BO367" s="17">
        <f t="shared" si="560"/>
        <v>1.3640459961489E-2</v>
      </c>
      <c r="BP367" s="18">
        <f t="shared" si="621"/>
        <v>0.43782802111178015</v>
      </c>
      <c r="BQ367" s="19">
        <f t="shared" si="622"/>
        <v>967.64132789296355</v>
      </c>
      <c r="BR367" s="15">
        <f t="shared" si="561"/>
        <v>5.4352826557859277E-6</v>
      </c>
      <c r="BS367" s="16">
        <f t="shared" si="562"/>
        <v>27.016875270769081</v>
      </c>
      <c r="BT367" s="17">
        <f t="shared" si="563"/>
        <v>1.3602846822472427E-2</v>
      </c>
      <c r="BU367" s="18">
        <f t="shared" si="623"/>
        <v>0.4392284729743321</v>
      </c>
      <c r="BV367" s="19">
        <f t="shared" si="624"/>
        <v>959.43157689510736</v>
      </c>
      <c r="BW367" s="15">
        <f t="shared" si="564"/>
        <v>5.4188631537902152E-6</v>
      </c>
      <c r="BX367" s="16">
        <f t="shared" si="565"/>
        <v>26.922463134293736</v>
      </c>
      <c r="BY367" s="17">
        <f t="shared" si="566"/>
        <v>1.3561753840801787E-2</v>
      </c>
      <c r="BZ367" s="18">
        <f t="shared" si="625"/>
        <v>0.44076876660673336</v>
      </c>
      <c r="CA367" s="19">
        <f t="shared" si="626"/>
        <v>950.12245329472933</v>
      </c>
      <c r="CB367" s="15">
        <f t="shared" si="567"/>
        <v>5.4002449065894592E-6</v>
      </c>
      <c r="CC367" s="16">
        <f t="shared" si="568"/>
        <v>26.815408212889388</v>
      </c>
      <c r="CD367" s="17">
        <f t="shared" si="569"/>
        <v>1.351515807369753E-2</v>
      </c>
      <c r="CE367" s="18">
        <f t="shared" si="627"/>
        <v>0.44252844392702467</v>
      </c>
      <c r="CF367" s="19">
        <f t="shared" si="628"/>
        <v>937.97626827423665</v>
      </c>
      <c r="CG367" s="15">
        <f t="shared" si="570"/>
        <v>5.3759525365484738E-6</v>
      </c>
      <c r="CH367" s="16">
        <f t="shared" si="571"/>
        <v>26.675727085153721</v>
      </c>
      <c r="CI367" s="17">
        <f t="shared" si="572"/>
        <v>1.3454361715982703E-2</v>
      </c>
      <c r="CJ367" s="18">
        <f t="shared" si="629"/>
        <v>0.44484563932737942</v>
      </c>
      <c r="CK367" s="19">
        <f t="shared" si="630"/>
        <v>916.86902056510178</v>
      </c>
      <c r="CL367" s="15">
        <f t="shared" si="573"/>
        <v>5.3337380411302039E-6</v>
      </c>
      <c r="CM367" s="16">
        <f t="shared" si="574"/>
        <v>26.43299373649867</v>
      </c>
      <c r="CN367" s="17">
        <f t="shared" si="575"/>
        <v>1.3348711770758347E-2</v>
      </c>
      <c r="CO367" s="18">
        <f t="shared" si="631"/>
        <v>0.44893064281752265</v>
      </c>
      <c r="CP367" s="19">
        <f t="shared" si="632"/>
        <v>869.98650199398855</v>
      </c>
      <c r="CQ367" s="15">
        <f t="shared" si="576"/>
        <v>5.2399730039879769E-6</v>
      </c>
      <c r="CR367" s="16">
        <f t="shared" si="577"/>
        <v>25.893844772930869</v>
      </c>
      <c r="CS367" s="17">
        <f t="shared" si="578"/>
        <v>1.3114046617476687E-2</v>
      </c>
      <c r="CT367" s="18">
        <f t="shared" si="633"/>
        <v>0.45827805695827323</v>
      </c>
      <c r="CU367" s="19">
        <f t="shared" si="634"/>
        <v>764.47905022532655</v>
      </c>
      <c r="CV367" s="15">
        <f t="shared" si="579"/>
        <v>5.0289581004506534E-6</v>
      </c>
      <c r="CW367" s="16">
        <f t="shared" si="580"/>
        <v>24.680509077591253</v>
      </c>
      <c r="CX367" s="17">
        <f t="shared" si="581"/>
        <v>1.2585940980316967E-2</v>
      </c>
      <c r="CY367" s="18">
        <f t="shared" si="635"/>
        <v>0.48080778368109911</v>
      </c>
      <c r="CZ367" s="20">
        <f t="shared" si="585"/>
        <v>563.98295029808992</v>
      </c>
      <c r="DA367" s="15">
        <f t="shared" si="582"/>
        <v>6.2290451845459589E-6</v>
      </c>
      <c r="DB367" s="16">
        <f t="shared" si="583"/>
        <v>37.139494441355389</v>
      </c>
      <c r="DC367" s="17">
        <f t="shared" si="584"/>
        <v>1.5589391180132844E-2</v>
      </c>
      <c r="DD367" s="18">
        <f t="shared" si="636"/>
        <v>0.31951379651803447</v>
      </c>
    </row>
    <row r="368" spans="2:108" x14ac:dyDescent="0.25">
      <c r="B368">
        <v>101</v>
      </c>
      <c r="C368">
        <f t="shared" si="637"/>
        <v>9.873908130087039E-2</v>
      </c>
      <c r="D368" s="19">
        <f t="shared" si="534"/>
        <v>1018.3519736391519</v>
      </c>
      <c r="E368" s="15">
        <f t="shared" si="586"/>
        <v>5.5367039472783044E-6</v>
      </c>
      <c r="F368" s="16">
        <f t="shared" si="535"/>
        <v>27.600047696850247</v>
      </c>
      <c r="G368" s="17">
        <f t="shared" si="532"/>
        <v>1.3856673234101545E-2</v>
      </c>
      <c r="H368" s="18">
        <f t="shared" si="587"/>
        <v>0.42994783922319557</v>
      </c>
      <c r="I368" s="19">
        <f t="shared" si="588"/>
        <v>1018.027720434258</v>
      </c>
      <c r="J368" s="15">
        <f t="shared" si="589"/>
        <v>5.5360554408685158E-6</v>
      </c>
      <c r="K368" s="16">
        <f t="shared" si="536"/>
        <v>27.596318784993965</v>
      </c>
      <c r="L368" s="17">
        <f t="shared" si="590"/>
        <v>1.3855050221295328E-2</v>
      </c>
      <c r="M368" s="18">
        <f t="shared" si="591"/>
        <v>0.4300059352905643</v>
      </c>
      <c r="N368" s="19">
        <f t="shared" si="592"/>
        <v>1017.1225163448214</v>
      </c>
      <c r="O368" s="15">
        <f t="shared" si="593"/>
        <v>5.5342450326896426E-6</v>
      </c>
      <c r="P368" s="16">
        <f t="shared" si="594"/>
        <v>27.585908937965446</v>
      </c>
      <c r="Q368" s="17">
        <f t="shared" si="533"/>
        <v>1.3856673234101545E-2</v>
      </c>
      <c r="R368" s="18">
        <f t="shared" si="595"/>
        <v>0.43016820277349538</v>
      </c>
      <c r="S368" s="19">
        <f t="shared" si="596"/>
        <v>1015.6213993591406</v>
      </c>
      <c r="T368" s="15">
        <f t="shared" si="597"/>
        <v>5.5312427987182815E-6</v>
      </c>
      <c r="U368" s="16">
        <f t="shared" si="598"/>
        <v>27.568646092630118</v>
      </c>
      <c r="V368" s="17">
        <f t="shared" si="599"/>
        <v>1.3843005652847481E-2</v>
      </c>
      <c r="W368" s="18">
        <f t="shared" si="600"/>
        <v>0.43043756410258294</v>
      </c>
      <c r="X368" s="19">
        <f t="shared" si="601"/>
        <v>1013.5221513090601</v>
      </c>
      <c r="Y368" s="15">
        <f t="shared" si="602"/>
        <v>5.5270443026181203E-6</v>
      </c>
      <c r="Z368" s="16">
        <f t="shared" si="603"/>
        <v>27.54450474005419</v>
      </c>
      <c r="AA368" s="17">
        <f t="shared" si="604"/>
        <v>1.3832498103755359E-2</v>
      </c>
      <c r="AB368" s="18">
        <f t="shared" si="605"/>
        <v>0.43081482065865428</v>
      </c>
      <c r="AC368" s="19">
        <f t="shared" si="606"/>
        <v>1010.8234336341689</v>
      </c>
      <c r="AD368" s="15">
        <f t="shared" si="537"/>
        <v>5.5216468672683388E-6</v>
      </c>
      <c r="AE368" s="16">
        <f t="shared" si="538"/>
        <v>27.513469486792943</v>
      </c>
      <c r="AF368" s="17">
        <f t="shared" si="539"/>
        <v>1.3818989977141351E-2</v>
      </c>
      <c r="AG368" s="18">
        <f t="shared" si="607"/>
        <v>0.43130078071084826</v>
      </c>
      <c r="AH368" s="19">
        <f t="shared" si="608"/>
        <v>1007.5250894970154</v>
      </c>
      <c r="AI368" s="15">
        <f t="shared" si="540"/>
        <v>5.5150501789940315E-6</v>
      </c>
      <c r="AJ368" s="16">
        <f t="shared" si="541"/>
        <v>27.475538529215676</v>
      </c>
      <c r="AK368" s="17">
        <f t="shared" si="542"/>
        <v>1.3802480487973298E-2</v>
      </c>
      <c r="AL368" s="18">
        <f t="shared" si="609"/>
        <v>0.43189620676951457</v>
      </c>
      <c r="AM368" s="19">
        <f t="shared" si="610"/>
        <v>1003.6271009173417</v>
      </c>
      <c r="AN368" s="15">
        <f t="shared" si="543"/>
        <v>5.507254201834684E-6</v>
      </c>
      <c r="AO368" s="16">
        <f t="shared" si="544"/>
        <v>27.430711660549427</v>
      </c>
      <c r="AP368" s="17">
        <f t="shared" si="545"/>
        <v>1.3782969546253052E-2</v>
      </c>
      <c r="AQ368" s="18">
        <f t="shared" si="611"/>
        <v>0.43260200524743569</v>
      </c>
      <c r="AR368" s="19">
        <f t="shared" si="612"/>
        <v>999.1294708927303</v>
      </c>
      <c r="AS368" s="15">
        <f t="shared" si="546"/>
        <v>5.4982589417854608E-6</v>
      </c>
      <c r="AT368" s="16">
        <f t="shared" si="547"/>
        <v>27.378988915266397</v>
      </c>
      <c r="AU368" s="17">
        <f t="shared" si="548"/>
        <v>1.3760457166984675E-2</v>
      </c>
      <c r="AV368" s="18">
        <f t="shared" si="613"/>
        <v>0.43341925103381551</v>
      </c>
      <c r="AW368" s="19">
        <f t="shared" si="614"/>
        <v>994.03219805883646</v>
      </c>
      <c r="AX368" s="15">
        <f t="shared" si="549"/>
        <v>5.4880643961176732E-6</v>
      </c>
      <c r="AY368" s="16">
        <f t="shared" si="550"/>
        <v>27.320370277676616</v>
      </c>
      <c r="AZ368" s="17">
        <f t="shared" si="551"/>
        <v>1.3734943343339093E-2</v>
      </c>
      <c r="BA368" s="18">
        <f t="shared" si="615"/>
        <v>0.43434919618984968</v>
      </c>
      <c r="BB368" s="19">
        <f t="shared" si="616"/>
        <v>988.3352468471802</v>
      </c>
      <c r="BC368" s="15">
        <f t="shared" si="552"/>
        <v>5.4766704936943604E-6</v>
      </c>
      <c r="BD368" s="16">
        <f t="shared" si="553"/>
        <v>27.254855338742573</v>
      </c>
      <c r="BE368" s="17">
        <f t="shared" si="554"/>
        <v>1.3706427897282292E-2</v>
      </c>
      <c r="BF368" s="18">
        <f t="shared" si="617"/>
        <v>0.43539328028828839</v>
      </c>
      <c r="BG368" s="19">
        <f t="shared" si="618"/>
        <v>982.03831981297992</v>
      </c>
      <c r="BH368" s="15">
        <f t="shared" si="555"/>
        <v>5.4640766396259603E-6</v>
      </c>
      <c r="BI368" s="16">
        <f t="shared" si="556"/>
        <v>27.182440677849268</v>
      </c>
      <c r="BJ368" s="17">
        <f t="shared" si="557"/>
        <v>1.3674909339988007E-2</v>
      </c>
      <c r="BK368" s="18">
        <f t="shared" si="619"/>
        <v>0.43655317822096346</v>
      </c>
      <c r="BL368" s="19">
        <f t="shared" si="620"/>
        <v>975.13922853064582</v>
      </c>
      <c r="BM368" s="15">
        <f t="shared" si="558"/>
        <v>5.4502784570612915E-6</v>
      </c>
      <c r="BN368" s="16">
        <f t="shared" si="559"/>
        <v>27.103101128102427</v>
      </c>
      <c r="BO368" s="17">
        <f t="shared" si="560"/>
        <v>1.3640376717539036E-2</v>
      </c>
      <c r="BP368" s="18">
        <f t="shared" si="621"/>
        <v>0.43783111067736014</v>
      </c>
      <c r="BQ368" s="19">
        <f t="shared" si="622"/>
        <v>967.62359540889133</v>
      </c>
      <c r="BR368" s="15">
        <f t="shared" si="561"/>
        <v>5.4352471908177827E-6</v>
      </c>
      <c r="BS368" s="16">
        <f t="shared" si="562"/>
        <v>27.016671347202248</v>
      </c>
      <c r="BT368" s="17">
        <f t="shared" si="563"/>
        <v>1.3602758064525546E-2</v>
      </c>
      <c r="BU368" s="18">
        <f t="shared" si="623"/>
        <v>0.43923178829899634</v>
      </c>
      <c r="BV368" s="19">
        <f t="shared" si="624"/>
        <v>959.40811150226091</v>
      </c>
      <c r="BW368" s="15">
        <f t="shared" si="564"/>
        <v>5.4188162230045221E-6</v>
      </c>
      <c r="BX368" s="16">
        <f t="shared" si="565"/>
        <v>26.922193282275998</v>
      </c>
      <c r="BY368" s="17">
        <f t="shared" si="566"/>
        <v>1.3561636387427332E-2</v>
      </c>
      <c r="BZ368" s="18">
        <f t="shared" si="625"/>
        <v>0.44077318461011733</v>
      </c>
      <c r="CA368" s="19">
        <f t="shared" si="626"/>
        <v>950.07427912953767</v>
      </c>
      <c r="CB368" s="15">
        <f t="shared" si="567"/>
        <v>5.4001485582590756E-6</v>
      </c>
      <c r="CC368" s="16">
        <f t="shared" si="568"/>
        <v>26.814854209989683</v>
      </c>
      <c r="CD368" s="17">
        <f t="shared" si="569"/>
        <v>1.3514916943352925E-2</v>
      </c>
      <c r="CE368" s="18">
        <f t="shared" si="627"/>
        <v>0.44253758669689458</v>
      </c>
      <c r="CF368" s="19">
        <f t="shared" si="628"/>
        <v>937.84111596310606</v>
      </c>
      <c r="CG368" s="15">
        <f t="shared" si="570"/>
        <v>5.3756822319262124E-6</v>
      </c>
      <c r="CH368" s="16">
        <f t="shared" si="571"/>
        <v>26.674172833575717</v>
      </c>
      <c r="CI368" s="17">
        <f t="shared" si="572"/>
        <v>1.345368522634916E-2</v>
      </c>
      <c r="CJ368" s="18">
        <f t="shared" si="629"/>
        <v>0.44487155960768976</v>
      </c>
      <c r="CK368" s="19">
        <f t="shared" si="630"/>
        <v>916.49534486329651</v>
      </c>
      <c r="CL368" s="15">
        <f t="shared" si="573"/>
        <v>5.3329906897265942E-6</v>
      </c>
      <c r="CM368" s="16">
        <f t="shared" si="574"/>
        <v>26.428696465927906</v>
      </c>
      <c r="CN368" s="17">
        <f t="shared" si="575"/>
        <v>1.3346841379224055E-2</v>
      </c>
      <c r="CO368" s="18">
        <f t="shared" si="631"/>
        <v>0.4490036383374561</v>
      </c>
      <c r="CP368" s="19">
        <f t="shared" si="632"/>
        <v>869.14754639968021</v>
      </c>
      <c r="CQ368" s="15">
        <f t="shared" si="576"/>
        <v>5.238295092799361E-6</v>
      </c>
      <c r="CR368" s="16">
        <f t="shared" si="577"/>
        <v>25.884196783596323</v>
      </c>
      <c r="CS368" s="17">
        <f t="shared" si="578"/>
        <v>1.3109847319974438E-2</v>
      </c>
      <c r="CT368" s="18">
        <f t="shared" si="633"/>
        <v>0.45844887399550854</v>
      </c>
      <c r="CU368" s="19">
        <f t="shared" si="634"/>
        <v>763.12819355499209</v>
      </c>
      <c r="CV368" s="15">
        <f t="shared" si="579"/>
        <v>5.0262563871099846E-6</v>
      </c>
      <c r="CW368" s="16">
        <f t="shared" si="580"/>
        <v>24.664974225882411</v>
      </c>
      <c r="CX368" s="17">
        <f t="shared" si="581"/>
        <v>1.2579179419776553E-2</v>
      </c>
      <c r="CY368" s="18">
        <f t="shared" si="635"/>
        <v>0.48111061301112557</v>
      </c>
      <c r="CZ368" s="20">
        <f t="shared" si="585"/>
        <v>562.66637420209361</v>
      </c>
      <c r="DA368" s="15">
        <f t="shared" si="582"/>
        <v>6.2499844469298795E-6</v>
      </c>
      <c r="DB368" s="16">
        <f t="shared" si="583"/>
        <v>37.177675148139286</v>
      </c>
      <c r="DC368" s="17">
        <f t="shared" si="584"/>
        <v>1.5641795736955812E-2</v>
      </c>
      <c r="DD368" s="18">
        <f t="shared" si="636"/>
        <v>0.31918566242870117</v>
      </c>
    </row>
    <row r="369" spans="2:108" x14ac:dyDescent="0.25">
      <c r="B369">
        <v>102</v>
      </c>
      <c r="C369">
        <f t="shared" si="637"/>
        <v>9.9716695967215649E-2</v>
      </c>
      <c r="D369" s="19">
        <f t="shared" si="534"/>
        <v>1018.3354189085285</v>
      </c>
      <c r="E369" s="15">
        <f t="shared" si="586"/>
        <v>5.536670837817058E-6</v>
      </c>
      <c r="F369" s="16">
        <f t="shared" si="535"/>
        <v>27.599857317448077</v>
      </c>
      <c r="G369" s="17">
        <f t="shared" si="532"/>
        <v>1.3856590371266577E-2</v>
      </c>
      <c r="H369" s="18">
        <f t="shared" si="587"/>
        <v>0.42995080493463578</v>
      </c>
      <c r="I369" s="19">
        <f t="shared" si="588"/>
        <v>1018.0111523927718</v>
      </c>
      <c r="J369" s="15">
        <f t="shared" si="589"/>
        <v>5.5360223047855439E-6</v>
      </c>
      <c r="K369" s="16">
        <f t="shared" si="536"/>
        <v>27.596128252516877</v>
      </c>
      <c r="L369" s="17">
        <f t="shared" si="590"/>
        <v>1.3854967291834341E-2</v>
      </c>
      <c r="M369" s="18">
        <f t="shared" si="591"/>
        <v>0.43000890418878301</v>
      </c>
      <c r="N369" s="19">
        <f t="shared" si="592"/>
        <v>1017.1059251161878</v>
      </c>
      <c r="O369" s="15">
        <f t="shared" si="593"/>
        <v>5.5342118502323757E-6</v>
      </c>
      <c r="P369" s="16">
        <f t="shared" si="594"/>
        <v>27.585718138836157</v>
      </c>
      <c r="Q369" s="17">
        <f t="shared" si="533"/>
        <v>1.3856590371266577E-2</v>
      </c>
      <c r="R369" s="18">
        <f t="shared" si="595"/>
        <v>0.43017117807100708</v>
      </c>
      <c r="S369" s="19">
        <f t="shared" si="596"/>
        <v>1015.604796504745</v>
      </c>
      <c r="T369" s="15">
        <f t="shared" si="597"/>
        <v>5.5312095930094911E-6</v>
      </c>
      <c r="U369" s="16">
        <f t="shared" si="598"/>
        <v>27.568455159804564</v>
      </c>
      <c r="V369" s="17">
        <f t="shared" si="599"/>
        <v>1.3842922549134405E-2</v>
      </c>
      <c r="W369" s="18">
        <f t="shared" si="600"/>
        <v>0.4304405452148673</v>
      </c>
      <c r="X369" s="19">
        <f t="shared" si="601"/>
        <v>1013.5055506639827</v>
      </c>
      <c r="Y369" s="15">
        <f t="shared" si="602"/>
        <v>5.5270111013279662E-6</v>
      </c>
      <c r="Z369" s="16">
        <f t="shared" si="603"/>
        <v>27.544313832635801</v>
      </c>
      <c r="AA369" s="17">
        <f t="shared" si="604"/>
        <v>1.3832415011100774E-2</v>
      </c>
      <c r="AB369" s="18">
        <f t="shared" si="605"/>
        <v>0.43081780660144142</v>
      </c>
      <c r="AC369" s="19">
        <f t="shared" si="606"/>
        <v>1010.8068439673081</v>
      </c>
      <c r="AD369" s="15">
        <f t="shared" si="537"/>
        <v>5.5216136879346161E-6</v>
      </c>
      <c r="AE369" s="16">
        <f t="shared" si="538"/>
        <v>27.513278705624042</v>
      </c>
      <c r="AF369" s="17">
        <f t="shared" si="539"/>
        <v>1.3818906939436987E-2</v>
      </c>
      <c r="AG369" s="18">
        <f t="shared" si="607"/>
        <v>0.43130377141464527</v>
      </c>
      <c r="AH369" s="19">
        <f t="shared" si="608"/>
        <v>1007.5085159452575</v>
      </c>
      <c r="AI369" s="15">
        <f t="shared" si="540"/>
        <v>5.5150170318905147E-6</v>
      </c>
      <c r="AJ369" s="16">
        <f t="shared" si="541"/>
        <v>27.475347933370461</v>
      </c>
      <c r="AK369" s="17">
        <f t="shared" si="542"/>
        <v>1.3802397530931262E-2</v>
      </c>
      <c r="AL369" s="18">
        <f t="shared" si="609"/>
        <v>0.43189920282338712</v>
      </c>
      <c r="AM369" s="19">
        <f t="shared" si="610"/>
        <v>1003.6105473087788</v>
      </c>
      <c r="AN369" s="15">
        <f t="shared" si="543"/>
        <v>5.5072210946175582E-6</v>
      </c>
      <c r="AO369" s="16">
        <f t="shared" si="544"/>
        <v>27.430521294050955</v>
      </c>
      <c r="AP369" s="17">
        <f t="shared" si="545"/>
        <v>1.3782886689034431E-2</v>
      </c>
      <c r="AQ369" s="18">
        <f t="shared" si="611"/>
        <v>0.4326050074845455</v>
      </c>
      <c r="AR369" s="19">
        <f t="shared" si="612"/>
        <v>999.11294074265538</v>
      </c>
      <c r="AS369" s="15">
        <f t="shared" si="546"/>
        <v>5.4982258814853104E-6</v>
      </c>
      <c r="AT369" s="16">
        <f t="shared" si="547"/>
        <v>27.378798818540538</v>
      </c>
      <c r="AU369" s="17">
        <f t="shared" si="548"/>
        <v>1.3760374427184864E-2</v>
      </c>
      <c r="AV369" s="18">
        <f t="shared" si="613"/>
        <v>0.43342226035431536</v>
      </c>
      <c r="AW369" s="19">
        <f t="shared" si="614"/>
        <v>994.01569445068264</v>
      </c>
      <c r="AX369" s="15">
        <f t="shared" si="549"/>
        <v>5.4880313889013656E-6</v>
      </c>
      <c r="AY369" s="16">
        <f t="shared" si="550"/>
        <v>27.320180486182849</v>
      </c>
      <c r="AZ369" s="17">
        <f t="shared" si="551"/>
        <v>1.3734860736391874E-2</v>
      </c>
      <c r="BA369" s="18">
        <f t="shared" si="615"/>
        <v>0.43435221358509724</v>
      </c>
      <c r="BB369" s="19">
        <f t="shared" si="616"/>
        <v>988.31876955044254</v>
      </c>
      <c r="BC369" s="15">
        <f t="shared" si="552"/>
        <v>5.476637539100886E-6</v>
      </c>
      <c r="BD369" s="16">
        <f t="shared" si="553"/>
        <v>27.25466584983009</v>
      </c>
      <c r="BE369" s="17">
        <f t="shared" si="554"/>
        <v>1.3706345422033899E-2</v>
      </c>
      <c r="BF369" s="18">
        <f t="shared" si="617"/>
        <v>0.43539630737361901</v>
      </c>
      <c r="BG369" s="19">
        <f t="shared" si="618"/>
        <v>982.0218450151923</v>
      </c>
      <c r="BH369" s="15">
        <f t="shared" si="555"/>
        <v>5.4640436900303843E-6</v>
      </c>
      <c r="BI369" s="16">
        <f t="shared" si="556"/>
        <v>27.182251217674711</v>
      </c>
      <c r="BJ369" s="17">
        <f t="shared" si="557"/>
        <v>1.3674826877247821E-2</v>
      </c>
      <c r="BK369" s="18">
        <f t="shared" si="619"/>
        <v>0.43655622099474578</v>
      </c>
      <c r="BL369" s="19">
        <f t="shared" si="620"/>
        <v>975.12258414186624</v>
      </c>
      <c r="BM369" s="15">
        <f t="shared" si="558"/>
        <v>5.4502451682837326E-6</v>
      </c>
      <c r="BN369" s="16">
        <f t="shared" si="559"/>
        <v>27.102909717631462</v>
      </c>
      <c r="BO369" s="17">
        <f t="shared" si="560"/>
        <v>1.3640293405930291E-2</v>
      </c>
      <c r="BP369" s="18">
        <f t="shared" si="621"/>
        <v>0.4378342027977255</v>
      </c>
      <c r="BQ369" s="19">
        <f t="shared" si="622"/>
        <v>967.60579627531183</v>
      </c>
      <c r="BR369" s="15">
        <f t="shared" si="561"/>
        <v>5.4352115925506237E-6</v>
      </c>
      <c r="BS369" s="16">
        <f t="shared" si="562"/>
        <v>27.016466657166085</v>
      </c>
      <c r="BT369" s="17">
        <f t="shared" si="563"/>
        <v>1.3602668972972085E-2</v>
      </c>
      <c r="BU369" s="18">
        <f t="shared" si="623"/>
        <v>0.43923511613500732</v>
      </c>
      <c r="BV369" s="19">
        <f t="shared" si="624"/>
        <v>959.38437335184983</v>
      </c>
      <c r="BW369" s="15">
        <f t="shared" si="564"/>
        <v>5.4187687467037002E-6</v>
      </c>
      <c r="BX369" s="16">
        <f t="shared" si="565"/>
        <v>26.921920293546272</v>
      </c>
      <c r="BY369" s="17">
        <f t="shared" si="566"/>
        <v>1.3561517568795685E-2</v>
      </c>
      <c r="BZ369" s="18">
        <f t="shared" si="625"/>
        <v>0.44077765405770691</v>
      </c>
      <c r="CA369" s="19">
        <f t="shared" si="626"/>
        <v>950.02521043107731</v>
      </c>
      <c r="CB369" s="15">
        <f t="shared" si="567"/>
        <v>5.4000504208621554E-6</v>
      </c>
      <c r="CC369" s="16">
        <f t="shared" si="568"/>
        <v>26.814289919957389</v>
      </c>
      <c r="CD369" s="17">
        <f t="shared" si="569"/>
        <v>1.3514671335523048E-2</v>
      </c>
      <c r="CE369" s="18">
        <f t="shared" si="627"/>
        <v>0.44254689962480853</v>
      </c>
      <c r="CF369" s="19">
        <f t="shared" si="628"/>
        <v>937.70378055373931</v>
      </c>
      <c r="CG369" s="15">
        <f t="shared" si="570"/>
        <v>5.3754075611074783E-6</v>
      </c>
      <c r="CH369" s="16">
        <f t="shared" si="571"/>
        <v>26.672593476368</v>
      </c>
      <c r="CI369" s="17">
        <f t="shared" si="572"/>
        <v>1.3452997809463883E-2</v>
      </c>
      <c r="CJ369" s="18">
        <f t="shared" si="629"/>
        <v>0.44489790166943177</v>
      </c>
      <c r="CK369" s="19">
        <f t="shared" si="630"/>
        <v>916.11835922139835</v>
      </c>
      <c r="CL369" s="15">
        <f t="shared" si="573"/>
        <v>5.3322367184427966E-6</v>
      </c>
      <c r="CM369" s="16">
        <f t="shared" si="574"/>
        <v>26.42436113104608</v>
      </c>
      <c r="CN369" s="17">
        <f t="shared" si="575"/>
        <v>1.3344954420158343E-2</v>
      </c>
      <c r="CO369" s="18">
        <f t="shared" si="631"/>
        <v>0.44907730449444277</v>
      </c>
      <c r="CP369" s="19">
        <f t="shared" si="632"/>
        <v>868.30772502393393</v>
      </c>
      <c r="CQ369" s="15">
        <f t="shared" si="576"/>
        <v>5.2366154500478683E-6</v>
      </c>
      <c r="CR369" s="16">
        <f t="shared" si="577"/>
        <v>25.874538837775241</v>
      </c>
      <c r="CS369" s="17">
        <f t="shared" si="578"/>
        <v>1.3105643688900956E-2</v>
      </c>
      <c r="CT369" s="18">
        <f t="shared" si="633"/>
        <v>0.45861999489604111</v>
      </c>
      <c r="CU369" s="19">
        <f t="shared" si="634"/>
        <v>761.78476337035613</v>
      </c>
      <c r="CV369" s="15">
        <f t="shared" si="579"/>
        <v>5.0235695267407128E-6</v>
      </c>
      <c r="CW369" s="16">
        <f t="shared" si="580"/>
        <v>24.649524778759094</v>
      </c>
      <c r="CX369" s="17">
        <f t="shared" si="581"/>
        <v>1.2572455031671795E-2</v>
      </c>
      <c r="CY369" s="18">
        <f t="shared" si="635"/>
        <v>0.48141215606491239</v>
      </c>
      <c r="CZ369" s="20">
        <f t="shared" si="585"/>
        <v>561.36119418029409</v>
      </c>
      <c r="DA369" s="15">
        <f t="shared" si="582"/>
        <v>6.2707100668344603E-6</v>
      </c>
      <c r="DB369" s="16">
        <f t="shared" si="583"/>
        <v>37.215525368771466</v>
      </c>
      <c r="DC369" s="17">
        <f t="shared" si="584"/>
        <v>1.5693665612124621E-2</v>
      </c>
      <c r="DD369" s="18">
        <f t="shared" si="636"/>
        <v>0.31886103318792486</v>
      </c>
    </row>
    <row r="370" spans="2:108" x14ac:dyDescent="0.25">
      <c r="B370">
        <v>103</v>
      </c>
      <c r="C370">
        <f t="shared" si="637"/>
        <v>0.10069431063356091</v>
      </c>
      <c r="D370" s="19">
        <f t="shared" si="534"/>
        <v>1018.3188634983197</v>
      </c>
      <c r="E370" s="15">
        <f t="shared" si="586"/>
        <v>5.5366377269966405E-6</v>
      </c>
      <c r="F370" s="16">
        <f t="shared" si="535"/>
        <v>27.599666930230676</v>
      </c>
      <c r="G370" s="17">
        <f t="shared" si="532"/>
        <v>1.385650750503002E-2</v>
      </c>
      <c r="H370" s="18">
        <f t="shared" si="587"/>
        <v>0.42995377080873776</v>
      </c>
      <c r="I370" s="19">
        <f t="shared" si="588"/>
        <v>1017.9945840606488</v>
      </c>
      <c r="J370" s="15">
        <f t="shared" si="589"/>
        <v>5.5359891681212982E-6</v>
      </c>
      <c r="K370" s="16">
        <f t="shared" si="536"/>
        <v>27.59593771669746</v>
      </c>
      <c r="L370" s="17">
        <f t="shared" si="590"/>
        <v>1.3854884360918602E-2</v>
      </c>
      <c r="M370" s="18">
        <f t="shared" si="591"/>
        <v>0.43001187318008016</v>
      </c>
      <c r="N370" s="19">
        <f t="shared" si="592"/>
        <v>1017.0893340264629</v>
      </c>
      <c r="O370" s="15">
        <f t="shared" si="593"/>
        <v>5.5341786680529264E-6</v>
      </c>
      <c r="P370" s="16">
        <f t="shared" si="594"/>
        <v>27.585527341304321</v>
      </c>
      <c r="Q370" s="17">
        <f t="shared" si="533"/>
        <v>1.385650750503002E-2</v>
      </c>
      <c r="R370" s="18">
        <f t="shared" si="595"/>
        <v>0.43017415338476589</v>
      </c>
      <c r="S370" s="19">
        <f t="shared" si="596"/>
        <v>1015.5881939195983</v>
      </c>
      <c r="T370" s="15">
        <f t="shared" si="597"/>
        <v>5.5311763878391967E-6</v>
      </c>
      <c r="U370" s="16">
        <f t="shared" si="598"/>
        <v>27.568264230075378</v>
      </c>
      <c r="V370" s="17">
        <f t="shared" si="599"/>
        <v>1.384283944676902E-2</v>
      </c>
      <c r="W370" s="18">
        <f t="shared" si="600"/>
        <v>0.43044352632009913</v>
      </c>
      <c r="X370" s="19">
        <f t="shared" si="601"/>
        <v>1013.4889502627685</v>
      </c>
      <c r="Y370" s="15">
        <f t="shared" si="602"/>
        <v>5.526977900525537E-6</v>
      </c>
      <c r="Z370" s="16">
        <f t="shared" si="603"/>
        <v>27.544122928021835</v>
      </c>
      <c r="AA370" s="17">
        <f t="shared" si="604"/>
        <v>1.383233191966682E-2</v>
      </c>
      <c r="AB370" s="18">
        <f t="shared" si="605"/>
        <v>0.4308207925417552</v>
      </c>
      <c r="AC370" s="19">
        <f t="shared" si="606"/>
        <v>1010.790254508633</v>
      </c>
      <c r="AD370" s="15">
        <f t="shared" si="537"/>
        <v>5.5215805090172669E-6</v>
      </c>
      <c r="AE370" s="16">
        <f t="shared" si="538"/>
        <v>27.513087926849281</v>
      </c>
      <c r="AF370" s="17">
        <f t="shared" si="539"/>
        <v>1.3818823902774679E-2</v>
      </c>
      <c r="AG370" s="18">
        <f t="shared" si="607"/>
        <v>0.43130676212238694</v>
      </c>
      <c r="AH370" s="19">
        <f t="shared" si="608"/>
        <v>1007.4919425875121</v>
      </c>
      <c r="AI370" s="15">
        <f t="shared" si="540"/>
        <v>5.5149838851750246E-6</v>
      </c>
      <c r="AJ370" s="16">
        <f t="shared" si="541"/>
        <v>27.475157339756386</v>
      </c>
      <c r="AK370" s="17">
        <f t="shared" si="542"/>
        <v>1.3802314574860339E-2</v>
      </c>
      <c r="AL370" s="18">
        <f t="shared" si="609"/>
        <v>0.43190219888375408</v>
      </c>
      <c r="AM370" s="19">
        <f t="shared" si="610"/>
        <v>1003.5939938910154</v>
      </c>
      <c r="AN370" s="15">
        <f t="shared" si="543"/>
        <v>5.5071879877820318E-6</v>
      </c>
      <c r="AO370" s="16">
        <f t="shared" si="544"/>
        <v>27.430330929746674</v>
      </c>
      <c r="AP370" s="17">
        <f t="shared" si="545"/>
        <v>1.3782803832770836E-2</v>
      </c>
      <c r="AQ370" s="18">
        <f t="shared" si="611"/>
        <v>0.43260800972872149</v>
      </c>
      <c r="AR370" s="19">
        <f t="shared" si="612"/>
        <v>999.0964107775219</v>
      </c>
      <c r="AS370" s="15">
        <f t="shared" si="546"/>
        <v>5.498192821555044E-6</v>
      </c>
      <c r="AT370" s="16">
        <f t="shared" si="547"/>
        <v>27.3786087239415</v>
      </c>
      <c r="AU370" s="17">
        <f t="shared" si="548"/>
        <v>1.376029168831076E-2</v>
      </c>
      <c r="AV370" s="18">
        <f t="shared" si="613"/>
        <v>0.43342526968293488</v>
      </c>
      <c r="AW370" s="19">
        <f t="shared" si="614"/>
        <v>993.99919097899487</v>
      </c>
      <c r="AX370" s="15">
        <f t="shared" si="549"/>
        <v>5.4879983819579906E-6</v>
      </c>
      <c r="AY370" s="16">
        <f t="shared" si="550"/>
        <v>27.31999069625844</v>
      </c>
      <c r="AZ370" s="17">
        <f t="shared" si="551"/>
        <v>1.3734778130127721E-2</v>
      </c>
      <c r="BA370" s="18">
        <f t="shared" si="615"/>
        <v>0.43435523099731743</v>
      </c>
      <c r="BB370" s="19">
        <f t="shared" si="616"/>
        <v>988.30229204553143</v>
      </c>
      <c r="BC370" s="15">
        <f t="shared" si="552"/>
        <v>5.4766045840910636E-6</v>
      </c>
      <c r="BD370" s="16">
        <f t="shared" si="553"/>
        <v>27.254476358523611</v>
      </c>
      <c r="BE370" s="17">
        <f t="shared" si="554"/>
        <v>1.3706262945743513E-2</v>
      </c>
      <c r="BF370" s="18">
        <f t="shared" si="617"/>
        <v>0.43539933453928659</v>
      </c>
      <c r="BG370" s="19">
        <f t="shared" si="618"/>
        <v>982.00536785372947</v>
      </c>
      <c r="BH370" s="15">
        <f t="shared" si="555"/>
        <v>5.4640107357074599E-6</v>
      </c>
      <c r="BI370" s="16">
        <f t="shared" si="556"/>
        <v>27.182061730317891</v>
      </c>
      <c r="BJ370" s="17">
        <f t="shared" si="557"/>
        <v>1.367474440267653E-2</v>
      </c>
      <c r="BK370" s="18">
        <f t="shared" si="619"/>
        <v>0.43655926424750713</v>
      </c>
      <c r="BL370" s="19">
        <f t="shared" si="620"/>
        <v>975.10592562716317</v>
      </c>
      <c r="BM370" s="15">
        <f t="shared" si="558"/>
        <v>5.4502118512543265E-6</v>
      </c>
      <c r="BN370" s="16">
        <f t="shared" si="559"/>
        <v>27.102718144712377</v>
      </c>
      <c r="BO370" s="17">
        <f t="shared" si="560"/>
        <v>1.364021002361583E-2</v>
      </c>
      <c r="BP370" s="18">
        <f t="shared" si="621"/>
        <v>0.4378372975860732</v>
      </c>
      <c r="BQ370" s="19">
        <f t="shared" si="622"/>
        <v>967.5879282705082</v>
      </c>
      <c r="BR370" s="15">
        <f t="shared" si="561"/>
        <v>5.4351758565410166E-6</v>
      </c>
      <c r="BS370" s="16">
        <f t="shared" si="562"/>
        <v>27.016261175110841</v>
      </c>
      <c r="BT370" s="17">
        <f t="shared" si="563"/>
        <v>1.3602579536691486E-2</v>
      </c>
      <c r="BU370" s="18">
        <f t="shared" si="623"/>
        <v>0.43923845689832813</v>
      </c>
      <c r="BV370" s="19">
        <f t="shared" si="624"/>
        <v>959.36035639171405</v>
      </c>
      <c r="BW370" s="15">
        <f t="shared" si="564"/>
        <v>5.4187207127834285E-6</v>
      </c>
      <c r="BX370" s="16">
        <f t="shared" si="565"/>
        <v>26.921644098504711</v>
      </c>
      <c r="BY370" s="17">
        <f t="shared" si="566"/>
        <v>1.3561397354613439E-2</v>
      </c>
      <c r="BZ370" s="18">
        <f t="shared" si="625"/>
        <v>0.44078217609217246</v>
      </c>
      <c r="CA370" s="19">
        <f t="shared" si="626"/>
        <v>949.97523731401498</v>
      </c>
      <c r="CB370" s="15">
        <f t="shared" si="567"/>
        <v>5.3999504746280306E-6</v>
      </c>
      <c r="CC370" s="16">
        <f t="shared" si="568"/>
        <v>26.813715229111171</v>
      </c>
      <c r="CD370" s="17">
        <f t="shared" si="569"/>
        <v>1.3514421200727971E-2</v>
      </c>
      <c r="CE370" s="18">
        <f t="shared" si="627"/>
        <v>0.4425563846085217</v>
      </c>
      <c r="CF370" s="19">
        <f t="shared" si="628"/>
        <v>937.56426333781531</v>
      </c>
      <c r="CG370" s="15">
        <f t="shared" si="570"/>
        <v>5.3751285266756307E-6</v>
      </c>
      <c r="CH370" s="16">
        <f t="shared" si="571"/>
        <v>26.670989028384874</v>
      </c>
      <c r="CI370" s="17">
        <f t="shared" si="572"/>
        <v>1.3452299471792229E-2</v>
      </c>
      <c r="CJ370" s="18">
        <f t="shared" si="629"/>
        <v>0.44492466541412351</v>
      </c>
      <c r="CK370" s="19">
        <f t="shared" si="630"/>
        <v>915.7381128477208</v>
      </c>
      <c r="CL370" s="15">
        <f t="shared" si="573"/>
        <v>5.3314762256954422E-6</v>
      </c>
      <c r="CM370" s="16">
        <f t="shared" si="574"/>
        <v>26.419988297748787</v>
      </c>
      <c r="CN370" s="17">
        <f t="shared" si="575"/>
        <v>1.3343051139867879E-2</v>
      </c>
      <c r="CO370" s="18">
        <f t="shared" si="631"/>
        <v>0.44915163231654553</v>
      </c>
      <c r="CP370" s="19">
        <f t="shared" si="632"/>
        <v>867.46712118442304</v>
      </c>
      <c r="CQ370" s="15">
        <f t="shared" si="576"/>
        <v>5.2349342423688464E-6</v>
      </c>
      <c r="CR370" s="16">
        <f t="shared" si="577"/>
        <v>25.864871893620865</v>
      </c>
      <c r="CS370" s="17">
        <f t="shared" si="578"/>
        <v>1.3101436141293443E-2</v>
      </c>
      <c r="CT370" s="18">
        <f t="shared" si="633"/>
        <v>0.45879140320213962</v>
      </c>
      <c r="CU370" s="19">
        <f t="shared" si="634"/>
        <v>760.44870317886091</v>
      </c>
      <c r="CV370" s="15">
        <f t="shared" si="579"/>
        <v>5.0208974063577221E-6</v>
      </c>
      <c r="CW370" s="16">
        <f t="shared" si="580"/>
        <v>24.6341600865569</v>
      </c>
      <c r="CX370" s="17">
        <f t="shared" si="581"/>
        <v>1.2565767533235565E-2</v>
      </c>
      <c r="CY370" s="18">
        <f t="shared" si="635"/>
        <v>0.48171241999006115</v>
      </c>
      <c r="CZ370" s="20">
        <f t="shared" si="585"/>
        <v>560.06719698777761</v>
      </c>
      <c r="DA370" s="15">
        <f t="shared" si="582"/>
        <v>6.2912266289283901E-6</v>
      </c>
      <c r="DB370" s="16">
        <f t="shared" si="583"/>
        <v>37.253051287354445</v>
      </c>
      <c r="DC370" s="17">
        <f t="shared" si="584"/>
        <v>1.5745012279660003E-2</v>
      </c>
      <c r="DD370" s="18">
        <f t="shared" si="636"/>
        <v>0.31853983659443252</v>
      </c>
    </row>
    <row r="371" spans="2:108" x14ac:dyDescent="0.25">
      <c r="B371">
        <v>104</v>
      </c>
      <c r="C371">
        <f t="shared" si="637"/>
        <v>0.10167192529990615</v>
      </c>
      <c r="D371" s="19">
        <f t="shared" si="534"/>
        <v>1018.3023074283833</v>
      </c>
      <c r="E371" s="15">
        <f t="shared" si="586"/>
        <v>5.5366046148567675E-6</v>
      </c>
      <c r="F371" s="16">
        <f t="shared" si="535"/>
        <v>27.599476535426405</v>
      </c>
      <c r="G371" s="17">
        <f t="shared" si="532"/>
        <v>1.3856424635491273E-2</v>
      </c>
      <c r="H371" s="18">
        <f t="shared" si="587"/>
        <v>0.42995673684194979</v>
      </c>
      <c r="I371" s="19">
        <f t="shared" si="588"/>
        <v>1017.9780154441307</v>
      </c>
      <c r="J371" s="15">
        <f t="shared" si="589"/>
        <v>5.5359560308882614E-6</v>
      </c>
      <c r="K371" s="16">
        <f t="shared" si="536"/>
        <v>27.595747177607503</v>
      </c>
      <c r="L371" s="17">
        <f t="shared" si="590"/>
        <v>1.3854801428579352E-2</v>
      </c>
      <c r="M371" s="18">
        <f t="shared" si="591"/>
        <v>0.43001484226333991</v>
      </c>
      <c r="N371" s="19">
        <f t="shared" si="592"/>
        <v>1017.0727430734416</v>
      </c>
      <c r="O371" s="15">
        <f t="shared" si="593"/>
        <v>5.5341454861468841E-6</v>
      </c>
      <c r="P371" s="16">
        <f t="shared" si="594"/>
        <v>27.585336545344578</v>
      </c>
      <c r="Q371" s="17">
        <f t="shared" si="533"/>
        <v>1.3856424635491273E-2</v>
      </c>
      <c r="R371" s="18">
        <f t="shared" si="595"/>
        <v>0.43017712871516711</v>
      </c>
      <c r="S371" s="19">
        <f t="shared" si="596"/>
        <v>1015.5715916017873</v>
      </c>
      <c r="T371" s="15">
        <f t="shared" si="597"/>
        <v>5.5311431832035758E-6</v>
      </c>
      <c r="U371" s="16">
        <f t="shared" si="598"/>
        <v>27.568073303420555</v>
      </c>
      <c r="V371" s="17">
        <f t="shared" si="599"/>
        <v>1.3842756345741763E-2</v>
      </c>
      <c r="W371" s="18">
        <f t="shared" si="600"/>
        <v>0.43044650741862084</v>
      </c>
      <c r="X371" s="19">
        <f t="shared" si="601"/>
        <v>1013.4723501051661</v>
      </c>
      <c r="Y371" s="15">
        <f t="shared" si="602"/>
        <v>5.526944700210333E-6</v>
      </c>
      <c r="Z371" s="16">
        <f t="shared" si="603"/>
        <v>27.543932026209411</v>
      </c>
      <c r="AA371" s="17">
        <f t="shared" si="604"/>
        <v>1.3832248829452236E-2</v>
      </c>
      <c r="AB371" s="18">
        <f t="shared" si="605"/>
        <v>0.43082377847963976</v>
      </c>
      <c r="AC371" s="19">
        <f t="shared" si="606"/>
        <v>1010.7736652583694</v>
      </c>
      <c r="AD371" s="15">
        <f t="shared" si="537"/>
        <v>5.5215473305167392E-6</v>
      </c>
      <c r="AE371" s="16">
        <f t="shared" si="538"/>
        <v>27.512897150471247</v>
      </c>
      <c r="AF371" s="17">
        <f t="shared" si="539"/>
        <v>1.3818740867155548E-2</v>
      </c>
      <c r="AG371" s="18">
        <f t="shared" si="607"/>
        <v>0.43130975283403206</v>
      </c>
      <c r="AH371" s="19">
        <f t="shared" si="608"/>
        <v>1007.4753694239081</v>
      </c>
      <c r="AI371" s="15">
        <f t="shared" si="540"/>
        <v>5.5149507388478168E-6</v>
      </c>
      <c r="AJ371" s="16">
        <f t="shared" si="541"/>
        <v>27.474966748374943</v>
      </c>
      <c r="AK371" s="17">
        <f t="shared" si="542"/>
        <v>1.3802231619761169E-2</v>
      </c>
      <c r="AL371" s="18">
        <f t="shared" si="609"/>
        <v>0.43190519495059149</v>
      </c>
      <c r="AM371" s="19">
        <f t="shared" si="610"/>
        <v>1003.5774406640039</v>
      </c>
      <c r="AN371" s="15">
        <f t="shared" si="543"/>
        <v>5.5071548813280081E-6</v>
      </c>
      <c r="AO371" s="16">
        <f t="shared" si="544"/>
        <v>27.430140567636045</v>
      </c>
      <c r="AP371" s="17">
        <f t="shared" si="545"/>
        <v>1.3782720977462025E-2</v>
      </c>
      <c r="AQ371" s="18">
        <f t="shared" si="611"/>
        <v>0.43261101197997148</v>
      </c>
      <c r="AR371" s="19">
        <f t="shared" si="612"/>
        <v>999.07988099669365</v>
      </c>
      <c r="AS371" s="15">
        <f t="shared" si="546"/>
        <v>5.4981597619933877E-6</v>
      </c>
      <c r="AT371" s="16">
        <f t="shared" si="547"/>
        <v>27.378418631461976</v>
      </c>
      <c r="AU371" s="17">
        <f t="shared" si="548"/>
        <v>1.3760208950359175E-2</v>
      </c>
      <c r="AV371" s="18">
        <f t="shared" si="613"/>
        <v>0.43342827901978925</v>
      </c>
      <c r="AW371" s="19">
        <f t="shared" si="614"/>
        <v>993.98268763939564</v>
      </c>
      <c r="AX371" s="15">
        <f t="shared" si="549"/>
        <v>5.4879653752787917E-6</v>
      </c>
      <c r="AY371" s="16">
        <f t="shared" si="550"/>
        <v>27.31980090785305</v>
      </c>
      <c r="AZ371" s="17">
        <f t="shared" si="551"/>
        <v>1.373469552452472E-2</v>
      </c>
      <c r="BA371" s="18">
        <f t="shared" si="615"/>
        <v>0.43435824842731052</v>
      </c>
      <c r="BB371" s="19">
        <f t="shared" si="616"/>
        <v>988.28581430586109</v>
      </c>
      <c r="BC371" s="15">
        <f t="shared" si="552"/>
        <v>5.4765716286117223E-6</v>
      </c>
      <c r="BD371" s="16">
        <f t="shared" si="553"/>
        <v>27.254286864517404</v>
      </c>
      <c r="BE371" s="17">
        <f t="shared" si="554"/>
        <v>1.3706180468278064E-2</v>
      </c>
      <c r="BF371" s="18">
        <f t="shared" si="617"/>
        <v>0.43540236179017783</v>
      </c>
      <c r="BG371" s="19">
        <f t="shared" si="618"/>
        <v>981.98888818827982</v>
      </c>
      <c r="BH371" s="15">
        <f t="shared" si="555"/>
        <v>5.4639777763765599E-6</v>
      </c>
      <c r="BI371" s="16">
        <f t="shared" si="556"/>
        <v>27.181872214165217</v>
      </c>
      <c r="BJ371" s="17">
        <f t="shared" si="557"/>
        <v>1.3674661915571812E-2</v>
      </c>
      <c r="BK371" s="18">
        <f t="shared" si="619"/>
        <v>0.43656230800518214</v>
      </c>
      <c r="BL371" s="19">
        <f t="shared" si="620"/>
        <v>975.08925236105017</v>
      </c>
      <c r="BM371" s="15">
        <f t="shared" si="558"/>
        <v>5.4501785047221005E-6</v>
      </c>
      <c r="BN371" s="16">
        <f t="shared" si="559"/>
        <v>27.102526402152076</v>
      </c>
      <c r="BO371" s="17">
        <f t="shared" si="560"/>
        <v>1.3640126567464852E-2</v>
      </c>
      <c r="BP371" s="18">
        <f t="shared" si="621"/>
        <v>0.4378403951587197</v>
      </c>
      <c r="BQ371" s="19">
        <f t="shared" si="622"/>
        <v>967.56998913970767</v>
      </c>
      <c r="BR371" s="15">
        <f t="shared" si="561"/>
        <v>5.4351399782794157E-6</v>
      </c>
      <c r="BS371" s="16">
        <f t="shared" si="562"/>
        <v>27.01605487510664</v>
      </c>
      <c r="BT371" s="17">
        <f t="shared" si="563"/>
        <v>1.3602489744397742E-2</v>
      </c>
      <c r="BU371" s="18">
        <f t="shared" si="623"/>
        <v>0.43924181101112963</v>
      </c>
      <c r="BV371" s="19">
        <f t="shared" si="624"/>
        <v>959.33605456609416</v>
      </c>
      <c r="BW371" s="15">
        <f t="shared" si="564"/>
        <v>5.4186721091321886E-6</v>
      </c>
      <c r="BX371" s="16">
        <f t="shared" si="565"/>
        <v>26.92136462751008</v>
      </c>
      <c r="BY371" s="17">
        <f t="shared" si="566"/>
        <v>1.3561275714569176E-2</v>
      </c>
      <c r="BZ371" s="18">
        <f t="shared" si="625"/>
        <v>0.4407867518569924</v>
      </c>
      <c r="CA371" s="19">
        <f t="shared" si="626"/>
        <v>949.92435010055067</v>
      </c>
      <c r="CB371" s="15">
        <f t="shared" si="567"/>
        <v>5.3998487002011013E-6</v>
      </c>
      <c r="CC371" s="16">
        <f t="shared" si="568"/>
        <v>26.81313002615633</v>
      </c>
      <c r="CD371" s="17">
        <f t="shared" si="569"/>
        <v>1.3514166490526565E-2</v>
      </c>
      <c r="CE371" s="18">
        <f t="shared" si="627"/>
        <v>0.44256604350711742</v>
      </c>
      <c r="CF371" s="19">
        <f t="shared" si="628"/>
        <v>937.42256613111272</v>
      </c>
      <c r="CG371" s="15">
        <f t="shared" si="570"/>
        <v>5.3748451322622257E-6</v>
      </c>
      <c r="CH371" s="16">
        <f t="shared" si="571"/>
        <v>26.669359510507796</v>
      </c>
      <c r="CI371" s="17">
        <f t="shared" si="572"/>
        <v>1.3451590222422873E-2</v>
      </c>
      <c r="CJ371" s="18">
        <f t="shared" si="629"/>
        <v>0.44495185064502335</v>
      </c>
      <c r="CK371" s="19">
        <f t="shared" si="630"/>
        <v>915.35465479746745</v>
      </c>
      <c r="CL371" s="15">
        <f t="shared" si="573"/>
        <v>5.330709309594935E-6</v>
      </c>
      <c r="CM371" s="16">
        <f t="shared" si="574"/>
        <v>26.415578530170876</v>
      </c>
      <c r="CN371" s="17">
        <f t="shared" si="575"/>
        <v>1.3341131783892936E-2</v>
      </c>
      <c r="CO371" s="18">
        <f t="shared" si="631"/>
        <v>0.44922661285515053</v>
      </c>
      <c r="CP371" s="19">
        <f t="shared" si="632"/>
        <v>866.62581579209757</v>
      </c>
      <c r="CQ371" s="15">
        <f t="shared" si="576"/>
        <v>5.233251631584196E-6</v>
      </c>
      <c r="CR371" s="16">
        <f t="shared" si="577"/>
        <v>25.855196881609121</v>
      </c>
      <c r="CS371" s="17">
        <f t="shared" si="578"/>
        <v>1.3097225082142531E-2</v>
      </c>
      <c r="CT371" s="18">
        <f t="shared" si="633"/>
        <v>0.45896308289799304</v>
      </c>
      <c r="CU371" s="19">
        <f t="shared" si="634"/>
        <v>759.11995616701972</v>
      </c>
      <c r="CV371" s="15">
        <f t="shared" si="579"/>
        <v>5.0182399123340397E-6</v>
      </c>
      <c r="CW371" s="16">
        <f t="shared" si="580"/>
        <v>24.618879495920726</v>
      </c>
      <c r="CX371" s="17">
        <f t="shared" si="581"/>
        <v>1.2559116640094377E-2</v>
      </c>
      <c r="CY371" s="18">
        <f t="shared" si="635"/>
        <v>0.48201141208250986</v>
      </c>
      <c r="CZ371" s="20">
        <f t="shared" si="585"/>
        <v>558.78417580214079</v>
      </c>
      <c r="DA371" s="15">
        <f t="shared" si="582"/>
        <v>6.3115385678396446E-6</v>
      </c>
      <c r="DB371" s="16">
        <f t="shared" si="583"/>
        <v>37.290258901737914</v>
      </c>
      <c r="DC371" s="17">
        <f t="shared" si="584"/>
        <v>1.5795846838076773E-2</v>
      </c>
      <c r="DD371" s="18">
        <f t="shared" si="636"/>
        <v>0.31822200272159695</v>
      </c>
    </row>
    <row r="372" spans="2:108" x14ac:dyDescent="0.25">
      <c r="B372">
        <v>105</v>
      </c>
      <c r="C372">
        <f t="shared" si="637"/>
        <v>0.1026495399662514</v>
      </c>
      <c r="D372" s="19">
        <f t="shared" si="534"/>
        <v>1018.2857507178818</v>
      </c>
      <c r="E372" s="15">
        <f t="shared" si="586"/>
        <v>5.5365715014357632E-6</v>
      </c>
      <c r="F372" s="16">
        <f t="shared" si="535"/>
        <v>27.599286133255639</v>
      </c>
      <c r="G372" s="17">
        <f t="shared" si="532"/>
        <v>1.3856341762746244E-2</v>
      </c>
      <c r="H372" s="18">
        <f t="shared" si="587"/>
        <v>0.42995970303084446</v>
      </c>
      <c r="I372" s="19">
        <f t="shared" si="588"/>
        <v>1017.9614465493781</v>
      </c>
      <c r="J372" s="15">
        <f t="shared" si="589"/>
        <v>5.535922893098757E-6</v>
      </c>
      <c r="K372" s="16">
        <f t="shared" si="536"/>
        <v>27.595556635317848</v>
      </c>
      <c r="L372" s="17">
        <f t="shared" si="590"/>
        <v>1.3854718494847438E-2</v>
      </c>
      <c r="M372" s="18">
        <f t="shared" si="591"/>
        <v>0.43001781143746143</v>
      </c>
      <c r="N372" s="19">
        <f t="shared" si="592"/>
        <v>1017.0561522550121</v>
      </c>
      <c r="O372" s="15">
        <f t="shared" si="593"/>
        <v>5.5341123045100246E-6</v>
      </c>
      <c r="P372" s="16">
        <f t="shared" si="594"/>
        <v>27.585145750932639</v>
      </c>
      <c r="Q372" s="17">
        <f t="shared" si="533"/>
        <v>1.3856341762746244E-2</v>
      </c>
      <c r="R372" s="18">
        <f t="shared" si="595"/>
        <v>0.43018010406258939</v>
      </c>
      <c r="S372" s="19">
        <f t="shared" si="596"/>
        <v>1015.5549895494217</v>
      </c>
      <c r="T372" s="15">
        <f t="shared" si="597"/>
        <v>5.5311099790988447E-6</v>
      </c>
      <c r="U372" s="16">
        <f t="shared" si="598"/>
        <v>27.56788237981835</v>
      </c>
      <c r="V372" s="17">
        <f t="shared" si="599"/>
        <v>1.3842673246043154E-2</v>
      </c>
      <c r="W372" s="18">
        <f t="shared" si="600"/>
        <v>0.43044948851077075</v>
      </c>
      <c r="X372" s="19">
        <f t="shared" si="601"/>
        <v>1013.4557501909113</v>
      </c>
      <c r="Y372" s="15">
        <f t="shared" si="602"/>
        <v>5.5269115003818232E-6</v>
      </c>
      <c r="Z372" s="16">
        <f t="shared" si="603"/>
        <v>27.543741127195482</v>
      </c>
      <c r="AA372" s="17">
        <f t="shared" si="604"/>
        <v>1.3832165740455702E-2</v>
      </c>
      <c r="AB372" s="18">
        <f t="shared" si="605"/>
        <v>0.43082676441514173</v>
      </c>
      <c r="AC372" s="19">
        <f t="shared" si="606"/>
        <v>1010.7570762167356</v>
      </c>
      <c r="AD372" s="15">
        <f t="shared" si="537"/>
        <v>5.5215141524334717E-6</v>
      </c>
      <c r="AE372" s="16">
        <f t="shared" si="538"/>
        <v>27.51270637649246</v>
      </c>
      <c r="AF372" s="17">
        <f t="shared" si="539"/>
        <v>1.381865783258069E-2</v>
      </c>
      <c r="AG372" s="18">
        <f t="shared" si="607"/>
        <v>0.43131274354954047</v>
      </c>
      <c r="AH372" s="19">
        <f t="shared" si="608"/>
        <v>1007.4587964545733</v>
      </c>
      <c r="AI372" s="15">
        <f t="shared" si="540"/>
        <v>5.5149175929091473E-6</v>
      </c>
      <c r="AJ372" s="16">
        <f t="shared" si="541"/>
        <v>27.474776159227591</v>
      </c>
      <c r="AK372" s="17">
        <f t="shared" si="542"/>
        <v>1.380214866563439E-2</v>
      </c>
      <c r="AL372" s="18">
        <f t="shared" si="609"/>
        <v>0.43190819102387579</v>
      </c>
      <c r="AM372" s="19">
        <f t="shared" si="610"/>
        <v>1003.5608876276901</v>
      </c>
      <c r="AN372" s="15">
        <f t="shared" si="543"/>
        <v>5.5071217752553805E-6</v>
      </c>
      <c r="AO372" s="16">
        <f t="shared" si="544"/>
        <v>27.429950207718434</v>
      </c>
      <c r="AP372" s="17">
        <f t="shared" si="545"/>
        <v>1.3782638123107732E-2</v>
      </c>
      <c r="AQ372" s="18">
        <f t="shared" si="611"/>
        <v>0.43261401423830492</v>
      </c>
      <c r="AR372" s="19">
        <f t="shared" si="612"/>
        <v>999.06335139948692</v>
      </c>
      <c r="AS372" s="15">
        <f t="shared" si="546"/>
        <v>5.4981267027989744E-6</v>
      </c>
      <c r="AT372" s="16">
        <f t="shared" si="547"/>
        <v>27.378228541094099</v>
      </c>
      <c r="AU372" s="17">
        <f t="shared" si="548"/>
        <v>1.3760126213326685E-2</v>
      </c>
      <c r="AV372" s="18">
        <f t="shared" si="613"/>
        <v>0.4334312883650025</v>
      </c>
      <c r="AW372" s="19">
        <f t="shared" si="614"/>
        <v>993.96618442723388</v>
      </c>
      <c r="AX372" s="15">
        <f t="shared" si="549"/>
        <v>5.4879323688544683E-6</v>
      </c>
      <c r="AY372" s="16">
        <f t="shared" si="550"/>
        <v>27.319611120913187</v>
      </c>
      <c r="AZ372" s="17">
        <f t="shared" si="551"/>
        <v>1.3734612919559594E-2</v>
      </c>
      <c r="BA372" s="18">
        <f t="shared" si="615"/>
        <v>0.43436126587592677</v>
      </c>
      <c r="BB372" s="19">
        <f t="shared" si="616"/>
        <v>988.26933630349606</v>
      </c>
      <c r="BC372" s="15">
        <f t="shared" si="552"/>
        <v>5.4765386726069928E-6</v>
      </c>
      <c r="BD372" s="16">
        <f t="shared" si="553"/>
        <v>27.254097367490203</v>
      </c>
      <c r="BE372" s="17">
        <f t="shared" si="554"/>
        <v>1.3706097989497731E-2</v>
      </c>
      <c r="BF372" s="18">
        <f t="shared" si="617"/>
        <v>0.43540538913142796</v>
      </c>
      <c r="BG372" s="19">
        <f t="shared" si="618"/>
        <v>981.9724058730701</v>
      </c>
      <c r="BH372" s="15">
        <f t="shared" si="555"/>
        <v>5.4639448117461407E-6</v>
      </c>
      <c r="BI372" s="16">
        <f t="shared" si="556"/>
        <v>27.181682667540308</v>
      </c>
      <c r="BJ372" s="17">
        <f t="shared" si="557"/>
        <v>1.3674579415204021E-2</v>
      </c>
      <c r="BK372" s="18">
        <f t="shared" si="619"/>
        <v>0.43656535229471555</v>
      </c>
      <c r="BL372" s="19">
        <f t="shared" si="620"/>
        <v>975.07256370120319</v>
      </c>
      <c r="BM372" s="15">
        <f t="shared" si="558"/>
        <v>5.4501451274024072E-6</v>
      </c>
      <c r="BN372" s="16">
        <f t="shared" si="559"/>
        <v>27.102334482563833</v>
      </c>
      <c r="BO372" s="17">
        <f t="shared" si="560"/>
        <v>1.3640043034262278E-2</v>
      </c>
      <c r="BP372" s="18">
        <f t="shared" si="621"/>
        <v>0.43784349563511626</v>
      </c>
      <c r="BQ372" s="19">
        <f t="shared" si="622"/>
        <v>967.55197659571309</v>
      </c>
      <c r="BR372" s="15">
        <f t="shared" si="561"/>
        <v>5.435103953191427E-6</v>
      </c>
      <c r="BS372" s="16">
        <f t="shared" si="562"/>
        <v>27.015847730850702</v>
      </c>
      <c r="BT372" s="17">
        <f t="shared" si="563"/>
        <v>1.3602399584642546E-2</v>
      </c>
      <c r="BU372" s="18">
        <f t="shared" si="623"/>
        <v>0.43924517890167392</v>
      </c>
      <c r="BV372" s="19">
        <f t="shared" si="624"/>
        <v>959.31146181822191</v>
      </c>
      <c r="BW372" s="15">
        <f t="shared" si="564"/>
        <v>5.4186229236364448E-6</v>
      </c>
      <c r="BX372" s="16">
        <f t="shared" si="565"/>
        <v>26.921081810909552</v>
      </c>
      <c r="BY372" s="17">
        <f t="shared" si="566"/>
        <v>1.356115261834643E-2</v>
      </c>
      <c r="BZ372" s="18">
        <f t="shared" si="625"/>
        <v>0.44079138249596872</v>
      </c>
      <c r="CA372" s="19">
        <f t="shared" si="626"/>
        <v>949.8725393220933</v>
      </c>
      <c r="CB372" s="15">
        <f t="shared" si="567"/>
        <v>5.3997450786441876E-6</v>
      </c>
      <c r="CC372" s="16">
        <f t="shared" si="568"/>
        <v>26.81253420220407</v>
      </c>
      <c r="CD372" s="17">
        <f t="shared" si="569"/>
        <v>1.3513907157524867E-2</v>
      </c>
      <c r="CE372" s="18">
        <f t="shared" si="627"/>
        <v>0.44257587814069549</v>
      </c>
      <c r="CF372" s="19">
        <f t="shared" si="628"/>
        <v>937.27869125990605</v>
      </c>
      <c r="CG372" s="15">
        <f t="shared" si="570"/>
        <v>5.3745573825198122E-6</v>
      </c>
      <c r="CH372" s="16">
        <f t="shared" si="571"/>
        <v>26.667704949488918</v>
      </c>
      <c r="CI372" s="17">
        <f t="shared" si="572"/>
        <v>1.3450870072999716E-2</v>
      </c>
      <c r="CJ372" s="18">
        <f t="shared" si="629"/>
        <v>0.44497945706967629</v>
      </c>
      <c r="CK372" s="19">
        <f t="shared" si="630"/>
        <v>914.96803395008237</v>
      </c>
      <c r="CL372" s="15">
        <f t="shared" si="573"/>
        <v>5.3299360679001648E-6</v>
      </c>
      <c r="CM372" s="16">
        <f t="shared" si="574"/>
        <v>26.411132390425948</v>
      </c>
      <c r="CN372" s="17">
        <f t="shared" si="575"/>
        <v>1.3339196596894056E-2</v>
      </c>
      <c r="CO372" s="18">
        <f t="shared" si="631"/>
        <v>0.44930223718917639</v>
      </c>
      <c r="CP372" s="19">
        <f t="shared" si="632"/>
        <v>865.78388740977471</v>
      </c>
      <c r="CQ372" s="15">
        <f t="shared" si="576"/>
        <v>5.2315677748195495E-6</v>
      </c>
      <c r="CR372" s="16">
        <f t="shared" si="577"/>
        <v>25.845514705212409</v>
      </c>
      <c r="CS372" s="17">
        <f t="shared" si="578"/>
        <v>1.3093010904685525E-2</v>
      </c>
      <c r="CT372" s="18">
        <f t="shared" si="633"/>
        <v>0.45913501839933174</v>
      </c>
      <c r="CU372" s="19">
        <f t="shared" si="634"/>
        <v>757.79846526698441</v>
      </c>
      <c r="CV372" s="15">
        <f t="shared" si="579"/>
        <v>5.0155969305339691E-6</v>
      </c>
      <c r="CW372" s="16">
        <f t="shared" si="580"/>
        <v>24.60368235057032</v>
      </c>
      <c r="CX372" s="17">
        <f t="shared" si="581"/>
        <v>1.2552502066601558E-2</v>
      </c>
      <c r="CY372" s="18">
        <f t="shared" si="635"/>
        <v>0.48230913977162559</v>
      </c>
      <c r="CZ372" s="20">
        <f t="shared" si="585"/>
        <v>557.5119299690225</v>
      </c>
      <c r="DA372" s="15">
        <f t="shared" si="582"/>
        <v>6.331650174505736E-6</v>
      </c>
      <c r="DB372" s="16">
        <f t="shared" si="583"/>
        <v>37.327154030898342</v>
      </c>
      <c r="DC372" s="17">
        <f t="shared" si="584"/>
        <v>1.5846180026276552E-2</v>
      </c>
      <c r="DD372" s="18">
        <f t="shared" si="636"/>
        <v>0.31790746382365731</v>
      </c>
    </row>
    <row r="373" spans="2:108" x14ac:dyDescent="0.25">
      <c r="B373">
        <v>106</v>
      </c>
      <c r="C373">
        <f t="shared" si="637"/>
        <v>0.10362715463259665</v>
      </c>
      <c r="D373" s="19">
        <f t="shared" si="534"/>
        <v>1018.269193385314</v>
      </c>
      <c r="E373" s="15">
        <f t="shared" si="586"/>
        <v>5.5365383867706284E-6</v>
      </c>
      <c r="F373" s="16">
        <f t="shared" si="535"/>
        <v>27.599095723931111</v>
      </c>
      <c r="G373" s="17">
        <f t="shared" si="532"/>
        <v>1.3856258886887537E-2</v>
      </c>
      <c r="H373" s="18">
        <f t="shared" si="587"/>
        <v>0.4299626693721133</v>
      </c>
      <c r="I373" s="19">
        <f t="shared" si="588"/>
        <v>1017.9448773824693</v>
      </c>
      <c r="J373" s="15">
        <f t="shared" si="589"/>
        <v>5.5358897547649391E-6</v>
      </c>
      <c r="K373" s="16">
        <f t="shared" si="536"/>
        <v>27.595366089898395</v>
      </c>
      <c r="L373" s="17">
        <f t="shared" si="590"/>
        <v>1.3854635559753272E-2</v>
      </c>
      <c r="M373" s="18">
        <f t="shared" si="591"/>
        <v>0.43002078070135835</v>
      </c>
      <c r="N373" s="19">
        <f t="shared" si="592"/>
        <v>1017.0395615691518</v>
      </c>
      <c r="O373" s="15">
        <f t="shared" si="593"/>
        <v>5.5340791231383034E-6</v>
      </c>
      <c r="P373" s="16">
        <f t="shared" si="594"/>
        <v>27.584954958045245</v>
      </c>
      <c r="Q373" s="17">
        <f t="shared" si="533"/>
        <v>1.3856258886887537E-2</v>
      </c>
      <c r="R373" s="18">
        <f t="shared" si="595"/>
        <v>0.43018307942739525</v>
      </c>
      <c r="S373" s="19">
        <f t="shared" si="596"/>
        <v>1015.5383877606351</v>
      </c>
      <c r="T373" s="15">
        <f t="shared" si="597"/>
        <v>5.5310767755212713E-6</v>
      </c>
      <c r="U373" s="16">
        <f t="shared" si="598"/>
        <v>27.567691459247303</v>
      </c>
      <c r="V373" s="17">
        <f t="shared" si="599"/>
        <v>1.3842590147663862E-2</v>
      </c>
      <c r="W373" s="18">
        <f t="shared" si="600"/>
        <v>0.43045246959688294</v>
      </c>
      <c r="X373" s="19">
        <f t="shared" si="601"/>
        <v>1013.4391505197278</v>
      </c>
      <c r="Y373" s="15">
        <f t="shared" si="602"/>
        <v>5.526878301039456E-6</v>
      </c>
      <c r="Z373" s="16">
        <f t="shared" si="603"/>
        <v>27.543550230976869</v>
      </c>
      <c r="AA373" s="17">
        <f t="shared" si="604"/>
        <v>1.3832082652675836E-2</v>
      </c>
      <c r="AB373" s="18">
        <f t="shared" si="605"/>
        <v>0.43082975034830989</v>
      </c>
      <c r="AC373" s="19">
        <f t="shared" si="606"/>
        <v>1010.7404873839427</v>
      </c>
      <c r="AD373" s="15">
        <f t="shared" si="537"/>
        <v>5.5214809747678856E-6</v>
      </c>
      <c r="AE373" s="16">
        <f t="shared" si="538"/>
        <v>27.51251560491534</v>
      </c>
      <c r="AF373" s="17">
        <f t="shared" si="539"/>
        <v>1.381857479905116E-2</v>
      </c>
      <c r="AG373" s="18">
        <f t="shared" si="607"/>
        <v>0.43131573426887343</v>
      </c>
      <c r="AH373" s="19">
        <f t="shared" si="608"/>
        <v>1007.4422236796336</v>
      </c>
      <c r="AI373" s="15">
        <f t="shared" si="540"/>
        <v>5.5148844473592685E-6</v>
      </c>
      <c r="AJ373" s="16">
        <f t="shared" si="541"/>
        <v>27.474585572315785</v>
      </c>
      <c r="AK373" s="17">
        <f t="shared" si="542"/>
        <v>1.3802065712480634E-2</v>
      </c>
      <c r="AL373" s="18">
        <f t="shared" si="609"/>
        <v>0.4319111871035835</v>
      </c>
      <c r="AM373" s="19">
        <f t="shared" si="610"/>
        <v>1003.544334782013</v>
      </c>
      <c r="AN373" s="15">
        <f t="shared" si="543"/>
        <v>5.507088669564027E-6</v>
      </c>
      <c r="AO373" s="16">
        <f t="shared" si="544"/>
        <v>27.429759849993147</v>
      </c>
      <c r="AP373" s="17">
        <f t="shared" si="545"/>
        <v>1.3782555269707649E-2</v>
      </c>
      <c r="AQ373" s="18">
        <f t="shared" si="611"/>
        <v>0.4326170165037323</v>
      </c>
      <c r="AR373" s="19">
        <f t="shared" si="612"/>
        <v>999.04682198516832</v>
      </c>
      <c r="AS373" s="15">
        <f t="shared" si="546"/>
        <v>5.4980936439703371E-6</v>
      </c>
      <c r="AT373" s="16">
        <f t="shared" si="547"/>
        <v>27.378038452829436</v>
      </c>
      <c r="AU373" s="17">
        <f t="shared" si="548"/>
        <v>1.3760043477209622E-2</v>
      </c>
      <c r="AV373" s="18">
        <f t="shared" si="613"/>
        <v>0.43343429771870762</v>
      </c>
      <c r="AW373" s="19">
        <f t="shared" si="614"/>
        <v>993.94968133757175</v>
      </c>
      <c r="AX373" s="15">
        <f t="shared" si="549"/>
        <v>5.4878993626751441E-6</v>
      </c>
      <c r="AY373" s="16">
        <f t="shared" si="550"/>
        <v>27.319421335382074</v>
      </c>
      <c r="AZ373" s="17">
        <f t="shared" si="551"/>
        <v>1.3734530315207626E-2</v>
      </c>
      <c r="BA373" s="18">
        <f t="shared" si="615"/>
        <v>0.43436428334406885</v>
      </c>
      <c r="BB373" s="19">
        <f t="shared" si="616"/>
        <v>988.25285800910592</v>
      </c>
      <c r="BC373" s="15">
        <f t="shared" si="552"/>
        <v>5.476505716018212E-6</v>
      </c>
      <c r="BD373" s="16">
        <f t="shared" si="553"/>
        <v>27.253907867104715</v>
      </c>
      <c r="BE373" s="17">
        <f t="shared" si="554"/>
        <v>1.3706015509255697E-2</v>
      </c>
      <c r="BF373" s="18">
        <f t="shared" si="617"/>
        <v>0.43540841656842844</v>
      </c>
      <c r="BG373" s="19">
        <f t="shared" si="618"/>
        <v>981.95592075675665</v>
      </c>
      <c r="BH373" s="15">
        <f t="shared" si="555"/>
        <v>5.4639118415135133E-6</v>
      </c>
      <c r="BI373" s="16">
        <f t="shared" si="556"/>
        <v>27.181493088702702</v>
      </c>
      <c r="BJ373" s="17">
        <f t="shared" si="557"/>
        <v>1.3674496900815621E-2</v>
      </c>
      <c r="BK373" s="18">
        <f t="shared" si="619"/>
        <v>0.43656839714408263</v>
      </c>
      <c r="BL373" s="19">
        <f t="shared" si="620"/>
        <v>975.05585898838797</v>
      </c>
      <c r="BM373" s="15">
        <f t="shared" si="558"/>
        <v>5.4501117179767761E-6</v>
      </c>
      <c r="BN373" s="16">
        <f t="shared" si="559"/>
        <v>27.102142378366459</v>
      </c>
      <c r="BO373" s="17">
        <f t="shared" si="560"/>
        <v>1.363995942070838E-2</v>
      </c>
      <c r="BP373" s="18">
        <f t="shared" si="621"/>
        <v>0.43784659913786267</v>
      </c>
      <c r="BQ373" s="19">
        <f t="shared" si="622"/>
        <v>967.53388831955385</v>
      </c>
      <c r="BR373" s="15">
        <f t="shared" si="561"/>
        <v>5.4350677766391082E-6</v>
      </c>
      <c r="BS373" s="16">
        <f t="shared" si="562"/>
        <v>27.015639715674869</v>
      </c>
      <c r="BT373" s="17">
        <f t="shared" si="563"/>
        <v>1.3602309045818547E-2</v>
      </c>
      <c r="BU373" s="18">
        <f t="shared" si="623"/>
        <v>0.43924856100419252</v>
      </c>
      <c r="BV373" s="19">
        <f t="shared" si="624"/>
        <v>959.28657209287178</v>
      </c>
      <c r="BW373" s="15">
        <f t="shared" si="564"/>
        <v>5.4185731441857442E-6</v>
      </c>
      <c r="BX373" s="16">
        <f t="shared" si="565"/>
        <v>26.920795579068024</v>
      </c>
      <c r="BY373" s="17">
        <f t="shared" si="566"/>
        <v>1.3561028035636444E-2</v>
      </c>
      <c r="BZ373" s="18">
        <f t="shared" si="625"/>
        <v>0.44079606915274938</v>
      </c>
      <c r="CA373" s="19">
        <f t="shared" si="626"/>
        <v>949.81979572073351</v>
      </c>
      <c r="CB373" s="15">
        <f t="shared" si="567"/>
        <v>5.3996395914414669E-6</v>
      </c>
      <c r="CC373" s="16">
        <f t="shared" si="568"/>
        <v>26.811927650788434</v>
      </c>
      <c r="CD373" s="17">
        <f t="shared" si="569"/>
        <v>1.3513643155383448E-2</v>
      </c>
      <c r="CE373" s="18">
        <f t="shared" si="627"/>
        <v>0.44258589029009815</v>
      </c>
      <c r="CF373" s="19">
        <f t="shared" si="628"/>
        <v>937.13264154743354</v>
      </c>
      <c r="CG373" s="15">
        <f t="shared" si="570"/>
        <v>5.3742652830948676E-6</v>
      </c>
      <c r="CH373" s="16">
        <f t="shared" si="571"/>
        <v>26.666025377795485</v>
      </c>
      <c r="CI373" s="17">
        <f t="shared" si="572"/>
        <v>1.3450139037654161E-2</v>
      </c>
      <c r="CJ373" s="18">
        <f t="shared" si="629"/>
        <v>0.44500748430244402</v>
      </c>
      <c r="CK373" s="19">
        <f t="shared" si="630"/>
        <v>914.57829898785099</v>
      </c>
      <c r="CL373" s="15">
        <f t="shared" si="573"/>
        <v>5.3291565979757021E-6</v>
      </c>
      <c r="CM373" s="16">
        <f t="shared" si="574"/>
        <v>26.406650438360288</v>
      </c>
      <c r="CN373" s="17">
        <f t="shared" si="575"/>
        <v>1.3337245822544926E-2</v>
      </c>
      <c r="CO373" s="18">
        <f t="shared" si="631"/>
        <v>0.44937849642905148</v>
      </c>
      <c r="CP373" s="19">
        <f t="shared" si="632"/>
        <v>864.9414123097921</v>
      </c>
      <c r="CQ373" s="15">
        <f t="shared" si="576"/>
        <v>5.2298828246195843E-6</v>
      </c>
      <c r="CR373" s="16">
        <f t="shared" si="577"/>
        <v>25.835826241562607</v>
      </c>
      <c r="CS373" s="17">
        <f t="shared" si="578"/>
        <v>1.3088793990695005E-2</v>
      </c>
      <c r="CT373" s="18">
        <f t="shared" si="633"/>
        <v>0.45930719454320734</v>
      </c>
      <c r="CU373" s="19">
        <f t="shared" si="634"/>
        <v>756.48417321852003</v>
      </c>
      <c r="CV373" s="15">
        <f t="shared" si="579"/>
        <v>5.0129683464370405E-6</v>
      </c>
      <c r="CW373" s="16">
        <f t="shared" si="580"/>
        <v>24.58856799201298</v>
      </c>
      <c r="CX373" s="17">
        <f t="shared" si="581"/>
        <v>1.2545923526147466E-2</v>
      </c>
      <c r="CY373" s="18">
        <f t="shared" si="635"/>
        <v>0.48260561060621665</v>
      </c>
      <c r="CZ373" s="20">
        <f t="shared" si="585"/>
        <v>556.25026475938353</v>
      </c>
      <c r="DA373" s="15">
        <f t="shared" si="582"/>
        <v>6.3515656022063565E-6</v>
      </c>
      <c r="DB373" s="16">
        <f t="shared" si="583"/>
        <v>37.363742321977874</v>
      </c>
      <c r="DC373" s="17">
        <f t="shared" si="584"/>
        <v>1.5896022238645616E-2</v>
      </c>
      <c r="DD373" s="18">
        <f t="shared" si="636"/>
        <v>0.31759615424651427</v>
      </c>
    </row>
    <row r="374" spans="2:108" x14ac:dyDescent="0.25">
      <c r="B374">
        <v>107</v>
      </c>
      <c r="C374">
        <f t="shared" si="637"/>
        <v>0.10460476929894191</v>
      </c>
      <c r="D374" s="19">
        <f t="shared" si="534"/>
        <v>1018.2526354485444</v>
      </c>
      <c r="E374" s="15">
        <f t="shared" si="586"/>
        <v>5.5365052708970893E-6</v>
      </c>
      <c r="F374" s="16">
        <f t="shared" si="535"/>
        <v>27.59890530765826</v>
      </c>
      <c r="G374" s="17">
        <f t="shared" si="532"/>
        <v>1.3856176008004567E-2</v>
      </c>
      <c r="H374" s="18">
        <f t="shared" si="587"/>
        <v>0.4299656358625612</v>
      </c>
      <c r="I374" s="19">
        <f t="shared" si="588"/>
        <v>1017.9283079493998</v>
      </c>
      <c r="J374" s="15">
        <f t="shared" si="589"/>
        <v>5.5358566158987999E-6</v>
      </c>
      <c r="K374" s="16">
        <f t="shared" si="536"/>
        <v>27.595175541418097</v>
      </c>
      <c r="L374" s="17">
        <f t="shared" si="590"/>
        <v>1.3854552623326868E-2</v>
      </c>
      <c r="M374" s="18">
        <f t="shared" si="591"/>
        <v>0.43002375005395899</v>
      </c>
      <c r="N374" s="19">
        <f t="shared" si="592"/>
        <v>1017.0229710139255</v>
      </c>
      <c r="O374" s="15">
        <f t="shared" si="593"/>
        <v>5.5340459420278512E-6</v>
      </c>
      <c r="P374" s="16">
        <f t="shared" si="594"/>
        <v>27.584764166660143</v>
      </c>
      <c r="Q374" s="17">
        <f t="shared" si="533"/>
        <v>1.3856176008004567E-2</v>
      </c>
      <c r="R374" s="18">
        <f t="shared" si="595"/>
        <v>0.43018605480993161</v>
      </c>
      <c r="S374" s="19">
        <f t="shared" si="596"/>
        <v>1015.521786233585</v>
      </c>
      <c r="T374" s="15">
        <f t="shared" si="597"/>
        <v>5.5310435724671702E-6</v>
      </c>
      <c r="U374" s="16">
        <f t="shared" si="598"/>
        <v>27.567500541686226</v>
      </c>
      <c r="V374" s="17">
        <f t="shared" si="599"/>
        <v>1.3842507050594661E-2</v>
      </c>
      <c r="W374" s="18">
        <f t="shared" si="600"/>
        <v>0.43045545067728702</v>
      </c>
      <c r="X374" s="19">
        <f t="shared" si="601"/>
        <v>1013.4225510913276</v>
      </c>
      <c r="Y374" s="15">
        <f t="shared" si="602"/>
        <v>5.5268451021826555E-6</v>
      </c>
      <c r="Z374" s="16">
        <f t="shared" si="603"/>
        <v>27.543359337550264</v>
      </c>
      <c r="AA374" s="17">
        <f t="shared" si="604"/>
        <v>1.383199956611119E-2</v>
      </c>
      <c r="AB374" s="18">
        <f t="shared" si="605"/>
        <v>0.43083273627919511</v>
      </c>
      <c r="AC374" s="19">
        <f t="shared" si="606"/>
        <v>1010.7238987601939</v>
      </c>
      <c r="AD374" s="15">
        <f t="shared" si="537"/>
        <v>5.5214477975203889E-6</v>
      </c>
      <c r="AE374" s="16">
        <f t="shared" si="538"/>
        <v>27.512324835742227</v>
      </c>
      <c r="AF374" s="17">
        <f t="shared" si="539"/>
        <v>1.3818491766567983E-2</v>
      </c>
      <c r="AG374" s="18">
        <f t="shared" si="607"/>
        <v>0.43131872499199364</v>
      </c>
      <c r="AH374" s="19">
        <f t="shared" si="608"/>
        <v>1007.4256510992134</v>
      </c>
      <c r="AI374" s="15">
        <f t="shared" si="540"/>
        <v>5.5148513021984269E-6</v>
      </c>
      <c r="AJ374" s="16">
        <f t="shared" si="541"/>
        <v>27.474394987640952</v>
      </c>
      <c r="AK374" s="17">
        <f t="shared" si="542"/>
        <v>1.3801982760300518E-2</v>
      </c>
      <c r="AL374" s="18">
        <f t="shared" si="609"/>
        <v>0.4319141831896916</v>
      </c>
      <c r="AM374" s="19">
        <f t="shared" si="610"/>
        <v>1003.5277821269038</v>
      </c>
      <c r="AN374" s="15">
        <f t="shared" si="543"/>
        <v>5.5070555642538087E-6</v>
      </c>
      <c r="AO374" s="16">
        <f t="shared" si="544"/>
        <v>27.429569494459393</v>
      </c>
      <c r="AP374" s="17">
        <f t="shared" si="545"/>
        <v>1.3782472417261434E-2</v>
      </c>
      <c r="AQ374" s="18">
        <f t="shared" si="611"/>
        <v>0.43262001877626538</v>
      </c>
      <c r="AR374" s="19">
        <f t="shared" si="612"/>
        <v>999.03029275295148</v>
      </c>
      <c r="AS374" s="15">
        <f t="shared" si="546"/>
        <v>5.4980605855059035E-6</v>
      </c>
      <c r="AT374" s="16">
        <f t="shared" si="547"/>
        <v>27.377848366658942</v>
      </c>
      <c r="AU374" s="17">
        <f t="shared" si="548"/>
        <v>1.375996074200405E-2</v>
      </c>
      <c r="AV374" s="18">
        <f t="shared" si="613"/>
        <v>0.43343730708104722</v>
      </c>
      <c r="AW374" s="19">
        <f t="shared" si="614"/>
        <v>993.9331783651719</v>
      </c>
      <c r="AX374" s="15">
        <f t="shared" si="549"/>
        <v>5.4878663567303439E-6</v>
      </c>
      <c r="AY374" s="16">
        <f t="shared" si="550"/>
        <v>27.319231551199476</v>
      </c>
      <c r="AZ374" s="17">
        <f t="shared" si="551"/>
        <v>1.37344477114426E-2</v>
      </c>
      <c r="BA374" s="18">
        <f t="shared" si="615"/>
        <v>0.43436730083269437</v>
      </c>
      <c r="BB374" s="19">
        <f t="shared" si="616"/>
        <v>988.2363793919194</v>
      </c>
      <c r="BC374" s="15">
        <f t="shared" si="552"/>
        <v>5.4764727587838389E-6</v>
      </c>
      <c r="BD374" s="16">
        <f t="shared" si="553"/>
        <v>27.253718363007074</v>
      </c>
      <c r="BE374" s="17">
        <f t="shared" si="554"/>
        <v>1.3705933027397942E-2</v>
      </c>
      <c r="BF374" s="18">
        <f t="shared" si="617"/>
        <v>0.4354114441068358</v>
      </c>
      <c r="BG374" s="19">
        <f t="shared" si="618"/>
        <v>981.93943268231737</v>
      </c>
      <c r="BH374" s="15">
        <f t="shared" si="555"/>
        <v>5.4638788653646352E-6</v>
      </c>
      <c r="BI374" s="16">
        <f t="shared" si="556"/>
        <v>27.181303475846647</v>
      </c>
      <c r="BJ374" s="17">
        <f t="shared" si="557"/>
        <v>1.3674414371620655E-2</v>
      </c>
      <c r="BK374" s="18">
        <f t="shared" si="619"/>
        <v>0.4365714425823089</v>
      </c>
      <c r="BL374" s="19">
        <f t="shared" si="620"/>
        <v>975.03913754639711</v>
      </c>
      <c r="BM374" s="15">
        <f t="shared" si="558"/>
        <v>5.4500782750927939E-6</v>
      </c>
      <c r="BN374" s="16">
        <f t="shared" si="559"/>
        <v>27.101950081783563</v>
      </c>
      <c r="BO374" s="17">
        <f t="shared" si="560"/>
        <v>1.3639875723418482E-2</v>
      </c>
      <c r="BP374" s="18">
        <f t="shared" si="621"/>
        <v>0.43784970579271931</v>
      </c>
      <c r="BQ374" s="19">
        <f t="shared" si="622"/>
        <v>967.51572196115364</v>
      </c>
      <c r="BR374" s="15">
        <f t="shared" si="561"/>
        <v>5.4350314439223082E-6</v>
      </c>
      <c r="BS374" s="16">
        <f t="shared" si="562"/>
        <v>27.015430802553269</v>
      </c>
      <c r="BT374" s="17">
        <f t="shared" si="563"/>
        <v>1.3602218116162707E-2</v>
      </c>
      <c r="BU374" s="18">
        <f t="shared" si="623"/>
        <v>0.43925195775876247</v>
      </c>
      <c r="BV374" s="19">
        <f t="shared" si="624"/>
        <v>959.26137933887287</v>
      </c>
      <c r="BW374" s="15">
        <f t="shared" si="564"/>
        <v>5.4185227586777463E-6</v>
      </c>
      <c r="BX374" s="16">
        <f t="shared" si="565"/>
        <v>26.920505862397036</v>
      </c>
      <c r="BY374" s="17">
        <f t="shared" si="566"/>
        <v>1.3560901936150775E-2</v>
      </c>
      <c r="BZ374" s="18">
        <f t="shared" si="625"/>
        <v>0.44080081297035789</v>
      </c>
      <c r="CA374" s="19">
        <f t="shared" si="626"/>
        <v>949.76611025052034</v>
      </c>
      <c r="CB374" s="15">
        <f t="shared" si="567"/>
        <v>5.3995322205010413E-6</v>
      </c>
      <c r="CC374" s="16">
        <f t="shared" si="568"/>
        <v>26.811310267880984</v>
      </c>
      <c r="CD374" s="17">
        <f t="shared" si="569"/>
        <v>1.3513374438823835E-2</v>
      </c>
      <c r="CE374" s="18">
        <f t="shared" si="627"/>
        <v>0.44259608169667297</v>
      </c>
      <c r="CF374" s="19">
        <f t="shared" si="628"/>
        <v>936.98442030045078</v>
      </c>
      <c r="CG374" s="15">
        <f t="shared" si="570"/>
        <v>5.3739688406009023E-6</v>
      </c>
      <c r="CH374" s="16">
        <f t="shared" si="571"/>
        <v>26.664320833455186</v>
      </c>
      <c r="CI374" s="17">
        <f t="shared" si="572"/>
        <v>1.3449397132937801E-2</v>
      </c>
      <c r="CJ374" s="18">
        <f t="shared" si="629"/>
        <v>0.44503593186701906</v>
      </c>
      <c r="CK374" s="19">
        <f t="shared" si="630"/>
        <v>914.1854983757039</v>
      </c>
      <c r="CL374" s="15">
        <f t="shared" si="573"/>
        <v>5.3283709967514079E-6</v>
      </c>
      <c r="CM374" s="16">
        <f t="shared" si="574"/>
        <v>26.402133231320594</v>
      </c>
      <c r="CN374" s="17">
        <f t="shared" si="575"/>
        <v>1.3335279703431277E-2</v>
      </c>
      <c r="CO374" s="18">
        <f t="shared" si="631"/>
        <v>0.44945538172046978</v>
      </c>
      <c r="CP374" s="19">
        <f t="shared" si="632"/>
        <v>864.0984645307019</v>
      </c>
      <c r="CQ374" s="15">
        <f t="shared" si="576"/>
        <v>5.2281969290614043E-6</v>
      </c>
      <c r="CR374" s="16">
        <f t="shared" si="577"/>
        <v>25.826132342103072</v>
      </c>
      <c r="CS374" s="17">
        <f t="shared" si="578"/>
        <v>1.3084574710762579E-2</v>
      </c>
      <c r="CT374" s="18">
        <f t="shared" si="633"/>
        <v>0.45947959657793574</v>
      </c>
      <c r="CU374" s="19">
        <f t="shared" si="634"/>
        <v>755.17702262666398</v>
      </c>
      <c r="CV374" s="15">
        <f t="shared" si="579"/>
        <v>5.0103540452533285E-6</v>
      </c>
      <c r="CW374" s="16">
        <f t="shared" si="580"/>
        <v>24.573535760206635</v>
      </c>
      <c r="CX374" s="17">
        <f t="shared" si="581"/>
        <v>1.2539380731448099E-2</v>
      </c>
      <c r="CY374" s="18">
        <f t="shared" si="635"/>
        <v>0.48290083224141261</v>
      </c>
      <c r="CZ374" s="20">
        <f t="shared" si="585"/>
        <v>554.99899113794254</v>
      </c>
      <c r="DA374" s="15">
        <f t="shared" si="582"/>
        <v>6.371288872296385E-6</v>
      </c>
      <c r="DB374" s="16">
        <f t="shared" si="583"/>
        <v>37.400029256999659</v>
      </c>
      <c r="DC374" s="17">
        <f t="shared" si="584"/>
        <v>1.5945383539402863E-2</v>
      </c>
      <c r="DD374" s="18">
        <f t="shared" si="636"/>
        <v>0.31728801034285264</v>
      </c>
    </row>
    <row r="375" spans="2:108" x14ac:dyDescent="0.25">
      <c r="B375">
        <v>108</v>
      </c>
      <c r="C375">
        <f t="shared" si="637"/>
        <v>0.10558238396528716</v>
      </c>
      <c r="D375" s="19">
        <f t="shared" si="534"/>
        <v>1018.2360769248319</v>
      </c>
      <c r="E375" s="15">
        <f t="shared" si="586"/>
        <v>5.5364721538496642E-6</v>
      </c>
      <c r="F375" s="16">
        <f t="shared" si="535"/>
        <v>27.598714884635566</v>
      </c>
      <c r="G375" s="17">
        <f t="shared" si="532"/>
        <v>1.385609312618372E-2</v>
      </c>
      <c r="H375" s="18">
        <f t="shared" si="587"/>
        <v>0.42996860249910124</v>
      </c>
      <c r="I375" s="19">
        <f t="shared" si="588"/>
        <v>1017.9117382560828</v>
      </c>
      <c r="J375" s="15">
        <f t="shared" si="589"/>
        <v>5.5358234765121657E-6</v>
      </c>
      <c r="K375" s="16">
        <f t="shared" si="536"/>
        <v>27.594984989944951</v>
      </c>
      <c r="L375" s="17">
        <f t="shared" si="590"/>
        <v>1.3854469685597826E-2</v>
      </c>
      <c r="M375" s="18">
        <f t="shared" si="591"/>
        <v>0.43002671949420657</v>
      </c>
      <c r="N375" s="19">
        <f t="shared" si="592"/>
        <v>1017.0063805874817</v>
      </c>
      <c r="O375" s="15">
        <f t="shared" si="593"/>
        <v>5.5340127611749639E-6</v>
      </c>
      <c r="P375" s="16">
        <f t="shared" si="594"/>
        <v>27.58457337675604</v>
      </c>
      <c r="Q375" s="17">
        <f t="shared" si="533"/>
        <v>1.385609312618372E-2</v>
      </c>
      <c r="R375" s="18">
        <f t="shared" si="595"/>
        <v>0.43018903021053045</v>
      </c>
      <c r="S375" s="19">
        <f t="shared" si="596"/>
        <v>1015.5051849664526</v>
      </c>
      <c r="T375" s="15">
        <f t="shared" si="597"/>
        <v>5.531010369932905E-6</v>
      </c>
      <c r="U375" s="16">
        <f t="shared" si="598"/>
        <v>27.567309627114206</v>
      </c>
      <c r="V375" s="17">
        <f t="shared" si="599"/>
        <v>1.3842423954826452E-2</v>
      </c>
      <c r="W375" s="18">
        <f t="shared" si="600"/>
        <v>0.43045843175230852</v>
      </c>
      <c r="X375" s="19">
        <f t="shared" si="601"/>
        <v>1013.4059519054116</v>
      </c>
      <c r="Y375" s="15">
        <f t="shared" si="602"/>
        <v>5.5268119038108238E-6</v>
      </c>
      <c r="Z375" s="16">
        <f t="shared" si="603"/>
        <v>27.543168446912233</v>
      </c>
      <c r="AA375" s="17">
        <f t="shared" si="604"/>
        <v>1.3831916480760275E-2</v>
      </c>
      <c r="AB375" s="18">
        <f t="shared" si="605"/>
        <v>0.43083572220784999</v>
      </c>
      <c r="AC375" s="19">
        <f t="shared" si="606"/>
        <v>1010.7073103456859</v>
      </c>
      <c r="AD375" s="15">
        <f t="shared" si="537"/>
        <v>5.5214146206913723E-6</v>
      </c>
      <c r="AE375" s="16">
        <f t="shared" si="538"/>
        <v>27.512134068975385</v>
      </c>
      <c r="AF375" s="17">
        <f t="shared" si="539"/>
        <v>1.3818408735132131E-2</v>
      </c>
      <c r="AG375" s="18">
        <f t="shared" si="607"/>
        <v>0.43132171571886491</v>
      </c>
      <c r="AH375" s="19">
        <f t="shared" si="608"/>
        <v>1007.4090787134351</v>
      </c>
      <c r="AI375" s="15">
        <f t="shared" si="540"/>
        <v>5.5148181574268705E-6</v>
      </c>
      <c r="AJ375" s="16">
        <f t="shared" si="541"/>
        <v>27.474204405204503</v>
      </c>
      <c r="AK375" s="17">
        <f t="shared" si="542"/>
        <v>1.3801899809094666E-2</v>
      </c>
      <c r="AL375" s="18">
        <f t="shared" si="609"/>
        <v>0.43191717928217727</v>
      </c>
      <c r="AM375" s="19">
        <f t="shared" si="610"/>
        <v>1003.5112296622857</v>
      </c>
      <c r="AN375" s="15">
        <f t="shared" si="543"/>
        <v>5.5070224593245714E-6</v>
      </c>
      <c r="AO375" s="16">
        <f t="shared" si="544"/>
        <v>27.429379141116286</v>
      </c>
      <c r="AP375" s="17">
        <f t="shared" si="545"/>
        <v>1.3782389565768695E-2</v>
      </c>
      <c r="AQ375" s="18">
        <f t="shared" si="611"/>
        <v>0.4326230210559176</v>
      </c>
      <c r="AR375" s="19">
        <f t="shared" si="612"/>
        <v>999.01376370199421</v>
      </c>
      <c r="AS375" s="15">
        <f t="shared" si="546"/>
        <v>5.4980275274039891E-6</v>
      </c>
      <c r="AT375" s="16">
        <f t="shared" si="547"/>
        <v>27.377658282572931</v>
      </c>
      <c r="AU375" s="17">
        <f t="shared" si="548"/>
        <v>1.3759878007705749E-2</v>
      </c>
      <c r="AV375" s="18">
        <f t="shared" si="613"/>
        <v>0.43344031645217418</v>
      </c>
      <c r="AW375" s="19">
        <f t="shared" si="614"/>
        <v>993.91667550448415</v>
      </c>
      <c r="AX375" s="15">
        <f t="shared" si="549"/>
        <v>5.487833351008969E-6</v>
      </c>
      <c r="AY375" s="16">
        <f t="shared" si="550"/>
        <v>27.319041768301567</v>
      </c>
      <c r="AZ375" s="17">
        <f t="shared" si="551"/>
        <v>1.3734365108236739E-2</v>
      </c>
      <c r="BA375" s="18">
        <f t="shared" si="615"/>
        <v>0.4343703183428182</v>
      </c>
      <c r="BB375" s="19">
        <f t="shared" si="616"/>
        <v>988.21990041967831</v>
      </c>
      <c r="BC375" s="15">
        <f t="shared" si="552"/>
        <v>5.4764398008393573E-6</v>
      </c>
      <c r="BD375" s="16">
        <f t="shared" si="553"/>
        <v>27.2535288548263</v>
      </c>
      <c r="BE375" s="17">
        <f t="shared" si="554"/>
        <v>1.3705850543763004E-2</v>
      </c>
      <c r="BF375" s="18">
        <f t="shared" si="617"/>
        <v>0.4354144717525803</v>
      </c>
      <c r="BG375" s="19">
        <f t="shared" si="618"/>
        <v>981.92294148694566</v>
      </c>
      <c r="BH375" s="15">
        <f t="shared" si="555"/>
        <v>5.4638458829738917E-6</v>
      </c>
      <c r="BI375" s="16">
        <f t="shared" si="556"/>
        <v>27.181113827099875</v>
      </c>
      <c r="BJ375" s="17">
        <f t="shared" si="557"/>
        <v>1.3674331826804217E-2</v>
      </c>
      <c r="BK375" s="18">
        <f t="shared" si="619"/>
        <v>0.43657448863949</v>
      </c>
      <c r="BL375" s="19">
        <f t="shared" si="620"/>
        <v>975.02239868199774</v>
      </c>
      <c r="BM375" s="15">
        <f t="shared" si="558"/>
        <v>5.4500447973639964E-6</v>
      </c>
      <c r="BN375" s="16">
        <f t="shared" si="559"/>
        <v>27.101757584842971</v>
      </c>
      <c r="BO375" s="17">
        <f t="shared" si="560"/>
        <v>1.3639791938922693E-2</v>
      </c>
      <c r="BP375" s="18">
        <f t="shared" si="621"/>
        <v>0.43785281572861701</v>
      </c>
      <c r="BQ375" s="19">
        <f t="shared" si="622"/>
        <v>967.49747514001467</v>
      </c>
      <c r="BR375" s="15">
        <f t="shared" si="561"/>
        <v>5.4349949502800293E-6</v>
      </c>
      <c r="BS375" s="16">
        <f t="shared" si="562"/>
        <v>27.015220964110167</v>
      </c>
      <c r="BT375" s="17">
        <f t="shared" si="563"/>
        <v>1.3602126783759711E-2</v>
      </c>
      <c r="BU375" s="18">
        <f t="shared" si="623"/>
        <v>0.43925536961117956</v>
      </c>
      <c r="BV375" s="19">
        <f t="shared" si="624"/>
        <v>959.23587751157879</v>
      </c>
      <c r="BW375" s="15">
        <f t="shared" si="564"/>
        <v>5.4184717550231579E-6</v>
      </c>
      <c r="BX375" s="16">
        <f t="shared" si="565"/>
        <v>26.920212591383155</v>
      </c>
      <c r="BY375" s="17">
        <f t="shared" si="566"/>
        <v>1.3560774289633622E-2</v>
      </c>
      <c r="BZ375" s="18">
        <f t="shared" si="625"/>
        <v>0.44080561509073118</v>
      </c>
      <c r="CA375" s="19">
        <f t="shared" si="626"/>
        <v>949.71147407854789</v>
      </c>
      <c r="CB375" s="15">
        <f t="shared" si="567"/>
        <v>5.399422948157096E-6</v>
      </c>
      <c r="CC375" s="16">
        <f t="shared" si="568"/>
        <v>26.810681951903298</v>
      </c>
      <c r="CD375" s="17">
        <f t="shared" si="569"/>
        <v>1.3513100963633902E-2</v>
      </c>
      <c r="CE375" s="18">
        <f t="shared" si="627"/>
        <v>0.44260645406207155</v>
      </c>
      <c r="CF375" s="19">
        <f t="shared" si="628"/>
        <v>936.83403129588169</v>
      </c>
      <c r="CG375" s="15">
        <f t="shared" si="570"/>
        <v>5.3736680625917638E-6</v>
      </c>
      <c r="CH375" s="16">
        <f t="shared" si="571"/>
        <v>26.662591359902638</v>
      </c>
      <c r="CI375" s="17">
        <f t="shared" si="572"/>
        <v>1.3448644377755599E-2</v>
      </c>
      <c r="CJ375" s="18">
        <f t="shared" si="629"/>
        <v>0.44506479919891895</v>
      </c>
      <c r="CK375" s="19">
        <f t="shared" si="630"/>
        <v>913.78968034218099</v>
      </c>
      <c r="CL375" s="15">
        <f t="shared" si="573"/>
        <v>5.3275793606843629E-6</v>
      </c>
      <c r="CM375" s="16">
        <f t="shared" si="574"/>
        <v>26.397581323935079</v>
      </c>
      <c r="CN375" s="17">
        <f t="shared" si="575"/>
        <v>1.3333298480955625E-2</v>
      </c>
      <c r="CO375" s="18">
        <f t="shared" si="631"/>
        <v>0.44953288424793275</v>
      </c>
      <c r="CP375" s="19">
        <f t="shared" si="632"/>
        <v>863.25511593298472</v>
      </c>
      <c r="CQ375" s="15">
        <f t="shared" si="576"/>
        <v>5.2265102318659703E-6</v>
      </c>
      <c r="CR375" s="16">
        <f t="shared" si="577"/>
        <v>25.816433833229326</v>
      </c>
      <c r="CS375" s="17">
        <f t="shared" si="578"/>
        <v>1.3080353424577775E-2</v>
      </c>
      <c r="CT375" s="18">
        <f t="shared" si="633"/>
        <v>0.45965221015320734</v>
      </c>
      <c r="CU375" s="19">
        <f t="shared" si="634"/>
        <v>753.87695601532926</v>
      </c>
      <c r="CV375" s="15">
        <f t="shared" si="579"/>
        <v>5.0077539120306586E-6</v>
      </c>
      <c r="CW375" s="16">
        <f t="shared" si="580"/>
        <v>24.558584994176286</v>
      </c>
      <c r="CX375" s="17">
        <f t="shared" si="581"/>
        <v>1.2532873394813387E-2</v>
      </c>
      <c r="CY375" s="18">
        <f t="shared" si="635"/>
        <v>0.48319481242636281</v>
      </c>
      <c r="CZ375" s="20">
        <f t="shared" si="585"/>
        <v>553.75792554220595</v>
      </c>
      <c r="DA375" s="15">
        <f t="shared" si="582"/>
        <v>6.3908238796559311E-6</v>
      </c>
      <c r="DB375" s="16">
        <f t="shared" si="583"/>
        <v>37.436020159276026</v>
      </c>
      <c r="DC375" s="17">
        <f t="shared" si="584"/>
        <v>1.5994273676239613E-2</v>
      </c>
      <c r="DD375" s="18">
        <f t="shared" si="636"/>
        <v>0.31698297039135331</v>
      </c>
    </row>
    <row r="376" spans="2:108" x14ac:dyDescent="0.25">
      <c r="B376">
        <v>109</v>
      </c>
      <c r="C376">
        <f t="shared" si="637"/>
        <v>0.1065599986316324</v>
      </c>
      <c r="D376" s="19">
        <f t="shared" si="534"/>
        <v>1018.2195178308558</v>
      </c>
      <c r="E376" s="15">
        <f t="shared" si="586"/>
        <v>5.5364390356617126E-6</v>
      </c>
      <c r="F376" s="16">
        <f t="shared" si="535"/>
        <v>27.598524455054843</v>
      </c>
      <c r="G376" s="17">
        <f t="shared" si="532"/>
        <v>1.3856010241508484E-2</v>
      </c>
      <c r="H376" s="18">
        <f t="shared" si="587"/>
        <v>0.4299715692787503</v>
      </c>
      <c r="I376" s="19">
        <f t="shared" si="588"/>
        <v>1017.8951683083482</v>
      </c>
      <c r="J376" s="15">
        <f t="shared" si="589"/>
        <v>5.5357903366166968E-6</v>
      </c>
      <c r="K376" s="16">
        <f t="shared" si="536"/>
        <v>27.594794435546003</v>
      </c>
      <c r="L376" s="17">
        <f t="shared" si="590"/>
        <v>1.3854386746595325E-2</v>
      </c>
      <c r="M376" s="18">
        <f t="shared" si="591"/>
        <v>0.43002968902105904</v>
      </c>
      <c r="N376" s="19">
        <f t="shared" si="592"/>
        <v>1016.9897902880502</v>
      </c>
      <c r="O376" s="15">
        <f t="shared" si="593"/>
        <v>5.5339795805761009E-6</v>
      </c>
      <c r="P376" s="16">
        <f t="shared" si="594"/>
        <v>27.584382588312579</v>
      </c>
      <c r="Q376" s="17">
        <f t="shared" si="533"/>
        <v>1.3856010241508484E-2</v>
      </c>
      <c r="R376" s="18">
        <f t="shared" si="595"/>
        <v>0.43019200562950916</v>
      </c>
      <c r="S376" s="19">
        <f t="shared" si="596"/>
        <v>1015.4885839574436</v>
      </c>
      <c r="T376" s="15">
        <f t="shared" si="597"/>
        <v>5.5309771679148878E-6</v>
      </c>
      <c r="U376" s="16">
        <f t="shared" si="598"/>
        <v>27.567118715510603</v>
      </c>
      <c r="V376" s="17">
        <f t="shared" si="599"/>
        <v>1.3842340860350251E-2</v>
      </c>
      <c r="W376" s="18">
        <f t="shared" si="600"/>
        <v>0.43046141282226869</v>
      </c>
      <c r="X376" s="19">
        <f t="shared" si="601"/>
        <v>1013.3893529616699</v>
      </c>
      <c r="Y376" s="15">
        <f t="shared" si="602"/>
        <v>5.5267787059233408E-6</v>
      </c>
      <c r="Z376" s="16">
        <f t="shared" si="603"/>
        <v>27.542977559059203</v>
      </c>
      <c r="AA376" s="17">
        <f t="shared" si="604"/>
        <v>1.3831833396621534E-2</v>
      </c>
      <c r="AB376" s="18">
        <f t="shared" si="605"/>
        <v>0.43083870813432962</v>
      </c>
      <c r="AC376" s="19">
        <f t="shared" si="606"/>
        <v>1010.6907221406072</v>
      </c>
      <c r="AD376" s="15">
        <f t="shared" si="537"/>
        <v>5.5213814442812152E-6</v>
      </c>
      <c r="AE376" s="16">
        <f t="shared" si="538"/>
        <v>27.511943304616985</v>
      </c>
      <c r="AF376" s="17">
        <f t="shared" si="539"/>
        <v>1.3818325704744557E-2</v>
      </c>
      <c r="AG376" s="18">
        <f t="shared" si="607"/>
        <v>0.43132470644945242</v>
      </c>
      <c r="AH376" s="19">
        <f t="shared" si="608"/>
        <v>1007.3925065224191</v>
      </c>
      <c r="AI376" s="15">
        <f t="shared" si="540"/>
        <v>5.5147850130448384E-6</v>
      </c>
      <c r="AJ376" s="16">
        <f t="shared" si="541"/>
        <v>27.47401382500782</v>
      </c>
      <c r="AK376" s="17">
        <f t="shared" si="542"/>
        <v>1.3801816858863674E-2</v>
      </c>
      <c r="AL376" s="18">
        <f t="shared" si="609"/>
        <v>0.43192017538101829</v>
      </c>
      <c r="AM376" s="19">
        <f t="shared" si="610"/>
        <v>1003.4946773880731</v>
      </c>
      <c r="AN376" s="15">
        <f t="shared" si="543"/>
        <v>5.5069893547761474E-6</v>
      </c>
      <c r="AO376" s="16">
        <f t="shared" si="544"/>
        <v>27.42918878996284</v>
      </c>
      <c r="AP376" s="17">
        <f t="shared" si="545"/>
        <v>1.3782306715229018E-2</v>
      </c>
      <c r="AQ376" s="18">
        <f t="shared" si="611"/>
        <v>0.432626023342704</v>
      </c>
      <c r="AR376" s="19">
        <f t="shared" si="612"/>
        <v>998.99723483139519</v>
      </c>
      <c r="AS376" s="15">
        <f t="shared" si="546"/>
        <v>5.4979944696627913E-6</v>
      </c>
      <c r="AT376" s="16">
        <f t="shared" si="547"/>
        <v>27.377468200561044</v>
      </c>
      <c r="AU376" s="17">
        <f t="shared" si="548"/>
        <v>1.3759795274310213E-2</v>
      </c>
      <c r="AV376" s="18">
        <f t="shared" si="613"/>
        <v>0.43344332583225198</v>
      </c>
      <c r="AW376" s="19">
        <f t="shared" si="614"/>
        <v>993.90017274963168</v>
      </c>
      <c r="AX376" s="15">
        <f t="shared" si="549"/>
        <v>5.4878003454992633E-6</v>
      </c>
      <c r="AY376" s="16">
        <f t="shared" si="550"/>
        <v>27.318851986620764</v>
      </c>
      <c r="AZ376" s="17">
        <f t="shared" si="551"/>
        <v>1.373428250556062E-2</v>
      </c>
      <c r="BA376" s="18">
        <f t="shared" si="615"/>
        <v>0.43437333587551491</v>
      </c>
      <c r="BB376" s="19">
        <f t="shared" si="616"/>
        <v>988.20342105859095</v>
      </c>
      <c r="BC376" s="15">
        <f t="shared" si="552"/>
        <v>5.4764068421171817E-6</v>
      </c>
      <c r="BD376" s="16">
        <f t="shared" si="553"/>
        <v>27.253339342173796</v>
      </c>
      <c r="BE376" s="17">
        <f t="shared" si="554"/>
        <v>1.3705768058181736E-2</v>
      </c>
      <c r="BF376" s="18">
        <f t="shared" si="617"/>
        <v>0.43541749951187414</v>
      </c>
      <c r="BG376" s="19">
        <f t="shared" si="618"/>
        <v>981.90644700194559</v>
      </c>
      <c r="BH376" s="15">
        <f t="shared" si="555"/>
        <v>5.4638128940038918E-6</v>
      </c>
      <c r="BI376" s="16">
        <f t="shared" si="556"/>
        <v>27.180924140522372</v>
      </c>
      <c r="BJ376" s="17">
        <f t="shared" si="557"/>
        <v>1.3674249265521913E-2</v>
      </c>
      <c r="BK376" s="18">
        <f t="shared" si="619"/>
        <v>0.43657753534681115</v>
      </c>
      <c r="BL376" s="19">
        <f t="shared" si="620"/>
        <v>975.00564168488791</v>
      </c>
      <c r="BM376" s="15">
        <f t="shared" si="558"/>
        <v>5.4500112833697763E-6</v>
      </c>
      <c r="BN376" s="16">
        <f t="shared" si="559"/>
        <v>27.101564879376213</v>
      </c>
      <c r="BO376" s="17">
        <f t="shared" si="560"/>
        <v>1.3639708063665663E-2</v>
      </c>
      <c r="BP376" s="18">
        <f t="shared" si="621"/>
        <v>0.43785592907766541</v>
      </c>
      <c r="BQ376" s="19">
        <f t="shared" si="622"/>
        <v>967.47914544591799</v>
      </c>
      <c r="BR376" s="15">
        <f t="shared" si="561"/>
        <v>5.4349582908918365E-6</v>
      </c>
      <c r="BS376" s="16">
        <f t="shared" si="562"/>
        <v>27.015010172628056</v>
      </c>
      <c r="BT376" s="17">
        <f t="shared" si="563"/>
        <v>1.3602035036545487E-2</v>
      </c>
      <c r="BU376" s="18">
        <f t="shared" si="623"/>
        <v>0.43925879701282755</v>
      </c>
      <c r="BV376" s="19">
        <f t="shared" si="624"/>
        <v>959.21006057529473</v>
      </c>
      <c r="BW376" s="15">
        <f t="shared" si="564"/>
        <v>5.4184201211505899E-6</v>
      </c>
      <c r="BX376" s="16">
        <f t="shared" si="565"/>
        <v>26.919915696615888</v>
      </c>
      <c r="BY376" s="17">
        <f t="shared" si="566"/>
        <v>1.3560645065873999E-2</v>
      </c>
      <c r="BZ376" s="18">
        <f t="shared" si="625"/>
        <v>0.4408104766542657</v>
      </c>
      <c r="CA376" s="19">
        <f t="shared" si="626"/>
        <v>949.65587858585718</v>
      </c>
      <c r="CB376" s="15">
        <f t="shared" si="567"/>
        <v>5.3993117571717151E-6</v>
      </c>
      <c r="CC376" s="16">
        <f t="shared" si="568"/>
        <v>26.810042603737358</v>
      </c>
      <c r="CD376" s="17">
        <f t="shared" si="569"/>
        <v>1.3512822686672433E-2</v>
      </c>
      <c r="CE376" s="18">
        <f t="shared" si="627"/>
        <v>0.4426170090480826</v>
      </c>
      <c r="CF376" s="19">
        <f t="shared" si="628"/>
        <v>936.68147876757769</v>
      </c>
      <c r="CG376" s="15">
        <f t="shared" si="570"/>
        <v>5.3733629575351565E-6</v>
      </c>
      <c r="CH376" s="16">
        <f t="shared" si="571"/>
        <v>26.66083700582714</v>
      </c>
      <c r="CI376" s="17">
        <f t="shared" si="572"/>
        <v>1.3447880793299623E-2</v>
      </c>
      <c r="CJ376" s="18">
        <f t="shared" si="629"/>
        <v>0.44509408564795894</v>
      </c>
      <c r="CK376" s="19">
        <f t="shared" si="630"/>
        <v>913.39089286151091</v>
      </c>
      <c r="CL376" s="15">
        <f t="shared" si="573"/>
        <v>5.326781785723023E-6</v>
      </c>
      <c r="CM376" s="16">
        <f t="shared" si="574"/>
        <v>26.392995267907374</v>
      </c>
      <c r="CN376" s="17">
        <f t="shared" si="575"/>
        <v>1.3331302395247553E-2</v>
      </c>
      <c r="CO376" s="18">
        <f t="shared" si="631"/>
        <v>0.44961099523808484</v>
      </c>
      <c r="CP376" s="19">
        <f t="shared" si="632"/>
        <v>862.41143625376981</v>
      </c>
      <c r="CQ376" s="15">
        <f t="shared" si="576"/>
        <v>5.2248228725075399E-6</v>
      </c>
      <c r="CR376" s="16">
        <f t="shared" si="577"/>
        <v>25.806731516918354</v>
      </c>
      <c r="CS376" s="17">
        <f t="shared" si="578"/>
        <v>1.3076130481201912E-2</v>
      </c>
      <c r="CT376" s="18">
        <f t="shared" si="633"/>
        <v>0.45982502131036684</v>
      </c>
      <c r="CU376" s="19">
        <f t="shared" si="634"/>
        <v>752.58391587709662</v>
      </c>
      <c r="CV376" s="15">
        <f t="shared" si="579"/>
        <v>5.0051678317541937E-6</v>
      </c>
      <c r="CW376" s="16">
        <f t="shared" si="580"/>
        <v>24.543715032586611</v>
      </c>
      <c r="CX376" s="17">
        <f t="shared" si="581"/>
        <v>1.2526401228396445E-2</v>
      </c>
      <c r="CY376" s="18">
        <f t="shared" si="635"/>
        <v>0.48348755899270657</v>
      </c>
      <c r="CZ376" s="20">
        <f t="shared" si="585"/>
        <v>552.52688967156337</v>
      </c>
      <c r="DA376" s="15">
        <f t="shared" si="582"/>
        <v>6.4101743978731972E-6</v>
      </c>
      <c r="DB376" s="16">
        <f t="shared" si="583"/>
        <v>37.471720199524654</v>
      </c>
      <c r="DC376" s="17">
        <f t="shared" si="584"/>
        <v>1.6042702093290697E-2</v>
      </c>
      <c r="DD376" s="18">
        <f t="shared" si="636"/>
        <v>0.3166809745197775</v>
      </c>
    </row>
    <row r="377" spans="2:108" x14ac:dyDescent="0.25">
      <c r="B377">
        <v>110</v>
      </c>
      <c r="C377">
        <f t="shared" si="637"/>
        <v>0.10753761329797766</v>
      </c>
      <c r="D377" s="19">
        <f t="shared" si="534"/>
        <v>1018.2029581827417</v>
      </c>
      <c r="E377" s="15">
        <f t="shared" si="586"/>
        <v>5.5364059163654836E-6</v>
      </c>
      <c r="F377" s="16">
        <f t="shared" si="535"/>
        <v>27.598334019101529</v>
      </c>
      <c r="G377" s="17">
        <f t="shared" si="532"/>
        <v>1.3855927354059567E-2</v>
      </c>
      <c r="H377" s="18">
        <f t="shared" si="587"/>
        <v>0.42997453619862441</v>
      </c>
      <c r="I377" s="19">
        <f t="shared" si="588"/>
        <v>1017.8785981119429</v>
      </c>
      <c r="J377" s="15">
        <f t="shared" si="589"/>
        <v>5.5357571962238866E-6</v>
      </c>
      <c r="K377" s="16">
        <f t="shared" si="536"/>
        <v>27.594603878287344</v>
      </c>
      <c r="L377" s="17">
        <f t="shared" si="590"/>
        <v>1.3854303806348132E-2</v>
      </c>
      <c r="M377" s="18">
        <f t="shared" si="591"/>
        <v>0.43003265863348922</v>
      </c>
      <c r="N377" s="19">
        <f t="shared" si="592"/>
        <v>1016.9732001139396</v>
      </c>
      <c r="O377" s="15">
        <f t="shared" si="593"/>
        <v>5.5339464002278792E-6</v>
      </c>
      <c r="P377" s="16">
        <f t="shared" si="594"/>
        <v>27.584191801310304</v>
      </c>
      <c r="Q377" s="17">
        <f t="shared" si="533"/>
        <v>1.3855927354059567E-2</v>
      </c>
      <c r="R377" s="18">
        <f t="shared" si="595"/>
        <v>0.43019498106717097</v>
      </c>
      <c r="S377" s="19">
        <f t="shared" si="596"/>
        <v>1015.4719832047875</v>
      </c>
      <c r="T377" s="15">
        <f t="shared" si="597"/>
        <v>5.5309439664095755E-6</v>
      </c>
      <c r="U377" s="16">
        <f t="shared" si="598"/>
        <v>27.566927806855055</v>
      </c>
      <c r="V377" s="17">
        <f t="shared" si="599"/>
        <v>1.3842257767157194E-2</v>
      </c>
      <c r="W377" s="18">
        <f t="shared" si="600"/>
        <v>0.43046439388748431</v>
      </c>
      <c r="X377" s="19">
        <f t="shared" si="601"/>
        <v>1013.3727542597827</v>
      </c>
      <c r="Y377" s="15">
        <f t="shared" si="602"/>
        <v>5.5267455085195661E-6</v>
      </c>
      <c r="Z377" s="16">
        <f t="shared" si="603"/>
        <v>27.5427866739875</v>
      </c>
      <c r="AA377" s="17">
        <f t="shared" si="604"/>
        <v>1.3831750313693368E-2</v>
      </c>
      <c r="AB377" s="18">
        <f t="shared" si="605"/>
        <v>0.43084169405869044</v>
      </c>
      <c r="AC377" s="19">
        <f t="shared" si="606"/>
        <v>1010.6741341451398</v>
      </c>
      <c r="AD377" s="15">
        <f t="shared" si="537"/>
        <v>5.52134826829028E-6</v>
      </c>
      <c r="AE377" s="16">
        <f t="shared" si="538"/>
        <v>27.511752542669107</v>
      </c>
      <c r="AF377" s="17">
        <f t="shared" si="539"/>
        <v>1.3818242675406166E-2</v>
      </c>
      <c r="AG377" s="18">
        <f t="shared" si="607"/>
        <v>0.43132769718372288</v>
      </c>
      <c r="AH377" s="19">
        <f t="shared" si="608"/>
        <v>1007.3759345262836</v>
      </c>
      <c r="AI377" s="15">
        <f t="shared" si="540"/>
        <v>5.5147518690525676E-6</v>
      </c>
      <c r="AJ377" s="16">
        <f t="shared" si="541"/>
        <v>27.473823247052259</v>
      </c>
      <c r="AK377" s="17">
        <f t="shared" si="542"/>
        <v>1.3801733909608135E-2</v>
      </c>
      <c r="AL377" s="18">
        <f t="shared" si="609"/>
        <v>0.43192317148619264</v>
      </c>
      <c r="AM377" s="19">
        <f t="shared" si="610"/>
        <v>1003.478125304171</v>
      </c>
      <c r="AN377" s="15">
        <f t="shared" si="543"/>
        <v>5.5069562506083427E-6</v>
      </c>
      <c r="AO377" s="16">
        <f t="shared" si="544"/>
        <v>27.428998440997965</v>
      </c>
      <c r="AP377" s="17">
        <f t="shared" si="545"/>
        <v>1.378222386564191E-2</v>
      </c>
      <c r="AQ377" s="18">
        <f t="shared" si="611"/>
        <v>0.43262902563664113</v>
      </c>
      <c r="AR377" s="19">
        <f t="shared" si="612"/>
        <v>998.98070614019082</v>
      </c>
      <c r="AS377" s="15">
        <f t="shared" si="546"/>
        <v>5.4979614122803822E-6</v>
      </c>
      <c r="AT377" s="16">
        <f t="shared" si="547"/>
        <v>27.377278120612193</v>
      </c>
      <c r="AU377" s="17">
        <f t="shared" si="548"/>
        <v>1.3759712541812616E-2</v>
      </c>
      <c r="AV377" s="18">
        <f t="shared" si="613"/>
        <v>0.43344633522145576</v>
      </c>
      <c r="AW377" s="19">
        <f t="shared" si="614"/>
        <v>993.88367009439685</v>
      </c>
      <c r="AX377" s="15">
        <f t="shared" si="549"/>
        <v>5.4877673401887942E-6</v>
      </c>
      <c r="AY377" s="16">
        <f t="shared" si="550"/>
        <v>27.318662206085563</v>
      </c>
      <c r="AZ377" s="17">
        <f t="shared" si="551"/>
        <v>1.3734199903383131E-2</v>
      </c>
      <c r="BA377" s="18">
        <f t="shared" si="615"/>
        <v>0.43437635343192149</v>
      </c>
      <c r="BB377" s="19">
        <f t="shared" si="616"/>
        <v>988.18694127328502</v>
      </c>
      <c r="BC377" s="15">
        <f t="shared" si="552"/>
        <v>5.4763738825465706E-6</v>
      </c>
      <c r="BD377" s="16">
        <f t="shared" si="553"/>
        <v>27.253149824642776</v>
      </c>
      <c r="BE377" s="17">
        <f t="shared" si="554"/>
        <v>1.3705685570477093E-2</v>
      </c>
      <c r="BF377" s="18">
        <f t="shared" si="617"/>
        <v>0.43542052739122022</v>
      </c>
      <c r="BG377" s="19">
        <f t="shared" si="618"/>
        <v>981.88994905262894</v>
      </c>
      <c r="BH377" s="15">
        <f t="shared" si="555"/>
        <v>5.4637798981052589E-6</v>
      </c>
      <c r="BI377" s="16">
        <f t="shared" si="556"/>
        <v>27.180734414105231</v>
      </c>
      <c r="BJ377" s="17">
        <f t="shared" si="557"/>
        <v>1.3674166686899365E-2</v>
      </c>
      <c r="BK377" s="18">
        <f t="shared" si="619"/>
        <v>0.43658058273656608</v>
      </c>
      <c r="BL377" s="19">
        <f t="shared" si="620"/>
        <v>974.98886582766386</v>
      </c>
      <c r="BM377" s="15">
        <f t="shared" si="558"/>
        <v>5.4499777316553283E-6</v>
      </c>
      <c r="BN377" s="16">
        <f t="shared" si="559"/>
        <v>27.101371957018134</v>
      </c>
      <c r="BO377" s="17">
        <f t="shared" si="560"/>
        <v>1.3639624094006462E-2</v>
      </c>
      <c r="BP377" s="18">
        <f t="shared" si="621"/>
        <v>0.4378590459751594</v>
      </c>
      <c r="BQ377" s="19">
        <f t="shared" si="622"/>
        <v>967.46073043963804</v>
      </c>
      <c r="BR377" s="15">
        <f t="shared" si="561"/>
        <v>5.4349214608792767E-6</v>
      </c>
      <c r="BS377" s="16">
        <f t="shared" si="562"/>
        <v>27.014798400055838</v>
      </c>
      <c r="BT377" s="17">
        <f t="shared" si="563"/>
        <v>1.360194286231076E-2</v>
      </c>
      <c r="BU377" s="18">
        <f t="shared" si="623"/>
        <v>0.43926224042054562</v>
      </c>
      <c r="BV377" s="19">
        <f t="shared" si="624"/>
        <v>959.18392250566035</v>
      </c>
      <c r="BW377" s="15">
        <f t="shared" si="564"/>
        <v>5.4183678450113212E-6</v>
      </c>
      <c r="BX377" s="16">
        <f t="shared" si="565"/>
        <v>26.919615108815094</v>
      </c>
      <c r="BY377" s="17">
        <f t="shared" si="566"/>
        <v>1.3560514234717649E-2</v>
      </c>
      <c r="BZ377" s="18">
        <f t="shared" si="625"/>
        <v>0.44081539879937098</v>
      </c>
      <c r="CA377" s="19">
        <f t="shared" si="626"/>
        <v>949.59931536816032</v>
      </c>
      <c r="CB377" s="15">
        <f t="shared" si="567"/>
        <v>5.3991986307363209E-6</v>
      </c>
      <c r="CC377" s="16">
        <f t="shared" si="568"/>
        <v>26.80939212673384</v>
      </c>
      <c r="CD377" s="17">
        <f t="shared" si="569"/>
        <v>1.3512539565872709E-2</v>
      </c>
      <c r="CE377" s="18">
        <f t="shared" si="627"/>
        <v>0.44262774827649892</v>
      </c>
      <c r="CF377" s="19">
        <f t="shared" si="628"/>
        <v>936.52676739319577</v>
      </c>
      <c r="CG377" s="15">
        <f t="shared" si="570"/>
        <v>5.3730535347863918E-6</v>
      </c>
      <c r="CH377" s="16">
        <f t="shared" si="571"/>
        <v>26.659057825021751</v>
      </c>
      <c r="CI377" s="17">
        <f t="shared" si="572"/>
        <v>1.3447106402983352E-2</v>
      </c>
      <c r="CJ377" s="18">
        <f t="shared" si="629"/>
        <v>0.44512379048070189</v>
      </c>
      <c r="CK377" s="19">
        <f t="shared" si="630"/>
        <v>912.98918363676478</v>
      </c>
      <c r="CL377" s="15">
        <f t="shared" si="573"/>
        <v>5.3259783672735301E-6</v>
      </c>
      <c r="CM377" s="16">
        <f t="shared" si="574"/>
        <v>26.388375611822795</v>
      </c>
      <c r="CN377" s="17">
        <f t="shared" si="575"/>
        <v>1.3329291685079396E-2</v>
      </c>
      <c r="CO377" s="18">
        <f t="shared" si="631"/>
        <v>0.4496897059628524</v>
      </c>
      <c r="CP377" s="19">
        <f t="shared" si="632"/>
        <v>861.56749316054652</v>
      </c>
      <c r="CQ377" s="15">
        <f t="shared" si="576"/>
        <v>5.2231349863210938E-6</v>
      </c>
      <c r="CR377" s="16">
        <f t="shared" si="577"/>
        <v>25.797026171346282</v>
      </c>
      <c r="CS377" s="17">
        <f t="shared" si="578"/>
        <v>1.3071906219336973E-2</v>
      </c>
      <c r="CT377" s="18">
        <f t="shared" si="633"/>
        <v>0.45999801647286587</v>
      </c>
      <c r="CU377" s="19">
        <f t="shared" si="634"/>
        <v>751.29784471942821</v>
      </c>
      <c r="CV377" s="15">
        <f t="shared" si="579"/>
        <v>5.0025956894388563E-6</v>
      </c>
      <c r="CW377" s="16">
        <f t="shared" si="580"/>
        <v>24.528925214273421</v>
      </c>
      <c r="CX377" s="17">
        <f t="shared" si="581"/>
        <v>1.2519963944424858E-2</v>
      </c>
      <c r="CY377" s="18">
        <f t="shared" si="635"/>
        <v>0.48377907984377222</v>
      </c>
      <c r="CZ377" s="20">
        <f t="shared" si="585"/>
        <v>551.30571028594636</v>
      </c>
      <c r="DA377" s="15">
        <f t="shared" si="582"/>
        <v>6.4293440841748969E-6</v>
      </c>
      <c r="DB377" s="16">
        <f t="shared" si="583"/>
        <v>37.507134401707553</v>
      </c>
      <c r="DC377" s="17">
        <f t="shared" si="584"/>
        <v>1.6090677943473814E-2</v>
      </c>
      <c r="DD377" s="18">
        <f t="shared" si="636"/>
        <v>0.31638196463171175</v>
      </c>
    </row>
    <row r="378" spans="2:108" x14ac:dyDescent="0.25">
      <c r="B378">
        <v>111</v>
      </c>
      <c r="C378">
        <f t="shared" si="637"/>
        <v>0.10851522796432292</v>
      </c>
      <c r="D378" s="19">
        <f t="shared" si="534"/>
        <v>1018.186397996085</v>
      </c>
      <c r="E378" s="15">
        <f t="shared" si="586"/>
        <v>5.5363727959921709E-6</v>
      </c>
      <c r="F378" s="16">
        <f t="shared" si="535"/>
        <v>27.598143576954975</v>
      </c>
      <c r="G378" s="17">
        <f t="shared" si="532"/>
        <v>1.3855844463915041E-2</v>
      </c>
      <c r="H378" s="18">
        <f t="shared" si="587"/>
        <v>0.42997750325593426</v>
      </c>
      <c r="I378" s="19">
        <f t="shared" si="588"/>
        <v>1017.8620276725311</v>
      </c>
      <c r="J378" s="15">
        <f t="shared" si="589"/>
        <v>5.5357240553450625E-6</v>
      </c>
      <c r="K378" s="16">
        <f t="shared" si="536"/>
        <v>27.594413318234107</v>
      </c>
      <c r="L378" s="17">
        <f t="shared" si="590"/>
        <v>1.3854220864884597E-2</v>
      </c>
      <c r="M378" s="18">
        <f t="shared" si="591"/>
        <v>0.43003562833048464</v>
      </c>
      <c r="N378" s="19">
        <f t="shared" si="592"/>
        <v>1016.956610063534</v>
      </c>
      <c r="O378" s="15">
        <f t="shared" si="593"/>
        <v>5.5339132201270682E-6</v>
      </c>
      <c r="P378" s="16">
        <f t="shared" si="594"/>
        <v>27.584001015730639</v>
      </c>
      <c r="Q378" s="17">
        <f t="shared" si="533"/>
        <v>1.3855844463915041E-2</v>
      </c>
      <c r="R378" s="18">
        <f t="shared" si="595"/>
        <v>0.4301979565238056</v>
      </c>
      <c r="S378" s="19">
        <f t="shared" si="596"/>
        <v>1015.4553827067385</v>
      </c>
      <c r="T378" s="15">
        <f t="shared" si="597"/>
        <v>5.5309107654134781E-6</v>
      </c>
      <c r="U378" s="16">
        <f t="shared" si="598"/>
        <v>27.566736901127491</v>
      </c>
      <c r="V378" s="17">
        <f t="shared" si="599"/>
        <v>1.3842174675238544E-2</v>
      </c>
      <c r="W378" s="18">
        <f t="shared" si="600"/>
        <v>0.43046737494826781</v>
      </c>
      <c r="X378" s="19">
        <f t="shared" si="601"/>
        <v>1013.3561557994201</v>
      </c>
      <c r="Y378" s="15">
        <f t="shared" si="602"/>
        <v>5.5267123115988407E-6</v>
      </c>
      <c r="Z378" s="16">
        <f t="shared" si="603"/>
        <v>27.54259579169333</v>
      </c>
      <c r="AA378" s="17">
        <f t="shared" si="604"/>
        <v>1.3831667231974128E-2</v>
      </c>
      <c r="AB378" s="18">
        <f t="shared" si="605"/>
        <v>0.43084467998099085</v>
      </c>
      <c r="AC378" s="19">
        <f t="shared" si="606"/>
        <v>1010.657546359458</v>
      </c>
      <c r="AD378" s="15">
        <f t="shared" si="537"/>
        <v>5.5213150927189159E-6</v>
      </c>
      <c r="AE378" s="16">
        <f t="shared" si="538"/>
        <v>27.511561783133764</v>
      </c>
      <c r="AF378" s="17">
        <f t="shared" si="539"/>
        <v>1.3818159647117835E-2</v>
      </c>
      <c r="AG378" s="18">
        <f t="shared" si="607"/>
        <v>0.43133068792164403</v>
      </c>
      <c r="AH378" s="19">
        <f t="shared" si="608"/>
        <v>1007.3593627251443</v>
      </c>
      <c r="AI378" s="15">
        <f t="shared" si="540"/>
        <v>5.5147187254502894E-6</v>
      </c>
      <c r="AJ378" s="16">
        <f t="shared" si="541"/>
        <v>27.473632671339161</v>
      </c>
      <c r="AK378" s="17">
        <f t="shared" si="542"/>
        <v>1.3801650961328626E-2</v>
      </c>
      <c r="AL378" s="18">
        <f t="shared" si="609"/>
        <v>0.43192616759767866</v>
      </c>
      <c r="AM378" s="19">
        <f t="shared" si="610"/>
        <v>1003.4615734104743</v>
      </c>
      <c r="AN378" s="15">
        <f t="shared" si="543"/>
        <v>5.5069231468209499E-6</v>
      </c>
      <c r="AO378" s="16">
        <f t="shared" si="544"/>
        <v>27.428808094220454</v>
      </c>
      <c r="AP378" s="17">
        <f t="shared" si="545"/>
        <v>1.3782141017006861E-2</v>
      </c>
      <c r="AQ378" s="18">
        <f t="shared" si="611"/>
        <v>0.43263202793774752</v>
      </c>
      <c r="AR378" s="19">
        <f t="shared" si="612"/>
        <v>998.96417762735177</v>
      </c>
      <c r="AS378" s="15">
        <f t="shared" si="546"/>
        <v>5.4979283552547036E-6</v>
      </c>
      <c r="AT378" s="16">
        <f t="shared" si="547"/>
        <v>27.377088042714547</v>
      </c>
      <c r="AU378" s="17">
        <f t="shared" si="548"/>
        <v>1.3759629810207806E-2</v>
      </c>
      <c r="AV378" s="18">
        <f t="shared" si="613"/>
        <v>0.4334493446199722</v>
      </c>
      <c r="AW378" s="19">
        <f t="shared" si="614"/>
        <v>993.86716753220708</v>
      </c>
      <c r="AX378" s="15">
        <f t="shared" si="549"/>
        <v>5.4877343350644149E-6</v>
      </c>
      <c r="AY378" s="16">
        <f t="shared" si="550"/>
        <v>27.318472426620382</v>
      </c>
      <c r="AZ378" s="17">
        <f t="shared" si="551"/>
        <v>1.3734117301671367E-2</v>
      </c>
      <c r="BA378" s="18">
        <f t="shared" si="615"/>
        <v>0.43437937101323987</v>
      </c>
      <c r="BB378" s="19">
        <f t="shared" si="616"/>
        <v>988.17046102676022</v>
      </c>
      <c r="BC378" s="15">
        <f t="shared" si="552"/>
        <v>5.476340922053521E-6</v>
      </c>
      <c r="BD378" s="16">
        <f t="shared" si="553"/>
        <v>27.25296030180774</v>
      </c>
      <c r="BE378" s="17">
        <f t="shared" si="554"/>
        <v>1.3705603080463872E-2</v>
      </c>
      <c r="BF378" s="18">
        <f t="shared" si="617"/>
        <v>0.43542355539742106</v>
      </c>
      <c r="BG378" s="19">
        <f t="shared" si="618"/>
        <v>981.87344745821383</v>
      </c>
      <c r="BH378" s="15">
        <f t="shared" si="555"/>
        <v>5.4637468949164286E-6</v>
      </c>
      <c r="BI378" s="16">
        <f t="shared" si="556"/>
        <v>27.180544645769459</v>
      </c>
      <c r="BJ378" s="17">
        <f t="shared" si="557"/>
        <v>1.3674084090031687E-2</v>
      </c>
      <c r="BK378" s="18">
        <f t="shared" si="619"/>
        <v>0.43658363084217605</v>
      </c>
      <c r="BL378" s="19">
        <f t="shared" si="620"/>
        <v>974.97207036579618</v>
      </c>
      <c r="BM378" s="15">
        <f t="shared" si="558"/>
        <v>5.4499441407315931E-6</v>
      </c>
      <c r="BN378" s="16">
        <f t="shared" si="559"/>
        <v>27.101178809206655</v>
      </c>
      <c r="BO378" s="17">
        <f t="shared" si="560"/>
        <v>1.3639540026218431E-2</v>
      </c>
      <c r="BP378" s="18">
        <f t="shared" si="621"/>
        <v>0.43786216655958349</v>
      </c>
      <c r="BQ378" s="19">
        <f t="shared" si="622"/>
        <v>967.44222765367124</v>
      </c>
      <c r="BR378" s="15">
        <f t="shared" si="561"/>
        <v>5.4348844553073428E-6</v>
      </c>
      <c r="BS378" s="16">
        <f t="shared" si="562"/>
        <v>27.014585618017218</v>
      </c>
      <c r="BT378" s="17">
        <f t="shared" si="563"/>
        <v>1.360185024870472E-2</v>
      </c>
      <c r="BU378" s="18">
        <f t="shared" si="623"/>
        <v>0.43926570029649287</v>
      </c>
      <c r="BV378" s="19">
        <f t="shared" si="624"/>
        <v>959.1574572919875</v>
      </c>
      <c r="BW378" s="15">
        <f t="shared" si="564"/>
        <v>5.4183149145839758E-6</v>
      </c>
      <c r="BX378" s="16">
        <f t="shared" si="565"/>
        <v>26.919310758857854</v>
      </c>
      <c r="BY378" s="17">
        <f t="shared" si="566"/>
        <v>1.3560381766078752E-2</v>
      </c>
      <c r="BZ378" s="18">
        <f t="shared" si="625"/>
        <v>0.44082038266203288</v>
      </c>
      <c r="CA378" s="19">
        <f t="shared" si="626"/>
        <v>949.54177623639157</v>
      </c>
      <c r="CB378" s="15">
        <f t="shared" si="567"/>
        <v>5.3990835524727835E-6</v>
      </c>
      <c r="CC378" s="16">
        <f t="shared" si="568"/>
        <v>26.808730426718505</v>
      </c>
      <c r="CD378" s="17">
        <f t="shared" si="569"/>
        <v>1.3512251560245285E-2</v>
      </c>
      <c r="CE378" s="18">
        <f t="shared" si="627"/>
        <v>0.4426386733290158</v>
      </c>
      <c r="CF378" s="19">
        <f t="shared" si="628"/>
        <v>936.36990228120442</v>
      </c>
      <c r="CG378" s="15">
        <f t="shared" si="570"/>
        <v>5.3727398045624098E-6</v>
      </c>
      <c r="CH378" s="16">
        <f t="shared" si="571"/>
        <v>26.657253876233852</v>
      </c>
      <c r="CI378" s="17">
        <f t="shared" si="572"/>
        <v>1.3446321232376657E-2</v>
      </c>
      <c r="CJ378" s="18">
        <f t="shared" si="629"/>
        <v>0.44515391288288297</v>
      </c>
      <c r="CK378" s="19">
        <f t="shared" si="630"/>
        <v>912.58460008404211</v>
      </c>
      <c r="CL378" s="15">
        <f t="shared" si="573"/>
        <v>5.3251692001680847E-6</v>
      </c>
      <c r="CM378" s="16">
        <f t="shared" si="574"/>
        <v>26.383722900966482</v>
      </c>
      <c r="CN378" s="17">
        <f t="shared" si="575"/>
        <v>1.3327266587787087E-2</v>
      </c>
      <c r="CO378" s="18">
        <f t="shared" si="631"/>
        <v>0.4497690077423912</v>
      </c>
      <c r="CP378" s="19">
        <f t="shared" si="632"/>
        <v>860.72335230386011</v>
      </c>
      <c r="CQ378" s="15">
        <f t="shared" si="576"/>
        <v>5.2214467046077213E-6</v>
      </c>
      <c r="CR378" s="16">
        <f t="shared" si="577"/>
        <v>25.787318551494391</v>
      </c>
      <c r="CS378" s="17">
        <f t="shared" si="578"/>
        <v>1.3067680967589351E-2</v>
      </c>
      <c r="CT378" s="18">
        <f t="shared" si="633"/>
        <v>0.46017118243688904</v>
      </c>
      <c r="CU378" s="19">
        <f t="shared" si="634"/>
        <v>750.01868510751785</v>
      </c>
      <c r="CV378" s="15">
        <f t="shared" si="579"/>
        <v>5.0000373702150356E-6</v>
      </c>
      <c r="CW378" s="16">
        <f t="shared" si="580"/>
        <v>24.514214878736453</v>
      </c>
      <c r="CX378" s="17">
        <f t="shared" si="581"/>
        <v>1.2513561255415195E-2</v>
      </c>
      <c r="CY378" s="18">
        <f t="shared" si="635"/>
        <v>0.48406938294446178</v>
      </c>
      <c r="CZ378" s="20">
        <f t="shared" si="585"/>
        <v>550.09421901357268</v>
      </c>
      <c r="DA378" s="15">
        <f t="shared" si="582"/>
        <v>6.4483364841181056E-6</v>
      </c>
      <c r="DB378" s="16">
        <f t="shared" si="583"/>
        <v>37.542267648606391</v>
      </c>
      <c r="DC378" s="17">
        <f t="shared" si="584"/>
        <v>1.6138210100231764E-2</v>
      </c>
      <c r="DD378" s="18">
        <f t="shared" si="636"/>
        <v>0.31608588433678164</v>
      </c>
    </row>
    <row r="379" spans="2:108" x14ac:dyDescent="0.25">
      <c r="B379">
        <v>112</v>
      </c>
      <c r="C379">
        <f t="shared" si="637"/>
        <v>0.10949284263066816</v>
      </c>
      <c r="D379" s="19">
        <f t="shared" si="534"/>
        <v>1018.1698372859745</v>
      </c>
      <c r="E379" s="15">
        <f t="shared" si="586"/>
        <v>5.5363396745719492E-6</v>
      </c>
      <c r="F379" s="16">
        <f t="shared" si="535"/>
        <v>27.597953128788706</v>
      </c>
      <c r="G379" s="17">
        <f t="shared" si="532"/>
        <v>1.3855761571150422E-2</v>
      </c>
      <c r="H379" s="18">
        <f t="shared" si="587"/>
        <v>0.42998047044798104</v>
      </c>
      <c r="I379" s="19">
        <f t="shared" si="588"/>
        <v>1017.8454569956942</v>
      </c>
      <c r="J379" s="15">
        <f t="shared" si="589"/>
        <v>5.5356909139913891E-6</v>
      </c>
      <c r="K379" s="16">
        <f t="shared" si="536"/>
        <v>27.594222755450481</v>
      </c>
      <c r="L379" s="17">
        <f t="shared" si="590"/>
        <v>1.3854137922232657E-2</v>
      </c>
      <c r="M379" s="18">
        <f t="shared" si="591"/>
        <v>0.43003859811104778</v>
      </c>
      <c r="N379" s="19">
        <f t="shared" si="592"/>
        <v>1016.9400201352911</v>
      </c>
      <c r="O379" s="15">
        <f t="shared" si="593"/>
        <v>5.5338800402705831E-6</v>
      </c>
      <c r="P379" s="16">
        <f t="shared" si="594"/>
        <v>27.583810231555844</v>
      </c>
      <c r="Q379" s="17">
        <f t="shared" si="533"/>
        <v>1.3855761571150422E-2</v>
      </c>
      <c r="R379" s="18">
        <f t="shared" si="595"/>
        <v>0.43020093199968962</v>
      </c>
      <c r="S379" s="19">
        <f t="shared" si="596"/>
        <v>1015.438782461575</v>
      </c>
      <c r="T379" s="15">
        <f t="shared" si="597"/>
        <v>5.5308775649231509E-6</v>
      </c>
      <c r="U379" s="16">
        <f t="shared" si="598"/>
        <v>27.566545998308111</v>
      </c>
      <c r="V379" s="17">
        <f t="shared" si="599"/>
        <v>1.3842091584585683E-2</v>
      </c>
      <c r="W379" s="18">
        <f t="shared" si="600"/>
        <v>0.43047035600492739</v>
      </c>
      <c r="X379" s="19">
        <f t="shared" si="601"/>
        <v>1013.3395575802432</v>
      </c>
      <c r="Y379" s="15">
        <f t="shared" si="602"/>
        <v>5.526679115160487E-6</v>
      </c>
      <c r="Z379" s="16">
        <f t="shared" si="603"/>
        <v>27.542404912172795</v>
      </c>
      <c r="AA379" s="17">
        <f t="shared" si="604"/>
        <v>1.3831584151462116E-2</v>
      </c>
      <c r="AB379" s="18">
        <f t="shared" si="605"/>
        <v>0.43084766590129092</v>
      </c>
      <c r="AC379" s="19">
        <f t="shared" si="606"/>
        <v>1010.6409587837293</v>
      </c>
      <c r="AD379" s="15">
        <f t="shared" si="537"/>
        <v>5.5212819175674591E-6</v>
      </c>
      <c r="AE379" s="16">
        <f t="shared" si="538"/>
        <v>27.511371026012888</v>
      </c>
      <c r="AF379" s="17">
        <f t="shared" si="539"/>
        <v>1.3818076619880399E-2</v>
      </c>
      <c r="AG379" s="18">
        <f t="shared" si="607"/>
        <v>0.43133367866318489</v>
      </c>
      <c r="AH379" s="19">
        <f t="shared" si="608"/>
        <v>1007.3427911191144</v>
      </c>
      <c r="AI379" s="15">
        <f t="shared" si="540"/>
        <v>5.5146855822382292E-6</v>
      </c>
      <c r="AJ379" s="16">
        <f t="shared" si="541"/>
        <v>27.473442097869814</v>
      </c>
      <c r="AK379" s="17">
        <f t="shared" si="542"/>
        <v>1.3801568014025715E-2</v>
      </c>
      <c r="AL379" s="18">
        <f t="shared" si="609"/>
        <v>0.43192916371545553</v>
      </c>
      <c r="AM379" s="19">
        <f t="shared" si="610"/>
        <v>1003.4450217068671</v>
      </c>
      <c r="AN379" s="15">
        <f t="shared" si="543"/>
        <v>5.5068900434137351E-6</v>
      </c>
      <c r="AO379" s="16">
        <f t="shared" si="544"/>
        <v>27.42861774962897</v>
      </c>
      <c r="AP379" s="17">
        <f t="shared" si="545"/>
        <v>1.3782058169323279E-2</v>
      </c>
      <c r="AQ379" s="18">
        <f t="shared" si="611"/>
        <v>0.43263503024604361</v>
      </c>
      <c r="AR379" s="19">
        <f t="shared" si="612"/>
        <v>998.94764929177973</v>
      </c>
      <c r="AS379" s="15">
        <f t="shared" si="546"/>
        <v>5.49789529858356E-6</v>
      </c>
      <c r="AT379" s="16">
        <f t="shared" si="547"/>
        <v>27.376897966855466</v>
      </c>
      <c r="AU379" s="17">
        <f t="shared" si="548"/>
        <v>1.3759547079490288E-2</v>
      </c>
      <c r="AV379" s="18">
        <f t="shared" si="613"/>
        <v>0.43345235402800109</v>
      </c>
      <c r="AW379" s="19">
        <f t="shared" si="614"/>
        <v>993.85066505612008</v>
      </c>
      <c r="AX379" s="15">
        <f t="shared" si="549"/>
        <v>5.4877013301122407E-6</v>
      </c>
      <c r="AY379" s="16">
        <f t="shared" si="550"/>
        <v>27.318282648145381</v>
      </c>
      <c r="AZ379" s="17">
        <f t="shared" si="551"/>
        <v>1.373403470039058E-2</v>
      </c>
      <c r="BA379" s="18">
        <f t="shared" si="615"/>
        <v>0.43438238862073975</v>
      </c>
      <c r="BB379" s="19">
        <f t="shared" si="616"/>
        <v>988.15398028034053</v>
      </c>
      <c r="BC379" s="15">
        <f t="shared" si="552"/>
        <v>5.4763079605606812E-6</v>
      </c>
      <c r="BD379" s="16">
        <f t="shared" si="553"/>
        <v>27.252770773223915</v>
      </c>
      <c r="BE379" s="17">
        <f t="shared" si="554"/>
        <v>1.3705520587948479E-2</v>
      </c>
      <c r="BF379" s="18">
        <f t="shared" si="617"/>
        <v>0.43542658353758723</v>
      </c>
      <c r="BG379" s="19">
        <f t="shared" si="618"/>
        <v>981.85694203172523</v>
      </c>
      <c r="BH379" s="15">
        <f t="shared" si="555"/>
        <v>5.4637138840634511E-6</v>
      </c>
      <c r="BI379" s="16">
        <f t="shared" si="556"/>
        <v>27.180354833364838</v>
      </c>
      <c r="BJ379" s="17">
        <f t="shared" si="557"/>
        <v>1.3674001473982999E-2</v>
      </c>
      <c r="BK379" s="18">
        <f t="shared" si="619"/>
        <v>0.43658667969820814</v>
      </c>
      <c r="BL379" s="19">
        <f t="shared" si="620"/>
        <v>974.95525453761604</v>
      </c>
      <c r="BM379" s="15">
        <f t="shared" si="558"/>
        <v>5.4499105090752326E-6</v>
      </c>
      <c r="BN379" s="16">
        <f t="shared" si="559"/>
        <v>27.100985427182586</v>
      </c>
      <c r="BO379" s="17">
        <f t="shared" si="560"/>
        <v>1.3639455856489121E-2</v>
      </c>
      <c r="BP379" s="18">
        <f t="shared" si="621"/>
        <v>0.4378652909726149</v>
      </c>
      <c r="BQ379" s="19">
        <f t="shared" si="622"/>
        <v>967.42363459297769</v>
      </c>
      <c r="BR379" s="15">
        <f t="shared" si="561"/>
        <v>5.4348472691859554E-6</v>
      </c>
      <c r="BS379" s="16">
        <f t="shared" si="562"/>
        <v>27.014371797819244</v>
      </c>
      <c r="BT379" s="17">
        <f t="shared" si="563"/>
        <v>1.3601757183238729E-2</v>
      </c>
      <c r="BU379" s="18">
        <f t="shared" si="623"/>
        <v>0.43926917710801022</v>
      </c>
      <c r="BV379" s="19">
        <f t="shared" si="624"/>
        <v>959.13065893955172</v>
      </c>
      <c r="BW379" s="15">
        <f t="shared" si="564"/>
        <v>5.4182613178791046E-6</v>
      </c>
      <c r="BX379" s="16">
        <f t="shared" si="565"/>
        <v>26.919002577804847</v>
      </c>
      <c r="BY379" s="17">
        <f t="shared" si="566"/>
        <v>1.3560247629951394E-2</v>
      </c>
      <c r="BZ379" s="18">
        <f t="shared" si="625"/>
        <v>0.44082542937538433</v>
      </c>
      <c r="CA379" s="19">
        <f t="shared" si="626"/>
        <v>949.48325321709228</v>
      </c>
      <c r="CB379" s="15">
        <f t="shared" si="567"/>
        <v>5.3989665064341854E-6</v>
      </c>
      <c r="CC379" s="16">
        <f t="shared" si="568"/>
        <v>26.808057411996561</v>
      </c>
      <c r="CD379" s="17">
        <f t="shared" si="569"/>
        <v>1.351195862987992E-2</v>
      </c>
      <c r="CE379" s="18">
        <f t="shared" si="627"/>
        <v>0.44264978574716207</v>
      </c>
      <c r="CF379" s="19">
        <f t="shared" si="628"/>
        <v>936.2108889580262</v>
      </c>
      <c r="CG379" s="15">
        <f t="shared" si="570"/>
        <v>5.3724217779160536E-6</v>
      </c>
      <c r="CH379" s="16">
        <f t="shared" si="571"/>
        <v>26.6554252230173</v>
      </c>
      <c r="CI379" s="17">
        <f t="shared" si="572"/>
        <v>1.3445525309141414E-2</v>
      </c>
      <c r="CJ379" s="18">
        <f t="shared" si="629"/>
        <v>0.44518445196180756</v>
      </c>
      <c r="CK379" s="19">
        <f t="shared" si="630"/>
        <v>912.17718931764898</v>
      </c>
      <c r="CL379" s="15">
        <f t="shared" si="573"/>
        <v>5.324354378635299E-6</v>
      </c>
      <c r="CM379" s="16">
        <f t="shared" si="574"/>
        <v>26.379037677152965</v>
      </c>
      <c r="CN379" s="17">
        <f t="shared" si="575"/>
        <v>1.332522733919597E-2</v>
      </c>
      <c r="CO379" s="18">
        <f t="shared" si="631"/>
        <v>0.44984889194785188</v>
      </c>
      <c r="CP379" s="19">
        <f t="shared" si="632"/>
        <v>859.87907736898342</v>
      </c>
      <c r="CQ379" s="15">
        <f t="shared" si="576"/>
        <v>5.2197581547379673E-6</v>
      </c>
      <c r="CR379" s="16">
        <f t="shared" si="577"/>
        <v>25.777609389743308</v>
      </c>
      <c r="CS379" s="17">
        <f t="shared" si="578"/>
        <v>1.3063455044728483E-2</v>
      </c>
      <c r="CT379" s="18">
        <f t="shared" si="633"/>
        <v>0.46034450636215746</v>
      </c>
      <c r="CU379" s="19">
        <f t="shared" si="634"/>
        <v>748.74637970398453</v>
      </c>
      <c r="CV379" s="15">
        <f t="shared" si="579"/>
        <v>4.9974927594079697E-6</v>
      </c>
      <c r="CW379" s="16">
        <f t="shared" si="580"/>
        <v>24.499583366595822</v>
      </c>
      <c r="CX379" s="17">
        <f t="shared" si="581"/>
        <v>1.2507192874371667E-2</v>
      </c>
      <c r="CY379" s="18">
        <f t="shared" si="635"/>
        <v>0.48435847631178475</v>
      </c>
      <c r="CZ379" s="20">
        <f t="shared" si="585"/>
        <v>548.89225216732768</v>
      </c>
      <c r="DA379" s="15">
        <f t="shared" si="582"/>
        <v>6.4671550360565874E-6</v>
      </c>
      <c r="DB379" s="16">
        <f t="shared" si="583"/>
        <v>37.577124687147496</v>
      </c>
      <c r="DC379" s="17">
        <f t="shared" si="584"/>
        <v>1.618530716871033E-2</v>
      </c>
      <c r="DD379" s="18">
        <f t="shared" si="636"/>
        <v>0.31579267888414636</v>
      </c>
    </row>
    <row r="380" spans="2:108" x14ac:dyDescent="0.25">
      <c r="B380">
        <v>113</v>
      </c>
      <c r="C380">
        <f t="shared" si="637"/>
        <v>0.11047045729701341</v>
      </c>
      <c r="D380" s="19">
        <f t="shared" si="534"/>
        <v>1018.1532760670133</v>
      </c>
      <c r="E380" s="15">
        <f t="shared" si="586"/>
        <v>5.5363065521340268E-6</v>
      </c>
      <c r="F380" s="16">
        <f t="shared" si="535"/>
        <v>27.597762674770649</v>
      </c>
      <c r="G380" s="17">
        <f t="shared" si="532"/>
        <v>1.3855678675838813E-2</v>
      </c>
      <c r="H380" s="18">
        <f t="shared" si="587"/>
        <v>0.4299834377721532</v>
      </c>
      <c r="I380" s="19">
        <f t="shared" si="588"/>
        <v>1017.8288860869312</v>
      </c>
      <c r="J380" s="15">
        <f t="shared" si="589"/>
        <v>5.5356577721738627E-6</v>
      </c>
      <c r="K380" s="16">
        <f t="shared" si="536"/>
        <v>27.594032189999709</v>
      </c>
      <c r="L380" s="17">
        <f t="shared" si="590"/>
        <v>1.3854054978419836E-2</v>
      </c>
      <c r="M380" s="18">
        <f t="shared" si="591"/>
        <v>0.43004156797419552</v>
      </c>
      <c r="N380" s="19">
        <f t="shared" si="592"/>
        <v>1016.9234303277395</v>
      </c>
      <c r="O380" s="15">
        <f t="shared" si="593"/>
        <v>5.5338468606554794E-6</v>
      </c>
      <c r="P380" s="16">
        <f t="shared" si="594"/>
        <v>27.583619448769003</v>
      </c>
      <c r="Q380" s="17">
        <f t="shared" si="533"/>
        <v>1.3855678675838813E-2</v>
      </c>
      <c r="R380" s="18">
        <f t="shared" si="595"/>
        <v>0.43020390749508686</v>
      </c>
      <c r="S380" s="19">
        <f t="shared" si="596"/>
        <v>1015.4221824675994</v>
      </c>
      <c r="T380" s="15">
        <f t="shared" si="597"/>
        <v>5.5308443649351998E-6</v>
      </c>
      <c r="U380" s="16">
        <f t="shared" si="598"/>
        <v>27.566355098377393</v>
      </c>
      <c r="V380" s="17">
        <f t="shared" si="599"/>
        <v>1.3842008495190116E-2</v>
      </c>
      <c r="W380" s="18">
        <f t="shared" si="600"/>
        <v>0.43047333705776675</v>
      </c>
      <c r="X380" s="19">
        <f t="shared" si="601"/>
        <v>1013.322959601904</v>
      </c>
      <c r="Y380" s="15">
        <f t="shared" si="602"/>
        <v>5.526645919203808E-6</v>
      </c>
      <c r="Z380" s="16">
        <f t="shared" si="603"/>
        <v>27.542214035421896</v>
      </c>
      <c r="AA380" s="17">
        <f t="shared" si="604"/>
        <v>1.3831501072155587E-2</v>
      </c>
      <c r="AB380" s="18">
        <f t="shared" si="605"/>
        <v>0.43085065181965226</v>
      </c>
      <c r="AC380" s="19">
        <f t="shared" si="606"/>
        <v>1010.6243714181137</v>
      </c>
      <c r="AD380" s="15">
        <f t="shared" si="537"/>
        <v>5.5212487428362279E-6</v>
      </c>
      <c r="AE380" s="16">
        <f t="shared" si="538"/>
        <v>27.511180271308305</v>
      </c>
      <c r="AF380" s="17">
        <f t="shared" si="539"/>
        <v>1.3817993593694664E-2</v>
      </c>
      <c r="AG380" s="18">
        <f t="shared" si="607"/>
        <v>0.43133666940831611</v>
      </c>
      <c r="AH380" s="19">
        <f t="shared" si="608"/>
        <v>1007.3262197083044</v>
      </c>
      <c r="AI380" s="15">
        <f t="shared" si="540"/>
        <v>5.5146524394166088E-6</v>
      </c>
      <c r="AJ380" s="16">
        <f t="shared" si="541"/>
        <v>27.473251526645498</v>
      </c>
      <c r="AK380" s="17">
        <f t="shared" si="542"/>
        <v>1.3801485067699954E-2</v>
      </c>
      <c r="AL380" s="18">
        <f t="shared" si="609"/>
        <v>0.43193215983950245</v>
      </c>
      <c r="AM380" s="19">
        <f t="shared" si="610"/>
        <v>1003.4284701932218</v>
      </c>
      <c r="AN380" s="15">
        <f t="shared" si="543"/>
        <v>5.5068569403864442E-6</v>
      </c>
      <c r="AO380" s="16">
        <f t="shared" si="544"/>
        <v>27.428427407222049</v>
      </c>
      <c r="AP380" s="17">
        <f t="shared" si="545"/>
        <v>1.3781975322590531E-2</v>
      </c>
      <c r="AQ380" s="18">
        <f t="shared" si="611"/>
        <v>0.43263803256155203</v>
      </c>
      <c r="AR380" s="19">
        <f t="shared" si="612"/>
        <v>998.93112113230313</v>
      </c>
      <c r="AS380" s="15">
        <f t="shared" si="546"/>
        <v>5.4978622422646067E-6</v>
      </c>
      <c r="AT380" s="16">
        <f t="shared" si="547"/>
        <v>27.376707893021486</v>
      </c>
      <c r="AU380" s="17">
        <f t="shared" si="548"/>
        <v>1.3759464349654194E-2</v>
      </c>
      <c r="AV380" s="18">
        <f t="shared" si="613"/>
        <v>0.43345536344575503</v>
      </c>
      <c r="AW380" s="19">
        <f t="shared" si="614"/>
        <v>993.83416265880862</v>
      </c>
      <c r="AX380" s="15">
        <f t="shared" si="549"/>
        <v>5.4876683253176181E-6</v>
      </c>
      <c r="AY380" s="16">
        <f t="shared" si="550"/>
        <v>27.318092870576301</v>
      </c>
      <c r="AZ380" s="17">
        <f t="shared" si="551"/>
        <v>1.3733952099504097E-2</v>
      </c>
      <c r="BA380" s="18">
        <f t="shared" si="615"/>
        <v>0.43438540625576116</v>
      </c>
      <c r="BB380" s="19">
        <f t="shared" si="616"/>
        <v>988.1374989936262</v>
      </c>
      <c r="BC380" s="15">
        <f t="shared" si="552"/>
        <v>5.4762749979872527E-6</v>
      </c>
      <c r="BD380" s="16">
        <f t="shared" si="553"/>
        <v>27.2525812384267</v>
      </c>
      <c r="BE380" s="17">
        <f t="shared" si="554"/>
        <v>1.3705438092728705E-2</v>
      </c>
      <c r="BF380" s="18">
        <f t="shared" si="617"/>
        <v>0.43542961181914669</v>
      </c>
      <c r="BG380" s="19">
        <f t="shared" si="618"/>
        <v>981.84043257989742</v>
      </c>
      <c r="BH380" s="15">
        <f t="shared" si="555"/>
        <v>5.4636808651597947E-6</v>
      </c>
      <c r="BI380" s="16">
        <f t="shared" si="556"/>
        <v>27.18016497466882</v>
      </c>
      <c r="BJ380" s="17">
        <f t="shared" si="557"/>
        <v>1.3673918837785926E-2</v>
      </c>
      <c r="BK380" s="18">
        <f t="shared" si="619"/>
        <v>0.43658972934039331</v>
      </c>
      <c r="BL380" s="19">
        <f t="shared" si="620"/>
        <v>974.93841756431095</v>
      </c>
      <c r="BM380" s="15">
        <f t="shared" si="558"/>
        <v>5.4498768351286228E-6</v>
      </c>
      <c r="BN380" s="16">
        <f t="shared" si="559"/>
        <v>27.100791801989573</v>
      </c>
      <c r="BO380" s="17">
        <f t="shared" si="560"/>
        <v>1.3639371580920278E-2</v>
      </c>
      <c r="BP380" s="18">
        <f t="shared" si="621"/>
        <v>0.43786841935912468</v>
      </c>
      <c r="BQ380" s="19">
        <f t="shared" si="622"/>
        <v>967.40494873573414</v>
      </c>
      <c r="BR380" s="15">
        <f t="shared" si="561"/>
        <v>5.4348098974714685E-6</v>
      </c>
      <c r="BS380" s="16">
        <f t="shared" si="562"/>
        <v>27.01415691046094</v>
      </c>
      <c r="BT380" s="17">
        <f t="shared" si="563"/>
        <v>1.3601663653290085E-2</v>
      </c>
      <c r="BU380" s="18">
        <f t="shared" si="623"/>
        <v>0.43927267132748066</v>
      </c>
      <c r="BV380" s="19">
        <f t="shared" si="624"/>
        <v>959.1035214718363</v>
      </c>
      <c r="BW380" s="15">
        <f t="shared" si="564"/>
        <v>5.4182070429436735E-6</v>
      </c>
      <c r="BX380" s="16">
        <f t="shared" si="565"/>
        <v>26.918690496926118</v>
      </c>
      <c r="BY380" s="17">
        <f t="shared" si="566"/>
        <v>1.3560111796420788E-2</v>
      </c>
      <c r="BZ380" s="18">
        <f t="shared" si="625"/>
        <v>0.44083054006928607</v>
      </c>
      <c r="CA380" s="19">
        <f t="shared" si="626"/>
        <v>949.4237385526352</v>
      </c>
      <c r="CB380" s="15">
        <f t="shared" si="567"/>
        <v>5.398847477105271E-6</v>
      </c>
      <c r="CC380" s="16">
        <f t="shared" si="568"/>
        <v>26.807372993355305</v>
      </c>
      <c r="CD380" s="17">
        <f t="shared" si="569"/>
        <v>1.351166073594668E-2</v>
      </c>
      <c r="CE380" s="18">
        <f t="shared" si="627"/>
        <v>0.44266108703225959</v>
      </c>
      <c r="CF380" s="19">
        <f t="shared" si="628"/>
        <v>936.04973335532566</v>
      </c>
      <c r="CG380" s="15">
        <f t="shared" si="570"/>
        <v>5.3720994667106515E-6</v>
      </c>
      <c r="CH380" s="16">
        <f t="shared" si="571"/>
        <v>26.653571933586242</v>
      </c>
      <c r="CI380" s="17">
        <f t="shared" si="572"/>
        <v>1.3444718662967901E-2</v>
      </c>
      <c r="CJ380" s="18">
        <f t="shared" si="629"/>
        <v>0.44521540674872123</v>
      </c>
      <c r="CK380" s="19">
        <f t="shared" si="630"/>
        <v>911.76699813622963</v>
      </c>
      <c r="CL380" s="15">
        <f t="shared" si="573"/>
        <v>5.32353399627246E-6</v>
      </c>
      <c r="CM380" s="16">
        <f t="shared" si="574"/>
        <v>26.374320478566638</v>
      </c>
      <c r="CN380" s="17">
        <f t="shared" si="575"/>
        <v>1.332317417355137E-2</v>
      </c>
      <c r="CO380" s="18">
        <f t="shared" si="631"/>
        <v>0.44992935000397061</v>
      </c>
      <c r="CP380" s="19">
        <f t="shared" si="632"/>
        <v>859.03473012656127</v>
      </c>
      <c r="CQ380" s="15">
        <f t="shared" si="576"/>
        <v>5.2180694602531229E-6</v>
      </c>
      <c r="CR380" s="16">
        <f t="shared" si="577"/>
        <v>25.767899396455455</v>
      </c>
      <c r="CS380" s="17">
        <f t="shared" si="578"/>
        <v>1.305922875994036E-2</v>
      </c>
      <c r="CT380" s="18">
        <f t="shared" si="633"/>
        <v>0.46051797576290698</v>
      </c>
      <c r="CU380" s="19">
        <f t="shared" si="634"/>
        <v>747.48087130560168</v>
      </c>
      <c r="CV380" s="15">
        <f t="shared" si="579"/>
        <v>4.9949617426112037E-6</v>
      </c>
      <c r="CW380" s="16">
        <f t="shared" si="580"/>
        <v>24.48503002001442</v>
      </c>
      <c r="CX380" s="17">
        <f t="shared" si="581"/>
        <v>1.2500858514969976E-2</v>
      </c>
      <c r="CY380" s="18">
        <f t="shared" si="635"/>
        <v>0.4846463680060013</v>
      </c>
      <c r="CZ380" s="20">
        <f t="shared" si="585"/>
        <v>547.69965056935359</v>
      </c>
      <c r="DA380" s="15">
        <f t="shared" si="582"/>
        <v>6.485803075393845E-6</v>
      </c>
      <c r="DB380" s="16">
        <f t="shared" si="583"/>
        <v>37.611710133488742</v>
      </c>
      <c r="DC380" s="17">
        <f t="shared" si="584"/>
        <v>1.6231977496402327E-2</v>
      </c>
      <c r="DD380" s="18">
        <f t="shared" si="636"/>
        <v>0.31550229509910327</v>
      </c>
    </row>
    <row r="381" spans="2:108" x14ac:dyDescent="0.25">
      <c r="B381">
        <v>114</v>
      </c>
      <c r="C381">
        <f t="shared" si="637"/>
        <v>0.11144807196335867</v>
      </c>
      <c r="D381" s="19">
        <f t="shared" si="534"/>
        <v>1018.1367143533397</v>
      </c>
      <c r="E381" s="15">
        <f t="shared" si="586"/>
        <v>5.53627342870668E-6</v>
      </c>
      <c r="F381" s="16">
        <f t="shared" si="535"/>
        <v>27.597572215063405</v>
      </c>
      <c r="G381" s="17">
        <f t="shared" si="532"/>
        <v>1.3855595778050974E-2</v>
      </c>
      <c r="H381" s="18">
        <f t="shared" si="587"/>
        <v>0.42998640522592196</v>
      </c>
      <c r="I381" s="19">
        <f t="shared" si="588"/>
        <v>1017.812314951659</v>
      </c>
      <c r="J381" s="15">
        <f t="shared" si="589"/>
        <v>5.5356246299033186E-6</v>
      </c>
      <c r="K381" s="16">
        <f t="shared" si="536"/>
        <v>27.59384162194408</v>
      </c>
      <c r="L381" s="17">
        <f t="shared" si="590"/>
        <v>1.3853972033473251E-2</v>
      </c>
      <c r="M381" s="18">
        <f t="shared" si="591"/>
        <v>0.43004453791895969</v>
      </c>
      <c r="N381" s="19">
        <f t="shared" si="592"/>
        <v>1016.9068406394765</v>
      </c>
      <c r="O381" s="15">
        <f t="shared" si="593"/>
        <v>5.5338136812789536E-6</v>
      </c>
      <c r="P381" s="16">
        <f t="shared" si="594"/>
        <v>27.583428667353978</v>
      </c>
      <c r="Q381" s="17">
        <f t="shared" si="533"/>
        <v>1.3855595778050974E-2</v>
      </c>
      <c r="R381" s="18">
        <f t="shared" si="595"/>
        <v>0.4302068830102489</v>
      </c>
      <c r="S381" s="19">
        <f t="shared" si="596"/>
        <v>1015.4055827231391</v>
      </c>
      <c r="T381" s="15">
        <f t="shared" si="597"/>
        <v>5.5308111654462782E-6</v>
      </c>
      <c r="U381" s="16">
        <f t="shared" si="598"/>
        <v>27.566164201316099</v>
      </c>
      <c r="V381" s="17">
        <f t="shared" si="599"/>
        <v>1.3841925407043466E-2</v>
      </c>
      <c r="W381" s="18">
        <f t="shared" si="600"/>
        <v>0.43047631810708542</v>
      </c>
      <c r="X381" s="19">
        <f t="shared" si="601"/>
        <v>1013.3063618640464</v>
      </c>
      <c r="Y381" s="15">
        <f t="shared" si="602"/>
        <v>5.5266127237280928E-6</v>
      </c>
      <c r="Z381" s="16">
        <f t="shared" si="603"/>
        <v>27.542023161436532</v>
      </c>
      <c r="AA381" s="17">
        <f t="shared" si="604"/>
        <v>1.3831417994052762E-2</v>
      </c>
      <c r="AB381" s="18">
        <f t="shared" si="605"/>
        <v>0.43085363773613805</v>
      </c>
      <c r="AC381" s="19">
        <f t="shared" si="606"/>
        <v>1010.6077842627643</v>
      </c>
      <c r="AD381" s="15">
        <f t="shared" si="537"/>
        <v>5.5212155685255292E-6</v>
      </c>
      <c r="AE381" s="16">
        <f t="shared" si="538"/>
        <v>27.510989519021791</v>
      </c>
      <c r="AF381" s="17">
        <f t="shared" si="539"/>
        <v>1.381791056856139E-2</v>
      </c>
      <c r="AG381" s="18">
        <f t="shared" si="607"/>
        <v>0.43133966015700909</v>
      </c>
      <c r="AH381" s="19">
        <f t="shared" si="608"/>
        <v>1007.3096484928219</v>
      </c>
      <c r="AI381" s="15">
        <f t="shared" si="540"/>
        <v>5.5146192969856442E-6</v>
      </c>
      <c r="AJ381" s="16">
        <f t="shared" si="541"/>
        <v>27.47306095766745</v>
      </c>
      <c r="AK381" s="17">
        <f t="shared" si="542"/>
        <v>1.3801402122351886E-2</v>
      </c>
      <c r="AL381" s="18">
        <f t="shared" si="609"/>
        <v>0.43193515596979948</v>
      </c>
      <c r="AM381" s="19">
        <f t="shared" si="610"/>
        <v>1003.4119188693984</v>
      </c>
      <c r="AN381" s="15">
        <f t="shared" si="543"/>
        <v>5.5068238377387977E-6</v>
      </c>
      <c r="AO381" s="16">
        <f t="shared" si="544"/>
        <v>27.428237066998079</v>
      </c>
      <c r="AP381" s="17">
        <f t="shared" si="545"/>
        <v>1.3781892476807915E-2</v>
      </c>
      <c r="AQ381" s="18">
        <f t="shared" si="611"/>
        <v>0.4326410348842975</v>
      </c>
      <c r="AR381" s="19">
        <f t="shared" si="612"/>
        <v>998.91459314767417</v>
      </c>
      <c r="AS381" s="15">
        <f t="shared" si="546"/>
        <v>5.4978291862953484E-6</v>
      </c>
      <c r="AT381" s="16">
        <f t="shared" si="547"/>
        <v>27.376517821198252</v>
      </c>
      <c r="AU381" s="17">
        <f t="shared" si="548"/>
        <v>1.3759381620693279E-2</v>
      </c>
      <c r="AV381" s="18">
        <f t="shared" si="613"/>
        <v>0.43345837287346084</v>
      </c>
      <c r="AW381" s="19">
        <f t="shared" si="614"/>
        <v>993.81766033254542</v>
      </c>
      <c r="AX381" s="15">
        <f t="shared" si="549"/>
        <v>5.4876353206650911E-6</v>
      </c>
      <c r="AY381" s="16">
        <f t="shared" si="550"/>
        <v>27.31790309382427</v>
      </c>
      <c r="AZ381" s="17">
        <f t="shared" si="551"/>
        <v>1.3733869498973234E-2</v>
      </c>
      <c r="BA381" s="18">
        <f t="shared" si="615"/>
        <v>0.43438842391971749</v>
      </c>
      <c r="BB381" s="19">
        <f t="shared" si="616"/>
        <v>988.1210171244453</v>
      </c>
      <c r="BC381" s="15">
        <f t="shared" si="552"/>
        <v>5.4762420342488913E-6</v>
      </c>
      <c r="BD381" s="16">
        <f t="shared" si="553"/>
        <v>27.25239169693112</v>
      </c>
      <c r="BE381" s="17">
        <f t="shared" si="554"/>
        <v>1.370535559459346E-2</v>
      </c>
      <c r="BF381" s="18">
        <f t="shared" si="617"/>
        <v>0.43543264024985334</v>
      </c>
      <c r="BG381" s="19">
        <f t="shared" si="618"/>
        <v>981.82391890307838</v>
      </c>
      <c r="BH381" s="15">
        <f t="shared" si="555"/>
        <v>5.4636478378061571E-6</v>
      </c>
      <c r="BI381" s="16">
        <f t="shared" si="556"/>
        <v>27.179975067385399</v>
      </c>
      <c r="BJ381" s="17">
        <f t="shared" si="557"/>
        <v>1.3673836180441141E-2</v>
      </c>
      <c r="BK381" s="18">
        <f t="shared" si="619"/>
        <v>0.43659277980564443</v>
      </c>
      <c r="BL381" s="19">
        <f t="shared" si="620"/>
        <v>974.92155864993038</v>
      </c>
      <c r="BM381" s="15">
        <f t="shared" si="558"/>
        <v>5.4498431172998619E-6</v>
      </c>
      <c r="BN381" s="16">
        <f t="shared" si="559"/>
        <v>27.100597924474201</v>
      </c>
      <c r="BO381" s="17">
        <f t="shared" si="560"/>
        <v>1.3639287195527858E-2</v>
      </c>
      <c r="BP381" s="18">
        <f t="shared" si="621"/>
        <v>0.43787155186717641</v>
      </c>
      <c r="BQ381" s="19">
        <f t="shared" si="622"/>
        <v>967.38616753409917</v>
      </c>
      <c r="BR381" s="15">
        <f t="shared" si="561"/>
        <v>5.4347723350681982E-6</v>
      </c>
      <c r="BS381" s="16">
        <f t="shared" si="562"/>
        <v>27.013940926642139</v>
      </c>
      <c r="BT381" s="17">
        <f t="shared" si="563"/>
        <v>1.3601569646105854E-2</v>
      </c>
      <c r="BU381" s="18">
        <f t="shared" si="623"/>
        <v>0.43927618343218638</v>
      </c>
      <c r="BV381" s="19">
        <f t="shared" si="624"/>
        <v>959.07603893272835</v>
      </c>
      <c r="BW381" s="15">
        <f t="shared" si="564"/>
        <v>5.4181520778654565E-6</v>
      </c>
      <c r="BX381" s="16">
        <f t="shared" si="565"/>
        <v>26.918374447726375</v>
      </c>
      <c r="BY381" s="17">
        <f t="shared" si="566"/>
        <v>1.3559974235674288E-2</v>
      </c>
      <c r="BZ381" s="18">
        <f t="shared" si="625"/>
        <v>0.44083571586991555</v>
      </c>
      <c r="CA381" s="19">
        <f t="shared" si="626"/>
        <v>949.36322470129335</v>
      </c>
      <c r="CB381" s="15">
        <f t="shared" si="567"/>
        <v>5.3987264494025865E-6</v>
      </c>
      <c r="CC381" s="16">
        <f t="shared" si="568"/>
        <v>26.806677084064873</v>
      </c>
      <c r="CD381" s="17">
        <f t="shared" si="569"/>
        <v>1.3511357840696304E-2</v>
      </c>
      <c r="CE381" s="18">
        <f t="shared" si="627"/>
        <v>0.44267257864541304</v>
      </c>
      <c r="CF381" s="19">
        <f t="shared" si="628"/>
        <v>935.8864417974487</v>
      </c>
      <c r="CG381" s="15">
        <f t="shared" si="570"/>
        <v>5.3717728835948983E-6</v>
      </c>
      <c r="CH381" s="16">
        <f t="shared" si="571"/>
        <v>26.651694080670659</v>
      </c>
      <c r="CI381" s="17">
        <f t="shared" si="572"/>
        <v>1.3443901325511924E-2</v>
      </c>
      <c r="CJ381" s="18">
        <f t="shared" si="629"/>
        <v>0.44524677620115061</v>
      </c>
      <c r="CK381" s="19">
        <f t="shared" si="630"/>
        <v>911.35407300981296</v>
      </c>
      <c r="CL381" s="15">
        <f t="shared" si="573"/>
        <v>5.3227081460196262E-6</v>
      </c>
      <c r="CM381" s="16">
        <f t="shared" si="574"/>
        <v>26.369571839612849</v>
      </c>
      <c r="CN381" s="17">
        <f t="shared" si="575"/>
        <v>1.3321107323453769E-2</v>
      </c>
      <c r="CO381" s="18">
        <f t="shared" si="631"/>
        <v>0.45001037339149003</v>
      </c>
      <c r="CP381" s="19">
        <f t="shared" si="632"/>
        <v>858.19037048222594</v>
      </c>
      <c r="CQ381" s="15">
        <f t="shared" si="576"/>
        <v>5.2163807409644518E-6</v>
      </c>
      <c r="CR381" s="16">
        <f t="shared" si="577"/>
        <v>25.758189260545599</v>
      </c>
      <c r="CS381" s="17">
        <f t="shared" si="578"/>
        <v>1.305500241307586E-2</v>
      </c>
      <c r="CT381" s="18">
        <f t="shared" si="633"/>
        <v>0.46069157849904491</v>
      </c>
      <c r="CU381" s="19">
        <f t="shared" si="634"/>
        <v>746.22210287724317</v>
      </c>
      <c r="CV381" s="15">
        <f t="shared" si="579"/>
        <v>4.992444205754487E-6</v>
      </c>
      <c r="CW381" s="16">
        <f t="shared" si="580"/>
        <v>24.470554183088296</v>
      </c>
      <c r="CX381" s="17">
        <f t="shared" si="581"/>
        <v>1.2494557891727249E-2</v>
      </c>
      <c r="CY381" s="18">
        <f t="shared" si="635"/>
        <v>0.48493306612234155</v>
      </c>
      <c r="CZ381" s="20">
        <f t="shared" si="585"/>
        <v>546.51625938344182</v>
      </c>
      <c r="DA381" s="15">
        <f t="shared" si="582"/>
        <v>6.5042838386344283E-6</v>
      </c>
      <c r="DB381" s="16">
        <f t="shared" si="583"/>
        <v>37.646028477880186</v>
      </c>
      <c r="DC381" s="17">
        <f t="shared" si="584"/>
        <v>1.6278229183286804E-2</v>
      </c>
      <c r="DD381" s="18">
        <f t="shared" si="636"/>
        <v>0.31521468132263641</v>
      </c>
    </row>
    <row r="382" spans="2:108" x14ac:dyDescent="0.25">
      <c r="B382">
        <v>115</v>
      </c>
      <c r="C382">
        <f t="shared" si="637"/>
        <v>0.11242568662970392</v>
      </c>
      <c r="D382" s="19">
        <f t="shared" si="534"/>
        <v>1018.1201521586469</v>
      </c>
      <c r="E382" s="15">
        <f t="shared" si="586"/>
        <v>5.5362403043172944E-6</v>
      </c>
      <c r="F382" s="16">
        <f t="shared" si="535"/>
        <v>27.597381749824436</v>
      </c>
      <c r="G382" s="17">
        <f t="shared" si="532"/>
        <v>1.385551287785545E-2</v>
      </c>
      <c r="H382" s="18">
        <f t="shared" si="587"/>
        <v>0.42998937280683841</v>
      </c>
      <c r="I382" s="19">
        <f t="shared" si="588"/>
        <v>1017.7957435952133</v>
      </c>
      <c r="J382" s="15">
        <f t="shared" si="589"/>
        <v>5.5355914871904267E-6</v>
      </c>
      <c r="K382" s="16">
        <f t="shared" si="536"/>
        <v>27.593651051344949</v>
      </c>
      <c r="L382" s="17">
        <f t="shared" si="590"/>
        <v>1.3853889087419604E-2</v>
      </c>
      <c r="M382" s="18">
        <f t="shared" si="591"/>
        <v>0.43004750794438662</v>
      </c>
      <c r="N382" s="19">
        <f t="shared" si="592"/>
        <v>1016.8902510691652</v>
      </c>
      <c r="O382" s="15">
        <f t="shared" si="593"/>
        <v>5.5337805021383307E-6</v>
      </c>
      <c r="P382" s="16">
        <f t="shared" si="594"/>
        <v>27.583237887295397</v>
      </c>
      <c r="Q382" s="17">
        <f t="shared" si="533"/>
        <v>1.385551287785545E-2</v>
      </c>
      <c r="R382" s="18">
        <f t="shared" si="595"/>
        <v>0.43020985854541549</v>
      </c>
      <c r="S382" s="19">
        <f t="shared" si="596"/>
        <v>1015.3889832265454</v>
      </c>
      <c r="T382" s="15">
        <f t="shared" si="597"/>
        <v>5.5307779664530919E-6</v>
      </c>
      <c r="U382" s="16">
        <f t="shared" si="598"/>
        <v>27.565973307105271</v>
      </c>
      <c r="V382" s="17">
        <f t="shared" si="599"/>
        <v>1.3841842320137491E-2</v>
      </c>
      <c r="W382" s="18">
        <f t="shared" si="600"/>
        <v>0.43047929915317834</v>
      </c>
      <c r="X382" s="19">
        <f t="shared" si="601"/>
        <v>1013.2897643663059</v>
      </c>
      <c r="Y382" s="15">
        <f t="shared" si="602"/>
        <v>5.5265795287326124E-6</v>
      </c>
      <c r="Z382" s="16">
        <f t="shared" si="603"/>
        <v>27.541832290212518</v>
      </c>
      <c r="AA382" s="17">
        <f t="shared" si="604"/>
        <v>1.383133491715182E-2</v>
      </c>
      <c r="AB382" s="18">
        <f t="shared" si="605"/>
        <v>0.43085662365081279</v>
      </c>
      <c r="AC382" s="19">
        <f t="shared" si="606"/>
        <v>1010.5911973178273</v>
      </c>
      <c r="AD382" s="15">
        <f t="shared" si="537"/>
        <v>5.5211823946356559E-6</v>
      </c>
      <c r="AE382" s="16">
        <f t="shared" si="538"/>
        <v>27.510798769155013</v>
      </c>
      <c r="AF382" s="17">
        <f t="shared" si="539"/>
        <v>1.3817827544481314E-2</v>
      </c>
      <c r="AG382" s="18">
        <f t="shared" si="607"/>
        <v>0.43134265090923701</v>
      </c>
      <c r="AH382" s="19">
        <f t="shared" si="608"/>
        <v>1007.2930774727712</v>
      </c>
      <c r="AI382" s="15">
        <f t="shared" si="540"/>
        <v>5.5145861549455429E-6</v>
      </c>
      <c r="AJ382" s="16">
        <f t="shared" si="541"/>
        <v>27.472870390936869</v>
      </c>
      <c r="AK382" s="17">
        <f t="shared" si="542"/>
        <v>1.380131917798203E-2</v>
      </c>
      <c r="AL382" s="18">
        <f t="shared" si="609"/>
        <v>0.43193815210632708</v>
      </c>
      <c r="AM382" s="19">
        <f t="shared" si="610"/>
        <v>1003.3953677352439</v>
      </c>
      <c r="AN382" s="15">
        <f t="shared" si="543"/>
        <v>5.5067907354704882E-6</v>
      </c>
      <c r="AO382" s="16">
        <f t="shared" si="544"/>
        <v>27.428046728955302</v>
      </c>
      <c r="AP382" s="17">
        <f t="shared" si="545"/>
        <v>1.3781809631974663E-2</v>
      </c>
      <c r="AQ382" s="18">
        <f t="shared" si="611"/>
        <v>0.43264403721430733</v>
      </c>
      <c r="AR382" s="19">
        <f t="shared" si="612"/>
        <v>998.89806533656417</v>
      </c>
      <c r="AS382" s="15">
        <f t="shared" si="546"/>
        <v>5.4977961306731289E-6</v>
      </c>
      <c r="AT382" s="16">
        <f t="shared" si="547"/>
        <v>27.376327751370489</v>
      </c>
      <c r="AU382" s="17">
        <f t="shared" si="548"/>
        <v>1.3759298892600896E-2</v>
      </c>
      <c r="AV382" s="18">
        <f t="shared" si="613"/>
        <v>0.43346138231136</v>
      </c>
      <c r="AW382" s="19">
        <f t="shared" si="614"/>
        <v>993.80115806918707</v>
      </c>
      <c r="AX382" s="15">
        <f t="shared" si="549"/>
        <v>5.4876023161383748E-6</v>
      </c>
      <c r="AY382" s="16">
        <f t="shared" si="550"/>
        <v>27.317713317795651</v>
      </c>
      <c r="AZ382" s="17">
        <f t="shared" si="551"/>
        <v>1.3733786898757237E-2</v>
      </c>
      <c r="BA382" s="18">
        <f t="shared" si="615"/>
        <v>0.43439144161409804</v>
      </c>
      <c r="BB382" s="19">
        <f t="shared" si="616"/>
        <v>988.10453462880525</v>
      </c>
      <c r="BC382" s="15">
        <f t="shared" si="552"/>
        <v>5.4762090692576106E-6</v>
      </c>
      <c r="BD382" s="16">
        <f t="shared" si="553"/>
        <v>27.252202148231259</v>
      </c>
      <c r="BE382" s="17">
        <f t="shared" si="554"/>
        <v>1.3705273093322545E-2</v>
      </c>
      <c r="BF382" s="18">
        <f t="shared" si="617"/>
        <v>0.435435668837796</v>
      </c>
      <c r="BG382" s="19">
        <f t="shared" si="618"/>
        <v>981.80740079513635</v>
      </c>
      <c r="BH382" s="15">
        <f t="shared" si="555"/>
        <v>5.463614801590273E-6</v>
      </c>
      <c r="BI382" s="16">
        <f t="shared" si="556"/>
        <v>27.179785109144067</v>
      </c>
      <c r="BJ382" s="17">
        <f t="shared" si="557"/>
        <v>1.3673753500916867E-2</v>
      </c>
      <c r="BK382" s="18">
        <f t="shared" si="619"/>
        <v>0.43659583113207312</v>
      </c>
      <c r="BL382" s="19">
        <f t="shared" si="620"/>
        <v>974.90467698140026</v>
      </c>
      <c r="BM382" s="15">
        <f t="shared" si="558"/>
        <v>5.4498093539628006E-6</v>
      </c>
      <c r="BN382" s="16">
        <f t="shared" si="559"/>
        <v>27.100403785286105</v>
      </c>
      <c r="BO382" s="17">
        <f t="shared" si="560"/>
        <v>1.3639202696242109E-2</v>
      </c>
      <c r="BP382" s="18">
        <f t="shared" si="621"/>
        <v>0.43787468864802453</v>
      </c>
      <c r="BQ382" s="19">
        <f t="shared" si="622"/>
        <v>967.36728841498791</v>
      </c>
      <c r="BR382" s="15">
        <f t="shared" si="561"/>
        <v>5.4347345768299761E-6</v>
      </c>
      <c r="BS382" s="16">
        <f t="shared" si="562"/>
        <v>27.013723816772362</v>
      </c>
      <c r="BT382" s="17">
        <f t="shared" si="563"/>
        <v>1.3601475148806755E-2</v>
      </c>
      <c r="BU382" s="18">
        <f t="shared" si="623"/>
        <v>0.43927971390416526</v>
      </c>
      <c r="BV382" s="19">
        <f t="shared" si="624"/>
        <v>959.04820538866625</v>
      </c>
      <c r="BW382" s="15">
        <f t="shared" si="564"/>
        <v>5.4180964107773333E-6</v>
      </c>
      <c r="BX382" s="16">
        <f t="shared" si="565"/>
        <v>26.918054361969659</v>
      </c>
      <c r="BY382" s="17">
        <f t="shared" si="566"/>
        <v>1.3559834918012126E-2</v>
      </c>
      <c r="BZ382" s="18">
        <f t="shared" si="625"/>
        <v>0.4408409578993655</v>
      </c>
      <c r="CA382" s="19">
        <f t="shared" si="626"/>
        <v>949.30170433715989</v>
      </c>
      <c r="CB382" s="15">
        <f t="shared" si="567"/>
        <v>5.3986034086743195E-6</v>
      </c>
      <c r="CC382" s="16">
        <f t="shared" si="568"/>
        <v>26.805969599877336</v>
      </c>
      <c r="CD382" s="17">
        <f t="shared" si="569"/>
        <v>1.3511049907459792E-2</v>
      </c>
      <c r="CE382" s="18">
        <f t="shared" si="627"/>
        <v>0.44268426200752686</v>
      </c>
      <c r="CF382" s="19">
        <f t="shared" si="628"/>
        <v>935.72102098902144</v>
      </c>
      <c r="CG382" s="15">
        <f t="shared" si="570"/>
        <v>5.371442041978043E-6</v>
      </c>
      <c r="CH382" s="16">
        <f t="shared" si="571"/>
        <v>26.649791741373747</v>
      </c>
      <c r="CI382" s="17">
        <f t="shared" si="572"/>
        <v>1.3443073330332725E-2</v>
      </c>
      <c r="CJ382" s="18">
        <f t="shared" si="629"/>
        <v>0.44527855920521348</v>
      </c>
      <c r="CK382" s="19">
        <f t="shared" si="630"/>
        <v>910.93846006773776</v>
      </c>
      <c r="CL382" s="15">
        <f t="shared" si="573"/>
        <v>5.3218769201354769E-6</v>
      </c>
      <c r="CM382" s="16">
        <f t="shared" si="574"/>
        <v>26.364792290778983</v>
      </c>
      <c r="CN382" s="17">
        <f t="shared" si="575"/>
        <v>1.3319027019798372E-2</v>
      </c>
      <c r="CO382" s="18">
        <f t="shared" si="631"/>
        <v>0.45009195364942073</v>
      </c>
      <c r="CP382" s="19">
        <f t="shared" si="632"/>
        <v>857.34605652518292</v>
      </c>
      <c r="CQ382" s="15">
        <f t="shared" si="576"/>
        <v>5.2146921130503662E-6</v>
      </c>
      <c r="CR382" s="16">
        <f t="shared" si="577"/>
        <v>25.748479650039602</v>
      </c>
      <c r="CS382" s="17">
        <f t="shared" si="578"/>
        <v>1.3050776294893946E-2</v>
      </c>
      <c r="CT382" s="18">
        <f t="shared" si="633"/>
        <v>0.46086530276748389</v>
      </c>
      <c r="CU382" s="19">
        <f t="shared" si="634"/>
        <v>744.97001758321824</v>
      </c>
      <c r="CV382" s="15">
        <f t="shared" si="579"/>
        <v>4.9899400351664368E-6</v>
      </c>
      <c r="CW382" s="16">
        <f t="shared" si="580"/>
        <v>24.456155202207007</v>
      </c>
      <c r="CX382" s="17">
        <f t="shared" si="581"/>
        <v>1.2488290720158843E-2</v>
      </c>
      <c r="CY382" s="18">
        <f t="shared" si="635"/>
        <v>0.48521857878326752</v>
      </c>
      <c r="CZ382" s="20">
        <f t="shared" si="585"/>
        <v>545.34192795484762</v>
      </c>
      <c r="DA382" s="15">
        <f t="shared" si="582"/>
        <v>6.5226004672442827E-6</v>
      </c>
      <c r="DB382" s="16">
        <f t="shared" si="583"/>
        <v>37.680084089309418</v>
      </c>
      <c r="DC382" s="17">
        <f t="shared" si="584"/>
        <v>1.6324070091490304E-2</v>
      </c>
      <c r="DD382" s="18">
        <f t="shared" si="636"/>
        <v>0.31492978735375704</v>
      </c>
    </row>
    <row r="383" spans="2:108" x14ac:dyDescent="0.25">
      <c r="B383">
        <v>116</v>
      </c>
      <c r="C383">
        <f t="shared" si="637"/>
        <v>0.11340330129604917</v>
      </c>
      <c r="D383" s="19">
        <f t="shared" si="534"/>
        <v>1018.1035894962013</v>
      </c>
      <c r="E383" s="15">
        <f t="shared" si="586"/>
        <v>5.5362071789924025E-6</v>
      </c>
      <c r="F383" s="16">
        <f t="shared" si="535"/>
        <v>27.597191279206314</v>
      </c>
      <c r="G383" s="17">
        <f t="shared" si="532"/>
        <v>1.3855429975318639E-2</v>
      </c>
      <c r="H383" s="18">
        <f t="shared" si="587"/>
        <v>0.42999234051252977</v>
      </c>
      <c r="I383" s="19">
        <f t="shared" si="588"/>
        <v>1017.7791720228486</v>
      </c>
      <c r="J383" s="15">
        <f t="shared" si="589"/>
        <v>5.5355583440456979E-6</v>
      </c>
      <c r="K383" s="16">
        <f t="shared" si="536"/>
        <v>27.593460478262756</v>
      </c>
      <c r="L383" s="17">
        <f t="shared" si="590"/>
        <v>1.3853806140285203E-2</v>
      </c>
      <c r="M383" s="18">
        <f t="shared" si="591"/>
        <v>0.43005047804953678</v>
      </c>
      <c r="N383" s="19">
        <f t="shared" si="592"/>
        <v>1016.8736616155328</v>
      </c>
      <c r="O383" s="15">
        <f t="shared" si="593"/>
        <v>5.5337473232310662E-6</v>
      </c>
      <c r="P383" s="16">
        <f t="shared" si="594"/>
        <v>27.583047108578626</v>
      </c>
      <c r="Q383" s="17">
        <f t="shared" si="533"/>
        <v>1.3855429975318639E-2</v>
      </c>
      <c r="R383" s="18">
        <f t="shared" si="595"/>
        <v>0.4302128341008149</v>
      </c>
      <c r="S383" s="19">
        <f t="shared" si="596"/>
        <v>1015.372383976194</v>
      </c>
      <c r="T383" s="15">
        <f t="shared" si="597"/>
        <v>5.5307447679523883E-6</v>
      </c>
      <c r="U383" s="16">
        <f t="shared" si="598"/>
        <v>27.565782415726233</v>
      </c>
      <c r="V383" s="17">
        <f t="shared" si="599"/>
        <v>1.3841759234464049E-2</v>
      </c>
      <c r="W383" s="18">
        <f t="shared" si="600"/>
        <v>0.43048228019633622</v>
      </c>
      <c r="X383" s="19">
        <f t="shared" si="601"/>
        <v>1013.2731671083109</v>
      </c>
      <c r="Y383" s="15">
        <f t="shared" si="602"/>
        <v>5.5265463342166228E-6</v>
      </c>
      <c r="Z383" s="16">
        <f t="shared" si="603"/>
        <v>27.541641421745574</v>
      </c>
      <c r="AA383" s="17">
        <f t="shared" si="604"/>
        <v>1.3831251841450894E-2</v>
      </c>
      <c r="AB383" s="18">
        <f t="shared" si="605"/>
        <v>0.43085960956374258</v>
      </c>
      <c r="AC383" s="19">
        <f t="shared" si="606"/>
        <v>1010.5746105834418</v>
      </c>
      <c r="AD383" s="15">
        <f t="shared" si="537"/>
        <v>5.5211492211668834E-6</v>
      </c>
      <c r="AE383" s="16">
        <f t="shared" si="538"/>
        <v>27.510608021709579</v>
      </c>
      <c r="AF383" s="17">
        <f t="shared" si="539"/>
        <v>1.3817744521455122E-2</v>
      </c>
      <c r="AG383" s="18">
        <f t="shared" si="607"/>
        <v>0.43134564166497397</v>
      </c>
      <c r="AH383" s="19">
        <f t="shared" si="608"/>
        <v>1007.2765066482534</v>
      </c>
      <c r="AI383" s="15">
        <f t="shared" si="540"/>
        <v>5.5145530132965075E-6</v>
      </c>
      <c r="AJ383" s="16">
        <f t="shared" si="541"/>
        <v>27.472679826454915</v>
      </c>
      <c r="AK383" s="17">
        <f t="shared" si="542"/>
        <v>1.3801236234590888E-2</v>
      </c>
      <c r="AL383" s="18">
        <f t="shared" si="609"/>
        <v>0.43194114824906643</v>
      </c>
      <c r="AM383" s="19">
        <f t="shared" si="610"/>
        <v>1003.378816790591</v>
      </c>
      <c r="AN383" s="15">
        <f t="shared" si="543"/>
        <v>5.5067576335811827E-6</v>
      </c>
      <c r="AO383" s="16">
        <f t="shared" si="544"/>
        <v>27.427856393091794</v>
      </c>
      <c r="AP383" s="17">
        <f t="shared" si="545"/>
        <v>1.3781726788089943E-2</v>
      </c>
      <c r="AQ383" s="18">
        <f t="shared" si="611"/>
        <v>0.43264703955161121</v>
      </c>
      <c r="AR383" s="19">
        <f t="shared" si="612"/>
        <v>998.88153769756013</v>
      </c>
      <c r="AS383" s="15">
        <f t="shared" si="546"/>
        <v>5.4977630753951206E-6</v>
      </c>
      <c r="AT383" s="16">
        <f t="shared" si="547"/>
        <v>27.376137683521939</v>
      </c>
      <c r="AU383" s="17">
        <f t="shared" si="548"/>
        <v>1.3759216165369969E-2</v>
      </c>
      <c r="AV383" s="18">
        <f t="shared" si="613"/>
        <v>0.43346439175970947</v>
      </c>
      <c r="AW383" s="19">
        <f t="shared" si="614"/>
        <v>993.78465586015841</v>
      </c>
      <c r="AX383" s="15">
        <f t="shared" si="549"/>
        <v>5.4875693117203176E-6</v>
      </c>
      <c r="AY383" s="16">
        <f t="shared" si="550"/>
        <v>27.317523542391822</v>
      </c>
      <c r="AZ383" s="17">
        <f t="shared" si="551"/>
        <v>1.3733704298813184E-2</v>
      </c>
      <c r="BA383" s="18">
        <f t="shared" si="615"/>
        <v>0.43439445934047155</v>
      </c>
      <c r="BB383" s="19">
        <f t="shared" si="616"/>
        <v>988.08805146084376</v>
      </c>
      <c r="BC383" s="15">
        <f t="shared" si="552"/>
        <v>5.4761761029216888E-6</v>
      </c>
      <c r="BD383" s="16">
        <f t="shared" si="553"/>
        <v>27.252012591799705</v>
      </c>
      <c r="BE383" s="17">
        <f t="shared" si="554"/>
        <v>1.3705190588686402E-2</v>
      </c>
      <c r="BF383" s="18">
        <f t="shared" si="617"/>
        <v>0.43543869759140741</v>
      </c>
      <c r="BG383" s="19">
        <f t="shared" si="618"/>
        <v>981.79087804336814</v>
      </c>
      <c r="BH383" s="15">
        <f t="shared" si="555"/>
        <v>5.463581756086737E-6</v>
      </c>
      <c r="BI383" s="16">
        <f t="shared" si="556"/>
        <v>27.179595097498733</v>
      </c>
      <c r="BJ383" s="17">
        <f t="shared" si="557"/>
        <v>1.3673670798148449E-2</v>
      </c>
      <c r="BK383" s="18">
        <f t="shared" si="619"/>
        <v>0.43659888335900737</v>
      </c>
      <c r="BL383" s="19">
        <f t="shared" si="620"/>
        <v>974.8877717285477</v>
      </c>
      <c r="BM383" s="15">
        <f t="shared" si="558"/>
        <v>5.449775543457096E-6</v>
      </c>
      <c r="BN383" s="16">
        <f t="shared" si="559"/>
        <v>27.100209374878297</v>
      </c>
      <c r="BO383" s="17">
        <f t="shared" si="560"/>
        <v>1.36391180789077E-2</v>
      </c>
      <c r="BP383" s="18">
        <f t="shared" si="621"/>
        <v>0.43787782985610935</v>
      </c>
      <c r="BQ383" s="19">
        <f t="shared" si="622"/>
        <v>967.34830878085654</v>
      </c>
      <c r="BR383" s="15">
        <f t="shared" si="561"/>
        <v>5.4346966175617139E-6</v>
      </c>
      <c r="BS383" s="16">
        <f t="shared" si="562"/>
        <v>27.013505550979851</v>
      </c>
      <c r="BT383" s="17">
        <f t="shared" si="563"/>
        <v>1.360138014839107E-2</v>
      </c>
      <c r="BU383" s="18">
        <f t="shared" si="623"/>
        <v>0.43928326323006478</v>
      </c>
      <c r="BV383" s="19">
        <f t="shared" si="624"/>
        <v>959.02001493073772</v>
      </c>
      <c r="BW383" s="15">
        <f t="shared" si="564"/>
        <v>5.4180400298614764E-6</v>
      </c>
      <c r="BX383" s="16">
        <f t="shared" si="565"/>
        <v>26.917730171703482</v>
      </c>
      <c r="BY383" s="17">
        <f t="shared" si="566"/>
        <v>1.3559693813857902E-2</v>
      </c>
      <c r="BZ383" s="18">
        <f t="shared" si="625"/>
        <v>0.44084626727525161</v>
      </c>
      <c r="CA383" s="19">
        <f t="shared" si="626"/>
        <v>949.23917034992439</v>
      </c>
      <c r="CB383" s="15">
        <f t="shared" si="567"/>
        <v>5.398478340699849E-6</v>
      </c>
      <c r="CC383" s="16">
        <f t="shared" si="568"/>
        <v>26.80525045902413</v>
      </c>
      <c r="CD383" s="17">
        <f t="shared" si="569"/>
        <v>1.3510736900647295E-2</v>
      </c>
      <c r="CE383" s="18">
        <f t="shared" si="627"/>
        <v>0.44269613849934952</v>
      </c>
      <c r="CF383" s="19">
        <f t="shared" si="628"/>
        <v>935.55347800271306</v>
      </c>
      <c r="CG383" s="15">
        <f t="shared" si="570"/>
        <v>5.3711069560054265E-6</v>
      </c>
      <c r="CH383" s="16">
        <f t="shared" si="571"/>
        <v>26.647864997031199</v>
      </c>
      <c r="CI383" s="17">
        <f t="shared" si="572"/>
        <v>1.3442234712831755E-2</v>
      </c>
      <c r="CJ383" s="18">
        <f t="shared" si="629"/>
        <v>0.44531075457789721</v>
      </c>
      <c r="CK383" s="19">
        <f t="shared" si="630"/>
        <v>910.52020508742021</v>
      </c>
      <c r="CL383" s="15">
        <f t="shared" si="573"/>
        <v>5.3210404101748405E-6</v>
      </c>
      <c r="CM383" s="16">
        <f t="shared" si="574"/>
        <v>26.359982358505331</v>
      </c>
      <c r="CN383" s="17">
        <f t="shared" si="575"/>
        <v>1.3316933491718851E-2</v>
      </c>
      <c r="CO383" s="18">
        <f t="shared" si="631"/>
        <v>0.45017408237714618</v>
      </c>
      <c r="CP383" s="19">
        <f t="shared" si="632"/>
        <v>856.50184457577052</v>
      </c>
      <c r="CQ383" s="15">
        <f t="shared" si="576"/>
        <v>5.2130036891515419E-6</v>
      </c>
      <c r="CR383" s="16">
        <f t="shared" si="577"/>
        <v>25.738771212621359</v>
      </c>
      <c r="CS383" s="17">
        <f t="shared" si="578"/>
        <v>1.3046550687299711E-2</v>
      </c>
      <c r="CT383" s="18">
        <f t="shared" si="633"/>
        <v>0.46103913709365263</v>
      </c>
      <c r="CU383" s="19">
        <f t="shared" si="634"/>
        <v>743.72455881615565</v>
      </c>
      <c r="CV383" s="15">
        <f t="shared" si="579"/>
        <v>4.9874491176323119E-6</v>
      </c>
      <c r="CW383" s="16">
        <f t="shared" si="580"/>
        <v>24.441832426385787</v>
      </c>
      <c r="CX383" s="17">
        <f t="shared" si="581"/>
        <v>1.248205671692296E-2</v>
      </c>
      <c r="CY383" s="18">
        <f t="shared" si="635"/>
        <v>0.48550291413124663</v>
      </c>
      <c r="CZ383" s="20">
        <f t="shared" si="585"/>
        <v>544.17650965715916</v>
      </c>
      <c r="DA383" s="15">
        <f t="shared" si="582"/>
        <v>6.5407560113304427E-6</v>
      </c>
      <c r="DB383" s="16">
        <f t="shared" si="583"/>
        <v>37.71388121994238</v>
      </c>
      <c r="DC383" s="17">
        <f t="shared" si="584"/>
        <v>1.6369507854496021E-2</v>
      </c>
      <c r="DD383" s="18">
        <f t="shared" si="636"/>
        <v>0.31464756439448821</v>
      </c>
    </row>
    <row r="384" spans="2:108" x14ac:dyDescent="0.25">
      <c r="B384">
        <v>117</v>
      </c>
      <c r="C384">
        <f t="shared" si="637"/>
        <v>0.11438091596239441</v>
      </c>
      <c r="D384" s="19">
        <f t="shared" si="534"/>
        <v>1018.0870263788602</v>
      </c>
      <c r="E384" s="15">
        <f t="shared" si="586"/>
        <v>5.5361740527577209E-6</v>
      </c>
      <c r="F384" s="16">
        <f t="shared" si="535"/>
        <v>27.597000803356892</v>
      </c>
      <c r="G384" s="17">
        <f t="shared" si="532"/>
        <v>1.3855347070504903E-2</v>
      </c>
      <c r="H384" s="18">
        <f t="shared" si="587"/>
        <v>0.4299953083406966</v>
      </c>
      <c r="I384" s="19">
        <f t="shared" si="588"/>
        <v>1017.7626002397391</v>
      </c>
      <c r="J384" s="15">
        <f t="shared" si="589"/>
        <v>5.535525200479478E-6</v>
      </c>
      <c r="K384" s="16">
        <f t="shared" si="536"/>
        <v>27.593269902757001</v>
      </c>
      <c r="L384" s="17">
        <f t="shared" si="590"/>
        <v>1.3853723192095938E-2</v>
      </c>
      <c r="M384" s="18">
        <f t="shared" si="591"/>
        <v>0.4300534482334854</v>
      </c>
      <c r="N384" s="19">
        <f t="shared" si="592"/>
        <v>1016.8570722773683</v>
      </c>
      <c r="O384" s="15">
        <f t="shared" si="593"/>
        <v>5.5337141445547368E-6</v>
      </c>
      <c r="P384" s="16">
        <f t="shared" si="594"/>
        <v>27.582856331189735</v>
      </c>
      <c r="Q384" s="17">
        <f t="shared" si="533"/>
        <v>1.3855347070504903E-2</v>
      </c>
      <c r="R384" s="18">
        <f t="shared" si="595"/>
        <v>0.43021580967666434</v>
      </c>
      <c r="S384" s="19">
        <f t="shared" si="596"/>
        <v>1015.3557849704849</v>
      </c>
      <c r="T384" s="15">
        <f t="shared" si="597"/>
        <v>5.5307115699409699E-6</v>
      </c>
      <c r="U384" s="16">
        <f t="shared" si="598"/>
        <v>27.565591527160578</v>
      </c>
      <c r="V384" s="17">
        <f t="shared" si="599"/>
        <v>1.3841676150015138E-2</v>
      </c>
      <c r="W384" s="18">
        <f t="shared" si="600"/>
        <v>0.43048526123684561</v>
      </c>
      <c r="X384" s="19">
        <f t="shared" si="601"/>
        <v>1013.2565700896821</v>
      </c>
      <c r="Y384" s="15">
        <f t="shared" si="602"/>
        <v>5.5265131401793645E-6</v>
      </c>
      <c r="Z384" s="16">
        <f t="shared" si="603"/>
        <v>27.541450556031343</v>
      </c>
      <c r="AA384" s="17">
        <f t="shared" si="604"/>
        <v>1.383116876694809E-2</v>
      </c>
      <c r="AB384" s="18">
        <f t="shared" si="605"/>
        <v>0.43086259547499461</v>
      </c>
      <c r="AC384" s="19">
        <f t="shared" si="606"/>
        <v>1010.5580240597398</v>
      </c>
      <c r="AD384" s="15">
        <f t="shared" si="537"/>
        <v>5.5211160481194801E-6</v>
      </c>
      <c r="AE384" s="16">
        <f t="shared" si="538"/>
        <v>27.510417276687008</v>
      </c>
      <c r="AF384" s="17">
        <f t="shared" si="539"/>
        <v>1.3817661499483489E-2</v>
      </c>
      <c r="AG384" s="18">
        <f t="shared" si="607"/>
        <v>0.43134863242419541</v>
      </c>
      <c r="AH384" s="19">
        <f t="shared" si="608"/>
        <v>1007.259936019366</v>
      </c>
      <c r="AI384" s="15">
        <f t="shared" si="540"/>
        <v>5.5145198720387327E-6</v>
      </c>
      <c r="AJ384" s="16">
        <f t="shared" si="541"/>
        <v>27.472489264222709</v>
      </c>
      <c r="AK384" s="17">
        <f t="shared" si="542"/>
        <v>1.3801153292178955E-2</v>
      </c>
      <c r="AL384" s="18">
        <f t="shared" si="609"/>
        <v>0.43194414439799927</v>
      </c>
      <c r="AM384" s="19">
        <f t="shared" si="610"/>
        <v>1003.3622660352577</v>
      </c>
      <c r="AN384" s="15">
        <f t="shared" si="543"/>
        <v>5.5067245320705161E-6</v>
      </c>
      <c r="AO384" s="16">
        <f t="shared" si="544"/>
        <v>27.42766605940546</v>
      </c>
      <c r="AP384" s="17">
        <f t="shared" si="545"/>
        <v>1.3781643945152839E-2</v>
      </c>
      <c r="AQ384" s="18">
        <f t="shared" si="611"/>
        <v>0.43265004189624168</v>
      </c>
      <c r="AR384" s="19">
        <f t="shared" si="612"/>
        <v>998.86501022916025</v>
      </c>
      <c r="AS384" s="15">
        <f t="shared" si="546"/>
        <v>5.497730020458321E-6</v>
      </c>
      <c r="AT384" s="16">
        <f t="shared" si="547"/>
        <v>27.37594761763534</v>
      </c>
      <c r="AU384" s="17">
        <f t="shared" si="548"/>
        <v>1.3759133438992982E-2</v>
      </c>
      <c r="AV384" s="18">
        <f t="shared" si="613"/>
        <v>0.43346740121878202</v>
      </c>
      <c r="AW384" s="19">
        <f t="shared" si="614"/>
        <v>993.76815369643589</v>
      </c>
      <c r="AX384" s="15">
        <f t="shared" si="549"/>
        <v>5.4875363073928717E-6</v>
      </c>
      <c r="AY384" s="16">
        <f t="shared" si="550"/>
        <v>27.317333767509012</v>
      </c>
      <c r="AZ384" s="17">
        <f t="shared" si="551"/>
        <v>1.3733621699095897E-2</v>
      </c>
      <c r="BA384" s="18">
        <f t="shared" si="615"/>
        <v>0.43439747710048854</v>
      </c>
      <c r="BB384" s="19">
        <f t="shared" si="616"/>
        <v>988.07156757278017</v>
      </c>
      <c r="BC384" s="15">
        <f t="shared" si="552"/>
        <v>5.4761431351455603E-6</v>
      </c>
      <c r="BD384" s="16">
        <f t="shared" si="553"/>
        <v>27.251823027086971</v>
      </c>
      <c r="BE384" s="17">
        <f t="shared" si="554"/>
        <v>1.3705108080445866E-2</v>
      </c>
      <c r="BF384" s="18">
        <f t="shared" si="617"/>
        <v>0.4354417265194736</v>
      </c>
      <c r="BG384" s="19">
        <f t="shared" si="618"/>
        <v>981.77435042841034</v>
      </c>
      <c r="BH384" s="15">
        <f t="shared" si="555"/>
        <v>5.4635487008568216E-6</v>
      </c>
      <c r="BI384" s="16">
        <f t="shared" si="556"/>
        <v>27.17940502992672</v>
      </c>
      <c r="BJ384" s="17">
        <f t="shared" si="557"/>
        <v>1.3673588071037884E-2</v>
      </c>
      <c r="BK384" s="18">
        <f t="shared" si="619"/>
        <v>0.43660193652700768</v>
      </c>
      <c r="BL384" s="19">
        <f t="shared" si="620"/>
        <v>974.87084204413429</v>
      </c>
      <c r="BM384" s="15">
        <f t="shared" si="558"/>
        <v>5.449741684088269E-6</v>
      </c>
      <c r="BN384" s="16">
        <f t="shared" si="559"/>
        <v>27.100014683507545</v>
      </c>
      <c r="BO384" s="17">
        <f t="shared" si="560"/>
        <v>1.3639033339283868E-2</v>
      </c>
      <c r="BP384" s="18">
        <f t="shared" si="621"/>
        <v>0.43788097564905126</v>
      </c>
      <c r="BQ384" s="19">
        <f t="shared" si="622"/>
        <v>967.32922601049529</v>
      </c>
      <c r="BR384" s="15">
        <f t="shared" si="561"/>
        <v>5.4346584520209906E-6</v>
      </c>
      <c r="BS384" s="16">
        <f t="shared" si="562"/>
        <v>27.013286099120695</v>
      </c>
      <c r="BT384" s="17">
        <f t="shared" si="563"/>
        <v>1.3601284631738627E-2</v>
      </c>
      <c r="BU384" s="18">
        <f t="shared" si="623"/>
        <v>0.43928683190099427</v>
      </c>
      <c r="BV384" s="19">
        <f t="shared" si="624"/>
        <v>958.99146167672768</v>
      </c>
      <c r="BW384" s="15">
        <f t="shared" si="564"/>
        <v>5.4179829233534555E-6</v>
      </c>
      <c r="BX384" s="16">
        <f t="shared" si="565"/>
        <v>26.917401809282367</v>
      </c>
      <c r="BY384" s="17">
        <f t="shared" si="566"/>
        <v>1.3559550893768854E-2</v>
      </c>
      <c r="BZ384" s="18">
        <f t="shared" si="625"/>
        <v>0.44085164511032976</v>
      </c>
      <c r="CA384" s="19">
        <f t="shared" si="626"/>
        <v>949.17561584451096</v>
      </c>
      <c r="CB384" s="15">
        <f t="shared" si="567"/>
        <v>5.398351231689022E-6</v>
      </c>
      <c r="CC384" s="16">
        <f t="shared" si="568"/>
        <v>26.804519582211874</v>
      </c>
      <c r="CD384" s="17">
        <f t="shared" si="569"/>
        <v>1.3510418785746279E-2</v>
      </c>
      <c r="CE384" s="18">
        <f t="shared" si="627"/>
        <v>0.44270820946154349</v>
      </c>
      <c r="CF384" s="19">
        <f t="shared" si="628"/>
        <v>935.38382026716931</v>
      </c>
      <c r="CG384" s="15">
        <f t="shared" si="570"/>
        <v>5.3707676405343395E-6</v>
      </c>
      <c r="CH384" s="16">
        <f t="shared" si="571"/>
        <v>26.645913933072446</v>
      </c>
      <c r="CI384" s="17">
        <f t="shared" si="572"/>
        <v>1.344138551019226E-2</v>
      </c>
      <c r="CJ384" s="18">
        <f t="shared" si="629"/>
        <v>0.44534336106930467</v>
      </c>
      <c r="CK384" s="19">
        <f t="shared" si="630"/>
        <v>910.09935348392901</v>
      </c>
      <c r="CL384" s="15">
        <f t="shared" si="573"/>
        <v>5.3201987069678585E-6</v>
      </c>
      <c r="CM384" s="16">
        <f t="shared" si="574"/>
        <v>26.355142565065183</v>
      </c>
      <c r="CN384" s="17">
        <f t="shared" si="575"/>
        <v>1.331482696653522E-2</v>
      </c>
      <c r="CO384" s="18">
        <f t="shared" si="631"/>
        <v>0.45025675123638054</v>
      </c>
      <c r="CP384" s="19">
        <f t="shared" si="632"/>
        <v>855.65778923199673</v>
      </c>
      <c r="CQ384" s="15">
        <f t="shared" si="576"/>
        <v>5.2113155784639936E-6</v>
      </c>
      <c r="CR384" s="16">
        <f t="shared" si="577"/>
        <v>25.729064576167964</v>
      </c>
      <c r="CS384" s="17">
        <f t="shared" si="578"/>
        <v>1.3042325863577314E-2</v>
      </c>
      <c r="CT384" s="18">
        <f t="shared" si="633"/>
        <v>0.46121307032318404</v>
      </c>
      <c r="CU384" s="19">
        <f t="shared" si="634"/>
        <v>742.48567022358907</v>
      </c>
      <c r="CV384" s="15">
        <f t="shared" si="579"/>
        <v>4.9849713404471787E-6</v>
      </c>
      <c r="CW384" s="16">
        <f t="shared" si="580"/>
        <v>24.427585207571273</v>
      </c>
      <c r="CX384" s="17">
        <f t="shared" si="581"/>
        <v>1.2475855599953688E-2</v>
      </c>
      <c r="CY384" s="18">
        <f t="shared" si="635"/>
        <v>0.48578608032200743</v>
      </c>
      <c r="CZ384" s="20">
        <f t="shared" si="585"/>
        <v>543.01986174587898</v>
      </c>
      <c r="DA384" s="15">
        <f t="shared" si="582"/>
        <v>6.5587534331495417E-6</v>
      </c>
      <c r="DB384" s="16">
        <f t="shared" si="583"/>
        <v>37.74742400936951</v>
      </c>
      <c r="DC384" s="17">
        <f t="shared" si="584"/>
        <v>1.6414549885924508E-2</v>
      </c>
      <c r="DD384" s="18">
        <f t="shared" si="636"/>
        <v>0.31436796499735781</v>
      </c>
    </row>
    <row r="385" spans="2:108" x14ac:dyDescent="0.25">
      <c r="B385">
        <v>118</v>
      </c>
      <c r="C385">
        <f t="shared" si="637"/>
        <v>0.11535853062873967</v>
      </c>
      <c r="D385" s="19">
        <f t="shared" si="534"/>
        <v>1018.0704628190888</v>
      </c>
      <c r="E385" s="15">
        <f t="shared" si="586"/>
        <v>5.5361409256381779E-6</v>
      </c>
      <c r="F385" s="16">
        <f t="shared" si="535"/>
        <v>27.596810322419522</v>
      </c>
      <c r="G385" s="17">
        <f t="shared" si="532"/>
        <v>1.3855264163476629E-2</v>
      </c>
      <c r="H385" s="18">
        <f t="shared" si="587"/>
        <v>0.42999827628910947</v>
      </c>
      <c r="I385" s="19">
        <f t="shared" si="588"/>
        <v>1017.7460282509795</v>
      </c>
      <c r="J385" s="15">
        <f t="shared" si="589"/>
        <v>5.5354920565019599E-6</v>
      </c>
      <c r="K385" s="16">
        <f t="shared" si="536"/>
        <v>27.593079324886261</v>
      </c>
      <c r="L385" s="17">
        <f t="shared" si="590"/>
        <v>1.3853640242877319E-2</v>
      </c>
      <c r="M385" s="18">
        <f t="shared" si="591"/>
        <v>0.43005641849532183</v>
      </c>
      <c r="N385" s="19">
        <f t="shared" si="592"/>
        <v>1016.8404830535202</v>
      </c>
      <c r="O385" s="15">
        <f t="shared" si="593"/>
        <v>5.5336809661070411E-6</v>
      </c>
      <c r="P385" s="16">
        <f t="shared" si="594"/>
        <v>27.582665555115483</v>
      </c>
      <c r="Q385" s="17">
        <f t="shared" si="533"/>
        <v>1.3855264163476629E-2</v>
      </c>
      <c r="R385" s="18">
        <f t="shared" si="595"/>
        <v>0.43021878527317031</v>
      </c>
      <c r="S385" s="19">
        <f t="shared" si="596"/>
        <v>1015.3391862078424</v>
      </c>
      <c r="T385" s="15">
        <f t="shared" si="597"/>
        <v>5.5306783724156858E-6</v>
      </c>
      <c r="U385" s="16">
        <f t="shared" si="598"/>
        <v>27.565400641390188</v>
      </c>
      <c r="V385" s="17">
        <f t="shared" si="599"/>
        <v>1.384159306678287E-2</v>
      </c>
      <c r="W385" s="18">
        <f t="shared" si="600"/>
        <v>0.43048824227498833</v>
      </c>
      <c r="X385" s="19">
        <f t="shared" si="601"/>
        <v>1013.2399733100336</v>
      </c>
      <c r="Y385" s="15">
        <f t="shared" si="602"/>
        <v>5.5264799466200682E-6</v>
      </c>
      <c r="Z385" s="16">
        <f t="shared" si="603"/>
        <v>27.541259693065385</v>
      </c>
      <c r="AA385" s="17">
        <f t="shared" si="604"/>
        <v>1.3831085693641474E-2</v>
      </c>
      <c r="AB385" s="18">
        <f t="shared" si="605"/>
        <v>0.43086558138463743</v>
      </c>
      <c r="AC385" s="19">
        <f t="shared" si="606"/>
        <v>1010.5414377468466</v>
      </c>
      <c r="AD385" s="15">
        <f t="shared" si="537"/>
        <v>5.5210828754936934E-6</v>
      </c>
      <c r="AE385" s="16">
        <f t="shared" si="538"/>
        <v>27.510226534088737</v>
      </c>
      <c r="AF385" s="17">
        <f t="shared" si="539"/>
        <v>1.3817578478567035E-2</v>
      </c>
      <c r="AG385" s="18">
        <f t="shared" si="607"/>
        <v>0.43135162318687803</v>
      </c>
      <c r="AH385" s="19">
        <f t="shared" si="608"/>
        <v>1007.2433655862028</v>
      </c>
      <c r="AI385" s="15">
        <f t="shared" si="540"/>
        <v>5.5144867311724065E-6</v>
      </c>
      <c r="AJ385" s="16">
        <f t="shared" si="541"/>
        <v>27.472298704241332</v>
      </c>
      <c r="AK385" s="17">
        <f t="shared" si="542"/>
        <v>1.3801070350746696E-2</v>
      </c>
      <c r="AL385" s="18">
        <f t="shared" si="609"/>
        <v>0.43194714055310801</v>
      </c>
      <c r="AM385" s="19">
        <f t="shared" si="610"/>
        <v>1003.3457154690457</v>
      </c>
      <c r="AN385" s="15">
        <f t="shared" si="543"/>
        <v>5.5066914309380921E-6</v>
      </c>
      <c r="AO385" s="16">
        <f t="shared" si="544"/>
        <v>27.427475727894024</v>
      </c>
      <c r="AP385" s="17">
        <f t="shared" si="545"/>
        <v>1.3781561103162364E-2</v>
      </c>
      <c r="AQ385" s="18">
        <f t="shared" si="611"/>
        <v>0.43265304424823403</v>
      </c>
      <c r="AR385" s="19">
        <f t="shared" si="612"/>
        <v>998.84848292976949</v>
      </c>
      <c r="AS385" s="15">
        <f t="shared" si="546"/>
        <v>5.4976969658595392E-6</v>
      </c>
      <c r="AT385" s="16">
        <f t="shared" si="547"/>
        <v>27.375757553692349</v>
      </c>
      <c r="AU385" s="17">
        <f t="shared" si="548"/>
        <v>1.3759050713461951E-2</v>
      </c>
      <c r="AV385" s="18">
        <f t="shared" si="613"/>
        <v>0.43347041068886782</v>
      </c>
      <c r="AW385" s="19">
        <f t="shared" si="614"/>
        <v>993.75165156853086</v>
      </c>
      <c r="AX385" s="15">
        <f t="shared" si="549"/>
        <v>5.487503303137062E-6</v>
      </c>
      <c r="AY385" s="16">
        <f t="shared" si="550"/>
        <v>27.317143993038105</v>
      </c>
      <c r="AZ385" s="17">
        <f t="shared" si="551"/>
        <v>1.3733539099557898E-2</v>
      </c>
      <c r="BA385" s="18">
        <f t="shared" si="615"/>
        <v>0.43440049489588478</v>
      </c>
      <c r="BB385" s="19">
        <f t="shared" si="616"/>
        <v>988.05508291486615</v>
      </c>
      <c r="BC385" s="15">
        <f t="shared" si="552"/>
        <v>5.4761101658297326E-6</v>
      </c>
      <c r="BD385" s="16">
        <f t="shared" si="553"/>
        <v>27.251633453520959</v>
      </c>
      <c r="BE385" s="17">
        <f t="shared" si="554"/>
        <v>1.3705025568351932E-2</v>
      </c>
      <c r="BF385" s="18">
        <f t="shared" si="617"/>
        <v>0.43544475563114238</v>
      </c>
      <c r="BG385" s="19">
        <f t="shared" si="618"/>
        <v>981.75781772415235</v>
      </c>
      <c r="BH385" s="15">
        <f t="shared" si="555"/>
        <v>5.4635156354483053E-6</v>
      </c>
      <c r="BI385" s="16">
        <f t="shared" si="556"/>
        <v>27.179214903827749</v>
      </c>
      <c r="BJ385" s="17">
        <f t="shared" si="557"/>
        <v>1.36735053184534E-2</v>
      </c>
      <c r="BK385" s="18">
        <f t="shared" si="619"/>
        <v>0.43660499067788322</v>
      </c>
      <c r="BL385" s="19">
        <f t="shared" si="620"/>
        <v>974.85388706389892</v>
      </c>
      <c r="BM385" s="15">
        <f t="shared" si="558"/>
        <v>5.4497077741277988E-6</v>
      </c>
      <c r="BN385" s="16">
        <f t="shared" si="559"/>
        <v>27.099819701234836</v>
      </c>
      <c r="BO385" s="17">
        <f t="shared" si="560"/>
        <v>1.3638948473044662E-2</v>
      </c>
      <c r="BP385" s="18">
        <f t="shared" si="621"/>
        <v>0.43788412618764339</v>
      </c>
      <c r="BQ385" s="19">
        <f t="shared" si="622"/>
        <v>967.31003745982923</v>
      </c>
      <c r="BR385" s="15">
        <f t="shared" si="561"/>
        <v>5.4346200749196595E-6</v>
      </c>
      <c r="BS385" s="16">
        <f t="shared" si="562"/>
        <v>27.013065430788036</v>
      </c>
      <c r="BT385" s="17">
        <f t="shared" si="563"/>
        <v>1.3601188585614817E-2</v>
      </c>
      <c r="BU385" s="18">
        <f t="shared" si="623"/>
        <v>0.43929042041237604</v>
      </c>
      <c r="BV385" s="19">
        <f t="shared" si="624"/>
        <v>958.96253977311608</v>
      </c>
      <c r="BW385" s="15">
        <f t="shared" si="564"/>
        <v>5.4179250795462323E-6</v>
      </c>
      <c r="BX385" s="16">
        <f t="shared" si="565"/>
        <v>26.917069207390835</v>
      </c>
      <c r="BY385" s="17">
        <f t="shared" si="566"/>
        <v>1.3559406128445849E-2</v>
      </c>
      <c r="BZ385" s="18">
        <f t="shared" si="625"/>
        <v>0.44085709251212224</v>
      </c>
      <c r="CA385" s="19">
        <f t="shared" si="626"/>
        <v>949.11103414058357</v>
      </c>
      <c r="CB385" s="15">
        <f t="shared" si="567"/>
        <v>5.3982220682811678E-6</v>
      </c>
      <c r="CC385" s="16">
        <f t="shared" si="568"/>
        <v>26.80377689261671</v>
      </c>
      <c r="CD385" s="17">
        <f t="shared" si="569"/>
        <v>1.3510095529319083E-2</v>
      </c>
      <c r="CE385" s="18">
        <f t="shared" si="627"/>
        <v>0.44272047619477956</v>
      </c>
      <c r="CF385" s="19">
        <f t="shared" si="628"/>
        <v>935.2120555551212</v>
      </c>
      <c r="CG385" s="15">
        <f t="shared" si="570"/>
        <v>5.3704241111102432E-6</v>
      </c>
      <c r="CH385" s="16">
        <f t="shared" si="571"/>
        <v>26.643938638883895</v>
      </c>
      <c r="CI385" s="17">
        <f t="shared" si="572"/>
        <v>1.3440525761319766E-2</v>
      </c>
      <c r="CJ385" s="18">
        <f t="shared" si="629"/>
        <v>0.4453763773648664</v>
      </c>
      <c r="CK385" s="19">
        <f t="shared" si="630"/>
        <v>909.67595030033522</v>
      </c>
      <c r="CL385" s="15">
        <f t="shared" si="573"/>
        <v>5.3193519006006707E-6</v>
      </c>
      <c r="CM385" s="16">
        <f t="shared" si="574"/>
        <v>26.350273428453853</v>
      </c>
      <c r="CN385" s="17">
        <f t="shared" si="575"/>
        <v>1.3312707669705482E-2</v>
      </c>
      <c r="CO385" s="18">
        <f t="shared" si="631"/>
        <v>0.45033995195298399</v>
      </c>
      <c r="CP385" s="19">
        <f t="shared" si="632"/>
        <v>854.81394341505836</v>
      </c>
      <c r="CQ385" s="15">
        <f t="shared" si="576"/>
        <v>5.2096278868301175E-6</v>
      </c>
      <c r="CR385" s="16">
        <f t="shared" si="577"/>
        <v>25.71936034927317</v>
      </c>
      <c r="CS385" s="17">
        <f t="shared" si="578"/>
        <v>1.3038102088617836E-2</v>
      </c>
      <c r="CT385" s="18">
        <f t="shared" si="633"/>
        <v>0.46138709161377911</v>
      </c>
      <c r="CU385" s="19">
        <f t="shared" si="634"/>
        <v>741.2532957323865</v>
      </c>
      <c r="CV385" s="15">
        <f t="shared" si="579"/>
        <v>4.9825065914647738E-6</v>
      </c>
      <c r="CW385" s="16">
        <f t="shared" si="580"/>
        <v>24.413412900922445</v>
      </c>
      <c r="CX385" s="17">
        <f t="shared" si="581"/>
        <v>1.2469687088583299E-2</v>
      </c>
      <c r="CY385" s="18">
        <f t="shared" si="635"/>
        <v>0.48606808551824915</v>
      </c>
      <c r="CZ385" s="20">
        <f t="shared" si="585"/>
        <v>541.87184521839151</v>
      </c>
      <c r="DA385" s="15">
        <f t="shared" si="582"/>
        <v>6.576595610454289E-6</v>
      </c>
      <c r="DB385" s="16">
        <f t="shared" si="583"/>
        <v>37.780716488666641</v>
      </c>
      <c r="DC385" s="17">
        <f t="shared" si="584"/>
        <v>1.6459203387908902E-2</v>
      </c>
      <c r="DD385" s="18">
        <f t="shared" si="636"/>
        <v>0.31409094301527085</v>
      </c>
    </row>
    <row r="386" spans="2:108" x14ac:dyDescent="0.25">
      <c r="B386">
        <v>119</v>
      </c>
      <c r="C386">
        <f t="shared" si="637"/>
        <v>0.11633614529508493</v>
      </c>
      <c r="D386" s="19">
        <f t="shared" si="534"/>
        <v>1018.0538988289758</v>
      </c>
      <c r="E386" s="15">
        <f t="shared" si="586"/>
        <v>5.5361077976579519E-6</v>
      </c>
      <c r="F386" s="16">
        <f t="shared" si="535"/>
        <v>27.596619836533222</v>
      </c>
      <c r="G386" s="17">
        <f t="shared" si="532"/>
        <v>1.3855181254294333E-2</v>
      </c>
      <c r="H386" s="18">
        <f t="shared" si="587"/>
        <v>0.43000124435560649</v>
      </c>
      <c r="I386" s="19">
        <f t="shared" si="588"/>
        <v>1017.7294560615856</v>
      </c>
      <c r="J386" s="15">
        <f t="shared" si="589"/>
        <v>5.5354589121231711E-6</v>
      </c>
      <c r="K386" s="16">
        <f t="shared" si="536"/>
        <v>27.592888744708233</v>
      </c>
      <c r="L386" s="17">
        <f t="shared" si="590"/>
        <v>1.3853557292654445E-2</v>
      </c>
      <c r="M386" s="18">
        <f t="shared" si="591"/>
        <v>0.43005938883414924</v>
      </c>
      <c r="N386" s="19">
        <f t="shared" si="592"/>
        <v>1016.8238939428946</v>
      </c>
      <c r="O386" s="15">
        <f t="shared" si="593"/>
        <v>5.5336477878857894E-6</v>
      </c>
      <c r="P386" s="16">
        <f t="shared" si="594"/>
        <v>27.58247478034329</v>
      </c>
      <c r="Q386" s="17">
        <f t="shared" si="533"/>
        <v>1.3855181254294333E-2</v>
      </c>
      <c r="R386" s="18">
        <f t="shared" si="595"/>
        <v>0.43022176089052905</v>
      </c>
      <c r="S386" s="19">
        <f t="shared" si="596"/>
        <v>1015.3225876867147</v>
      </c>
      <c r="T386" s="15">
        <f t="shared" si="597"/>
        <v>5.5306451753734298E-6</v>
      </c>
      <c r="U386" s="16">
        <f t="shared" si="598"/>
        <v>27.565209758397216</v>
      </c>
      <c r="V386" s="17">
        <f t="shared" si="599"/>
        <v>1.3841509984759475E-2</v>
      </c>
      <c r="W386" s="18">
        <f t="shared" si="600"/>
        <v>0.43049122331104228</v>
      </c>
      <c r="X386" s="19">
        <f t="shared" si="601"/>
        <v>1013.2233767689733</v>
      </c>
      <c r="Y386" s="15">
        <f t="shared" si="602"/>
        <v>5.526446753537947E-6</v>
      </c>
      <c r="Z386" s="16">
        <f t="shared" si="603"/>
        <v>27.541068832843191</v>
      </c>
      <c r="AA386" s="17">
        <f t="shared" si="604"/>
        <v>1.3831002621529082E-2</v>
      </c>
      <c r="AB386" s="18">
        <f t="shared" si="605"/>
        <v>0.43086856729274065</v>
      </c>
      <c r="AC386" s="19">
        <f t="shared" si="606"/>
        <v>1010.5248516448805</v>
      </c>
      <c r="AD386" s="15">
        <f t="shared" si="537"/>
        <v>5.5210497032897612E-6</v>
      </c>
      <c r="AE386" s="16">
        <f t="shared" si="538"/>
        <v>27.510035793916124</v>
      </c>
      <c r="AF386" s="17">
        <f t="shared" si="539"/>
        <v>1.3817495458706353E-2</v>
      </c>
      <c r="AG386" s="18">
        <f t="shared" si="607"/>
        <v>0.4313546139529999</v>
      </c>
      <c r="AH386" s="19">
        <f t="shared" si="608"/>
        <v>1007.2267953488536</v>
      </c>
      <c r="AI386" s="15">
        <f t="shared" si="540"/>
        <v>5.5144535906977069E-6</v>
      </c>
      <c r="AJ386" s="16">
        <f t="shared" si="541"/>
        <v>27.472108146511815</v>
      </c>
      <c r="AK386" s="17">
        <f t="shared" si="542"/>
        <v>1.3800987410294561E-2</v>
      </c>
      <c r="AL386" s="18">
        <f t="shared" si="609"/>
        <v>0.43195013671437593</v>
      </c>
      <c r="AM386" s="19">
        <f t="shared" si="610"/>
        <v>1003.3291650917399</v>
      </c>
      <c r="AN386" s="15">
        <f t="shared" si="543"/>
        <v>5.5066583301834804E-6</v>
      </c>
      <c r="AO386" s="16">
        <f t="shared" si="544"/>
        <v>27.427285398555007</v>
      </c>
      <c r="AP386" s="17">
        <f t="shared" si="545"/>
        <v>1.3781478262117433E-2</v>
      </c>
      <c r="AQ386" s="18">
        <f t="shared" si="611"/>
        <v>0.43265604660762685</v>
      </c>
      <c r="AR386" s="19">
        <f t="shared" si="612"/>
        <v>998.83195579769551</v>
      </c>
      <c r="AS386" s="15">
        <f t="shared" si="546"/>
        <v>5.4976639115953913E-6</v>
      </c>
      <c r="AT386" s="16">
        <f t="shared" si="547"/>
        <v>27.375567491673497</v>
      </c>
      <c r="AU386" s="17">
        <f t="shared" si="548"/>
        <v>1.3758967988768404E-2</v>
      </c>
      <c r="AV386" s="18">
        <f t="shared" si="613"/>
        <v>0.43347342017027468</v>
      </c>
      <c r="AW386" s="19">
        <f t="shared" si="614"/>
        <v>993.73514946647299</v>
      </c>
      <c r="AX386" s="15">
        <f t="shared" si="549"/>
        <v>5.4874702989329467E-6</v>
      </c>
      <c r="AY386" s="16">
        <f t="shared" si="550"/>
        <v>27.316954218864439</v>
      </c>
      <c r="AZ386" s="17">
        <f t="shared" si="551"/>
        <v>1.3733456500149272E-2</v>
      </c>
      <c r="BA386" s="18">
        <f t="shared" si="615"/>
        <v>0.43440351272848421</v>
      </c>
      <c r="BB386" s="19">
        <f t="shared" si="616"/>
        <v>988.03859743533621</v>
      </c>
      <c r="BC386" s="15">
        <f t="shared" si="552"/>
        <v>5.4760771948706728E-6</v>
      </c>
      <c r="BD386" s="16">
        <f t="shared" si="553"/>
        <v>27.251443870506364</v>
      </c>
      <c r="BE386" s="17">
        <f t="shared" si="554"/>
        <v>1.3704943052145492E-2</v>
      </c>
      <c r="BF386" s="18">
        <f t="shared" si="617"/>
        <v>0.43544778493593278</v>
      </c>
      <c r="BG386" s="19">
        <f t="shared" si="618"/>
        <v>981.74127969765163</v>
      </c>
      <c r="BH386" s="15">
        <f t="shared" si="555"/>
        <v>5.4634825593953037E-6</v>
      </c>
      <c r="BI386" s="16">
        <f t="shared" si="556"/>
        <v>27.179024716522992</v>
      </c>
      <c r="BJ386" s="17">
        <f t="shared" si="557"/>
        <v>1.3673422539229031E-2</v>
      </c>
      <c r="BK386" s="18">
        <f t="shared" si="619"/>
        <v>0.43660804585470747</v>
      </c>
      <c r="BL386" s="19">
        <f t="shared" si="620"/>
        <v>974.83690590660979</v>
      </c>
      <c r="BM386" s="15">
        <f t="shared" si="558"/>
        <v>5.4496738118132199E-6</v>
      </c>
      <c r="BN386" s="16">
        <f t="shared" si="559"/>
        <v>27.099624417926012</v>
      </c>
      <c r="BO386" s="17">
        <f t="shared" si="560"/>
        <v>1.3638863475779162E-2</v>
      </c>
      <c r="BP386" s="18">
        <f t="shared" si="621"/>
        <v>0.43788728163584162</v>
      </c>
      <c r="BQ386" s="19">
        <f t="shared" si="622"/>
        <v>967.29074046272649</v>
      </c>
      <c r="BR386" s="15">
        <f t="shared" si="561"/>
        <v>5.4345814809254531E-6</v>
      </c>
      <c r="BS386" s="16">
        <f t="shared" si="562"/>
        <v>27.012843515321354</v>
      </c>
      <c r="BT386" s="17">
        <f t="shared" si="563"/>
        <v>1.360109199667461E-2</v>
      </c>
      <c r="BU386" s="18">
        <f t="shared" si="623"/>
        <v>0.43929402926379518</v>
      </c>
      <c r="BV386" s="19">
        <f t="shared" si="624"/>
        <v>958.9332433970244</v>
      </c>
      <c r="BW386" s="15">
        <f t="shared" si="564"/>
        <v>5.4178664867940494E-6</v>
      </c>
      <c r="BX386" s="16">
        <f t="shared" si="565"/>
        <v>26.916732299065778</v>
      </c>
      <c r="BY386" s="17">
        <f t="shared" si="566"/>
        <v>1.3559259488743128E-2</v>
      </c>
      <c r="BZ386" s="18">
        <f t="shared" si="625"/>
        <v>0.44086261058255433</v>
      </c>
      <c r="CA386" s="19">
        <f t="shared" si="626"/>
        <v>949.04541877192457</v>
      </c>
      <c r="CB386" s="15">
        <f t="shared" si="567"/>
        <v>5.3980908375438491E-6</v>
      </c>
      <c r="CC386" s="16">
        <f t="shared" si="568"/>
        <v>26.803022315877129</v>
      </c>
      <c r="CD386" s="17">
        <f t="shared" si="569"/>
        <v>1.350976709899978E-2</v>
      </c>
      <c r="CE386" s="18">
        <f t="shared" si="627"/>
        <v>0.44273293995985558</v>
      </c>
      <c r="CF386" s="19">
        <f t="shared" si="628"/>
        <v>935.03819197167297</v>
      </c>
      <c r="CG386" s="15">
        <f t="shared" si="570"/>
        <v>5.3700763839433466E-6</v>
      </c>
      <c r="CH386" s="16">
        <f t="shared" si="571"/>
        <v>26.641939207674238</v>
      </c>
      <c r="CI386" s="17">
        <f t="shared" si="572"/>
        <v>1.3439655506783461E-2</v>
      </c>
      <c r="CJ386" s="18">
        <f t="shared" si="629"/>
        <v>0.44540980208751912</v>
      </c>
      <c r="CK386" s="19">
        <f t="shared" si="630"/>
        <v>909.25004019880271</v>
      </c>
      <c r="CL386" s="15">
        <f t="shared" si="573"/>
        <v>5.318500080397606E-6</v>
      </c>
      <c r="CM386" s="16">
        <f t="shared" si="574"/>
        <v>26.345375462286228</v>
      </c>
      <c r="CN386" s="17">
        <f t="shared" si="575"/>
        <v>1.3310575824781052E-2</v>
      </c>
      <c r="CO386" s="18">
        <f t="shared" si="631"/>
        <v>0.45042367631864172</v>
      </c>
      <c r="CP386" s="19">
        <f t="shared" si="632"/>
        <v>853.97035841385093</v>
      </c>
      <c r="CQ386" s="15">
        <f t="shared" si="576"/>
        <v>5.2079407168277024E-6</v>
      </c>
      <c r="CR386" s="16">
        <f t="shared" si="577"/>
        <v>25.709659121759287</v>
      </c>
      <c r="CS386" s="17">
        <f t="shared" si="578"/>
        <v>1.303387961914205E-2</v>
      </c>
      <c r="CT386" s="18">
        <f t="shared" si="633"/>
        <v>0.46156119042724514</v>
      </c>
      <c r="CU386" s="19">
        <f t="shared" si="634"/>
        <v>740.02737957115812</v>
      </c>
      <c r="CV386" s="15">
        <f t="shared" si="579"/>
        <v>4.9800547591423166E-6</v>
      </c>
      <c r="CW386" s="16">
        <f t="shared" si="580"/>
        <v>24.39931486506832</v>
      </c>
      <c r="CX386" s="17">
        <f t="shared" si="581"/>
        <v>1.2463550903654393E-2</v>
      </c>
      <c r="CY386" s="18">
        <f t="shared" si="635"/>
        <v>0.48634893788377986</v>
      </c>
      <c r="CZ386" s="20">
        <f t="shared" si="585"/>
        <v>540.73232468000435</v>
      </c>
      <c r="DA386" s="15">
        <f t="shared" si="582"/>
        <v>6.5942853396863262E-6</v>
      </c>
      <c r="DB386" s="16">
        <f t="shared" si="583"/>
        <v>37.813762584279871</v>
      </c>
      <c r="DC386" s="17">
        <f t="shared" si="584"/>
        <v>1.6503475359085647E-2</v>
      </c>
      <c r="DD386" s="18">
        <f t="shared" si="636"/>
        <v>0.31381645355363641</v>
      </c>
    </row>
    <row r="387" spans="2:108" x14ac:dyDescent="0.25">
      <c r="B387">
        <v>120</v>
      </c>
      <c r="C387">
        <f t="shared" si="637"/>
        <v>0.11731375996143018</v>
      </c>
      <c r="D387" s="19">
        <f t="shared" si="534"/>
        <v>1018.037334420249</v>
      </c>
      <c r="E387" s="15">
        <f t="shared" si="586"/>
        <v>5.5360746688404992E-6</v>
      </c>
      <c r="F387" s="16">
        <f t="shared" si="535"/>
        <v>27.59642934583286</v>
      </c>
      <c r="G387" s="17">
        <f t="shared" si="532"/>
        <v>1.3855098343016712E-2</v>
      </c>
      <c r="H387" s="18">
        <f t="shared" si="587"/>
        <v>0.43000421253809007</v>
      </c>
      <c r="I387" s="19">
        <f t="shared" si="588"/>
        <v>1017.7128836764947</v>
      </c>
      <c r="J387" s="15">
        <f t="shared" si="589"/>
        <v>5.5354257673529903E-6</v>
      </c>
      <c r="K387" s="16">
        <f t="shared" si="536"/>
        <v>27.592698162279689</v>
      </c>
      <c r="L387" s="17">
        <f t="shared" si="590"/>
        <v>1.3853474341452034E-2</v>
      </c>
      <c r="M387" s="18">
        <f t="shared" si="591"/>
        <v>0.43006235924908515</v>
      </c>
      <c r="N387" s="19">
        <f t="shared" si="592"/>
        <v>1016.8073049444532</v>
      </c>
      <c r="O387" s="15">
        <f t="shared" si="593"/>
        <v>5.5336146098889067E-6</v>
      </c>
      <c r="P387" s="16">
        <f t="shared" si="594"/>
        <v>27.582284006861212</v>
      </c>
      <c r="Q387" s="17">
        <f t="shared" si="533"/>
        <v>1.3855098343016712E-2</v>
      </c>
      <c r="R387" s="18">
        <f t="shared" si="595"/>
        <v>0.4302247365289269</v>
      </c>
      <c r="S387" s="19">
        <f t="shared" si="596"/>
        <v>1015.3059894055739</v>
      </c>
      <c r="T387" s="15">
        <f t="shared" si="597"/>
        <v>5.5306119788111476E-6</v>
      </c>
      <c r="U387" s="16">
        <f t="shared" si="598"/>
        <v>27.565018878164096</v>
      </c>
      <c r="V387" s="17">
        <f t="shared" si="599"/>
        <v>1.3841426903937307E-2</v>
      </c>
      <c r="W387" s="18">
        <f t="shared" si="600"/>
        <v>0.43049420434528085</v>
      </c>
      <c r="X387" s="19">
        <f t="shared" si="601"/>
        <v>1013.2067804661026</v>
      </c>
      <c r="Y387" s="15">
        <f t="shared" si="602"/>
        <v>5.5264135609322057E-6</v>
      </c>
      <c r="Z387" s="16">
        <f t="shared" si="603"/>
        <v>27.540877975360178</v>
      </c>
      <c r="AA387" s="17">
        <f t="shared" si="604"/>
        <v>1.3830919550608924E-2</v>
      </c>
      <c r="AB387" s="18">
        <f t="shared" si="605"/>
        <v>0.43087155319937498</v>
      </c>
      <c r="AC387" s="19">
        <f t="shared" si="606"/>
        <v>1010.5082657539534</v>
      </c>
      <c r="AD387" s="15">
        <f t="shared" si="537"/>
        <v>5.5210165315079073E-6</v>
      </c>
      <c r="AE387" s="16">
        <f t="shared" si="538"/>
        <v>27.509845056170462</v>
      </c>
      <c r="AF387" s="17">
        <f t="shared" si="539"/>
        <v>1.3817412439902003E-2</v>
      </c>
      <c r="AG387" s="18">
        <f t="shared" si="607"/>
        <v>0.43135760472253998</v>
      </c>
      <c r="AH387" s="19">
        <f t="shared" si="608"/>
        <v>1007.2102253074039</v>
      </c>
      <c r="AI387" s="15">
        <f t="shared" si="540"/>
        <v>5.5144204506148082E-6</v>
      </c>
      <c r="AJ387" s="16">
        <f t="shared" si="541"/>
        <v>27.471917591035144</v>
      </c>
      <c r="AK387" s="17">
        <f t="shared" si="542"/>
        <v>1.3800904470822981E-2</v>
      </c>
      <c r="AL387" s="18">
        <f t="shared" si="609"/>
        <v>0.43195313288178677</v>
      </c>
      <c r="AM387" s="19">
        <f t="shared" si="610"/>
        <v>1003.3126149031076</v>
      </c>
      <c r="AN387" s="15">
        <f t="shared" si="543"/>
        <v>5.5066252298062151E-6</v>
      </c>
      <c r="AO387" s="16">
        <f t="shared" si="544"/>
        <v>27.427095071385736</v>
      </c>
      <c r="AP387" s="17">
        <f t="shared" si="545"/>
        <v>1.3781395422016887E-2</v>
      </c>
      <c r="AQ387" s="18">
        <f t="shared" si="611"/>
        <v>0.43265904897446172</v>
      </c>
      <c r="AR387" s="19">
        <f t="shared" si="612"/>
        <v>998.81542883114378</v>
      </c>
      <c r="AS387" s="15">
        <f t="shared" si="546"/>
        <v>5.4976308576622876E-6</v>
      </c>
      <c r="AT387" s="16">
        <f t="shared" si="547"/>
        <v>27.375377431558153</v>
      </c>
      <c r="AU387" s="17">
        <f t="shared" si="548"/>
        <v>1.3758885264903362E-2</v>
      </c>
      <c r="AV387" s="18">
        <f t="shared" si="613"/>
        <v>0.43347642966332889</v>
      </c>
      <c r="AW387" s="19">
        <f t="shared" si="614"/>
        <v>993.71864737979251</v>
      </c>
      <c r="AX387" s="15">
        <f t="shared" si="549"/>
        <v>5.4874372947595854E-6</v>
      </c>
      <c r="AY387" s="16">
        <f t="shared" si="550"/>
        <v>27.316764444867616</v>
      </c>
      <c r="AZ387" s="17">
        <f t="shared" si="551"/>
        <v>1.3733373900817617E-2</v>
      </c>
      <c r="BA387" s="18">
        <f t="shared" si="615"/>
        <v>0.43440653060020218</v>
      </c>
      <c r="BB387" s="19">
        <f t="shared" si="616"/>
        <v>988.02211108035874</v>
      </c>
      <c r="BC387" s="15">
        <f t="shared" si="552"/>
        <v>5.476044222160718E-6</v>
      </c>
      <c r="BD387" s="16">
        <f t="shared" si="553"/>
        <v>27.251254277424124</v>
      </c>
      <c r="BE387" s="17">
        <f t="shared" si="554"/>
        <v>1.37048605315571E-2</v>
      </c>
      <c r="BF387" s="18">
        <f t="shared" si="617"/>
        <v>0.43545081444374406</v>
      </c>
      <c r="BG387" s="19">
        <f t="shared" si="618"/>
        <v>981.72473610905183</v>
      </c>
      <c r="BH387" s="15">
        <f t="shared" si="555"/>
        <v>5.4634494722181042E-6</v>
      </c>
      <c r="BI387" s="16">
        <f t="shared" si="556"/>
        <v>27.178834465254095</v>
      </c>
      <c r="BJ387" s="17">
        <f t="shared" si="557"/>
        <v>1.3673339732164204E-2</v>
      </c>
      <c r="BK387" s="18">
        <f t="shared" si="619"/>
        <v>0.4366111021018339</v>
      </c>
      <c r="BL387" s="19">
        <f t="shared" si="620"/>
        <v>974.81989767412517</v>
      </c>
      <c r="BM387" s="15">
        <f t="shared" si="558"/>
        <v>5.4496397953482507E-6</v>
      </c>
      <c r="BN387" s="16">
        <f t="shared" si="559"/>
        <v>27.099428823252438</v>
      </c>
      <c r="BO387" s="17">
        <f t="shared" si="560"/>
        <v>1.3638778342991832E-2</v>
      </c>
      <c r="BP387" s="18">
        <f t="shared" si="621"/>
        <v>0.43789044216075423</v>
      </c>
      <c r="BQ387" s="19">
        <f t="shared" si="622"/>
        <v>967.27133233181189</v>
      </c>
      <c r="BR387" s="15">
        <f t="shared" si="561"/>
        <v>5.4345426646636249E-6</v>
      </c>
      <c r="BS387" s="16">
        <f t="shared" si="562"/>
        <v>27.012620321815838</v>
      </c>
      <c r="BT387" s="17">
        <f t="shared" si="563"/>
        <v>1.3600994851466659E-2</v>
      </c>
      <c r="BU387" s="18">
        <f t="shared" si="623"/>
        <v>0.43929765895884793</v>
      </c>
      <c r="BV387" s="19">
        <f t="shared" si="624"/>
        <v>958.90356675811154</v>
      </c>
      <c r="BW387" s="15">
        <f t="shared" si="564"/>
        <v>5.4178071335162238E-6</v>
      </c>
      <c r="BX387" s="16">
        <f t="shared" si="565"/>
        <v>26.916391017718283</v>
      </c>
      <c r="BY387" s="17">
        <f t="shared" si="566"/>
        <v>1.3559110945677789E-2</v>
      </c>
      <c r="BZ387" s="18">
        <f t="shared" si="625"/>
        <v>0.4408682004175995</v>
      </c>
      <c r="CA387" s="19">
        <f t="shared" si="626"/>
        <v>948.97876348569082</v>
      </c>
      <c r="CB387" s="15">
        <f t="shared" si="567"/>
        <v>5.3979575269713826E-6</v>
      </c>
      <c r="CC387" s="16">
        <f t="shared" si="568"/>
        <v>26.802255780085446</v>
      </c>
      <c r="CD387" s="17">
        <f t="shared" si="569"/>
        <v>1.3509433463490476E-2</v>
      </c>
      <c r="CE387" s="18">
        <f t="shared" si="627"/>
        <v>0.44274560197783724</v>
      </c>
      <c r="CF387" s="19">
        <f t="shared" si="628"/>
        <v>934.86223794277362</v>
      </c>
      <c r="CG387" s="15">
        <f t="shared" si="570"/>
        <v>5.3697244758855479E-6</v>
      </c>
      <c r="CH387" s="16">
        <f t="shared" si="571"/>
        <v>26.639915736341898</v>
      </c>
      <c r="CI387" s="17">
        <f t="shared" si="572"/>
        <v>1.3438774788758477E-2</v>
      </c>
      <c r="CJ387" s="18">
        <f t="shared" si="629"/>
        <v>0.44544363379984836</v>
      </c>
      <c r="CK387" s="19">
        <f t="shared" si="630"/>
        <v>908.82166745238862</v>
      </c>
      <c r="CL387" s="15">
        <f t="shared" si="573"/>
        <v>5.3176433349047781E-6</v>
      </c>
      <c r="CM387" s="16">
        <f t="shared" si="574"/>
        <v>26.340449175702467</v>
      </c>
      <c r="CN387" s="17">
        <f t="shared" si="575"/>
        <v>1.3308431653365722E-2</v>
      </c>
      <c r="CO387" s="18">
        <f t="shared" si="631"/>
        <v>0.45050791619241365</v>
      </c>
      <c r="CP387" s="19">
        <f t="shared" si="632"/>
        <v>853.12708392847571</v>
      </c>
      <c r="CQ387" s="15">
        <f t="shared" si="576"/>
        <v>5.2062541678569524E-6</v>
      </c>
      <c r="CR387" s="16">
        <f t="shared" si="577"/>
        <v>25.69996146517747</v>
      </c>
      <c r="CS387" s="17">
        <f t="shared" si="578"/>
        <v>1.3029658703918206E-2</v>
      </c>
      <c r="CT387" s="18">
        <f t="shared" si="633"/>
        <v>0.46173535652170888</v>
      </c>
      <c r="CU387" s="19">
        <f t="shared" si="634"/>
        <v>738.80786629076954</v>
      </c>
      <c r="CV387" s="15">
        <f t="shared" si="579"/>
        <v>4.9776157325815401E-6</v>
      </c>
      <c r="CW387" s="16">
        <f t="shared" si="580"/>
        <v>24.38529046234385</v>
      </c>
      <c r="CX387" s="17">
        <f t="shared" si="581"/>
        <v>1.2457446767622596E-2</v>
      </c>
      <c r="CY387" s="18">
        <f t="shared" si="635"/>
        <v>0.48662864557805696</v>
      </c>
      <c r="CZ387" s="20">
        <f t="shared" si="585"/>
        <v>539.60116821577139</v>
      </c>
      <c r="DA387" s="15">
        <f t="shared" si="582"/>
        <v>6.611825339023587E-6</v>
      </c>
      <c r="DB387" s="16">
        <f t="shared" si="583"/>
        <v>37.846566121742626</v>
      </c>
      <c r="DC387" s="17">
        <f t="shared" si="584"/>
        <v>1.6547372602221114E-2</v>
      </c>
      <c r="DD387" s="18">
        <f t="shared" si="636"/>
        <v>0.31354445292463717</v>
      </c>
    </row>
    <row r="388" spans="2:108" x14ac:dyDescent="0.25">
      <c r="B388">
        <v>121</v>
      </c>
      <c r="C388">
        <f t="shared" si="637"/>
        <v>0.11829137462777542</v>
      </c>
      <c r="D388" s="19">
        <f t="shared" si="534"/>
        <v>1018.0207696042893</v>
      </c>
      <c r="E388" s="15">
        <f t="shared" si="586"/>
        <v>5.5360415392085794E-6</v>
      </c>
      <c r="F388" s="16">
        <f t="shared" si="535"/>
        <v>27.596238850449325</v>
      </c>
      <c r="G388" s="17">
        <f t="shared" si="532"/>
        <v>1.3855015429700728E-2</v>
      </c>
      <c r="H388" s="18">
        <f t="shared" si="587"/>
        <v>0.43000718083452466</v>
      </c>
      <c r="I388" s="19">
        <f t="shared" si="588"/>
        <v>1017.6963111005673</v>
      </c>
      <c r="J388" s="15">
        <f t="shared" si="589"/>
        <v>5.5353926222011349E-6</v>
      </c>
      <c r="K388" s="16">
        <f t="shared" si="536"/>
        <v>27.592507577656523</v>
      </c>
      <c r="L388" s="17">
        <f t="shared" si="590"/>
        <v>1.3853391389294409E-2</v>
      </c>
      <c r="M388" s="18">
        <f t="shared" si="591"/>
        <v>0.43006532973926059</v>
      </c>
      <c r="N388" s="19">
        <f t="shared" si="592"/>
        <v>1016.7907160572112</v>
      </c>
      <c r="O388" s="15">
        <f t="shared" si="593"/>
        <v>5.5335814321144234E-6</v>
      </c>
      <c r="P388" s="16">
        <f t="shared" si="594"/>
        <v>27.582093234657926</v>
      </c>
      <c r="Q388" s="17">
        <f t="shared" si="533"/>
        <v>1.3855015429700728E-2</v>
      </c>
      <c r="R388" s="18">
        <f t="shared" si="595"/>
        <v>0.43022771218854045</v>
      </c>
      <c r="S388" s="19">
        <f t="shared" si="596"/>
        <v>1015.2893913629163</v>
      </c>
      <c r="T388" s="15">
        <f t="shared" si="597"/>
        <v>5.5305787827258331E-6</v>
      </c>
      <c r="U388" s="16">
        <f t="shared" si="598"/>
        <v>27.564828000673536</v>
      </c>
      <c r="V388" s="17">
        <f t="shared" si="599"/>
        <v>1.3841343824308844E-2</v>
      </c>
      <c r="W388" s="18">
        <f t="shared" si="600"/>
        <v>0.4304971853779731</v>
      </c>
      <c r="X388" s="19">
        <f t="shared" si="601"/>
        <v>1013.1901844010175</v>
      </c>
      <c r="Y388" s="15">
        <f t="shared" si="602"/>
        <v>5.5263803688020353E-6</v>
      </c>
      <c r="Z388" s="16">
        <f t="shared" si="603"/>
        <v>27.5406871206117</v>
      </c>
      <c r="AA388" s="17">
        <f t="shared" si="604"/>
        <v>1.3830836480878973E-2</v>
      </c>
      <c r="AB388" s="18">
        <f t="shared" si="605"/>
        <v>0.43087453910461232</v>
      </c>
      <c r="AC388" s="19">
        <f t="shared" si="606"/>
        <v>1010.4916800741699</v>
      </c>
      <c r="AD388" s="15">
        <f t="shared" si="537"/>
        <v>5.5209833601483408E-6</v>
      </c>
      <c r="AE388" s="16">
        <f t="shared" si="538"/>
        <v>27.509654320852952</v>
      </c>
      <c r="AF388" s="17">
        <f t="shared" si="539"/>
        <v>1.3817329422154509E-2</v>
      </c>
      <c r="AG388" s="18">
        <f t="shared" si="607"/>
        <v>0.43136059549547873</v>
      </c>
      <c r="AH388" s="19">
        <f t="shared" si="608"/>
        <v>1007.193655461935</v>
      </c>
      <c r="AI388" s="15">
        <f t="shared" si="540"/>
        <v>5.5143873109238707E-6</v>
      </c>
      <c r="AJ388" s="16">
        <f t="shared" si="541"/>
        <v>27.471727037812251</v>
      </c>
      <c r="AK388" s="17">
        <f t="shared" si="542"/>
        <v>1.380082153233236E-2</v>
      </c>
      <c r="AL388" s="18">
        <f t="shared" si="609"/>
        <v>0.43195612905532532</v>
      </c>
      <c r="AM388" s="19">
        <f t="shared" si="610"/>
        <v>1003.2960649028967</v>
      </c>
      <c r="AN388" s="15">
        <f t="shared" si="543"/>
        <v>5.5065921298057939E-6</v>
      </c>
      <c r="AO388" s="16">
        <f t="shared" si="544"/>
        <v>27.426904746383311</v>
      </c>
      <c r="AP388" s="17">
        <f t="shared" si="545"/>
        <v>1.3781312582859464E-2</v>
      </c>
      <c r="AQ388" s="18">
        <f t="shared" si="611"/>
        <v>0.43266205134878383</v>
      </c>
      <c r="AR388" s="19">
        <f t="shared" si="612"/>
        <v>998.79890202821286</v>
      </c>
      <c r="AS388" s="15">
        <f t="shared" si="546"/>
        <v>5.4975978040564266E-6</v>
      </c>
      <c r="AT388" s="16">
        <f t="shared" si="547"/>
        <v>27.375187373324447</v>
      </c>
      <c r="AU388" s="17">
        <f t="shared" si="548"/>
        <v>1.3758802541857308E-2</v>
      </c>
      <c r="AV388" s="18">
        <f t="shared" si="613"/>
        <v>0.43347943916837633</v>
      </c>
      <c r="AW388" s="19">
        <f t="shared" si="614"/>
        <v>993.70214529750285</v>
      </c>
      <c r="AX388" s="15">
        <f t="shared" si="549"/>
        <v>5.4874042905950062E-6</v>
      </c>
      <c r="AY388" s="16">
        <f t="shared" si="550"/>
        <v>27.316574670921284</v>
      </c>
      <c r="AZ388" s="17">
        <f t="shared" si="551"/>
        <v>1.3733291301507937E-2</v>
      </c>
      <c r="BA388" s="18">
        <f t="shared" si="615"/>
        <v>0.43440954851304875</v>
      </c>
      <c r="BB388" s="19">
        <f t="shared" si="616"/>
        <v>988.00562379398639</v>
      </c>
      <c r="BC388" s="15">
        <f t="shared" si="552"/>
        <v>5.4760112475879734E-6</v>
      </c>
      <c r="BD388" s="16">
        <f t="shared" si="553"/>
        <v>27.251064673630843</v>
      </c>
      <c r="BE388" s="17">
        <f t="shared" si="554"/>
        <v>1.3704778006306715E-2</v>
      </c>
      <c r="BF388" s="18">
        <f t="shared" si="617"/>
        <v>0.43545384416486482</v>
      </c>
      <c r="BG388" s="19">
        <f t="shared" si="618"/>
        <v>981.708186711503</v>
      </c>
      <c r="BH388" s="15">
        <f t="shared" si="555"/>
        <v>5.4634163734230066E-6</v>
      </c>
      <c r="BI388" s="16">
        <f t="shared" si="556"/>
        <v>27.178644147182283</v>
      </c>
      <c r="BJ388" s="17">
        <f t="shared" si="557"/>
        <v>1.3673256896023337E-2</v>
      </c>
      <c r="BK388" s="18">
        <f t="shared" si="619"/>
        <v>0.43661415946491039</v>
      </c>
      <c r="BL388" s="19">
        <f t="shared" si="620"/>
        <v>974.8028614514634</v>
      </c>
      <c r="BM388" s="15">
        <f t="shared" si="558"/>
        <v>5.4496057229029266E-6</v>
      </c>
      <c r="BN388" s="16">
        <f t="shared" si="559"/>
        <v>27.099232906691828</v>
      </c>
      <c r="BO388" s="17">
        <f t="shared" si="560"/>
        <v>1.3638693070102828E-2</v>
      </c>
      <c r="BP388" s="18">
        <f t="shared" si="621"/>
        <v>0.4378936079326286</v>
      </c>
      <c r="BQ388" s="19">
        <f t="shared" si="622"/>
        <v>967.25181035928665</v>
      </c>
      <c r="BR388" s="15">
        <f t="shared" si="561"/>
        <v>5.4345036207185739E-6</v>
      </c>
      <c r="BS388" s="16">
        <f t="shared" si="562"/>
        <v>27.012395819131797</v>
      </c>
      <c r="BT388" s="17">
        <f t="shared" si="563"/>
        <v>1.3600897136437376E-2</v>
      </c>
      <c r="BU388" s="18">
        <f t="shared" si="623"/>
        <v>0.43930131000498945</v>
      </c>
      <c r="BV388" s="19">
        <f t="shared" si="624"/>
        <v>958.87350410041802</v>
      </c>
      <c r="BW388" s="15">
        <f t="shared" si="564"/>
        <v>5.4177470082008367E-6</v>
      </c>
      <c r="BX388" s="16">
        <f t="shared" si="565"/>
        <v>26.916045297154806</v>
      </c>
      <c r="BY388" s="17">
        <f t="shared" si="566"/>
        <v>1.3558960470439026E-2</v>
      </c>
      <c r="BZ388" s="18">
        <f t="shared" si="625"/>
        <v>0.44087386310693533</v>
      </c>
      <c r="CA388" s="19">
        <f t="shared" si="626"/>
        <v>948.91106224155328</v>
      </c>
      <c r="CB388" s="15">
        <f t="shared" si="567"/>
        <v>5.3978221244831074E-6</v>
      </c>
      <c r="CC388" s="16">
        <f t="shared" si="568"/>
        <v>26.801477215777862</v>
      </c>
      <c r="CD388" s="17">
        <f t="shared" si="569"/>
        <v>1.3509094592556977E-2</v>
      </c>
      <c r="CE388" s="18">
        <f t="shared" si="627"/>
        <v>0.44275846343022157</v>
      </c>
      <c r="CF388" s="19">
        <f t="shared" si="628"/>
        <v>934.68420220387497</v>
      </c>
      <c r="CG388" s="15">
        <f t="shared" si="570"/>
        <v>5.3693684044077506E-6</v>
      </c>
      <c r="CH388" s="16">
        <f t="shared" si="571"/>
        <v>26.637868325344563</v>
      </c>
      <c r="CI388" s="17">
        <f t="shared" si="572"/>
        <v>1.3437883650969134E-2</v>
      </c>
      <c r="CJ388" s="18">
        <f t="shared" si="629"/>
        <v>0.44547787100619674</v>
      </c>
      <c r="CK388" s="19">
        <f t="shared" si="630"/>
        <v>908.39087593752333</v>
      </c>
      <c r="CL388" s="15">
        <f t="shared" si="573"/>
        <v>5.3167817518750469E-6</v>
      </c>
      <c r="CM388" s="16">
        <f t="shared" si="574"/>
        <v>26.335495073281518</v>
      </c>
      <c r="CN388" s="17">
        <f t="shared" si="575"/>
        <v>1.3306275375078004E-2</v>
      </c>
      <c r="CO388" s="18">
        <f t="shared" si="631"/>
        <v>0.45059266350215876</v>
      </c>
      <c r="CP388" s="19">
        <f t="shared" si="632"/>
        <v>852.28416811275497</v>
      </c>
      <c r="CQ388" s="15">
        <f t="shared" si="576"/>
        <v>5.2045683362255103E-6</v>
      </c>
      <c r="CR388" s="16">
        <f t="shared" si="577"/>
        <v>25.690267933296681</v>
      </c>
      <c r="CS388" s="17">
        <f t="shared" si="578"/>
        <v>1.3025439583974816E-2</v>
      </c>
      <c r="CT388" s="18">
        <f t="shared" si="633"/>
        <v>0.46190957994400061</v>
      </c>
      <c r="CU388" s="19">
        <f t="shared" si="634"/>
        <v>737.59470078307868</v>
      </c>
      <c r="CV388" s="15">
        <f t="shared" si="579"/>
        <v>4.975189401566157E-6</v>
      </c>
      <c r="CW388" s="16">
        <f t="shared" si="580"/>
        <v>24.371339059005404</v>
      </c>
      <c r="CX388" s="17">
        <f t="shared" si="581"/>
        <v>1.2451374404650316E-2</v>
      </c>
      <c r="CY388" s="18">
        <f t="shared" si="635"/>
        <v>0.48690721675110837</v>
      </c>
      <c r="CZ388" s="20">
        <f t="shared" si="585"/>
        <v>538.47824726781971</v>
      </c>
      <c r="DA388" s="15">
        <f t="shared" si="582"/>
        <v>6.6292182512896093E-6</v>
      </c>
      <c r="DB388" s="16">
        <f t="shared" si="583"/>
        <v>37.879130829233226</v>
      </c>
      <c r="DC388" s="17">
        <f t="shared" si="584"/>
        <v>1.6590901731492715E-2</v>
      </c>
      <c r="DD388" s="18">
        <f t="shared" si="636"/>
        <v>0.31327489860353031</v>
      </c>
    </row>
    <row r="389" spans="2:108" x14ac:dyDescent="0.25">
      <c r="B389">
        <v>122</v>
      </c>
      <c r="C389">
        <f t="shared" si="637"/>
        <v>0.11926898929412068</v>
      </c>
      <c r="D389" s="19">
        <f t="shared" si="534"/>
        <v>1018.0042043921449</v>
      </c>
      <c r="E389" s="15">
        <f t="shared" si="586"/>
        <v>5.5360084087842907E-6</v>
      </c>
      <c r="F389" s="16">
        <f t="shared" si="535"/>
        <v>27.596048350509665</v>
      </c>
      <c r="G389" s="17">
        <f t="shared" si="532"/>
        <v>1.3854932514401692E-2</v>
      </c>
      <c r="H389" s="18">
        <f t="shared" si="587"/>
        <v>0.43001014924293451</v>
      </c>
      <c r="I389" s="19">
        <f t="shared" si="588"/>
        <v>1017.6797383385871</v>
      </c>
      <c r="J389" s="15">
        <f t="shared" si="589"/>
        <v>5.5353594766771752E-6</v>
      </c>
      <c r="K389" s="16">
        <f t="shared" si="536"/>
        <v>27.59231699089375</v>
      </c>
      <c r="L389" s="17">
        <f t="shared" si="590"/>
        <v>1.3853308436205523E-2</v>
      </c>
      <c r="M389" s="18">
        <f t="shared" si="591"/>
        <v>0.43006830030382037</v>
      </c>
      <c r="N389" s="19">
        <f t="shared" si="592"/>
        <v>1016.7741272802353</v>
      </c>
      <c r="O389" s="15">
        <f t="shared" si="593"/>
        <v>5.5335482545604711E-6</v>
      </c>
      <c r="P389" s="16">
        <f t="shared" si="594"/>
        <v>27.581902463722706</v>
      </c>
      <c r="Q389" s="17">
        <f t="shared" si="533"/>
        <v>1.3854932514401692E-2</v>
      </c>
      <c r="R389" s="18">
        <f t="shared" si="595"/>
        <v>0.43023068786953705</v>
      </c>
      <c r="S389" s="19">
        <f t="shared" si="596"/>
        <v>1015.2727935572616</v>
      </c>
      <c r="T389" s="15">
        <f t="shared" si="597"/>
        <v>5.5305455871145232E-6</v>
      </c>
      <c r="U389" s="16">
        <f t="shared" si="598"/>
        <v>27.564637125908508</v>
      </c>
      <c r="V389" s="17">
        <f t="shared" si="599"/>
        <v>1.3841260745866668E-2</v>
      </c>
      <c r="W389" s="18">
        <f t="shared" si="600"/>
        <v>0.43050016640938404</v>
      </c>
      <c r="X389" s="19">
        <f t="shared" si="601"/>
        <v>1013.1735885733086</v>
      </c>
      <c r="Y389" s="15">
        <f t="shared" si="602"/>
        <v>5.5263471771466174E-6</v>
      </c>
      <c r="Z389" s="16">
        <f t="shared" si="603"/>
        <v>27.540496268593046</v>
      </c>
      <c r="AA389" s="17">
        <f t="shared" si="604"/>
        <v>1.3830753412337183E-2</v>
      </c>
      <c r="AB389" s="18">
        <f t="shared" si="605"/>
        <v>0.43087752500852533</v>
      </c>
      <c r="AC389" s="19">
        <f t="shared" si="606"/>
        <v>1010.4750946056284</v>
      </c>
      <c r="AD389" s="15">
        <f t="shared" si="537"/>
        <v>5.5209501892112574E-6</v>
      </c>
      <c r="AE389" s="16">
        <f t="shared" si="538"/>
        <v>27.509463587964724</v>
      </c>
      <c r="AF389" s="17">
        <f t="shared" si="539"/>
        <v>1.3817246405464362E-2</v>
      </c>
      <c r="AG389" s="18">
        <f t="shared" si="607"/>
        <v>0.43136358627179766</v>
      </c>
      <c r="AH389" s="19">
        <f t="shared" si="608"/>
        <v>1007.1770858125234</v>
      </c>
      <c r="AI389" s="15">
        <f t="shared" si="540"/>
        <v>5.5143541716250476E-6</v>
      </c>
      <c r="AJ389" s="16">
        <f t="shared" si="541"/>
        <v>27.471536486844016</v>
      </c>
      <c r="AK389" s="17">
        <f t="shared" si="542"/>
        <v>1.3800738594823081E-2</v>
      </c>
      <c r="AL389" s="18">
        <f t="shared" si="609"/>
        <v>0.43195912523497715</v>
      </c>
      <c r="AM389" s="19">
        <f t="shared" si="610"/>
        <v>1003.2795150908349</v>
      </c>
      <c r="AN389" s="15">
        <f t="shared" si="543"/>
        <v>5.5065590301816705E-6</v>
      </c>
      <c r="AO389" s="16">
        <f t="shared" si="544"/>
        <v>27.426714423544603</v>
      </c>
      <c r="AP389" s="17">
        <f t="shared" si="545"/>
        <v>1.37812297446438E-2</v>
      </c>
      <c r="AQ389" s="18">
        <f t="shared" si="611"/>
        <v>0.43266505373064196</v>
      </c>
      <c r="AR389" s="19">
        <f t="shared" si="612"/>
        <v>998.78237538688984</v>
      </c>
      <c r="AS389" s="15">
        <f t="shared" si="546"/>
        <v>5.4975647507737798E-6</v>
      </c>
      <c r="AT389" s="16">
        <f t="shared" si="547"/>
        <v>27.374997316949234</v>
      </c>
      <c r="AU389" s="17">
        <f t="shared" si="548"/>
        <v>1.3758719819620156E-2</v>
      </c>
      <c r="AV389" s="18">
        <f t="shared" si="613"/>
        <v>0.43348244868578317</v>
      </c>
      <c r="AW389" s="19">
        <f t="shared" si="614"/>
        <v>993.68564320808275</v>
      </c>
      <c r="AX389" s="15">
        <f t="shared" si="549"/>
        <v>5.4873712864161663E-6</v>
      </c>
      <c r="AY389" s="16">
        <f t="shared" si="550"/>
        <v>27.316384896892949</v>
      </c>
      <c r="AZ389" s="17">
        <f t="shared" si="551"/>
        <v>1.373320870216257E-2</v>
      </c>
      <c r="BA389" s="18">
        <f t="shared" si="615"/>
        <v>0.4344125664691319</v>
      </c>
      <c r="BB389" s="19">
        <f t="shared" si="616"/>
        <v>987.98913551810676</v>
      </c>
      <c r="BC389" s="15">
        <f t="shared" si="552"/>
        <v>5.4759782710362134E-6</v>
      </c>
      <c r="BD389" s="16">
        <f t="shared" si="553"/>
        <v>27.250875058458227</v>
      </c>
      <c r="BE389" s="17">
        <f t="shared" si="554"/>
        <v>1.370469547610346E-2</v>
      </c>
      <c r="BF389" s="18">
        <f t="shared" si="617"/>
        <v>0.43545687410998224</v>
      </c>
      <c r="BG389" s="19">
        <f t="shared" si="618"/>
        <v>981.6916312510848</v>
      </c>
      <c r="BH389" s="15">
        <f t="shared" si="555"/>
        <v>5.46338326250217E-6</v>
      </c>
      <c r="BI389" s="16">
        <f t="shared" si="556"/>
        <v>27.178453759387473</v>
      </c>
      <c r="BJ389" s="17">
        <f t="shared" si="557"/>
        <v>1.3673174029535462E-2</v>
      </c>
      <c r="BK389" s="18">
        <f t="shared" si="619"/>
        <v>0.43661721799089348</v>
      </c>
      <c r="BL389" s="19">
        <f t="shared" si="620"/>
        <v>974.78579630688102</v>
      </c>
      <c r="BM389" s="15">
        <f t="shared" si="558"/>
        <v>5.4495715926137624E-6</v>
      </c>
      <c r="BN389" s="16">
        <f t="shared" si="559"/>
        <v>27.099036657529133</v>
      </c>
      <c r="BO389" s="17">
        <f t="shared" si="560"/>
        <v>1.3638607652448419E-2</v>
      </c>
      <c r="BP389" s="18">
        <f t="shared" si="621"/>
        <v>0.4378967791248371</v>
      </c>
      <c r="BQ389" s="19">
        <f t="shared" si="622"/>
        <v>967.23217181775249</v>
      </c>
      <c r="BR389" s="15">
        <f t="shared" si="561"/>
        <v>5.4344643436355053E-6</v>
      </c>
      <c r="BS389" s="16">
        <f t="shared" si="562"/>
        <v>27.01216997590415</v>
      </c>
      <c r="BT389" s="17">
        <f t="shared" si="563"/>
        <v>1.360079883793508E-2</v>
      </c>
      <c r="BU389" s="18">
        <f t="shared" si="623"/>
        <v>0.43930498291338033</v>
      </c>
      <c r="BV389" s="19">
        <f t="shared" si="624"/>
        <v>958.84304970415883</v>
      </c>
      <c r="BW389" s="15">
        <f t="shared" si="564"/>
        <v>5.4176860994083185E-6</v>
      </c>
      <c r="BX389" s="16">
        <f t="shared" si="565"/>
        <v>26.915695071597824</v>
      </c>
      <c r="BY389" s="17">
        <f t="shared" si="566"/>
        <v>1.3558808034397107E-2</v>
      </c>
      <c r="BZ389" s="18">
        <f t="shared" si="625"/>
        <v>0.44087959973360819</v>
      </c>
      <c r="CA389" s="19">
        <f t="shared" si="626"/>
        <v>948.84230921072492</v>
      </c>
      <c r="CB389" s="15">
        <f t="shared" si="567"/>
        <v>5.3976846184214496E-6</v>
      </c>
      <c r="CC389" s="16">
        <f t="shared" si="568"/>
        <v>26.800686555923335</v>
      </c>
      <c r="CD389" s="17">
        <f t="shared" si="569"/>
        <v>1.3508750457023952E-2</v>
      </c>
      <c r="CE389" s="18">
        <f t="shared" si="627"/>
        <v>0.4427715254591198</v>
      </c>
      <c r="CF389" s="19">
        <f t="shared" si="628"/>
        <v>934.50409378877953</v>
      </c>
      <c r="CG389" s="15">
        <f t="shared" si="570"/>
        <v>5.3690081875775595E-6</v>
      </c>
      <c r="CH389" s="16">
        <f t="shared" si="571"/>
        <v>26.635797078570963</v>
      </c>
      <c r="CI389" s="17">
        <f t="shared" si="572"/>
        <v>1.343698213863311E-2</v>
      </c>
      <c r="CJ389" s="18">
        <f t="shared" si="629"/>
        <v>0.44551251215473492</v>
      </c>
      <c r="CK389" s="19">
        <f t="shared" si="630"/>
        <v>907.95770912713931</v>
      </c>
      <c r="CL389" s="15">
        <f t="shared" si="573"/>
        <v>5.3159154182542785E-6</v>
      </c>
      <c r="CM389" s="16">
        <f t="shared" si="574"/>
        <v>26.3305136549621</v>
      </c>
      <c r="CN389" s="17">
        <f t="shared" si="575"/>
        <v>1.330410720751676E-2</v>
      </c>
      <c r="CO389" s="18">
        <f t="shared" si="631"/>
        <v>0.45067791024584092</v>
      </c>
      <c r="CP389" s="19">
        <f t="shared" si="632"/>
        <v>851.44165761576483</v>
      </c>
      <c r="CQ389" s="15">
        <f t="shared" si="576"/>
        <v>5.20288331523153E-6</v>
      </c>
      <c r="CR389" s="16">
        <f t="shared" si="577"/>
        <v>25.680579062581295</v>
      </c>
      <c r="CS389" s="17">
        <f t="shared" si="578"/>
        <v>1.3021222492808569E-2</v>
      </c>
      <c r="CT389" s="18">
        <f t="shared" si="633"/>
        <v>0.46208385102220995</v>
      </c>
      <c r="CU389" s="19">
        <f t="shared" si="634"/>
        <v>736.38782829800937</v>
      </c>
      <c r="CV389" s="15">
        <f t="shared" si="579"/>
        <v>4.9727756565960197E-6</v>
      </c>
      <c r="CW389" s="16">
        <f t="shared" si="580"/>
        <v>24.357460025427109</v>
      </c>
      <c r="CX389" s="17">
        <f t="shared" si="581"/>
        <v>1.244533354069224E-2</v>
      </c>
      <c r="CY389" s="18">
        <f t="shared" si="635"/>
        <v>0.48718465953881074</v>
      </c>
      <c r="CZ389" s="20">
        <f t="shared" si="585"/>
        <v>537.36343651791378</v>
      </c>
      <c r="DA389" s="15">
        <f t="shared" si="582"/>
        <v>6.6464666467320103E-6</v>
      </c>
      <c r="DB389" s="16">
        <f t="shared" si="583"/>
        <v>37.911460340980497</v>
      </c>
      <c r="DC389" s="17">
        <f t="shared" si="584"/>
        <v>1.6634069179442577E-2</v>
      </c>
      <c r="DD389" s="18">
        <f t="shared" si="636"/>
        <v>0.31300774918687807</v>
      </c>
    </row>
    <row r="390" spans="2:108" x14ac:dyDescent="0.25">
      <c r="B390">
        <v>123</v>
      </c>
      <c r="C390">
        <f t="shared" si="637"/>
        <v>0.12024660396046594</v>
      </c>
      <c r="D390" s="19">
        <f t="shared" si="534"/>
        <v>1017.987638794544</v>
      </c>
      <c r="E390" s="15">
        <f t="shared" si="586"/>
        <v>5.5359752775890886E-6</v>
      </c>
      <c r="F390" s="16">
        <f t="shared" si="535"/>
        <v>27.595857846137257</v>
      </c>
      <c r="G390" s="17">
        <f t="shared" si="532"/>
        <v>1.3854849597173294E-2</v>
      </c>
      <c r="H390" s="18">
        <f t="shared" si="587"/>
        <v>0.43001311776140089</v>
      </c>
      <c r="I390" s="19">
        <f t="shared" si="588"/>
        <v>1017.6631653952622</v>
      </c>
      <c r="J390" s="15">
        <f t="shared" si="589"/>
        <v>5.5353263307905246E-6</v>
      </c>
      <c r="K390" s="16">
        <f t="shared" si="536"/>
        <v>27.592126402045515</v>
      </c>
      <c r="L390" s="17">
        <f t="shared" si="590"/>
        <v>1.3853225482208929E-2</v>
      </c>
      <c r="M390" s="18">
        <f t="shared" si="591"/>
        <v>0.43007127094192282</v>
      </c>
      <c r="N390" s="19">
        <f t="shared" si="592"/>
        <v>1016.7575386126427</v>
      </c>
      <c r="O390" s="15">
        <f t="shared" si="593"/>
        <v>5.5335150772252862E-6</v>
      </c>
      <c r="P390" s="16">
        <f t="shared" si="594"/>
        <v>27.581711694045389</v>
      </c>
      <c r="Q390" s="17">
        <f t="shared" si="533"/>
        <v>1.3854849597173294E-2</v>
      </c>
      <c r="R390" s="18">
        <f t="shared" si="595"/>
        <v>0.43023366357207526</v>
      </c>
      <c r="S390" s="19">
        <f t="shared" si="596"/>
        <v>1015.2561959871533</v>
      </c>
      <c r="T390" s="15">
        <f t="shared" si="597"/>
        <v>5.5305123919743068E-6</v>
      </c>
      <c r="U390" s="16">
        <f t="shared" si="598"/>
        <v>27.56444625385226</v>
      </c>
      <c r="V390" s="17">
        <f t="shared" si="599"/>
        <v>1.3841177668603495E-2</v>
      </c>
      <c r="W390" s="18">
        <f t="shared" si="600"/>
        <v>0.43050314743977447</v>
      </c>
      <c r="X390" s="19">
        <f t="shared" si="601"/>
        <v>1013.1569929825613</v>
      </c>
      <c r="Y390" s="15">
        <f t="shared" si="602"/>
        <v>5.526313985965123E-6</v>
      </c>
      <c r="Z390" s="16">
        <f t="shared" si="603"/>
        <v>27.540305419299454</v>
      </c>
      <c r="AA390" s="17">
        <f t="shared" si="604"/>
        <v>1.3830670344981479E-2</v>
      </c>
      <c r="AB390" s="18">
        <f t="shared" si="605"/>
        <v>0.43088051091118762</v>
      </c>
      <c r="AC390" s="19">
        <f t="shared" si="606"/>
        <v>1010.4585093484203</v>
      </c>
      <c r="AD390" s="15">
        <f t="shared" si="537"/>
        <v>5.5209170186968418E-6</v>
      </c>
      <c r="AE390" s="16">
        <f t="shared" si="538"/>
        <v>27.509272857506833</v>
      </c>
      <c r="AF390" s="17">
        <f t="shared" si="539"/>
        <v>1.3817163389832021E-2</v>
      </c>
      <c r="AG390" s="18">
        <f t="shared" si="607"/>
        <v>0.43136657705147963</v>
      </c>
      <c r="AH390" s="19">
        <f t="shared" si="608"/>
        <v>1007.1605163592404</v>
      </c>
      <c r="AI390" s="15">
        <f t="shared" si="540"/>
        <v>5.5143210327184812E-6</v>
      </c>
      <c r="AJ390" s="16">
        <f t="shared" si="541"/>
        <v>27.471345938131265</v>
      </c>
      <c r="AK390" s="17">
        <f t="shared" si="542"/>
        <v>1.3800655658295502E-2</v>
      </c>
      <c r="AL390" s="18">
        <f t="shared" si="609"/>
        <v>0.43196212142072865</v>
      </c>
      <c r="AM390" s="19">
        <f t="shared" si="610"/>
        <v>1003.2629654666292</v>
      </c>
      <c r="AN390" s="15">
        <f t="shared" si="543"/>
        <v>5.5065259309332596E-6</v>
      </c>
      <c r="AO390" s="16">
        <f t="shared" si="544"/>
        <v>27.426524102866235</v>
      </c>
      <c r="AP390" s="17">
        <f t="shared" si="545"/>
        <v>1.3781146907368431E-2</v>
      </c>
      <c r="AQ390" s="18">
        <f t="shared" si="611"/>
        <v>0.43266805612008885</v>
      </c>
      <c r="AR390" s="19">
        <f t="shared" si="612"/>
        <v>998.765848905045</v>
      </c>
      <c r="AS390" s="15">
        <f t="shared" si="546"/>
        <v>5.49753169781009E-6</v>
      </c>
      <c r="AT390" s="16">
        <f t="shared" si="547"/>
        <v>27.374807262408016</v>
      </c>
      <c r="AU390" s="17">
        <f t="shared" si="548"/>
        <v>1.3758637098181259E-2</v>
      </c>
      <c r="AV390" s="18">
        <f t="shared" si="613"/>
        <v>0.43348545821593698</v>
      </c>
      <c r="AW390" s="19">
        <f t="shared" si="614"/>
        <v>993.66914109945822</v>
      </c>
      <c r="AX390" s="15">
        <f t="shared" si="549"/>
        <v>5.4873382821989169E-6</v>
      </c>
      <c r="AY390" s="16">
        <f t="shared" si="550"/>
        <v>27.316195122643769</v>
      </c>
      <c r="AZ390" s="17">
        <f t="shared" si="551"/>
        <v>1.3733126102721075E-2</v>
      </c>
      <c r="BA390" s="18">
        <f t="shared" si="615"/>
        <v>0.43441558447066048</v>
      </c>
      <c r="BB390" s="19">
        <f t="shared" si="616"/>
        <v>987.97264619239274</v>
      </c>
      <c r="BC390" s="15">
        <f t="shared" si="552"/>
        <v>5.4759452923847858E-6</v>
      </c>
      <c r="BD390" s="16">
        <f t="shared" si="553"/>
        <v>27.250685431212517</v>
      </c>
      <c r="BE390" s="17">
        <f t="shared" si="554"/>
        <v>1.3704612940645382E-2</v>
      </c>
      <c r="BF390" s="18">
        <f t="shared" si="617"/>
        <v>0.43545990429019077</v>
      </c>
      <c r="BG390" s="19">
        <f t="shared" si="618"/>
        <v>981.67506946673166</v>
      </c>
      <c r="BH390" s="15">
        <f t="shared" si="555"/>
        <v>5.4633501389334636E-6</v>
      </c>
      <c r="BI390" s="16">
        <f t="shared" si="556"/>
        <v>27.178263298867414</v>
      </c>
      <c r="BJ390" s="17">
        <f t="shared" si="557"/>
        <v>1.3673091131393847E-2</v>
      </c>
      <c r="BK390" s="18">
        <f t="shared" si="619"/>
        <v>0.4366202777280625</v>
      </c>
      <c r="BL390" s="19">
        <f t="shared" si="620"/>
        <v>974.76870129196004</v>
      </c>
      <c r="BM390" s="15">
        <f t="shared" si="558"/>
        <v>5.4495374025839208E-6</v>
      </c>
      <c r="BN390" s="16">
        <f t="shared" si="559"/>
        <v>27.098840064857541</v>
      </c>
      <c r="BO390" s="17">
        <f t="shared" si="560"/>
        <v>1.3638522085281402E-2</v>
      </c>
      <c r="BP390" s="18">
        <f t="shared" si="621"/>
        <v>0.43789995591386144</v>
      </c>
      <c r="BQ390" s="19">
        <f t="shared" si="622"/>
        <v>967.21241396103972</v>
      </c>
      <c r="BR390" s="15">
        <f t="shared" si="561"/>
        <v>5.4344248279220796E-6</v>
      </c>
      <c r="BS390" s="16">
        <f t="shared" si="562"/>
        <v>27.011942760551953</v>
      </c>
      <c r="BT390" s="17">
        <f t="shared" si="563"/>
        <v>1.360069994221413E-2</v>
      </c>
      <c r="BU390" s="18">
        <f t="shared" si="623"/>
        <v>0.43930867819873243</v>
      </c>
      <c r="BV390" s="19">
        <f t="shared" si="624"/>
        <v>958.81219788746409</v>
      </c>
      <c r="BW390" s="15">
        <f t="shared" si="564"/>
        <v>5.4176243957749285E-6</v>
      </c>
      <c r="BX390" s="16">
        <f t="shared" si="565"/>
        <v>26.915340275705837</v>
      </c>
      <c r="BY390" s="17">
        <f t="shared" si="566"/>
        <v>1.3558653609112065E-2</v>
      </c>
      <c r="BZ390" s="18">
        <f t="shared" si="625"/>
        <v>0.44088541137370796</v>
      </c>
      <c r="CA390" s="19">
        <f t="shared" si="626"/>
        <v>948.77249877488225</v>
      </c>
      <c r="CB390" s="15">
        <f t="shared" si="567"/>
        <v>5.3975449975497651E-6</v>
      </c>
      <c r="CC390" s="16">
        <f t="shared" si="568"/>
        <v>26.799883735911145</v>
      </c>
      <c r="CD390" s="17">
        <f t="shared" si="569"/>
        <v>1.3508401028769523E-2</v>
      </c>
      <c r="CE390" s="18">
        <f t="shared" si="627"/>
        <v>0.44278478916746156</v>
      </c>
      <c r="CF390" s="19">
        <f t="shared" si="628"/>
        <v>934.32192201868043</v>
      </c>
      <c r="CG390" s="15">
        <f t="shared" si="570"/>
        <v>5.3686438440373617E-6</v>
      </c>
      <c r="CH390" s="16">
        <f t="shared" si="571"/>
        <v>26.633702103214823</v>
      </c>
      <c r="CI390" s="17">
        <f t="shared" si="572"/>
        <v>1.3436070298406589E-2</v>
      </c>
      <c r="CJ390" s="18">
        <f t="shared" si="629"/>
        <v>0.44554755563949716</v>
      </c>
      <c r="CK390" s="19">
        <f t="shared" si="630"/>
        <v>907.5222100844212</v>
      </c>
      <c r="CL390" s="15">
        <f t="shared" si="573"/>
        <v>5.315044420168843E-6</v>
      </c>
      <c r="CM390" s="16">
        <f t="shared" si="574"/>
        <v>26.325505415970845</v>
      </c>
      <c r="CN390" s="17">
        <f t="shared" si="575"/>
        <v>1.3301927366229899E-2</v>
      </c>
      <c r="CO390" s="18">
        <f t="shared" si="631"/>
        <v>0.45076364849272077</v>
      </c>
      <c r="CP390" s="19">
        <f t="shared" si="632"/>
        <v>850.59959762239771</v>
      </c>
      <c r="CQ390" s="15">
        <f t="shared" si="576"/>
        <v>5.2011991952447959E-6</v>
      </c>
      <c r="CR390" s="16">
        <f t="shared" si="577"/>
        <v>25.670895372657572</v>
      </c>
      <c r="CS390" s="17">
        <f t="shared" si="578"/>
        <v>1.3017007656587344E-2</v>
      </c>
      <c r="CT390" s="18">
        <f t="shared" si="633"/>
        <v>0.46225816035840961</v>
      </c>
      <c r="CU390" s="19">
        <f t="shared" si="634"/>
        <v>735.18719445906709</v>
      </c>
      <c r="CV390" s="15">
        <f t="shared" si="579"/>
        <v>4.9703743889181352E-6</v>
      </c>
      <c r="CW390" s="16">
        <f t="shared" si="580"/>
        <v>24.343652736279271</v>
      </c>
      <c r="CX390" s="17">
        <f t="shared" si="581"/>
        <v>1.2439323903572955E-2</v>
      </c>
      <c r="CY390" s="18">
        <f t="shared" si="635"/>
        <v>0.48746098205850469</v>
      </c>
      <c r="CZ390" s="20">
        <f t="shared" si="585"/>
        <v>536.25661377500774</v>
      </c>
      <c r="DA390" s="15">
        <f t="shared" si="582"/>
        <v>6.6635730256768275E-6</v>
      </c>
      <c r="DB390" s="16">
        <f t="shared" si="583"/>
        <v>37.943558200524777</v>
      </c>
      <c r="DC390" s="17">
        <f t="shared" si="584"/>
        <v>1.6676881203620531E-2</v>
      </c>
      <c r="DD390" s="18">
        <f t="shared" si="636"/>
        <v>0.3127429643526099</v>
      </c>
    </row>
    <row r="391" spans="2:108" x14ac:dyDescent="0.25">
      <c r="B391">
        <v>124</v>
      </c>
      <c r="C391">
        <f t="shared" si="637"/>
        <v>0.12122421862681118</v>
      </c>
      <c r="D391" s="19">
        <f t="shared" si="534"/>
        <v>1017.9710728219075</v>
      </c>
      <c r="E391" s="15">
        <f t="shared" si="586"/>
        <v>5.5359421456438159E-6</v>
      </c>
      <c r="F391" s="16">
        <f t="shared" si="535"/>
        <v>27.595667337451935</v>
      </c>
      <c r="G391" s="17">
        <f t="shared" si="532"/>
        <v>1.3854766678067697E-2</v>
      </c>
      <c r="H391" s="18">
        <f t="shared" si="587"/>
        <v>0.43001608638806005</v>
      </c>
      <c r="I391" s="19">
        <f t="shared" si="588"/>
        <v>1017.6465922752265</v>
      </c>
      <c r="J391" s="15">
        <f t="shared" si="589"/>
        <v>5.5352931845504537E-6</v>
      </c>
      <c r="K391" s="16">
        <f t="shared" si="536"/>
        <v>27.591935811165101</v>
      </c>
      <c r="L391" s="17">
        <f t="shared" si="590"/>
        <v>1.3853142527327835E-2</v>
      </c>
      <c r="M391" s="18">
        <f t="shared" si="591"/>
        <v>0.43007424165273955</v>
      </c>
      <c r="N391" s="19">
        <f t="shared" si="592"/>
        <v>1016.7409500535983</v>
      </c>
      <c r="O391" s="15">
        <f t="shared" si="593"/>
        <v>5.5334819001071967E-6</v>
      </c>
      <c r="P391" s="16">
        <f t="shared" si="594"/>
        <v>27.581520925616381</v>
      </c>
      <c r="Q391" s="17">
        <f t="shared" si="533"/>
        <v>1.3854766678067697E-2</v>
      </c>
      <c r="R391" s="18">
        <f t="shared" si="595"/>
        <v>0.43023663929630485</v>
      </c>
      <c r="S391" s="19">
        <f t="shared" si="596"/>
        <v>1015.2395986511584</v>
      </c>
      <c r="T391" s="15">
        <f t="shared" si="597"/>
        <v>5.5304791973023176E-6</v>
      </c>
      <c r="U391" s="16">
        <f t="shared" si="598"/>
        <v>27.56425538448832</v>
      </c>
      <c r="V391" s="17">
        <f t="shared" si="599"/>
        <v>1.3841094592512152E-2</v>
      </c>
      <c r="W391" s="18">
        <f t="shared" si="600"/>
        <v>0.43050612846940067</v>
      </c>
      <c r="X391" s="19">
        <f t="shared" si="601"/>
        <v>1013.1403976283563</v>
      </c>
      <c r="Y391" s="15">
        <f t="shared" si="602"/>
        <v>5.5262807952567135E-6</v>
      </c>
      <c r="Z391" s="16">
        <f t="shared" si="603"/>
        <v>27.540114572726097</v>
      </c>
      <c r="AA391" s="17">
        <f t="shared" si="604"/>
        <v>1.383058727880976E-2</v>
      </c>
      <c r="AB391" s="18">
        <f t="shared" si="605"/>
        <v>0.43088349681267385</v>
      </c>
      <c r="AC391" s="19">
        <f t="shared" si="606"/>
        <v>1010.4419243026306</v>
      </c>
      <c r="AD391" s="15">
        <f t="shared" si="537"/>
        <v>5.5208838486052616E-6</v>
      </c>
      <c r="AE391" s="16">
        <f t="shared" si="538"/>
        <v>27.509082129480252</v>
      </c>
      <c r="AF391" s="17">
        <f t="shared" si="539"/>
        <v>1.3817080375257909E-2</v>
      </c>
      <c r="AG391" s="18">
        <f t="shared" si="607"/>
        <v>0.43136956783450858</v>
      </c>
      <c r="AH391" s="19">
        <f t="shared" si="608"/>
        <v>1007.1439471021525</v>
      </c>
      <c r="AI391" s="15">
        <f t="shared" si="540"/>
        <v>5.5142878942043054E-6</v>
      </c>
      <c r="AJ391" s="16">
        <f t="shared" si="541"/>
        <v>27.471155391674753</v>
      </c>
      <c r="AK391" s="17">
        <f t="shared" si="542"/>
        <v>1.3800572722749954E-2</v>
      </c>
      <c r="AL391" s="18">
        <f t="shared" si="609"/>
        <v>0.43196511761256734</v>
      </c>
      <c r="AM391" s="19">
        <f t="shared" si="610"/>
        <v>1003.2464160299636</v>
      </c>
      <c r="AN391" s="15">
        <f t="shared" si="543"/>
        <v>5.5064928320599275E-6</v>
      </c>
      <c r="AO391" s="16">
        <f t="shared" si="544"/>
        <v>27.426333784344578</v>
      </c>
      <c r="AP391" s="17">
        <f t="shared" si="545"/>
        <v>1.3781064071031768E-2</v>
      </c>
      <c r="AQ391" s="18">
        <f t="shared" si="611"/>
        <v>0.43267105851718124</v>
      </c>
      <c r="AR391" s="19">
        <f t="shared" si="612"/>
        <v>998.74932258042679</v>
      </c>
      <c r="AS391" s="15">
        <f t="shared" si="546"/>
        <v>5.4974986451608545E-6</v>
      </c>
      <c r="AT391" s="16">
        <f t="shared" si="547"/>
        <v>27.374617209674909</v>
      </c>
      <c r="AU391" s="17">
        <f t="shared" si="548"/>
        <v>1.3758554377529346E-2</v>
      </c>
      <c r="AV391" s="18">
        <f t="shared" si="613"/>
        <v>0.43348846775924732</v>
      </c>
      <c r="AW391" s="19">
        <f t="shared" si="614"/>
        <v>993.65263895898374</v>
      </c>
      <c r="AX391" s="15">
        <f t="shared" si="549"/>
        <v>5.4873052779179681E-6</v>
      </c>
      <c r="AY391" s="16">
        <f t="shared" si="550"/>
        <v>27.316005348028312</v>
      </c>
      <c r="AZ391" s="17">
        <f t="shared" si="551"/>
        <v>1.3733043503120157E-2</v>
      </c>
      <c r="BA391" s="18">
        <f t="shared" si="615"/>
        <v>0.43441860251994846</v>
      </c>
      <c r="BB391" s="19">
        <f t="shared" si="616"/>
        <v>987.95615575425347</v>
      </c>
      <c r="BC391" s="15">
        <f t="shared" si="552"/>
        <v>5.4759123115085076E-6</v>
      </c>
      <c r="BD391" s="16">
        <f t="shared" si="553"/>
        <v>27.250495791173915</v>
      </c>
      <c r="BE391" s="17">
        <f t="shared" si="554"/>
        <v>1.3704530399619186E-2</v>
      </c>
      <c r="BF391" s="18">
        <f t="shared" si="617"/>
        <v>0.43546293471700181</v>
      </c>
      <c r="BG391" s="19">
        <f t="shared" si="618"/>
        <v>981.65850109016105</v>
      </c>
      <c r="BH391" s="15">
        <f t="shared" si="555"/>
        <v>5.4633170021803226E-6</v>
      </c>
      <c r="BI391" s="16">
        <f t="shared" si="556"/>
        <v>27.17807276253685</v>
      </c>
      <c r="BJ391" s="17">
        <f t="shared" si="557"/>
        <v>1.367300820025563E-2</v>
      </c>
      <c r="BK391" s="18">
        <f t="shared" si="619"/>
        <v>0.43662333872603298</v>
      </c>
      <c r="BL391" s="19">
        <f t="shared" si="620"/>
        <v>974.75157544170327</v>
      </c>
      <c r="BM391" s="15">
        <f t="shared" si="558"/>
        <v>5.4495031508834069E-6</v>
      </c>
      <c r="BN391" s="16">
        <f t="shared" si="559"/>
        <v>27.098643117579584</v>
      </c>
      <c r="BO391" s="17">
        <f t="shared" si="560"/>
        <v>1.3638436363771593E-2</v>
      </c>
      <c r="BP391" s="18">
        <f t="shared" si="621"/>
        <v>0.43790313847927476</v>
      </c>
      <c r="BQ391" s="19">
        <f t="shared" si="622"/>
        <v>967.19253402503864</v>
      </c>
      <c r="BR391" s="15">
        <f t="shared" si="561"/>
        <v>5.4343850680500779E-6</v>
      </c>
      <c r="BS391" s="16">
        <f t="shared" si="562"/>
        <v>27.011714141287943</v>
      </c>
      <c r="BT391" s="17">
        <f t="shared" si="563"/>
        <v>1.3600600435439087E-2</v>
      </c>
      <c r="BU391" s="18">
        <f t="shared" si="623"/>
        <v>0.43931239637915437</v>
      </c>
      <c r="BV391" s="19">
        <f t="shared" si="624"/>
        <v>958.78094300806879</v>
      </c>
      <c r="BW391" s="15">
        <f t="shared" si="564"/>
        <v>5.4175618860161381E-6</v>
      </c>
      <c r="BX391" s="16">
        <f t="shared" si="565"/>
        <v>26.91498084459279</v>
      </c>
      <c r="BY391" s="17">
        <f t="shared" si="566"/>
        <v>1.3558497166342189E-2</v>
      </c>
      <c r="BZ391" s="18">
        <f t="shared" si="625"/>
        <v>0.44089129909605307</v>
      </c>
      <c r="CA391" s="19">
        <f t="shared" si="626"/>
        <v>948.70162552498448</v>
      </c>
      <c r="CB391" s="15">
        <f t="shared" si="567"/>
        <v>5.3974032510499693E-6</v>
      </c>
      <c r="CC391" s="16">
        <f t="shared" si="568"/>
        <v>26.799068693537322</v>
      </c>
      <c r="CD391" s="17">
        <f t="shared" si="569"/>
        <v>1.3508046280719338E-2</v>
      </c>
      <c r="CE391" s="18">
        <f t="shared" si="627"/>
        <v>0.44279825561921715</v>
      </c>
      <c r="CF391" s="19">
        <f t="shared" si="628"/>
        <v>934.13769649139579</v>
      </c>
      <c r="CG391" s="15">
        <f t="shared" si="570"/>
        <v>5.3682753929827924E-6</v>
      </c>
      <c r="CH391" s="16">
        <f t="shared" si="571"/>
        <v>26.631583509651051</v>
      </c>
      <c r="CI391" s="17">
        <f t="shared" si="572"/>
        <v>1.3435148178330358E-2</v>
      </c>
      <c r="CJ391" s="18">
        <f t="shared" si="629"/>
        <v>0.44558299980237953</v>
      </c>
      <c r="CK391" s="19">
        <f t="shared" si="630"/>
        <v>907.08442145714901</v>
      </c>
      <c r="CL391" s="15">
        <f t="shared" si="573"/>
        <v>5.3141688429142985E-6</v>
      </c>
      <c r="CM391" s="16">
        <f t="shared" si="574"/>
        <v>26.32047084675721</v>
      </c>
      <c r="CN391" s="17">
        <f t="shared" si="575"/>
        <v>1.329973606468606E-2</v>
      </c>
      <c r="CO391" s="18">
        <f t="shared" si="631"/>
        <v>0.45084987038443919</v>
      </c>
      <c r="CP391" s="19">
        <f t="shared" si="632"/>
        <v>849.75803189296607</v>
      </c>
      <c r="CQ391" s="15">
        <f t="shared" si="576"/>
        <v>5.1995160637859325E-6</v>
      </c>
      <c r="CR391" s="16">
        <f t="shared" si="577"/>
        <v>25.661217366769108</v>
      </c>
      <c r="CS391" s="17">
        <f t="shared" si="578"/>
        <v>1.301279529434844E-2</v>
      </c>
      <c r="CT391" s="18">
        <f t="shared" si="633"/>
        <v>0.4624324988215463</v>
      </c>
      <c r="CU391" s="19">
        <f t="shared" si="634"/>
        <v>733.99274527739544</v>
      </c>
      <c r="CV391" s="15">
        <f t="shared" si="579"/>
        <v>4.9679854905547907E-6</v>
      </c>
      <c r="CW391" s="16">
        <f t="shared" si="580"/>
        <v>24.329916570690045</v>
      </c>
      <c r="CX391" s="17">
        <f t="shared" si="581"/>
        <v>1.2433345223057337E-2</v>
      </c>
      <c r="CY391" s="18">
        <f t="shared" si="635"/>
        <v>0.48773619240492688</v>
      </c>
      <c r="CZ391" s="20">
        <f t="shared" si="585"/>
        <v>535.15765986754764</v>
      </c>
      <c r="DA391" s="15">
        <f t="shared" si="582"/>
        <v>6.6805398210650167E-6</v>
      </c>
      <c r="DB391" s="16">
        <f t="shared" si="583"/>
        <v>37.975427863841119</v>
      </c>
      <c r="DC391" s="17">
        <f t="shared" si="584"/>
        <v>1.6719343892932201E-2</v>
      </c>
      <c r="DD391" s="18">
        <f t="shared" si="636"/>
        <v>0.31248050482182571</v>
      </c>
    </row>
    <row r="392" spans="2:108" x14ac:dyDescent="0.25">
      <c r="B392">
        <v>125</v>
      </c>
      <c r="C392">
        <f t="shared" si="637"/>
        <v>0.12220183329315643</v>
      </c>
      <c r="D392" s="19">
        <f t="shared" si="534"/>
        <v>1017.9545064843609</v>
      </c>
      <c r="E392" s="15">
        <f t="shared" si="586"/>
        <v>5.5359090129687218E-6</v>
      </c>
      <c r="F392" s="16">
        <f t="shared" si="535"/>
        <v>27.595476824570149</v>
      </c>
      <c r="G392" s="17">
        <f t="shared" si="532"/>
        <v>1.3854683757135583E-2</v>
      </c>
      <c r="H392" s="18">
        <f t="shared" si="587"/>
        <v>0.43001905512110111</v>
      </c>
      <c r="I392" s="19">
        <f t="shared" si="588"/>
        <v>1017.6300189830396</v>
      </c>
      <c r="J392" s="15">
        <f t="shared" si="589"/>
        <v>5.53526003796608E-6</v>
      </c>
      <c r="K392" s="16">
        <f t="shared" si="536"/>
        <v>27.591745218304954</v>
      </c>
      <c r="L392" s="17">
        <f t="shared" si="590"/>
        <v>1.3853059571585056E-2</v>
      </c>
      <c r="M392" s="18">
        <f t="shared" si="591"/>
        <v>0.43007721243545532</v>
      </c>
      <c r="N392" s="19">
        <f t="shared" si="592"/>
        <v>1016.7243616023136</v>
      </c>
      <c r="O392" s="15">
        <f t="shared" si="593"/>
        <v>5.5334487232046271E-6</v>
      </c>
      <c r="P392" s="16">
        <f t="shared" si="594"/>
        <v>27.581330158426603</v>
      </c>
      <c r="Q392" s="17">
        <f t="shared" si="533"/>
        <v>1.3854683757135583E-2</v>
      </c>
      <c r="R392" s="18">
        <f t="shared" si="595"/>
        <v>0.43023961504236735</v>
      </c>
      <c r="S392" s="19">
        <f t="shared" si="596"/>
        <v>1015.2230015478668</v>
      </c>
      <c r="T392" s="15">
        <f t="shared" si="597"/>
        <v>5.5304460030957339E-6</v>
      </c>
      <c r="U392" s="16">
        <f t="shared" si="598"/>
        <v>27.564064517800468</v>
      </c>
      <c r="V392" s="17">
        <f t="shared" si="599"/>
        <v>1.3841011517585574E-2</v>
      </c>
      <c r="W392" s="18">
        <f t="shared" si="600"/>
        <v>0.43050910949851517</v>
      </c>
      <c r="X392" s="19">
        <f t="shared" si="601"/>
        <v>1013.1238025102699</v>
      </c>
      <c r="Y392" s="15">
        <f t="shared" si="602"/>
        <v>5.52624760502054E-6</v>
      </c>
      <c r="Z392" s="16">
        <f t="shared" si="603"/>
        <v>27.539923728868104</v>
      </c>
      <c r="AA392" s="17">
        <f t="shared" si="604"/>
        <v>1.3830504213819903E-2</v>
      </c>
      <c r="AB392" s="18">
        <f t="shared" si="605"/>
        <v>0.43088648271305935</v>
      </c>
      <c r="AC392" s="19">
        <f t="shared" si="606"/>
        <v>1010.4253394683376</v>
      </c>
      <c r="AD392" s="15">
        <f t="shared" si="537"/>
        <v>5.5208506789366761E-6</v>
      </c>
      <c r="AE392" s="16">
        <f t="shared" si="538"/>
        <v>27.508891403885883</v>
      </c>
      <c r="AF392" s="17">
        <f t="shared" si="539"/>
        <v>1.3816997361742422E-2</v>
      </c>
      <c r="AG392" s="18">
        <f t="shared" si="607"/>
        <v>0.4313725586208696</v>
      </c>
      <c r="AH392" s="19">
        <f t="shared" si="608"/>
        <v>1007.1273780413205</v>
      </c>
      <c r="AI392" s="15">
        <f t="shared" si="540"/>
        <v>5.5142547560826413E-6</v>
      </c>
      <c r="AJ392" s="16">
        <f t="shared" si="541"/>
        <v>27.470964847475187</v>
      </c>
      <c r="AK392" s="17">
        <f t="shared" si="542"/>
        <v>1.3800489788186744E-2</v>
      </c>
      <c r="AL392" s="18">
        <f t="shared" si="609"/>
        <v>0.4319681138104815</v>
      </c>
      <c r="AM392" s="19">
        <f t="shared" si="610"/>
        <v>1003.2298667804985</v>
      </c>
      <c r="AN392" s="15">
        <f t="shared" si="543"/>
        <v>5.5064597335609976E-6</v>
      </c>
      <c r="AO392" s="16">
        <f t="shared" si="544"/>
        <v>27.426143467975731</v>
      </c>
      <c r="AP392" s="17">
        <f t="shared" si="545"/>
        <v>1.3780981235632119E-2</v>
      </c>
      <c r="AQ392" s="18">
        <f t="shared" si="611"/>
        <v>0.43267406092198013</v>
      </c>
      <c r="AR392" s="19">
        <f t="shared" si="612"/>
        <v>998.73279641065653</v>
      </c>
      <c r="AS392" s="15">
        <f t="shared" si="546"/>
        <v>5.4974655928213136E-6</v>
      </c>
      <c r="AT392" s="16">
        <f t="shared" si="547"/>
        <v>27.374427158722547</v>
      </c>
      <c r="AU392" s="17">
        <f t="shared" si="548"/>
        <v>1.3758471657652501E-2</v>
      </c>
      <c r="AV392" s="18">
        <f t="shared" si="613"/>
        <v>0.43349147731614718</v>
      </c>
      <c r="AW392" s="19">
        <f t="shared" si="614"/>
        <v>993.6361367734238</v>
      </c>
      <c r="AX392" s="15">
        <f t="shared" si="549"/>
        <v>5.4872722735468475E-6</v>
      </c>
      <c r="AY392" s="16">
        <f t="shared" si="550"/>
        <v>27.315815572894373</v>
      </c>
      <c r="AZ392" s="17">
        <f t="shared" si="551"/>
        <v>1.3732960903293569E-2</v>
      </c>
      <c r="BA392" s="18">
        <f t="shared" si="615"/>
        <v>0.43442162061941758</v>
      </c>
      <c r="BB392" s="19">
        <f t="shared" si="616"/>
        <v>987.93966413878479</v>
      </c>
      <c r="BC392" s="15">
        <f t="shared" si="552"/>
        <v>5.4758793282775709E-6</v>
      </c>
      <c r="BD392" s="16">
        <f t="shared" si="553"/>
        <v>27.250306137596024</v>
      </c>
      <c r="BE392" s="17">
        <f t="shared" si="554"/>
        <v>1.3704447852699999E-2</v>
      </c>
      <c r="BF392" s="18">
        <f t="shared" si="617"/>
        <v>0.43546596540235227</v>
      </c>
      <c r="BG392" s="19">
        <f t="shared" si="618"/>
        <v>981.64192584580451</v>
      </c>
      <c r="BH392" s="15">
        <f t="shared" si="555"/>
        <v>5.4632838516916098E-6</v>
      </c>
      <c r="BI392" s="16">
        <f t="shared" si="556"/>
        <v>27.17788214722675</v>
      </c>
      <c r="BJ392" s="17">
        <f t="shared" si="557"/>
        <v>1.3672925234741486E-2</v>
      </c>
      <c r="BK392" s="18">
        <f t="shared" si="619"/>
        <v>0.43662640103576916</v>
      </c>
      <c r="BL392" s="19">
        <f t="shared" si="620"/>
        <v>974.73441777463813</v>
      </c>
      <c r="BM392" s="15">
        <f t="shared" si="558"/>
        <v>5.4494688355492769E-6</v>
      </c>
      <c r="BN392" s="16">
        <f t="shared" si="559"/>
        <v>27.098445804408335</v>
      </c>
      <c r="BO392" s="17">
        <f t="shared" si="560"/>
        <v>1.3638350483006342E-2</v>
      </c>
      <c r="BP392" s="18">
        <f t="shared" si="621"/>
        <v>0.43790632700372289</v>
      </c>
      <c r="BQ392" s="19">
        <f t="shared" si="622"/>
        <v>967.17252922853299</v>
      </c>
      <c r="BR392" s="15">
        <f t="shared" si="561"/>
        <v>5.4343450584570662E-6</v>
      </c>
      <c r="BS392" s="16">
        <f t="shared" si="562"/>
        <v>27.011484086128128</v>
      </c>
      <c r="BT392" s="17">
        <f t="shared" si="563"/>
        <v>1.3600500303688885E-2</v>
      </c>
      <c r="BU392" s="18">
        <f t="shared" si="623"/>
        <v>0.4393161379759965</v>
      </c>
      <c r="BV392" s="19">
        <f t="shared" si="624"/>
        <v>958.74927946495029</v>
      </c>
      <c r="BW392" s="15">
        <f t="shared" si="564"/>
        <v>5.417498558929901E-6</v>
      </c>
      <c r="BX392" s="16">
        <f t="shared" si="565"/>
        <v>26.914616713846925</v>
      </c>
      <c r="BY392" s="17">
        <f t="shared" si="566"/>
        <v>1.3558338678052185E-2</v>
      </c>
      <c r="BZ392" s="18">
        <f t="shared" si="625"/>
        <v>0.44089726396188383</v>
      </c>
      <c r="CA392" s="19">
        <f t="shared" si="626"/>
        <v>948.62968425999657</v>
      </c>
      <c r="CB392" s="15">
        <f t="shared" si="567"/>
        <v>5.3972593685199935E-6</v>
      </c>
      <c r="CC392" s="16">
        <f t="shared" si="568"/>
        <v>26.798241368989959</v>
      </c>
      <c r="CD392" s="17">
        <f t="shared" si="569"/>
        <v>1.3507686186840206E-2</v>
      </c>
      <c r="CE392" s="18">
        <f t="shared" si="627"/>
        <v>0.44281192583963791</v>
      </c>
      <c r="CF392" s="19">
        <f t="shared" si="628"/>
        <v>933.95142707079867</v>
      </c>
      <c r="CG392" s="15">
        <f t="shared" si="570"/>
        <v>5.3679028541415979E-6</v>
      </c>
      <c r="CH392" s="16">
        <f t="shared" si="571"/>
        <v>26.629441411314183</v>
      </c>
      <c r="CI392" s="17">
        <f t="shared" si="572"/>
        <v>1.3434215827776924E-2</v>
      </c>
      <c r="CJ392" s="18">
        <f t="shared" si="629"/>
        <v>0.44561884293510134</v>
      </c>
      <c r="CK392" s="19">
        <f t="shared" si="630"/>
        <v>906.6443854726075</v>
      </c>
      <c r="CL392" s="15">
        <f t="shared" si="573"/>
        <v>5.3132887709452152E-6</v>
      </c>
      <c r="CM392" s="16">
        <f t="shared" si="574"/>
        <v>26.315410432934986</v>
      </c>
      <c r="CN392" s="17">
        <f t="shared" si="575"/>
        <v>1.3297533514249157E-2</v>
      </c>
      <c r="CO392" s="18">
        <f t="shared" si="631"/>
        <v>0.45093656813599642</v>
      </c>
      <c r="CP392" s="19">
        <f t="shared" si="632"/>
        <v>848.91700280186069</v>
      </c>
      <c r="CQ392" s="15">
        <f t="shared" si="576"/>
        <v>5.1978340056037211E-6</v>
      </c>
      <c r="CR392" s="16">
        <f t="shared" si="577"/>
        <v>25.651545532221398</v>
      </c>
      <c r="CS392" s="17">
        <f t="shared" si="578"/>
        <v>1.3008585618192086E-2</v>
      </c>
      <c r="CT392" s="18">
        <f t="shared" si="633"/>
        <v>0.4626068575404963</v>
      </c>
      <c r="CU392" s="19">
        <f t="shared" si="634"/>
        <v>732.8044271644676</v>
      </c>
      <c r="CV392" s="15">
        <f t="shared" si="579"/>
        <v>4.9656088543289356E-6</v>
      </c>
      <c r="CW392" s="16">
        <f t="shared" si="580"/>
        <v>24.316250912391375</v>
      </c>
      <c r="CX392" s="17">
        <f t="shared" si="581"/>
        <v>1.2427397230914071E-2</v>
      </c>
      <c r="CY392" s="18">
        <f t="shared" si="635"/>
        <v>0.48801029864644058</v>
      </c>
      <c r="CZ392" s="20">
        <f t="shared" si="585"/>
        <v>534.06645854029887</v>
      </c>
      <c r="DA392" s="15">
        <f t="shared" si="582"/>
        <v>6.6973694008771488E-6</v>
      </c>
      <c r="DB392" s="16">
        <f t="shared" si="583"/>
        <v>38.007072702331328</v>
      </c>
      <c r="DC392" s="17">
        <f t="shared" si="584"/>
        <v>1.6761463173707289E-2</v>
      </c>
      <c r="DD392" s="18">
        <f t="shared" si="636"/>
        <v>0.31222033232225249</v>
      </c>
    </row>
    <row r="393" spans="2:108" x14ac:dyDescent="0.25">
      <c r="B393">
        <v>126</v>
      </c>
      <c r="C393">
        <f t="shared" si="637"/>
        <v>0.12317944795950168</v>
      </c>
      <c r="D393" s="19">
        <f t="shared" si="534"/>
        <v>1017.9379397917455</v>
      </c>
      <c r="E393" s="15">
        <f t="shared" si="586"/>
        <v>5.5358758795834923E-6</v>
      </c>
      <c r="F393" s="16">
        <f t="shared" si="535"/>
        <v>27.595286307605072</v>
      </c>
      <c r="G393" s="17">
        <f t="shared" si="532"/>
        <v>1.3854600834426217E-2</v>
      </c>
      <c r="H393" s="18">
        <f t="shared" si="587"/>
        <v>0.43002202395876393</v>
      </c>
      <c r="I393" s="19">
        <f t="shared" si="588"/>
        <v>1017.6134455231888</v>
      </c>
      <c r="J393" s="15">
        <f t="shared" si="589"/>
        <v>5.5352268910463786E-6</v>
      </c>
      <c r="K393" s="16">
        <f t="shared" si="536"/>
        <v>27.591554623516672</v>
      </c>
      <c r="L393" s="17">
        <f t="shared" si="590"/>
        <v>1.3852976615003057E-2</v>
      </c>
      <c r="M393" s="18">
        <f t="shared" si="591"/>
        <v>0.43008018328926795</v>
      </c>
      <c r="N393" s="19">
        <f t="shared" si="592"/>
        <v>1016.7077732580447</v>
      </c>
      <c r="O393" s="15">
        <f t="shared" si="593"/>
        <v>5.5334155465160901E-6</v>
      </c>
      <c r="P393" s="16">
        <f t="shared" si="594"/>
        <v>27.581139392467513</v>
      </c>
      <c r="Q393" s="17">
        <f t="shared" si="533"/>
        <v>1.3854600834426217E-2</v>
      </c>
      <c r="R393" s="18">
        <f t="shared" si="595"/>
        <v>0.43024259081039617</v>
      </c>
      <c r="S393" s="19">
        <f t="shared" si="596"/>
        <v>1015.2064046758918</v>
      </c>
      <c r="T393" s="15">
        <f t="shared" si="597"/>
        <v>5.5304128093517844E-6</v>
      </c>
      <c r="U393" s="16">
        <f t="shared" si="598"/>
        <v>27.563873653772752</v>
      </c>
      <c r="V393" s="17">
        <f t="shared" si="599"/>
        <v>1.3840928443816831E-2</v>
      </c>
      <c r="W393" s="18">
        <f t="shared" si="600"/>
        <v>0.43051209052736616</v>
      </c>
      <c r="X393" s="19">
        <f t="shared" si="601"/>
        <v>1013.1072076278745</v>
      </c>
      <c r="Y393" s="15">
        <f t="shared" si="602"/>
        <v>5.5262144152557498E-6</v>
      </c>
      <c r="Z393" s="16">
        <f t="shared" si="603"/>
        <v>27.539732887720554</v>
      </c>
      <c r="AA393" s="17">
        <f t="shared" si="604"/>
        <v>1.3830421150009776E-2</v>
      </c>
      <c r="AB393" s="18">
        <f t="shared" si="605"/>
        <v>0.43088946861242006</v>
      </c>
      <c r="AC393" s="19">
        <f t="shared" si="606"/>
        <v>1010.4087548456132</v>
      </c>
      <c r="AD393" s="15">
        <f t="shared" si="537"/>
        <v>5.5208175096912268E-6</v>
      </c>
      <c r="AE393" s="16">
        <f t="shared" si="538"/>
        <v>27.508700680724552</v>
      </c>
      <c r="AF393" s="17">
        <f t="shared" si="539"/>
        <v>1.3816914349285914E-2</v>
      </c>
      <c r="AG393" s="18">
        <f t="shared" si="607"/>
        <v>0.43137554941054906</v>
      </c>
      <c r="AH393" s="19">
        <f t="shared" si="608"/>
        <v>1007.1108091767995</v>
      </c>
      <c r="AI393" s="15">
        <f t="shared" si="540"/>
        <v>5.5142216183535998E-6</v>
      </c>
      <c r="AJ393" s="16">
        <f t="shared" si="541"/>
        <v>27.470774305533194</v>
      </c>
      <c r="AK393" s="17">
        <f t="shared" si="542"/>
        <v>1.3800406854606147E-2</v>
      </c>
      <c r="AL393" s="18">
        <f t="shared" si="609"/>
        <v>0.43197111001446065</v>
      </c>
      <c r="AM393" s="19">
        <f t="shared" si="610"/>
        <v>1003.2133177178694</v>
      </c>
      <c r="AN393" s="15">
        <f t="shared" si="543"/>
        <v>5.5064266354357388E-6</v>
      </c>
      <c r="AO393" s="16">
        <f t="shared" si="544"/>
        <v>27.425953153755497</v>
      </c>
      <c r="AP393" s="17">
        <f t="shared" si="545"/>
        <v>1.3780898401167654E-2</v>
      </c>
      <c r="AQ393" s="18">
        <f t="shared" si="611"/>
        <v>0.43267706333455108</v>
      </c>
      <c r="AR393" s="19">
        <f t="shared" si="612"/>
        <v>998.716270393223</v>
      </c>
      <c r="AS393" s="15">
        <f t="shared" si="546"/>
        <v>5.4974325407864472E-6</v>
      </c>
      <c r="AT393" s="16">
        <f t="shared" si="547"/>
        <v>27.374237109522063</v>
      </c>
      <c r="AU393" s="17">
        <f t="shared" si="548"/>
        <v>1.3758388938538164E-2</v>
      </c>
      <c r="AV393" s="18">
        <f t="shared" si="613"/>
        <v>0.43349448688709341</v>
      </c>
      <c r="AW393" s="19">
        <f t="shared" si="614"/>
        <v>993.61963452893394</v>
      </c>
      <c r="AX393" s="15">
        <f t="shared" si="549"/>
        <v>5.4872392690578682E-6</v>
      </c>
      <c r="AY393" s="16">
        <f t="shared" si="550"/>
        <v>27.315625797082738</v>
      </c>
      <c r="AZ393" s="17">
        <f t="shared" si="551"/>
        <v>1.3732878303172016E-2</v>
      </c>
      <c r="BA393" s="18">
        <f t="shared" si="615"/>
        <v>0.43442463877160115</v>
      </c>
      <c r="BB393" s="19">
        <f t="shared" si="616"/>
        <v>987.92317127872036</v>
      </c>
      <c r="BC393" s="15">
        <f t="shared" si="552"/>
        <v>5.4758463425574416E-6</v>
      </c>
      <c r="BD393" s="16">
        <f t="shared" si="553"/>
        <v>27.250116469705283</v>
      </c>
      <c r="BE393" s="17">
        <f t="shared" si="554"/>
        <v>1.3704365299551127E-2</v>
      </c>
      <c r="BF393" s="18">
        <f t="shared" si="617"/>
        <v>0.43546899635861402</v>
      </c>
      <c r="BG393" s="19">
        <f t="shared" si="618"/>
        <v>981.62534345074084</v>
      </c>
      <c r="BH393" s="15">
        <f t="shared" si="555"/>
        <v>5.4632506869014827E-6</v>
      </c>
      <c r="BI393" s="16">
        <f t="shared" si="556"/>
        <v>27.177691449683518</v>
      </c>
      <c r="BJ393" s="17">
        <f t="shared" si="557"/>
        <v>1.3672842233435286E-2</v>
      </c>
      <c r="BK393" s="18">
        <f t="shared" si="619"/>
        <v>0.43662946470959674</v>
      </c>
      <c r="BL393" s="19">
        <f t="shared" si="620"/>
        <v>974.71722729292867</v>
      </c>
      <c r="BM393" s="15">
        <f t="shared" si="558"/>
        <v>5.4494344545858577E-6</v>
      </c>
      <c r="BN393" s="16">
        <f t="shared" si="559"/>
        <v>27.098248113868678</v>
      </c>
      <c r="BO393" s="17">
        <f t="shared" si="560"/>
        <v>1.3638264437991094E-2</v>
      </c>
      <c r="BP393" s="18">
        <f t="shared" si="621"/>
        <v>0.43790952167290376</v>
      </c>
      <c r="BQ393" s="19">
        <f t="shared" si="622"/>
        <v>967.15239677403599</v>
      </c>
      <c r="BR393" s="15">
        <f t="shared" si="561"/>
        <v>5.4343047935480724E-6</v>
      </c>
      <c r="BS393" s="16">
        <f t="shared" si="562"/>
        <v>27.011252562901412</v>
      </c>
      <c r="BT393" s="17">
        <f t="shared" si="563"/>
        <v>1.3600399532961022E-2</v>
      </c>
      <c r="BU393" s="18">
        <f t="shared" si="623"/>
        <v>0.43931990351369515</v>
      </c>
      <c r="BV393" s="19">
        <f t="shared" si="624"/>
        <v>958.7172016999142</v>
      </c>
      <c r="BW393" s="15">
        <f t="shared" si="564"/>
        <v>5.4174344033998287E-6</v>
      </c>
      <c r="BX393" s="16">
        <f t="shared" si="565"/>
        <v>26.914247819549011</v>
      </c>
      <c r="BY393" s="17">
        <f t="shared" si="566"/>
        <v>1.3558178116421146E-2</v>
      </c>
      <c r="BZ393" s="18">
        <f t="shared" si="625"/>
        <v>0.44090330702456693</v>
      </c>
      <c r="CA393" s="19">
        <f t="shared" si="626"/>
        <v>948.55666998551942</v>
      </c>
      <c r="CB393" s="15">
        <f t="shared" si="567"/>
        <v>5.3971133399710392E-6</v>
      </c>
      <c r="CC393" s="16">
        <f t="shared" si="568"/>
        <v>26.797401704833472</v>
      </c>
      <c r="CD393" s="17">
        <f t="shared" si="569"/>
        <v>1.350732072213323E-2</v>
      </c>
      <c r="CE393" s="18">
        <f t="shared" si="627"/>
        <v>0.44282580081551387</v>
      </c>
      <c r="CF393" s="19">
        <f t="shared" si="628"/>
        <v>933.76312387644521</v>
      </c>
      <c r="CG393" s="15">
        <f t="shared" si="570"/>
        <v>5.367526247752891E-6</v>
      </c>
      <c r="CH393" s="16">
        <f t="shared" si="571"/>
        <v>26.627275924579116</v>
      </c>
      <c r="CI393" s="17">
        <f t="shared" si="572"/>
        <v>1.3433273297398586E-2</v>
      </c>
      <c r="CJ393" s="18">
        <f t="shared" si="629"/>
        <v>0.44565508328112868</v>
      </c>
      <c r="CK393" s="19">
        <f t="shared" si="630"/>
        <v>906.20214393303593</v>
      </c>
      <c r="CL393" s="15">
        <f t="shared" si="573"/>
        <v>5.3124042878660727E-6</v>
      </c>
      <c r="CM393" s="16">
        <f t="shared" si="574"/>
        <v>26.310324655229913</v>
      </c>
      <c r="CN393" s="17">
        <f t="shared" si="575"/>
        <v>1.329531992415558E-2</v>
      </c>
      <c r="CO393" s="18">
        <f t="shared" si="631"/>
        <v>0.45102373403663354</v>
      </c>
      <c r="CP393" s="19">
        <f t="shared" si="632"/>
        <v>848.07655137527695</v>
      </c>
      <c r="CQ393" s="15">
        <f t="shared" si="576"/>
        <v>5.1961531027505549E-6</v>
      </c>
      <c r="CR393" s="16">
        <f t="shared" si="577"/>
        <v>25.641880340815682</v>
      </c>
      <c r="CS393" s="17">
        <f t="shared" si="578"/>
        <v>1.3004378833470276E-2</v>
      </c>
      <c r="CT393" s="18">
        <f t="shared" si="633"/>
        <v>0.4627812278972836</v>
      </c>
      <c r="CU393" s="19">
        <f t="shared" si="634"/>
        <v>731.62218694350054</v>
      </c>
      <c r="CV393" s="15">
        <f t="shared" si="579"/>
        <v>4.963244373887002E-6</v>
      </c>
      <c r="CW393" s="16">
        <f t="shared" si="580"/>
        <v>24.302655149850253</v>
      </c>
      <c r="CX393" s="17">
        <f t="shared" si="581"/>
        <v>1.2421479660972769E-2</v>
      </c>
      <c r="CY393" s="18">
        <f t="shared" si="635"/>
        <v>0.4882833088215473</v>
      </c>
      <c r="CZ393" s="20">
        <f t="shared" si="585"/>
        <v>532.9828963554819</v>
      </c>
      <c r="DA393" s="15">
        <f t="shared" si="582"/>
        <v>6.714064070451921E-6</v>
      </c>
      <c r="DB393" s="16">
        <f t="shared" si="583"/>
        <v>38.038496005691023</v>
      </c>
      <c r="DC393" s="17">
        <f t="shared" si="584"/>
        <v>1.6803244815502071E-2</v>
      </c>
      <c r="DD393" s="18">
        <f t="shared" si="636"/>
        <v>0.31196240955327237</v>
      </c>
    </row>
    <row r="394" spans="2:108" x14ac:dyDescent="0.25">
      <c r="B394">
        <v>127</v>
      </c>
      <c r="C394">
        <f t="shared" si="637"/>
        <v>0.12415706262584694</v>
      </c>
      <c r="D394" s="19">
        <f t="shared" si="534"/>
        <v>1017.9213727536293</v>
      </c>
      <c r="E394" s="15">
        <f t="shared" si="586"/>
        <v>5.5358427455072592E-6</v>
      </c>
      <c r="F394" s="16">
        <f t="shared" si="535"/>
        <v>27.595095786666736</v>
      </c>
      <c r="G394" s="17">
        <f t="shared" si="532"/>
        <v>1.3854517909987481E-2</v>
      </c>
      <c r="H394" s="18">
        <f t="shared" si="587"/>
        <v>0.43002499289933738</v>
      </c>
      <c r="I394" s="19">
        <f t="shared" si="588"/>
        <v>1017.5968719000895</v>
      </c>
      <c r="J394" s="15">
        <f t="shared" si="589"/>
        <v>5.5351937438001791E-6</v>
      </c>
      <c r="K394" s="16">
        <f t="shared" si="536"/>
        <v>27.591364026851029</v>
      </c>
      <c r="L394" s="17">
        <f t="shared" si="590"/>
        <v>1.3852893657603929E-2</v>
      </c>
      <c r="M394" s="18">
        <f t="shared" si="591"/>
        <v>0.43008315421338805</v>
      </c>
      <c r="N394" s="19">
        <f t="shared" si="592"/>
        <v>1016.6911850200911</v>
      </c>
      <c r="O394" s="15">
        <f t="shared" si="593"/>
        <v>5.533382370040182E-6</v>
      </c>
      <c r="P394" s="16">
        <f t="shared" si="594"/>
        <v>27.580948627731047</v>
      </c>
      <c r="Q394" s="17">
        <f t="shared" si="533"/>
        <v>1.3854517909987481E-2</v>
      </c>
      <c r="R394" s="18">
        <f t="shared" si="595"/>
        <v>0.4302455666005171</v>
      </c>
      <c r="S394" s="19">
        <f t="shared" si="596"/>
        <v>1015.1898080338696</v>
      </c>
      <c r="T394" s="15">
        <f t="shared" si="597"/>
        <v>5.53037961606774E-6</v>
      </c>
      <c r="U394" s="16">
        <f t="shared" si="598"/>
        <v>27.5636827923895</v>
      </c>
      <c r="V394" s="17">
        <f t="shared" si="599"/>
        <v>1.3840845371199086E-2</v>
      </c>
      <c r="W394" s="18">
        <f t="shared" si="600"/>
        <v>0.43051507155619761</v>
      </c>
      <c r="X394" s="19">
        <f t="shared" si="601"/>
        <v>1013.0906129807382</v>
      </c>
      <c r="Y394" s="15">
        <f t="shared" si="602"/>
        <v>5.5261812259614769E-6</v>
      </c>
      <c r="Z394" s="16">
        <f t="shared" si="603"/>
        <v>27.539542049278488</v>
      </c>
      <c r="AA394" s="17">
        <f t="shared" si="604"/>
        <v>1.3830338087377207E-2</v>
      </c>
      <c r="AB394" s="18">
        <f t="shared" si="605"/>
        <v>0.4308924545108328</v>
      </c>
      <c r="AC394" s="19">
        <f t="shared" si="606"/>
        <v>1010.3921704345227</v>
      </c>
      <c r="AD394" s="15">
        <f t="shared" si="537"/>
        <v>5.5207843408690466E-6</v>
      </c>
      <c r="AE394" s="16">
        <f t="shared" si="538"/>
        <v>27.50850995999701</v>
      </c>
      <c r="AF394" s="17">
        <f t="shared" si="539"/>
        <v>1.3816831337888722E-2</v>
      </c>
      <c r="AG394" s="18">
        <f t="shared" si="607"/>
        <v>0.43137854020353444</v>
      </c>
      <c r="AH394" s="19">
        <f t="shared" si="608"/>
        <v>1007.0942405086384</v>
      </c>
      <c r="AI394" s="15">
        <f t="shared" si="540"/>
        <v>5.5141884810172775E-6</v>
      </c>
      <c r="AJ394" s="16">
        <f t="shared" si="541"/>
        <v>27.470583765849341</v>
      </c>
      <c r="AK394" s="17">
        <f t="shared" si="542"/>
        <v>1.3800323922008409E-2</v>
      </c>
      <c r="AL394" s="18">
        <f t="shared" si="609"/>
        <v>0.43197410622449528</v>
      </c>
      <c r="AM394" s="19">
        <f t="shared" si="610"/>
        <v>1003.1967688416853</v>
      </c>
      <c r="AN394" s="15">
        <f t="shared" si="543"/>
        <v>5.506393537683371E-6</v>
      </c>
      <c r="AO394" s="16">
        <f t="shared" si="544"/>
        <v>27.425762841679379</v>
      </c>
      <c r="AP394" s="17">
        <f t="shared" si="545"/>
        <v>1.3780815567636422E-2</v>
      </c>
      <c r="AQ394" s="18">
        <f t="shared" si="611"/>
        <v>0.43268006575496459</v>
      </c>
      <c r="AR394" s="19">
        <f t="shared" si="612"/>
        <v>998.6997445254766</v>
      </c>
      <c r="AS394" s="15">
        <f t="shared" si="546"/>
        <v>5.4973994890509544E-6</v>
      </c>
      <c r="AT394" s="16">
        <f t="shared" si="547"/>
        <v>27.37404706204298</v>
      </c>
      <c r="AU394" s="17">
        <f t="shared" si="548"/>
        <v>1.3758306220173067E-2</v>
      </c>
      <c r="AV394" s="18">
        <f t="shared" si="613"/>
        <v>0.43349749647256841</v>
      </c>
      <c r="AW394" s="19">
        <f t="shared" si="614"/>
        <v>993.60313221104127</v>
      </c>
      <c r="AX394" s="15">
        <f t="shared" si="549"/>
        <v>5.4872062644220829E-6</v>
      </c>
      <c r="AY394" s="16">
        <f t="shared" si="550"/>
        <v>27.315436020426972</v>
      </c>
      <c r="AZ394" s="17">
        <f t="shared" si="551"/>
        <v>1.3732795702683053E-2</v>
      </c>
      <c r="BA394" s="18">
        <f t="shared" si="615"/>
        <v>0.43442765697914748</v>
      </c>
      <c r="BB394" s="19">
        <f t="shared" si="616"/>
        <v>987.90667710438231</v>
      </c>
      <c r="BC394" s="15">
        <f t="shared" si="552"/>
        <v>5.4758133542087649E-6</v>
      </c>
      <c r="BD394" s="16">
        <f t="shared" si="553"/>
        <v>27.249926786700396</v>
      </c>
      <c r="BE394" s="17">
        <f t="shared" si="554"/>
        <v>1.3704282739823805E-2</v>
      </c>
      <c r="BF394" s="18">
        <f t="shared" si="617"/>
        <v>0.43547202759860271</v>
      </c>
      <c r="BG394" s="19">
        <f t="shared" si="618"/>
        <v>981.60875361463297</v>
      </c>
      <c r="BH394" s="15">
        <f t="shared" si="555"/>
        <v>5.4632175072292661E-6</v>
      </c>
      <c r="BI394" s="16">
        <f t="shared" si="556"/>
        <v>27.177500666568278</v>
      </c>
      <c r="BJ394" s="17">
        <f t="shared" si="557"/>
        <v>1.3672759194883775E-2</v>
      </c>
      <c r="BK394" s="18">
        <f t="shared" si="619"/>
        <v>0.43663252980121442</v>
      </c>
      <c r="BL394" s="19">
        <f t="shared" si="620"/>
        <v>974.70000298249522</v>
      </c>
      <c r="BM394" s="15">
        <f t="shared" si="558"/>
        <v>5.4494000059649914E-6</v>
      </c>
      <c r="BN394" s="16">
        <f t="shared" si="559"/>
        <v>27.098050034298694</v>
      </c>
      <c r="BO394" s="17">
        <f t="shared" si="560"/>
        <v>1.3638178223649988E-2</v>
      </c>
      <c r="BP394" s="18">
        <f t="shared" si="621"/>
        <v>0.43791272267554543</v>
      </c>
      <c r="BQ394" s="19">
        <f t="shared" si="622"/>
        <v>967.13213384862684</v>
      </c>
      <c r="BR394" s="15">
        <f t="shared" si="561"/>
        <v>5.4342642676972545E-6</v>
      </c>
      <c r="BS394" s="16">
        <f t="shared" si="562"/>
        <v>27.011019539259209</v>
      </c>
      <c r="BT394" s="17">
        <f t="shared" si="563"/>
        <v>1.360029810917574E-2</v>
      </c>
      <c r="BU394" s="18">
        <f t="shared" si="623"/>
        <v>0.43932369351961698</v>
      </c>
      <c r="BV394" s="19">
        <f t="shared" si="624"/>
        <v>958.68470419912921</v>
      </c>
      <c r="BW394" s="15">
        <f t="shared" si="564"/>
        <v>5.4173694083982596E-6</v>
      </c>
      <c r="BX394" s="16">
        <f t="shared" si="565"/>
        <v>26.913874098289988</v>
      </c>
      <c r="BY394" s="17">
        <f t="shared" si="566"/>
        <v>1.3558015453850207E-2</v>
      </c>
      <c r="BZ394" s="18">
        <f t="shared" si="625"/>
        <v>0.4409094293293086</v>
      </c>
      <c r="CA394" s="19">
        <f t="shared" si="626"/>
        <v>948.48257791233289</v>
      </c>
      <c r="CB394" s="15">
        <f t="shared" si="567"/>
        <v>5.3969651558246663E-6</v>
      </c>
      <c r="CC394" s="16">
        <f t="shared" si="568"/>
        <v>26.796549645991828</v>
      </c>
      <c r="CD394" s="17">
        <f t="shared" si="569"/>
        <v>1.3506949862626506E-2</v>
      </c>
      <c r="CE394" s="18">
        <f t="shared" si="627"/>
        <v>0.44283988149544756</v>
      </c>
      <c r="CF394" s="19">
        <f t="shared" si="628"/>
        <v>933.57279727340028</v>
      </c>
      <c r="CG394" s="15">
        <f t="shared" si="570"/>
        <v>5.3671455945468011E-6</v>
      </c>
      <c r="CH394" s="16">
        <f t="shared" si="571"/>
        <v>26.6250871686441</v>
      </c>
      <c r="CI394" s="17">
        <f t="shared" si="572"/>
        <v>1.3432320639076498E-2</v>
      </c>
      <c r="CJ394" s="18">
        <f t="shared" si="629"/>
        <v>0.44569171903756105</v>
      </c>
      <c r="CK394" s="19">
        <f t="shared" si="630"/>
        <v>905.75773821159373</v>
      </c>
      <c r="CL394" s="15">
        <f t="shared" si="573"/>
        <v>5.3115154764231884E-6</v>
      </c>
      <c r="CM394" s="16">
        <f t="shared" si="574"/>
        <v>26.305213989433327</v>
      </c>
      <c r="CN394" s="17">
        <f t="shared" si="575"/>
        <v>1.3293095501494E-2</v>
      </c>
      <c r="CO394" s="18">
        <f t="shared" si="631"/>
        <v>0.45111136045061806</v>
      </c>
      <c r="CP394" s="19">
        <f t="shared" si="632"/>
        <v>847.23671732802336</v>
      </c>
      <c r="CQ394" s="15">
        <f t="shared" si="576"/>
        <v>5.1944734346560465E-6</v>
      </c>
      <c r="CR394" s="16">
        <f t="shared" si="577"/>
        <v>25.632222249272267</v>
      </c>
      <c r="CS394" s="17">
        <f t="shared" si="578"/>
        <v>1.300017513897099E-2</v>
      </c>
      <c r="CT394" s="18">
        <f t="shared" si="633"/>
        <v>0.46295560152045756</v>
      </c>
      <c r="CU394" s="19">
        <f t="shared" si="634"/>
        <v>730.4459718596745</v>
      </c>
      <c r="CV394" s="15">
        <f t="shared" si="579"/>
        <v>4.960891943719349E-6</v>
      </c>
      <c r="CW394" s="16">
        <f t="shared" si="580"/>
        <v>24.289128676386255</v>
      </c>
      <c r="CX394" s="17">
        <f t="shared" si="581"/>
        <v>1.2415592249175135E-2</v>
      </c>
      <c r="CY394" s="18">
        <f t="shared" si="635"/>
        <v>0.48855523093566205</v>
      </c>
      <c r="CZ394" s="20">
        <f t="shared" si="585"/>
        <v>531.90686259801646</v>
      </c>
      <c r="DA394" s="15">
        <f t="shared" si="582"/>
        <v>6.7306260747038301E-6</v>
      </c>
      <c r="DB394" s="16">
        <f t="shared" si="583"/>
        <v>38.069700984657516</v>
      </c>
      <c r="DC394" s="17">
        <f t="shared" si="584"/>
        <v>1.6844694436649557E-2</v>
      </c>
      <c r="DD394" s="18">
        <f t="shared" si="636"/>
        <v>0.31170670015244545</v>
      </c>
    </row>
    <row r="395" spans="2:108" x14ac:dyDescent="0.25">
      <c r="B395">
        <v>128</v>
      </c>
      <c r="C395">
        <f t="shared" si="637"/>
        <v>0.12513467729219219</v>
      </c>
      <c r="D395" s="19">
        <f t="shared" si="534"/>
        <v>1017.9048053793171</v>
      </c>
      <c r="E395" s="15">
        <f t="shared" si="586"/>
        <v>5.5358096107586344E-6</v>
      </c>
      <c r="F395" s="16">
        <f t="shared" si="535"/>
        <v>27.594905261862145</v>
      </c>
      <c r="G395" s="17">
        <f t="shared" ref="G395:G458" si="638">($E395*$M$8)/($D$6^2)</f>
        <v>1.3854434983865955E-2</v>
      </c>
      <c r="H395" s="18">
        <f t="shared" si="587"/>
        <v>0.43002796194115739</v>
      </c>
      <c r="I395" s="19">
        <f t="shared" si="588"/>
        <v>1017.5802981180863</v>
      </c>
      <c r="J395" s="15">
        <f t="shared" si="589"/>
        <v>5.5351605962361729E-6</v>
      </c>
      <c r="K395" s="16">
        <f t="shared" si="536"/>
        <v>27.59117342835799</v>
      </c>
      <c r="L395" s="17">
        <f t="shared" si="590"/>
        <v>1.3852810699409432E-2</v>
      </c>
      <c r="M395" s="18">
        <f t="shared" si="591"/>
        <v>0.43008612520703887</v>
      </c>
      <c r="N395" s="19">
        <f t="shared" si="592"/>
        <v>1016.674596887794</v>
      </c>
      <c r="O395" s="15">
        <f t="shared" si="593"/>
        <v>5.5333491937755883E-6</v>
      </c>
      <c r="P395" s="16">
        <f t="shared" si="594"/>
        <v>27.58075786420963</v>
      </c>
      <c r="Q395" s="17">
        <f t="shared" ref="Q395:Q458" si="639">($E395*$M$8)/($D$6^2)</f>
        <v>1.3854434983865955E-2</v>
      </c>
      <c r="R395" s="18">
        <f t="shared" si="595"/>
        <v>0.43024854241284838</v>
      </c>
      <c r="S395" s="19">
        <f t="shared" si="596"/>
        <v>1015.1732116204587</v>
      </c>
      <c r="T395" s="15">
        <f t="shared" si="597"/>
        <v>5.5303464232409179E-6</v>
      </c>
      <c r="U395" s="16">
        <f t="shared" si="598"/>
        <v>27.563491933635277</v>
      </c>
      <c r="V395" s="17">
        <f t="shared" si="599"/>
        <v>1.3840762299725631E-2</v>
      </c>
      <c r="W395" s="18">
        <f t="shared" si="600"/>
        <v>0.43051805258524972</v>
      </c>
      <c r="X395" s="19">
        <f t="shared" si="601"/>
        <v>1013.0740185684261</v>
      </c>
      <c r="Y395" s="15">
        <f t="shared" si="602"/>
        <v>5.5261480371368526E-6</v>
      </c>
      <c r="Z395" s="16">
        <f t="shared" si="603"/>
        <v>27.5393512135369</v>
      </c>
      <c r="AA395" s="17">
        <f t="shared" si="604"/>
        <v>1.3830255025920026E-2</v>
      </c>
      <c r="AB395" s="18">
        <f t="shared" si="605"/>
        <v>0.43089544040837496</v>
      </c>
      <c r="AC395" s="19">
        <f t="shared" si="606"/>
        <v>1010.3755862351251</v>
      </c>
      <c r="AD395" s="15">
        <f t="shared" si="537"/>
        <v>5.5207511724702507E-6</v>
      </c>
      <c r="AE395" s="16">
        <f t="shared" si="538"/>
        <v>27.508319241703937</v>
      </c>
      <c r="AF395" s="17">
        <f t="shared" si="539"/>
        <v>1.3816748327551129E-2</v>
      </c>
      <c r="AG395" s="18">
        <f t="shared" si="607"/>
        <v>0.43138153099981441</v>
      </c>
      <c r="AH395" s="19">
        <f t="shared" si="608"/>
        <v>1007.0776720368799</v>
      </c>
      <c r="AI395" s="15">
        <f t="shared" si="540"/>
        <v>5.5141553440737599E-6</v>
      </c>
      <c r="AJ395" s="16">
        <f t="shared" si="541"/>
        <v>27.470393228424118</v>
      </c>
      <c r="AK395" s="17">
        <f t="shared" si="542"/>
        <v>1.3800240990393738E-2</v>
      </c>
      <c r="AL395" s="18">
        <f t="shared" si="609"/>
        <v>0.43197710244057702</v>
      </c>
      <c r="AM395" s="19">
        <f t="shared" si="610"/>
        <v>1003.1802201515277</v>
      </c>
      <c r="AN395" s="15">
        <f t="shared" si="543"/>
        <v>5.5063604403030557E-6</v>
      </c>
      <c r="AO395" s="16">
        <f t="shared" si="544"/>
        <v>27.425572531742567</v>
      </c>
      <c r="AP395" s="17">
        <f t="shared" si="545"/>
        <v>1.3780732735036322E-2</v>
      </c>
      <c r="AQ395" s="18">
        <f t="shared" si="611"/>
        <v>0.43268306818329599</v>
      </c>
      <c r="AR395" s="19">
        <f t="shared" si="612"/>
        <v>998.68321880462418</v>
      </c>
      <c r="AS395" s="15">
        <f t="shared" si="546"/>
        <v>5.497366437609249E-6</v>
      </c>
      <c r="AT395" s="16">
        <f t="shared" si="547"/>
        <v>27.373857016253176</v>
      </c>
      <c r="AU395" s="17">
        <f t="shared" si="548"/>
        <v>1.3758223502543231E-2</v>
      </c>
      <c r="AV395" s="18">
        <f t="shared" si="613"/>
        <v>0.43350050607308055</v>
      </c>
      <c r="AW395" s="19">
        <f t="shared" si="614"/>
        <v>993.5866298046252</v>
      </c>
      <c r="AX395" s="15">
        <f t="shared" si="549"/>
        <v>5.4871732596092507E-6</v>
      </c>
      <c r="AY395" s="16">
        <f t="shared" si="550"/>
        <v>27.31524624275319</v>
      </c>
      <c r="AZ395" s="17">
        <f t="shared" si="551"/>
        <v>1.3732713101750999E-2</v>
      </c>
      <c r="BA395" s="18">
        <f t="shared" si="615"/>
        <v>0.43443067524482359</v>
      </c>
      <c r="BB395" s="19">
        <f t="shared" si="616"/>
        <v>987.89018154363259</v>
      </c>
      <c r="BC395" s="15">
        <f t="shared" si="552"/>
        <v>5.4757803630872657E-6</v>
      </c>
      <c r="BD395" s="16">
        <f t="shared" si="553"/>
        <v>27.249737087751775</v>
      </c>
      <c r="BE395" s="17">
        <f t="shared" si="554"/>
        <v>1.3704200173156957E-2</v>
      </c>
      <c r="BF395" s="18">
        <f t="shared" si="617"/>
        <v>0.43547505913558687</v>
      </c>
      <c r="BG395" s="19">
        <f t="shared" si="618"/>
        <v>981.59215603966663</v>
      </c>
      <c r="BH395" s="15">
        <f t="shared" si="555"/>
        <v>5.4631843120793334E-6</v>
      </c>
      <c r="BI395" s="16">
        <f t="shared" si="556"/>
        <v>27.177309794456164</v>
      </c>
      <c r="BJ395" s="17">
        <f t="shared" si="557"/>
        <v>1.3672676117596285E-2</v>
      </c>
      <c r="BK395" s="18">
        <f t="shared" si="619"/>
        <v>0.43663559636570559</v>
      </c>
      <c r="BL395" s="19">
        <f t="shared" si="620"/>
        <v>974.68274381314222</v>
      </c>
      <c r="BM395" s="15">
        <f t="shared" si="558"/>
        <v>5.4493654876262849E-6</v>
      </c>
      <c r="BN395" s="16">
        <f t="shared" si="559"/>
        <v>27.097851553851136</v>
      </c>
      <c r="BO395" s="17">
        <f t="shared" si="560"/>
        <v>1.3638091834826492E-2</v>
      </c>
      <c r="BP395" s="18">
        <f t="shared" si="621"/>
        <v>0.43791593020338265</v>
      </c>
      <c r="BQ395" s="19">
        <f t="shared" si="622"/>
        <v>967.11173762478768</v>
      </c>
      <c r="BR395" s="15">
        <f t="shared" si="561"/>
        <v>5.4342234752495767E-6</v>
      </c>
      <c r="BS395" s="16">
        <f t="shared" si="562"/>
        <v>27.01078498268506</v>
      </c>
      <c r="BT395" s="17">
        <f t="shared" si="563"/>
        <v>1.3600196018180218E-2</v>
      </c>
      <c r="BU395" s="18">
        <f t="shared" si="623"/>
        <v>0.43932750852390362</v>
      </c>
      <c r="BV395" s="19">
        <f t="shared" si="624"/>
        <v>958.65178149461008</v>
      </c>
      <c r="BW395" s="15">
        <f t="shared" si="564"/>
        <v>5.4173035629892199E-6</v>
      </c>
      <c r="BX395" s="16">
        <f t="shared" si="565"/>
        <v>26.913495487188015</v>
      </c>
      <c r="BY395" s="17">
        <f t="shared" si="566"/>
        <v>1.3557850662969979E-2</v>
      </c>
      <c r="BZ395" s="18">
        <f t="shared" si="625"/>
        <v>0.44091563191287814</v>
      </c>
      <c r="CA395" s="19">
        <f t="shared" si="626"/>
        <v>948.40740345485506</v>
      </c>
      <c r="CB395" s="15">
        <f t="shared" si="567"/>
        <v>5.3968148069097111E-6</v>
      </c>
      <c r="CC395" s="16">
        <f t="shared" si="568"/>
        <v>26.795685139730832</v>
      </c>
      <c r="CD395" s="17">
        <f t="shared" si="569"/>
        <v>1.3506573585367422E-2</v>
      </c>
      <c r="CE395" s="18">
        <f t="shared" si="627"/>
        <v>0.4428541687901435</v>
      </c>
      <c r="CF395" s="19">
        <f t="shared" si="628"/>
        <v>933.38045786226269</v>
      </c>
      <c r="CG395" s="15">
        <f t="shared" si="570"/>
        <v>5.3667609157245264E-6</v>
      </c>
      <c r="CH395" s="16">
        <f t="shared" si="571"/>
        <v>26.62287526541602</v>
      </c>
      <c r="CI395" s="17">
        <f t="shared" si="572"/>
        <v>1.3431357905870769E-2</v>
      </c>
      <c r="CJ395" s="18">
        <f t="shared" si="629"/>
        <v>0.44572874835698051</v>
      </c>
      <c r="CK395" s="19">
        <f t="shared" si="630"/>
        <v>905.31120924881759</v>
      </c>
      <c r="CL395" s="15">
        <f t="shared" si="573"/>
        <v>5.3106224184976363E-6</v>
      </c>
      <c r="CM395" s="16">
        <f t="shared" si="574"/>
        <v>26.300078906361399</v>
      </c>
      <c r="CN395" s="17">
        <f t="shared" si="575"/>
        <v>1.3290860451187658E-2</v>
      </c>
      <c r="CO395" s="18">
        <f t="shared" si="631"/>
        <v>0.45119943981794058</v>
      </c>
      <c r="CP395" s="19">
        <f t="shared" si="632"/>
        <v>846.3975390994259</v>
      </c>
      <c r="CQ395" s="15">
        <f t="shared" si="576"/>
        <v>5.1927950781988526E-6</v>
      </c>
      <c r="CR395" s="16">
        <f t="shared" si="577"/>
        <v>25.622571699643395</v>
      </c>
      <c r="CS395" s="17">
        <f t="shared" si="578"/>
        <v>1.2995974727097947E-2</v>
      </c>
      <c r="CT395" s="18">
        <f t="shared" si="633"/>
        <v>0.46312997027862951</v>
      </c>
      <c r="CU395" s="19">
        <f t="shared" si="634"/>
        <v>729.27572958923577</v>
      </c>
      <c r="CV395" s="15">
        <f t="shared" si="579"/>
        <v>4.9585514591784712E-6</v>
      </c>
      <c r="CW395" s="16">
        <f t="shared" si="580"/>
        <v>24.27567089027621</v>
      </c>
      <c r="CX395" s="17">
        <f t="shared" si="581"/>
        <v>1.2409734733620533E-2</v>
      </c>
      <c r="CY395" s="18">
        <f t="shared" si="635"/>
        <v>0.48882607295813774</v>
      </c>
      <c r="CZ395" s="20">
        <f t="shared" si="585"/>
        <v>530.83824918467917</v>
      </c>
      <c r="DA395" s="15">
        <f t="shared" si="582"/>
        <v>6.7470576002450099E-6</v>
      </c>
      <c r="DB395" s="16">
        <f t="shared" si="583"/>
        <v>38.100690773644303</v>
      </c>
      <c r="DC395" s="17">
        <f t="shared" si="584"/>
        <v>1.6885817509569839E-2</v>
      </c>
      <c r="DD395" s="18">
        <f t="shared" si="636"/>
        <v>0.3114531686634528</v>
      </c>
    </row>
    <row r="396" spans="2:108" x14ac:dyDescent="0.25">
      <c r="B396">
        <v>129</v>
      </c>
      <c r="C396">
        <f t="shared" si="637"/>
        <v>0.12611229195853743</v>
      </c>
      <c r="D396" s="19">
        <f t="shared" ref="D396:D459" si="640">D395+(4*$H$7*(I395-D395))</f>
        <v>1017.8882376778605</v>
      </c>
      <c r="E396" s="15">
        <f t="shared" si="586"/>
        <v>5.5357764753557216E-6</v>
      </c>
      <c r="F396" s="16">
        <f t="shared" ref="F396:F459" si="641">IF($D396&lt;650,(53.495-(0.029*D396)),IF(D396&lt;700,((0.00000000000000006*(D396^2))-(0.2008*D396) + 164.43),IF(D396&lt;1250,((0.0115*D396)+ 15.889))))</f>
        <v>27.594714733295397</v>
      </c>
      <c r="G396" s="17">
        <f t="shared" si="638"/>
        <v>1.3854352056106946E-2</v>
      </c>
      <c r="H396" s="18">
        <f t="shared" si="587"/>
        <v>0.43003093108260504</v>
      </c>
      <c r="I396" s="19">
        <f t="shared" si="588"/>
        <v>1017.5637241814541</v>
      </c>
      <c r="J396" s="15">
        <f t="shared" si="589"/>
        <v>5.5351274483629089E-6</v>
      </c>
      <c r="K396" s="16">
        <f t="shared" ref="K396:K459" si="642">IF($I396&lt;650,(53.495-(0.029*I396)),IF(I396&lt;700,((0.00000000000000006*(I396^2))-(0.2008*I396) + 164.43),IF(I396&lt;1250,((0.0115*I396)+ 15.889))))</f>
        <v>27.590982828086723</v>
      </c>
      <c r="L396" s="17">
        <f t="shared" si="590"/>
        <v>1.3852727740440954E-2</v>
      </c>
      <c r="M396" s="18">
        <f t="shared" si="591"/>
        <v>0.43008909626945602</v>
      </c>
      <c r="N396" s="19">
        <f t="shared" si="592"/>
        <v>1016.6580088605347</v>
      </c>
      <c r="O396" s="15">
        <f t="shared" si="593"/>
        <v>5.5333160177210698E-6</v>
      </c>
      <c r="P396" s="16">
        <f t="shared" si="594"/>
        <v>27.580567101896147</v>
      </c>
      <c r="Q396" s="17">
        <f t="shared" si="639"/>
        <v>1.3854352056106946E-2</v>
      </c>
      <c r="R396" s="18">
        <f t="shared" si="595"/>
        <v>0.43025151824750107</v>
      </c>
      <c r="S396" s="19">
        <f t="shared" si="596"/>
        <v>1015.1566154343406</v>
      </c>
      <c r="T396" s="15">
        <f t="shared" si="597"/>
        <v>5.5303132308686816E-6</v>
      </c>
      <c r="U396" s="16">
        <f t="shared" si="598"/>
        <v>27.563301077494916</v>
      </c>
      <c r="V396" s="17">
        <f t="shared" si="599"/>
        <v>1.3840679229389863E-2</v>
      </c>
      <c r="W396" s="18">
        <f t="shared" si="600"/>
        <v>0.43052103361475852</v>
      </c>
      <c r="X396" s="19">
        <f t="shared" si="601"/>
        <v>1013.0574243904998</v>
      </c>
      <c r="Y396" s="15">
        <f t="shared" si="602"/>
        <v>5.5261148487809999E-6</v>
      </c>
      <c r="Z396" s="16">
        <f t="shared" si="603"/>
        <v>27.539160380490749</v>
      </c>
      <c r="AA396" s="17">
        <f t="shared" si="604"/>
        <v>1.3830171965636037E-2</v>
      </c>
      <c r="AB396" s="18">
        <f t="shared" si="605"/>
        <v>0.43089842630512454</v>
      </c>
      <c r="AC396" s="19">
        <f t="shared" si="606"/>
        <v>1010.359002247473</v>
      </c>
      <c r="AD396" s="15">
        <f t="shared" ref="AD396:AD459" si="643">IF(AC396&gt;=650,((0.00002*AC396)+0.035)/10000,IF(AC396&lt;650,((-0.0000000000003*(AC396^4))+(0.0000000004*(AC396^3))-(0.0000002*(AC396^2))-(0.0001*AC396)+0.1409)/10000))</f>
        <v>5.5207180044949468E-6</v>
      </c>
      <c r="AE396" s="16">
        <f t="shared" ref="AE396:AE459" si="644">IF(AC396&lt;650,(53.495-(0.029*AC396)),IF(AC396&lt;700,((0.00000000000000006*(AC396^2))-(0.2008*AC396) + 164.43),IF(AC396&lt;1250,((0.0115*AC396)+ 15.889))))</f>
        <v>27.50812852584594</v>
      </c>
      <c r="AF396" s="17">
        <f t="shared" ref="AF396:AF459" si="645">(AD396*$M$8)/($D$6^2)</f>
        <v>1.3816665318273406E-2</v>
      </c>
      <c r="AG396" s="18">
        <f t="shared" si="607"/>
        <v>0.4313845217993787</v>
      </c>
      <c r="AH396" s="19">
        <f t="shared" si="608"/>
        <v>1007.0611037615598</v>
      </c>
      <c r="AI396" s="15">
        <f t="shared" ref="AI396:AI459" si="646">IF(AH396&gt;=650,((0.00002*AH396)+0.035)/10000,IF(AH396&lt;650,((-0.0000000000003*(AH396^4))+(0.0000000004*(AH396^3))-(0.0000002*(AH396^2))-(0.0001*AH396)+0.1409)/10000))</f>
        <v>5.51412220752312E-6</v>
      </c>
      <c r="AJ396" s="16">
        <f t="shared" ref="AJ396:AJ459" si="647">IF(AH396&lt;650,(53.495-(0.029*AH396)),IF(AH396&lt;700,((0.00000000000000006*(AH396^2))-(0.2008*AH396) + 164.43),IF(AH396&lt;1250,((0.0115*AH396)+ 15.889))))</f>
        <v>27.470202693257939</v>
      </c>
      <c r="AK396" s="17">
        <f t="shared" ref="AK396:AK459" si="648">(AI396*$M$8)/($D$6^2)</f>
        <v>1.380015805976232E-2</v>
      </c>
      <c r="AL396" s="18">
        <f t="shared" si="609"/>
        <v>0.43198009866269882</v>
      </c>
      <c r="AM396" s="19">
        <f t="shared" si="610"/>
        <v>1003.1636716469486</v>
      </c>
      <c r="AN396" s="15">
        <f t="shared" ref="AN396:AN459" si="649">IF(AM396&gt;=650,((0.00002*AM396)+0.035)/10000,IF(AM396&lt;650,((-0.0000000000003*(AM396^4))+(0.0000000004*(AM396^3))-(0.0000002*(AM396^2))-(0.0001*AM396)+0.1409)/10000))</f>
        <v>5.5063273432938974E-6</v>
      </c>
      <c r="AO396" s="16">
        <f t="shared" ref="AO396:AO459" si="650">IF(AM396&lt;650,(53.495-(0.029*AM396)),IF(AM396&lt;700,((0.00000000000000006*(AM396^2))-(0.2008*AM396) + 164.43),IF(AM396&lt;1250,((0.0115*AM396)+ 15.889))))</f>
        <v>27.425382223939906</v>
      </c>
      <c r="AP396" s="17">
        <f t="shared" ref="AP396:AP459" si="651">(AN396*$M$8)/($D$6^2)</f>
        <v>1.3780649903365116E-2</v>
      </c>
      <c r="AQ396" s="18">
        <f t="shared" si="611"/>
        <v>0.43268607061962605</v>
      </c>
      <c r="AR396" s="19">
        <f t="shared" si="612"/>
        <v>998.66669322772259</v>
      </c>
      <c r="AS396" s="15">
        <f t="shared" ref="AS396:AS459" si="652">IF(AR396&gt;=650,((0.00002*AR396)+0.035)/10000,IF(AR396&lt;650,((-0.0000000000003*(AR396^4))+(0.0000000004*(AR396^3))-(0.0000002*(AR396^2))-(0.0001*AR396)+0.1409)/10000))</f>
        <v>5.4973333864554459E-6</v>
      </c>
      <c r="AT396" s="16">
        <f t="shared" ref="AT396:AT459" si="653">IF(AR396&lt;650,(53.495-(0.029*AR396)),IF(AR396&lt;700,((0.00000000000000006*(AR396^2))-(0.2008*AR396) + 164.43),IF(AR396&lt;1250,((0.0115*AR396)+ 15.889))))</f>
        <v>27.373666972118809</v>
      </c>
      <c r="AU396" s="17">
        <f t="shared" ref="AU396:AU459" si="654">(AS396*$M$8)/($D$6^2)</f>
        <v>1.3758140785633925E-2</v>
      </c>
      <c r="AV396" s="18">
        <f t="shared" si="613"/>
        <v>0.43350351568916556</v>
      </c>
      <c r="AW396" s="19">
        <f t="shared" si="614"/>
        <v>993.57012729389749</v>
      </c>
      <c r="AX396" s="15">
        <f t="shared" ref="AX396:AX459" si="655">IF(AW396&gt;=650,((0.00002*AW396)+0.035)/10000,IF(AW396&lt;650,((-0.0000000000003*(AW396^4))+(0.0000000004*(AW396^3))-(0.0000002*(AW396^2))-(0.0001*AW396)+0.1409)/10000))</f>
        <v>5.4871402545877952E-6</v>
      </c>
      <c r="AY396" s="16">
        <f t="shared" ref="AY396:AY459" si="656">IF(AW396&lt;650,(53.495-(0.029*AW396)),IF(AW396&lt;700,((0.00000000000000006*(AW396^2))-(0.2008*AW396) + 164.43),IF(AW396&lt;1250,((0.0115*AW396)+ 15.889))))</f>
        <v>27.31505646387982</v>
      </c>
      <c r="AZ396" s="17">
        <f t="shared" ref="AZ396:AZ459" si="657">(AX396*$M$8)/($D$6^2)</f>
        <v>1.3732630500296819E-2</v>
      </c>
      <c r="BA396" s="18">
        <f t="shared" si="615"/>
        <v>0.43443369357151873</v>
      </c>
      <c r="BB396" s="19">
        <f t="shared" si="616"/>
        <v>987.87368452182443</v>
      </c>
      <c r="BC396" s="15">
        <f t="shared" ref="BC396:BC459" si="658">IF(BB396&gt;=650,((0.00002*BB396)+0.035)/10000,IF(BB396&lt;650,((-0.0000000000003*(BB396^4))+(0.0000000004*(BB396^3))-(0.0000002*(BB396^2))-(0.0001*BB396)+0.1409)/10000))</f>
        <v>5.4757473690436494E-6</v>
      </c>
      <c r="BD396" s="16">
        <f t="shared" ref="BD396:BD459" si="659">IF(BB396&lt;650,(53.495-(0.029*BB396)),IF(BB396&lt;700,((0.00000000000000006*(BB396^2))-(0.2008*BB396) + 164.43),IF(BB396&lt;1250,((0.0115*BB396)+ 15.889))))</f>
        <v>27.249547372000983</v>
      </c>
      <c r="BE396" s="17">
        <f t="shared" ref="BE396:BE459" si="660">(BC396*$M$8)/($D$6^2)</f>
        <v>1.3704117599176949E-2</v>
      </c>
      <c r="BF396" s="18">
        <f t="shared" si="617"/>
        <v>0.43547809098329676</v>
      </c>
      <c r="BG396" s="19">
        <f t="shared" si="618"/>
        <v>981.57555042049296</v>
      </c>
      <c r="BH396" s="15">
        <f t="shared" ref="BH396:BH459" si="661">IF(BG396&gt;=650,((0.00002*BG396)+0.035)/10000,IF(BG396&lt;650,((-0.0000000000003*(BG396^4))+(0.0000000004*(BG396^3))-(0.0000002*(BG396^2))-(0.0001*BG396)+0.1409)/10000))</f>
        <v>5.4631511008409865E-6</v>
      </c>
      <c r="BI396" s="16">
        <f t="shared" ref="BI396:BI459" si="662">IF(BG396&lt;650,(53.495-(0.029*BG396)),IF(BG396&lt;700,((0.00000000000000006*(BG396^2))-(0.2008*BG396) + 164.43),IF(BG396&lt;1250,((0.0115*BG396)+ 15.889))))</f>
        <v>27.177118829835671</v>
      </c>
      <c r="BJ396" s="17">
        <f t="shared" ref="BJ396:BJ459" si="663">(BH396*$M$8)/($D$6^2)</f>
        <v>1.3672593000044427E-2</v>
      </c>
      <c r="BK396" s="18">
        <f t="shared" si="619"/>
        <v>0.43663866445954863</v>
      </c>
      <c r="BL396" s="19">
        <f t="shared" si="620"/>
        <v>974.6654487386935</v>
      </c>
      <c r="BM396" s="15">
        <f t="shared" ref="BM396:BM459" si="664">IF(BL396&gt;=650,((0.00002*BL396)+0.035)/10000,IF(BL396&lt;650,((-0.0000000000003*(BL396^4))+(0.0000000004*(BL396^3))-(0.0000002*(BL396^2))-(0.0001*BL396)+0.1409)/10000))</f>
        <v>5.449330897477388E-6</v>
      </c>
      <c r="BN396" s="16">
        <f t="shared" ref="BN396:BN459" si="665">IF(BL396&lt;650,(53.495-(0.029*BL396)),IF(BL396&lt;700,((0.00000000000000006*(BL396^2))-(0.2008*BL396) + 164.43),IF(BL396&lt;1250,((0.0115*BL396)+ 15.889))))</f>
        <v>27.097652660494973</v>
      </c>
      <c r="BO396" s="17">
        <f t="shared" ref="BO396:BO459" si="666">(BM396*$M$8)/($D$6^2)</f>
        <v>1.3638005266284099E-2</v>
      </c>
      <c r="BP396" s="18">
        <f t="shared" si="621"/>
        <v>0.43791914445113195</v>
      </c>
      <c r="BQ396" s="19">
        <f t="shared" si="622"/>
        <v>967.09120526124104</v>
      </c>
      <c r="BR396" s="15">
        <f t="shared" ref="BR396:BR459" si="667">IF(BQ396&gt;=650,((0.00002*BQ396)+0.035)/10000,IF(BQ396&lt;650,((-0.0000000000003*(BQ396^4))+(0.0000000004*(BQ396^3))-(0.0000002*(BQ396^2))-(0.0001*BQ396)+0.1409)/10000))</f>
        <v>5.4341824105224829E-6</v>
      </c>
      <c r="BS396" s="16">
        <f t="shared" ref="BS396:BS459" si="668">IF(BQ396&lt;650,(53.495-(0.029*BQ396)),IF(BQ396&lt;700,((0.00000000000000006*(BQ396^2))-(0.2008*BQ396) + 164.43),IF(BQ396&lt;1250,((0.0115*BQ396)+ 15.889))))</f>
        <v>27.010548860504272</v>
      </c>
      <c r="BT396" s="17">
        <f t="shared" ref="BT396:BT459" si="669">(BR396*$M$8)/($D$6^2)</f>
        <v>1.3600093245752757E-2</v>
      </c>
      <c r="BU396" s="18">
        <f t="shared" si="623"/>
        <v>0.43933134905931548</v>
      </c>
      <c r="BV396" s="19">
        <f t="shared" si="624"/>
        <v>958.61842816564968</v>
      </c>
      <c r="BW396" s="15">
        <f t="shared" ref="BW396:BW459" si="670">IF(BV396&gt;=650,((0.00002*BV396)+0.035)/10000,IF(BV396&lt;650,((-0.0000000000003*(BV396^4))+(0.0000000004*(BV396^3))-(0.0000002*(BV396^2))-(0.0001*BV396)+0.1409)/10000))</f>
        <v>5.4172368563313003E-6</v>
      </c>
      <c r="BX396" s="16">
        <f t="shared" ref="BX396:BX459" si="671">IF(BV396&lt;650,(53.495-(0.029*BV396)),IF(BV396&lt;700,((0.00000000000000006*(BV396^2))-(0.2008*BV396) + 164.43),IF(BV396&lt;1250,((0.0115*BV396)+ 15.889))))</f>
        <v>26.913111923904971</v>
      </c>
      <c r="BY396" s="17">
        <f t="shared" ref="BY396:BY459" si="672">(BW396*$M$8)/($D$6^2)</f>
        <v>1.3557683716647739E-2</v>
      </c>
      <c r="BZ396" s="18">
        <f t="shared" si="625"/>
        <v>0.44092191580334017</v>
      </c>
      <c r="CA396" s="19">
        <f t="shared" si="626"/>
        <v>948.33114222952327</v>
      </c>
      <c r="CB396" s="15">
        <f t="shared" ref="CB396:CB459" si="673">IF(CA396&gt;=650,((0.00002*CA396)+0.035)/10000,IF(CA396&lt;650,((-0.0000000000003*(CA396^4))+(0.0000000004*(CA396^3))-(0.0000002*(CA396^2))-(0.0001*CA396)+0.1409)/10000))</f>
        <v>5.3966622844590473E-6</v>
      </c>
      <c r="CC396" s="16">
        <f t="shared" ref="CC396:CC459" si="674">IF(CA396&lt;650,(53.495-(0.029*CA396)),IF(CA396&lt;700,((0.00000000000000006*(CA396^2))-(0.2008*CA396) + 164.43),IF(CA396&lt;1250,((0.0115*CA396)+ 15.889))))</f>
        <v>26.794808135639517</v>
      </c>
      <c r="CD396" s="17">
        <f t="shared" ref="CD396:CD459" si="675">(CB396*$M$8)/($D$6^2)</f>
        <v>1.3506191868414551E-2</v>
      </c>
      <c r="CE396" s="18">
        <f t="shared" si="627"/>
        <v>0.44286866357271182</v>
      </c>
      <c r="CF396" s="19">
        <f t="shared" si="628"/>
        <v>933.18611646938996</v>
      </c>
      <c r="CG396" s="15">
        <f t="shared" ref="CG396:CG459" si="676">IF(CF396&gt;=650,((0.00002*CF396)+0.035)/10000,IF(CF396&lt;650,((-0.0000000000003*(CF396^4))+(0.0000000004*(CF396^3))-(0.0000002*(CF396^2))-(0.0001*CF396)+0.1409)/10000))</f>
        <v>5.3663722329387802E-6</v>
      </c>
      <c r="CH396" s="16">
        <f t="shared" ref="CH396:CH459" si="677">IF(CF396&lt;650,(53.495-(0.029*CF396)),IF(CF396&lt;700,((0.00000000000000006*(CF396^2))-(0.2008*CF396) + 164.43),IF(CF396&lt;1250,((0.0115*CF396)+ 15.889))))</f>
        <v>26.620640339397983</v>
      </c>
      <c r="CI396" s="17">
        <f t="shared" ref="CI396:CI459" si="678">(CG396*$M$8)/($D$6^2)</f>
        <v>1.3430385151971499E-2</v>
      </c>
      <c r="CJ396" s="18">
        <f t="shared" si="629"/>
        <v>0.44576616934926283</v>
      </c>
      <c r="CK396" s="19">
        <f t="shared" si="630"/>
        <v>904.86259754954631</v>
      </c>
      <c r="CL396" s="15">
        <f t="shared" ref="CL396:CL459" si="679">IF(CK396&gt;=650,((0.00002*CK396)+0.035)/10000,IF(CK396&lt;650,((-0.0000000000003*(CK396^4))+(0.0000000004*(CK396^3))-(0.0000002*(CK396^2))-(0.0001*CK396)+0.1409)/10000))</f>
        <v>5.3097251950990929E-6</v>
      </c>
      <c r="CM396" s="16">
        <f t="shared" ref="CM396:CM459" si="680">IF(CK396&lt;650,(53.495-(0.029*CK396)),IF(CK396&lt;700,((0.00000000000000006*(CK396^2))-(0.2008*CK396) + 164.43),IF(CK396&lt;1250,((0.0115*CK396)+ 15.889))))</f>
        <v>26.294919871819779</v>
      </c>
      <c r="CN396" s="17">
        <f t="shared" ref="CN396:CN459" si="681">(CL396*$M$8)/($D$6^2)</f>
        <v>1.3288614975978942E-2</v>
      </c>
      <c r="CO396" s="18">
        <f t="shared" si="631"/>
        <v>0.45128796465492532</v>
      </c>
      <c r="CP396" s="19">
        <f t="shared" si="632"/>
        <v>845.55905388834469</v>
      </c>
      <c r="CQ396" s="15">
        <f t="shared" ref="CQ396:CQ459" si="682">IF(CP396&gt;=650,((0.00002*CP396)+0.035)/10000,IF(CP396&lt;650,((-0.0000000000003*(CP396^4))+(0.0000000004*(CP396^3))-(0.0000002*(CP396^2))-(0.0001*CP396)+0.1409)/10000))</f>
        <v>5.1911181077766901E-6</v>
      </c>
      <c r="CR396" s="16">
        <f t="shared" ref="CR396:CR459" si="683">IF(CP396&lt;650,(53.495-(0.029*CP396)),IF(CP396&lt;700,((0.00000000000000006*(CP396^2))-(0.2008*CP396) + 164.43),IF(CP396&lt;1250,((0.0115*CP396)+ 15.889))))</f>
        <v>25.612929119715965</v>
      </c>
      <c r="CS396" s="17">
        <f t="shared" ref="CS396:CS459" si="684">(CQ396*$M$8)/($D$6^2)</f>
        <v>1.2991777784045829E-2</v>
      </c>
      <c r="CT396" s="18">
        <f t="shared" si="633"/>
        <v>0.46330432627416313</v>
      </c>
      <c r="CU396" s="19">
        <f t="shared" si="634"/>
        <v>728.11140824755603</v>
      </c>
      <c r="CV396" s="15">
        <f t="shared" ref="CV396:CV459" si="685">IF(CU396&gt;=650,((0.00002*CU396)+0.035)/10000,IF(CU396&lt;650,((-0.0000000000003*(CU396^4))+(0.0000000004*(CU396^3))-(0.0000002*(CU396^2))-(0.0001*CU396)+0.1409)/10000))</f>
        <v>4.9562228164951126E-6</v>
      </c>
      <c r="CW396" s="16">
        <f t="shared" ref="CW396:CW459" si="686">IF(CU396&lt;650,(53.495-(0.029*CU396)),IF(CU396&lt;700,((0.00000000000000006*(CU396^2))-(0.2008*CU396) + 164.43),IF(CU396&lt;1250,((0.0115*CU396)+ 15.889))))</f>
        <v>24.262281194846892</v>
      </c>
      <c r="CX396" s="17">
        <f t="shared" ref="CX396:CX459" si="687">(CV396*$M$8)/($D$6^2)</f>
        <v>1.2403906854606316E-2</v>
      </c>
      <c r="CY396" s="18">
        <f t="shared" si="635"/>
        <v>0.48909584281952279</v>
      </c>
      <c r="CZ396" s="20">
        <f t="shared" si="585"/>
        <v>529.77695057699168</v>
      </c>
      <c r="DA396" s="15">
        <f t="shared" ref="DA396:DA459" si="688">IF(CZ396&gt;=650,((0.00002*CZ396)+0.035)/10000,IF(CZ396&lt;650,((-0.0000000000003*(CZ396^4))+(0.0000000004*(CZ396^3))-(0.0000002*(CZ396^2))-(0.0001*CZ396)+0.1409)/10000))</f>
        <v>6.7633607774160387E-6</v>
      </c>
      <c r="DB396" s="16">
        <f t="shared" ref="DB396:DB459" si="689">IF(CZ396&lt;650,(53.495-(0.029*CZ396)),IF(CZ396&lt;700,((0.00000000000000006*(CZ396^2))-(0.2008*CZ396) + 164.43),IF(CZ396&lt;1250,((0.0115*CZ396)+ 15.889))))</f>
        <v>38.131468433267237</v>
      </c>
      <c r="DC396" s="17">
        <f t="shared" ref="DC396:DC459" si="690">(DA396*$M$8)/($D$6^2)</f>
        <v>1.6926619365852522E-2</v>
      </c>
      <c r="DD396" s="18">
        <f t="shared" si="636"/>
        <v>0.3112017805053916</v>
      </c>
    </row>
    <row r="397" spans="2:108" x14ac:dyDescent="0.25">
      <c r="B397">
        <v>130</v>
      </c>
      <c r="C397">
        <f t="shared" si="637"/>
        <v>0.12708990662488268</v>
      </c>
      <c r="D397" s="19">
        <f t="shared" si="640"/>
        <v>1017.8716696580674</v>
      </c>
      <c r="E397" s="15">
        <f t="shared" si="586"/>
        <v>5.5357433393161347E-6</v>
      </c>
      <c r="F397" s="16">
        <f t="shared" si="641"/>
        <v>27.594524201067774</v>
      </c>
      <c r="G397" s="17">
        <f t="shared" si="638"/>
        <v>1.3854269126754538E-2</v>
      </c>
      <c r="H397" s="18">
        <f t="shared" si="587"/>
        <v>0.4300339003221052</v>
      </c>
      <c r="I397" s="19">
        <f t="shared" si="588"/>
        <v>1017.5471500943989</v>
      </c>
      <c r="J397" s="15">
        <f t="shared" si="589"/>
        <v>5.5350943001887984E-6</v>
      </c>
      <c r="K397" s="16">
        <f t="shared" si="642"/>
        <v>27.590792226085586</v>
      </c>
      <c r="L397" s="17">
        <f t="shared" si="590"/>
        <v>1.3852644780719552E-2</v>
      </c>
      <c r="M397" s="18">
        <f t="shared" si="591"/>
        <v>0.43009206739988765</v>
      </c>
      <c r="N397" s="19">
        <f t="shared" si="592"/>
        <v>1016.6414209377331</v>
      </c>
      <c r="O397" s="15">
        <f t="shared" si="593"/>
        <v>5.5332828418754669E-6</v>
      </c>
      <c r="P397" s="16">
        <f t="shared" si="594"/>
        <v>27.580376340783928</v>
      </c>
      <c r="Q397" s="17">
        <f t="shared" si="639"/>
        <v>1.3854269126754538E-2</v>
      </c>
      <c r="R397" s="18">
        <f t="shared" si="595"/>
        <v>0.43025449410457933</v>
      </c>
      <c r="S397" s="19">
        <f t="shared" si="596"/>
        <v>1015.1400194742188</v>
      </c>
      <c r="T397" s="15">
        <f t="shared" si="597"/>
        <v>5.5302800389484381E-6</v>
      </c>
      <c r="U397" s="16">
        <f t="shared" si="598"/>
        <v>27.563110223953515</v>
      </c>
      <c r="V397" s="17">
        <f t="shared" si="599"/>
        <v>1.3840596160185297E-2</v>
      </c>
      <c r="W397" s="18">
        <f t="shared" si="600"/>
        <v>0.43052401464495593</v>
      </c>
      <c r="X397" s="19">
        <f t="shared" si="601"/>
        <v>1013.0408304465178</v>
      </c>
      <c r="Y397" s="15">
        <f t="shared" si="602"/>
        <v>5.5260816608930365E-6</v>
      </c>
      <c r="Z397" s="16">
        <f t="shared" si="603"/>
        <v>27.538969550134954</v>
      </c>
      <c r="AA397" s="17">
        <f t="shared" si="604"/>
        <v>1.3830088906523029E-2</v>
      </c>
      <c r="AB397" s="18">
        <f t="shared" si="605"/>
        <v>0.43090141220116013</v>
      </c>
      <c r="AC397" s="19">
        <f t="shared" si="606"/>
        <v>1010.3424184716125</v>
      </c>
      <c r="AD397" s="15">
        <f t="shared" si="643"/>
        <v>5.5206848369432254E-6</v>
      </c>
      <c r="AE397" s="16">
        <f t="shared" si="644"/>
        <v>27.507937812423542</v>
      </c>
      <c r="AF397" s="17">
        <f t="shared" si="645"/>
        <v>1.3816582310055784E-2</v>
      </c>
      <c r="AG397" s="18">
        <f t="shared" si="607"/>
        <v>0.4313875126022183</v>
      </c>
      <c r="AH397" s="19">
        <f t="shared" si="608"/>
        <v>1007.0445356827071</v>
      </c>
      <c r="AI397" s="15">
        <f t="shared" si="646"/>
        <v>5.5140890713654144E-6</v>
      </c>
      <c r="AJ397" s="16">
        <f t="shared" si="647"/>
        <v>27.470012160351132</v>
      </c>
      <c r="AK397" s="17">
        <f t="shared" si="648"/>
        <v>1.3800075130114296E-2</v>
      </c>
      <c r="AL397" s="18">
        <f t="shared" si="609"/>
        <v>0.43198309489085479</v>
      </c>
      <c r="AM397" s="19">
        <f t="shared" si="610"/>
        <v>1003.1471233274696</v>
      </c>
      <c r="AN397" s="15">
        <f t="shared" si="649"/>
        <v>5.5062942466549401E-6</v>
      </c>
      <c r="AO397" s="16">
        <f t="shared" si="650"/>
        <v>27.425191918265899</v>
      </c>
      <c r="AP397" s="17">
        <f t="shared" si="651"/>
        <v>1.3780567072620407E-2</v>
      </c>
      <c r="AQ397" s="18">
        <f t="shared" si="611"/>
        <v>0.43268907306404092</v>
      </c>
      <c r="AR397" s="19">
        <f t="shared" si="612"/>
        <v>998.65016779167297</v>
      </c>
      <c r="AS397" s="15">
        <f t="shared" si="652"/>
        <v>5.4973003355833464E-6</v>
      </c>
      <c r="AT397" s="16">
        <f t="shared" si="653"/>
        <v>27.373476929604237</v>
      </c>
      <c r="AU397" s="17">
        <f t="shared" si="654"/>
        <v>1.3758058069429637E-2</v>
      </c>
      <c r="AV397" s="18">
        <f t="shared" si="613"/>
        <v>0.43350652532138761</v>
      </c>
      <c r="AW397" s="19">
        <f t="shared" si="614"/>
        <v>993.55362466238239</v>
      </c>
      <c r="AX397" s="15">
        <f t="shared" si="655"/>
        <v>5.4871072493247659E-6</v>
      </c>
      <c r="AY397" s="16">
        <f t="shared" si="656"/>
        <v>27.314866683617396</v>
      </c>
      <c r="AZ397" s="17">
        <f t="shared" si="657"/>
        <v>1.3732547898238058E-2</v>
      </c>
      <c r="BA397" s="18">
        <f t="shared" si="615"/>
        <v>0.43443671196224815</v>
      </c>
      <c r="BB397" s="19">
        <f t="shared" si="616"/>
        <v>987.85718596175377</v>
      </c>
      <c r="BC397" s="15">
        <f t="shared" si="658"/>
        <v>5.4757143719235078E-6</v>
      </c>
      <c r="BD397" s="16">
        <f t="shared" si="659"/>
        <v>27.24935763856017</v>
      </c>
      <c r="BE397" s="17">
        <f t="shared" si="660"/>
        <v>1.3704035017497338E-2</v>
      </c>
      <c r="BF397" s="18">
        <f t="shared" si="617"/>
        <v>0.43548112315593351</v>
      </c>
      <c r="BG397" s="19">
        <f t="shared" si="618"/>
        <v>981.5589364441729</v>
      </c>
      <c r="BH397" s="15">
        <f t="shared" si="661"/>
        <v>5.463117872888346E-6</v>
      </c>
      <c r="BI397" s="16">
        <f t="shared" si="662"/>
        <v>27.176927769107987</v>
      </c>
      <c r="BJ397" s="17">
        <f t="shared" si="663"/>
        <v>1.367250984066181E-2</v>
      </c>
      <c r="BK397" s="18">
        <f t="shared" si="619"/>
        <v>0.43664173414062796</v>
      </c>
      <c r="BL397" s="19">
        <f t="shared" si="620"/>
        <v>974.64811669713492</v>
      </c>
      <c r="BM397" s="15">
        <f t="shared" si="664"/>
        <v>5.44929623339427E-6</v>
      </c>
      <c r="BN397" s="16">
        <f t="shared" si="665"/>
        <v>27.097453342017051</v>
      </c>
      <c r="BO397" s="17">
        <f t="shared" si="666"/>
        <v>1.3637918512707006E-2</v>
      </c>
      <c r="BP397" s="18">
        <f t="shared" si="621"/>
        <v>0.43792236561646525</v>
      </c>
      <c r="BQ397" s="19">
        <f t="shared" si="622"/>
        <v>967.07053390378564</v>
      </c>
      <c r="BR397" s="15">
        <f t="shared" si="667"/>
        <v>5.4341410678075716E-6</v>
      </c>
      <c r="BS397" s="16">
        <f t="shared" si="668"/>
        <v>27.010311139893535</v>
      </c>
      <c r="BT397" s="17">
        <f t="shared" si="669"/>
        <v>1.359998977760698E-2</v>
      </c>
      <c r="BU397" s="18">
        <f t="shared" si="623"/>
        <v>0.43933521566107631</v>
      </c>
      <c r="BV397" s="19">
        <f t="shared" si="624"/>
        <v>958.58463884020068</v>
      </c>
      <c r="BW397" s="15">
        <f t="shared" si="670"/>
        <v>5.4171692776804019E-6</v>
      </c>
      <c r="BX397" s="16">
        <f t="shared" si="671"/>
        <v>26.912723346662307</v>
      </c>
      <c r="BY397" s="17">
        <f t="shared" si="672"/>
        <v>1.3557514587994297E-2</v>
      </c>
      <c r="BZ397" s="18">
        <f t="shared" si="625"/>
        <v>0.44092828201979722</v>
      </c>
      <c r="CA397" s="19">
        <f t="shared" si="626"/>
        <v>948.25379005310037</v>
      </c>
      <c r="CB397" s="15">
        <f t="shared" si="673"/>
        <v>5.3965075801062009E-6</v>
      </c>
      <c r="CC397" s="16">
        <f t="shared" si="674"/>
        <v>26.793918585610655</v>
      </c>
      <c r="CD397" s="17">
        <f t="shared" si="675"/>
        <v>1.3505804690829168E-2</v>
      </c>
      <c r="CE397" s="18">
        <f t="shared" si="627"/>
        <v>0.44288336667898587</v>
      </c>
      <c r="CF397" s="19">
        <f t="shared" si="628"/>
        <v>932.98978413732289</v>
      </c>
      <c r="CG397" s="15">
        <f t="shared" si="676"/>
        <v>5.3659795682746466E-6</v>
      </c>
      <c r="CH397" s="16">
        <f t="shared" si="677"/>
        <v>26.618382517579214</v>
      </c>
      <c r="CI397" s="17">
        <f t="shared" si="678"/>
        <v>1.3429402432650893E-2</v>
      </c>
      <c r="CJ397" s="18">
        <f t="shared" si="629"/>
        <v>0.44580398008335087</v>
      </c>
      <c r="CK397" s="19">
        <f t="shared" si="630"/>
        <v>904.41194318029193</v>
      </c>
      <c r="CL397" s="15">
        <f t="shared" si="679"/>
        <v>5.308823886360584E-6</v>
      </c>
      <c r="CM397" s="16">
        <f t="shared" si="680"/>
        <v>26.289737346573354</v>
      </c>
      <c r="CN397" s="17">
        <f t="shared" si="681"/>
        <v>1.3286359276416264E-2</v>
      </c>
      <c r="CO397" s="18">
        <f t="shared" si="631"/>
        <v>0.45137692755475961</v>
      </c>
      <c r="CP397" s="19">
        <f t="shared" si="632"/>
        <v>844.72129768731713</v>
      </c>
      <c r="CQ397" s="15">
        <f t="shared" si="682"/>
        <v>5.1894425953746345E-6</v>
      </c>
      <c r="CR397" s="16">
        <f t="shared" si="683"/>
        <v>25.603294923404146</v>
      </c>
      <c r="CS397" s="17">
        <f t="shared" si="684"/>
        <v>1.2987584489971223E-2</v>
      </c>
      <c r="CT397" s="18">
        <f t="shared" si="633"/>
        <v>0.46347866183701913</v>
      </c>
      <c r="CU397" s="19">
        <f t="shared" si="634"/>
        <v>726.95295639621656</v>
      </c>
      <c r="CV397" s="15">
        <f t="shared" si="685"/>
        <v>4.9539059127924336E-6</v>
      </c>
      <c r="CW397" s="16">
        <f t="shared" si="686"/>
        <v>24.248958998556489</v>
      </c>
      <c r="CX397" s="17">
        <f t="shared" si="687"/>
        <v>1.2398108354663278E-2</v>
      </c>
      <c r="CY397" s="18">
        <f t="shared" si="635"/>
        <v>0.48936454840903898</v>
      </c>
      <c r="CZ397" s="20">
        <f t="shared" ref="CZ397:CZ460" si="691">CZ396+((2*$CX397)*(CU396-CZ396))+((2*$CX397*$CY397)*($C$14-CZ396))+((($CX397*$CY397)/$C$5)*($C$14-CZ396))+(((CZ396-$C$14)*$CX397*($D$6^2))/($CW397*($D$4/(2*$C$263))))</f>
        <v>528.72286369766584</v>
      </c>
      <c r="DA397" s="15">
        <f t="shared" si="688"/>
        <v>6.7795376822301788E-6</v>
      </c>
      <c r="DB397" s="16">
        <f t="shared" si="689"/>
        <v>38.162036952767686</v>
      </c>
      <c r="DC397" s="17">
        <f t="shared" si="690"/>
        <v>1.6967105201122601E-2</v>
      </c>
      <c r="DD397" s="18">
        <f t="shared" si="636"/>
        <v>0.3109525019433555</v>
      </c>
    </row>
    <row r="398" spans="2:108" x14ac:dyDescent="0.25">
      <c r="B398">
        <v>131</v>
      </c>
      <c r="C398">
        <f t="shared" si="637"/>
        <v>0.12806752129122795</v>
      </c>
      <c r="D398" s="19">
        <f t="shared" si="640"/>
        <v>1017.8551013285105</v>
      </c>
      <c r="E398" s="15">
        <f t="shared" ref="E398:E461" si="692">IF($D398&gt;=650,((0.00002*$D398)+0.035)/10000,IF($D398&lt;650,((-0.0000000000003*($D398^4))+(0.0000000004*($D398^3))-(0.0000002*($D398^2))-(0.0001*$D398)+0.1409)/10000))</f>
        <v>5.535710202657022E-6</v>
      </c>
      <c r="F398" s="16">
        <f t="shared" si="641"/>
        <v>27.594333665277869</v>
      </c>
      <c r="G398" s="17">
        <f t="shared" si="638"/>
        <v>1.3854186195851643E-2</v>
      </c>
      <c r="H398" s="18">
        <f t="shared" ref="H398:H461" si="693">($C$263*$D$6)/F398</f>
        <v>0.4300368696581246</v>
      </c>
      <c r="I398" s="19">
        <f t="shared" ref="I398:I461" si="694">I397+(G398*(D397+N397-(2*I397))+((G398/(2*$I$18))*(N397-D397)))</f>
        <v>1017.5305758610593</v>
      </c>
      <c r="J398" s="15">
        <f t="shared" ref="J398:J461" si="695">IF($I398&gt;=650,((0.00002*$I398)+0.035)/10000,IF($I398&lt;650,((-0.0000000000003*($I398^4))+(0.0000000004*($I398^3))-(0.0000002*($I398^2))-(0.0001*$I398)+0.1409)/10000))</f>
        <v>5.5350611517221193E-6</v>
      </c>
      <c r="K398" s="16">
        <f t="shared" si="642"/>
        <v>27.590601622402183</v>
      </c>
      <c r="L398" s="17">
        <f t="shared" ref="L398:L461" si="696">($J398*$M$8)/($D$6^2)</f>
        <v>1.385256182026594E-2</v>
      </c>
      <c r="M398" s="18">
        <f t="shared" ref="M398:M461" si="697">($C$263*$D$6)/K398</f>
        <v>0.43009503859759374</v>
      </c>
      <c r="N398" s="19">
        <f t="shared" ref="N398:N461" si="698">N397+(L398*(I397+S397-(2*N397))+((L398/(2*N$18))*(S397-I397)))</f>
        <v>1016.6248331188465</v>
      </c>
      <c r="O398" s="15">
        <f t="shared" ref="O398:O461" si="699">IF($N398&gt;=650,((0.00002*$N398)+0.035)/10000,IF($N398&lt;650,((-0.0000000000003*($N398^4))+(0.0000000004*($N398^3))-(0.0000002*($N398^2))-(0.0001*$N398)+0.1409)/10000))</f>
        <v>5.5332496662376929E-6</v>
      </c>
      <c r="P398" s="16">
        <f t="shared" ref="P398:P461" si="700">IF($N398&lt;650,(53.495-(0.029*$N398)),IF($N398&lt;700,((0.00000000000000006*($N398^2))-(0.2008*$N398) + 164.43),IF($N398&lt;1250,((0.0115*$N398)+ 15.889))))</f>
        <v>27.580185580866733</v>
      </c>
      <c r="Q398" s="17">
        <f t="shared" si="639"/>
        <v>1.3854186195851643E-2</v>
      </c>
      <c r="R398" s="18">
        <f t="shared" ref="R398:R461" si="701">($C$263*$D$6)/P398</f>
        <v>0.43025746998418057</v>
      </c>
      <c r="S398" s="19">
        <f t="shared" ref="S398:S461" si="702">S397+(Q398*(N397+X397-(2*S397))+((Q398/(2*S$18))*(X397-N397)))</f>
        <v>1015.1234237388189</v>
      </c>
      <c r="T398" s="15">
        <f t="shared" ref="T398:T461" si="703">IF($S398&gt;=650,((0.00002*$S398)+0.035)/10000,IF($S398&lt;650,((-0.0000000000003*($S398^4))+(0.0000000004*($S398^3))-(0.0000002*($S398^2))-(0.0001*$S398)+0.1409)/10000))</f>
        <v>5.5302468474776379E-6</v>
      </c>
      <c r="U398" s="16">
        <f t="shared" ref="U398:U461" si="704">IF($S398&lt;650,(53.495-(0.029*$S398)),IF($S398&lt;700,((0.00000000000000006*($S398^2))-(0.2008*$S398) + 164.43),IF($S398&lt;1250,((0.0115*$S398)+ 15.889))))</f>
        <v>27.562919372996419</v>
      </c>
      <c r="V398" s="17">
        <f t="shared" ref="V398:V461" si="705">($T398*$M$8)/($D$6^2)</f>
        <v>1.3840513092105546E-2</v>
      </c>
      <c r="W398" s="18">
        <f t="shared" ref="W398:W461" si="706">($C$263*$D$6)/U398</f>
        <v>0.43052699567607011</v>
      </c>
      <c r="X398" s="19">
        <f t="shared" ref="X398:X461" si="707">X397+(V398*(S397+AC397-(2*X397))+((V398/(2*X$18))*(AC397-S397)))</f>
        <v>1013.0242367360361</v>
      </c>
      <c r="Y398" s="15">
        <f t="shared" ref="Y398:Y461" si="708">IF($X398&gt;=650,((0.00002*$X398)+0.035)/10000,IF($X398&lt;650,((-0.0000000000003*($X398^4))+(0.0000000004*($X398^3))-(0.0000002*($X398^2))-(0.0001*$X398)+0.1409)/10000))</f>
        <v>5.5260484734720727E-6</v>
      </c>
      <c r="Z398" s="16">
        <f t="shared" ref="Z398:Z461" si="709">IF($X398&lt;650,(53.495-(0.029*$X398)),IF($X398&lt;700,((0.00000000000000006*($X398^2))-(0.2008*$X398) + 164.43),IF($X398&lt;1250,((0.0115*$X398)+ 15.889))))</f>
        <v>27.538778722464414</v>
      </c>
      <c r="AA398" s="17">
        <f t="shared" ref="AA398:AA461" si="710">($Y398*$M$8)/($D$6^2)</f>
        <v>1.383000584857878E-2</v>
      </c>
      <c r="AB398" s="18">
        <f t="shared" ref="AB398:AB461" si="711">($C$263*$D$6)/Z398</f>
        <v>0.43090439809656061</v>
      </c>
      <c r="AC398" s="19">
        <f t="shared" ref="AC398:AC461" si="712">AC397+(AA398*(X397+AH397-(2*AC397))+((AA398/(2*AC$18))*(AH397-X397)))</f>
        <v>1010.3258349075835</v>
      </c>
      <c r="AD398" s="15">
        <f t="shared" si="643"/>
        <v>5.520651669815167E-6</v>
      </c>
      <c r="AE398" s="16">
        <f t="shared" si="644"/>
        <v>27.507747101437211</v>
      </c>
      <c r="AF398" s="17">
        <f t="shared" si="645"/>
        <v>1.3816499302898456E-2</v>
      </c>
      <c r="AG398" s="18">
        <f t="shared" ref="AG398:AG461" si="713">($C$263*$D$6)/AE398</f>
        <v>0.43139050340832524</v>
      </c>
      <c r="AH398" s="19">
        <f t="shared" ref="AH398:AH461" si="714">AH397+(AF398*(AC397+AM397-(2*AH397))+((AF398/(2*AH$18))*(AM397-AC397)))</f>
        <v>1007.0279678003432</v>
      </c>
      <c r="AI398" s="15">
        <f t="shared" si="646"/>
        <v>5.5140559356006872E-6</v>
      </c>
      <c r="AJ398" s="16">
        <f t="shared" si="647"/>
        <v>27.469821629703944</v>
      </c>
      <c r="AK398" s="17">
        <f t="shared" si="648"/>
        <v>1.3799992201449778E-2</v>
      </c>
      <c r="AL398" s="18">
        <f t="shared" ref="AL398:AL461" si="715">($C$263*$D$6)/AJ398</f>
        <v>0.43198609112504061</v>
      </c>
      <c r="AM398" s="19">
        <f t="shared" ref="AM398:AM461" si="716">AM397+(AK398*(AH397+AR397-(2*AM397))+((AK398/(2*AM$18))*(AR397-AH397)))</f>
        <v>1003.1305751925796</v>
      </c>
      <c r="AN398" s="15">
        <f t="shared" si="649"/>
        <v>5.5062611503851594E-6</v>
      </c>
      <c r="AO398" s="16">
        <f t="shared" si="650"/>
        <v>27.425001614714667</v>
      </c>
      <c r="AP398" s="17">
        <f t="shared" si="651"/>
        <v>1.3780484242799637E-2</v>
      </c>
      <c r="AQ398" s="18">
        <f t="shared" ref="AQ398:AQ461" si="717">($C$263*$D$6)/AO398</f>
        <v>0.43269207551663291</v>
      </c>
      <c r="AR398" s="19">
        <f t="shared" ref="AR398:AR461" si="718">AR397+(AP398*(AM397+AW397-(2*AR397))+((AP398/(2*AR$18))*(AW397-AM397)))</f>
        <v>998.63364249321444</v>
      </c>
      <c r="AS398" s="15">
        <f t="shared" si="652"/>
        <v>5.4972672849864294E-6</v>
      </c>
      <c r="AT398" s="16">
        <f t="shared" si="653"/>
        <v>27.373286888671963</v>
      </c>
      <c r="AU398" s="17">
        <f t="shared" si="654"/>
        <v>1.3757975353914046E-2</v>
      </c>
      <c r="AV398" s="18">
        <f t="shared" ref="AV398:AV461" si="719">($C$263*$D$6)/AT398</f>
        <v>0.43350953497034039</v>
      </c>
      <c r="AW398" s="19">
        <f t="shared" ref="AW398:AW461" si="720">AW397+(AU398*(AR397+BB397-(2*AW397))+((AU398/(2*AW$18))*(BB397-AR397)))</f>
        <v>993.53712189289638</v>
      </c>
      <c r="AX398" s="15">
        <f t="shared" si="655"/>
        <v>5.4870742437857927E-6</v>
      </c>
      <c r="AY398" s="16">
        <f t="shared" si="656"/>
        <v>27.314676901768308</v>
      </c>
      <c r="AZ398" s="17">
        <f t="shared" si="657"/>
        <v>1.3732465295488692E-2</v>
      </c>
      <c r="BA398" s="18">
        <f t="shared" ref="BA398:BA461" si="721">($C$263*$D$6)/AY398</f>
        <v>0.43443973042015649</v>
      </c>
      <c r="BB398" s="19">
        <f t="shared" ref="BB398:BB461" si="722">BB397+(AZ398*(AW397+BG397-(2*BB397))+((AZ398/(2*BB$18))*(BG397-AW397)))</f>
        <v>987.84068578361121</v>
      </c>
      <c r="BC398" s="15">
        <f t="shared" si="658"/>
        <v>5.4756813715672235E-6</v>
      </c>
      <c r="BD398" s="16">
        <f t="shared" si="659"/>
        <v>27.249167886511529</v>
      </c>
      <c r="BE398" s="17">
        <f t="shared" si="660"/>
        <v>1.3703952427718656E-2</v>
      </c>
      <c r="BF398" s="18">
        <f t="shared" ref="BF398:BF461" si="723">($C$263*$D$6)/BD398</f>
        <v>0.43548415566817783</v>
      </c>
      <c r="BG398" s="19">
        <f t="shared" ref="BG398:BG461" si="724">BG397+(BE398*(BB397+BL397-(2*BG397))+((BE398/(2*BG$18))*(BL397-BB397)))</f>
        <v>981.54231379012538</v>
      </c>
      <c r="BH398" s="15">
        <f t="shared" si="661"/>
        <v>5.463084627580252E-6</v>
      </c>
      <c r="BI398" s="16">
        <f t="shared" si="662"/>
        <v>27.176736608586442</v>
      </c>
      <c r="BJ398" s="17">
        <f t="shared" si="663"/>
        <v>1.3672426637843816E-2</v>
      </c>
      <c r="BK398" s="18">
        <f t="shared" ref="BK398:BK461" si="725">($C$263*$D$6)/BI398</f>
        <v>0.43664480546824275</v>
      </c>
      <c r="BL398" s="19">
        <f t="shared" ref="BL398:BL461" si="726">BL397+(BJ398*(BG397+BQ397-(2*BL397))+((BJ398/(2*BL$18))*(BQ397-BG397)))</f>
        <v>974.63074661076473</v>
      </c>
      <c r="BM398" s="15">
        <f t="shared" si="664"/>
        <v>5.4492614932215301E-6</v>
      </c>
      <c r="BN398" s="16">
        <f t="shared" si="665"/>
        <v>27.097253586023793</v>
      </c>
      <c r="BO398" s="17">
        <f t="shared" si="666"/>
        <v>1.3637831568700909E-2</v>
      </c>
      <c r="BP398" s="18">
        <f t="shared" ref="BP398:BP461" si="727">($C$263*$D$6)/BN398</f>
        <v>0.43792559389998242</v>
      </c>
      <c r="BQ398" s="19">
        <f t="shared" ref="BQ398:BQ461" si="728">BQ397+(BO398*(BL397+BV397-(2*BQ397))+((BO398/(2*BQ$18))*(BV397-BL397)))</f>
        <v>967.04972068613165</v>
      </c>
      <c r="BR398" s="15">
        <f t="shared" si="667"/>
        <v>5.4340994413722644E-6</v>
      </c>
      <c r="BS398" s="16">
        <f t="shared" si="668"/>
        <v>27.010071787890514</v>
      </c>
      <c r="BT398" s="17">
        <f t="shared" si="669"/>
        <v>1.3599885599396002E-2</v>
      </c>
      <c r="BU398" s="18">
        <f t="shared" ref="BU398:BU461" si="729">($C$263*$D$6)/BS398</f>
        <v>0.43933910886671801</v>
      </c>
      <c r="BV398" s="19">
        <f t="shared" ref="BV398:BV461" si="730">BV397+(BT398*(BQ397+CA397-(2*BV397))+((BT398/(2*BV$18))*(CA397-BQ397)))</f>
        <v>958.55040819620604</v>
      </c>
      <c r="BW398" s="15">
        <f t="shared" si="670"/>
        <v>5.4171008163924123E-6</v>
      </c>
      <c r="BX398" s="16">
        <f t="shared" si="671"/>
        <v>26.912329694256371</v>
      </c>
      <c r="BY398" s="17">
        <f t="shared" si="672"/>
        <v>1.3557343250370706E-2</v>
      </c>
      <c r="BZ398" s="18">
        <f t="shared" ref="BZ398:BZ461" si="731">($C$263*$D$6)/BX398</f>
        <v>0.44093473157214125</v>
      </c>
      <c r="CA398" s="19">
        <f t="shared" ref="CA398:CA461" si="732">CA397+(BY398*(BV397+CF397-(2*CA397))+((BY398/(2*CA$18))*(CF397-BV397)))</f>
        <v>948.17534294091058</v>
      </c>
      <c r="CB398" s="15">
        <f t="shared" si="673"/>
        <v>5.3963506858818217E-6</v>
      </c>
      <c r="CC398" s="16">
        <f t="shared" si="674"/>
        <v>26.79301644382047</v>
      </c>
      <c r="CD398" s="17">
        <f t="shared" si="675"/>
        <v>1.3505412032666435E-2</v>
      </c>
      <c r="CE398" s="18">
        <f t="shared" ref="CE398:CE461" si="733">($C$263*$D$6)/CC398</f>
        <v>0.44289827890785333</v>
      </c>
      <c r="CF398" s="19">
        <f t="shared" ref="CF398:CF461" si="734">CF397+(CD398*(CA397+CK397-(2*CF397))+((CD398/(2*CF$18))*(CK397-CA397)))</f>
        <v>932.79147211540919</v>
      </c>
      <c r="CG398" s="15">
        <f t="shared" si="676"/>
        <v>5.3655829442308189E-6</v>
      </c>
      <c r="CH398" s="16">
        <f t="shared" si="677"/>
        <v>26.616101929327204</v>
      </c>
      <c r="CI398" s="17">
        <f t="shared" si="678"/>
        <v>1.3428409804216277E-2</v>
      </c>
      <c r="CJ398" s="18">
        <f t="shared" ref="CJ398:CJ461" si="735">($C$263*$D$6)/CH398</f>
        <v>0.44584217858899144</v>
      </c>
      <c r="CK398" s="19">
        <f t="shared" ref="CK398:CK461" si="736">CK397+(CI398*(CF397+CP397-(2*CK397))+((CI398/(2*CK$18))*(CP397-CF397)))</f>
        <v>903.95928576703511</v>
      </c>
      <c r="CL398" s="15">
        <f t="shared" si="679"/>
        <v>5.3079185715340705E-6</v>
      </c>
      <c r="CM398" s="16">
        <f t="shared" si="680"/>
        <v>26.284531786320905</v>
      </c>
      <c r="CN398" s="17">
        <f t="shared" si="681"/>
        <v>1.3284093550842991E-2</v>
      </c>
      <c r="CO398" s="18">
        <f t="shared" ref="CO398:CO461" si="737">($C$263*$D$6)/CM398</f>
        <v>0.45146632118794483</v>
      </c>
      <c r="CP398" s="19">
        <f t="shared" ref="CP398:CP461" si="738">CP397+(CN398*(CK397+CU397-(2*CP397))+((CN398/(2*CP$18))*(CU397-CK397)))</f>
        <v>843.88430531584311</v>
      </c>
      <c r="CQ398" s="15">
        <f t="shared" si="682"/>
        <v>5.1877686106316866E-6</v>
      </c>
      <c r="CR398" s="16">
        <f t="shared" si="683"/>
        <v>25.593669511132195</v>
      </c>
      <c r="CS398" s="17">
        <f t="shared" si="684"/>
        <v>1.2983395019159205E-2</v>
      </c>
      <c r="CT398" s="18">
        <f t="shared" ref="CT398:CT461" si="739">($C$263*$D$6)/CR398</f>
        <v>0.46365296951874851</v>
      </c>
      <c r="CU398" s="19">
        <f t="shared" ref="CU398:CU461" si="740">CU397+(CS398*(CP397+CZ397-(2*CU397))+((CS398/(2*CU$18))*(CZ397-CP397)))</f>
        <v>725.80032304918336</v>
      </c>
      <c r="CV398" s="15">
        <f t="shared" si="685"/>
        <v>4.951600646098367E-6</v>
      </c>
      <c r="CW398" s="16">
        <f t="shared" si="686"/>
        <v>24.235703715065608</v>
      </c>
      <c r="CX398" s="17">
        <f t="shared" si="687"/>
        <v>1.2392338978586588E-2</v>
      </c>
      <c r="CY398" s="18">
        <f t="shared" ref="CY398:CY461" si="741">($C$263*$D$6)/CW398</f>
        <v>0.48963219757226573</v>
      </c>
      <c r="CZ398" s="20">
        <f t="shared" si="691"/>
        <v>527.67588785044074</v>
      </c>
      <c r="DA398" s="15">
        <f t="shared" si="688"/>
        <v>6.7955903382352991E-6</v>
      </c>
      <c r="DB398" s="16">
        <f t="shared" si="689"/>
        <v>38.192399252337211</v>
      </c>
      <c r="DC398" s="17">
        <f t="shared" si="690"/>
        <v>1.7007280079700263E-2</v>
      </c>
      <c r="DD398" s="18">
        <f t="shared" ref="DD398:DD461" si="742">($C$263*$D$6)/DB398</f>
        <v>0.31070530006023944</v>
      </c>
    </row>
    <row r="399" spans="2:108" x14ac:dyDescent="0.25">
      <c r="B399">
        <v>132</v>
      </c>
      <c r="C399">
        <f t="shared" ref="C399:C462" si="743">$B399*$M$8</f>
        <v>0.12904513595757319</v>
      </c>
      <c r="D399" s="19">
        <f t="shared" si="640"/>
        <v>1017.8385326975363</v>
      </c>
      <c r="E399" s="15">
        <f t="shared" si="692"/>
        <v>5.5356770653950726E-6</v>
      </c>
      <c r="F399" s="16">
        <f t="shared" si="641"/>
        <v>27.594143126021667</v>
      </c>
      <c r="G399" s="17">
        <f t="shared" si="638"/>
        <v>1.3854103263440037E-2</v>
      </c>
      <c r="H399" s="18">
        <f t="shared" si="693"/>
        <v>0.43003983908917054</v>
      </c>
      <c r="I399" s="19">
        <f t="shared" si="694"/>
        <v>1017.514001485507</v>
      </c>
      <c r="J399" s="15">
        <f t="shared" si="695"/>
        <v>5.5350280029710149E-6</v>
      </c>
      <c r="K399" s="16">
        <f t="shared" si="642"/>
        <v>27.59041101708333</v>
      </c>
      <c r="L399" s="17">
        <f t="shared" si="696"/>
        <v>1.3852478859100499E-2</v>
      </c>
      <c r="M399" s="18">
        <f t="shared" si="697"/>
        <v>0.43009800986184626</v>
      </c>
      <c r="N399" s="19">
        <f t="shared" si="698"/>
        <v>1016.6082454033681</v>
      </c>
      <c r="O399" s="15">
        <f t="shared" si="699"/>
        <v>5.5332164908067363E-6</v>
      </c>
      <c r="P399" s="16">
        <f t="shared" si="700"/>
        <v>27.57999482213873</v>
      </c>
      <c r="Q399" s="17">
        <f t="shared" si="639"/>
        <v>1.3854103263440037E-2</v>
      </c>
      <c r="R399" s="18">
        <f t="shared" si="701"/>
        <v>0.43026044588639584</v>
      </c>
      <c r="S399" s="19">
        <f t="shared" si="702"/>
        <v>1015.1068282268884</v>
      </c>
      <c r="T399" s="15">
        <f t="shared" si="703"/>
        <v>5.5302136564537771E-6</v>
      </c>
      <c r="U399" s="16">
        <f t="shared" si="704"/>
        <v>27.562728524609216</v>
      </c>
      <c r="V399" s="17">
        <f t="shared" si="705"/>
        <v>1.3840430025144351E-2</v>
      </c>
      <c r="W399" s="18">
        <f t="shared" si="706"/>
        <v>0.43052997670832527</v>
      </c>
      <c r="X399" s="19">
        <f t="shared" si="707"/>
        <v>1013.0076432586078</v>
      </c>
      <c r="Y399" s="15">
        <f t="shared" si="708"/>
        <v>5.526015286517216E-6</v>
      </c>
      <c r="Z399" s="16">
        <f t="shared" si="709"/>
        <v>27.538587897473988</v>
      </c>
      <c r="AA399" s="17">
        <f t="shared" si="710"/>
        <v>1.3829922791801053E-2</v>
      </c>
      <c r="AB399" s="18">
        <f t="shared" si="711"/>
        <v>0.4309073839914056</v>
      </c>
      <c r="AC399" s="19">
        <f t="shared" si="712"/>
        <v>1010.3092515554196</v>
      </c>
      <c r="AD399" s="15">
        <f t="shared" si="643"/>
        <v>5.5206185031108402E-6</v>
      </c>
      <c r="AE399" s="16">
        <f t="shared" si="644"/>
        <v>27.507556392887324</v>
      </c>
      <c r="AF399" s="17">
        <f t="shared" si="645"/>
        <v>1.3816416296801602E-2</v>
      </c>
      <c r="AG399" s="18">
        <f t="shared" si="713"/>
        <v>0.43139349421769291</v>
      </c>
      <c r="AH399" s="19">
        <f t="shared" si="714"/>
        <v>1007.0114001144818</v>
      </c>
      <c r="AI399" s="15">
        <f t="shared" si="646"/>
        <v>5.5140228002289638E-6</v>
      </c>
      <c r="AJ399" s="16">
        <f t="shared" si="647"/>
        <v>27.469631101316541</v>
      </c>
      <c r="AK399" s="17">
        <f t="shared" si="648"/>
        <v>1.3799909273768824E-2</v>
      </c>
      <c r="AL399" s="18">
        <f t="shared" si="715"/>
        <v>0.43198908736525288</v>
      </c>
      <c r="AM399" s="19">
        <f t="shared" si="716"/>
        <v>1003.1140272417343</v>
      </c>
      <c r="AN399" s="15">
        <f t="shared" si="649"/>
        <v>5.5062280544834697E-6</v>
      </c>
      <c r="AO399" s="16">
        <f t="shared" si="650"/>
        <v>27.424811313279946</v>
      </c>
      <c r="AP399" s="17">
        <f t="shared" si="651"/>
        <v>1.3780401413900084E-2</v>
      </c>
      <c r="AQ399" s="18">
        <f t="shared" si="717"/>
        <v>0.43269507797750029</v>
      </c>
      <c r="AR399" s="19">
        <f t="shared" si="718"/>
        <v>998.61711732891797</v>
      </c>
      <c r="AS399" s="15">
        <f t="shared" si="652"/>
        <v>5.4972342346578362E-6</v>
      </c>
      <c r="AT399" s="16">
        <f t="shared" si="653"/>
        <v>27.373096849282554</v>
      </c>
      <c r="AU399" s="17">
        <f t="shared" si="654"/>
        <v>1.3757892639069987E-2</v>
      </c>
      <c r="AV399" s="18">
        <f t="shared" si="719"/>
        <v>0.43351254463664823</v>
      </c>
      <c r="AW399" s="19">
        <f t="shared" si="720"/>
        <v>993.52061896752764</v>
      </c>
      <c r="AX399" s="15">
        <f t="shared" si="655"/>
        <v>5.4870412379350555E-6</v>
      </c>
      <c r="AY399" s="16">
        <f t="shared" si="656"/>
        <v>27.314487118126568</v>
      </c>
      <c r="AZ399" s="17">
        <f t="shared" si="657"/>
        <v>1.3732382691959076E-2</v>
      </c>
      <c r="BA399" s="18">
        <f t="shared" si="721"/>
        <v>0.43444274894852197</v>
      </c>
      <c r="BB399" s="19">
        <f t="shared" si="722"/>
        <v>987.8241839049341</v>
      </c>
      <c r="BC399" s="15">
        <f t="shared" si="658"/>
        <v>5.475648367809868E-6</v>
      </c>
      <c r="BD399" s="16">
        <f t="shared" si="659"/>
        <v>27.248978114906741</v>
      </c>
      <c r="BE399" s="17">
        <f t="shared" si="660"/>
        <v>1.3703869829428133E-2</v>
      </c>
      <c r="BF399" s="18">
        <f t="shared" si="723"/>
        <v>0.4354871885351988</v>
      </c>
      <c r="BG399" s="19">
        <f t="shared" si="724"/>
        <v>981.52568213007817</v>
      </c>
      <c r="BH399" s="15">
        <f t="shared" si="661"/>
        <v>5.4630513642601564E-6</v>
      </c>
      <c r="BI399" s="16">
        <f t="shared" si="662"/>
        <v>27.176545344495899</v>
      </c>
      <c r="BJ399" s="17">
        <f t="shared" si="663"/>
        <v>1.3672343389947298E-2</v>
      </c>
      <c r="BK399" s="18">
        <f t="shared" si="725"/>
        <v>0.43664787850311709</v>
      </c>
      <c r="BL399" s="19">
        <f t="shared" si="726"/>
        <v>974.61333738635028</v>
      </c>
      <c r="BM399" s="15">
        <f t="shared" si="664"/>
        <v>5.449226674772701E-6</v>
      </c>
      <c r="BN399" s="16">
        <f t="shared" si="665"/>
        <v>27.097053379943027</v>
      </c>
      <c r="BO399" s="17">
        <f t="shared" si="666"/>
        <v>1.3637744428793747E-2</v>
      </c>
      <c r="BP399" s="18">
        <f t="shared" si="727"/>
        <v>0.43792882950518247</v>
      </c>
      <c r="BQ399" s="19">
        <f t="shared" si="728"/>
        <v>967.02876273073309</v>
      </c>
      <c r="BR399" s="15">
        <f t="shared" si="667"/>
        <v>5.4340575254614663E-6</v>
      </c>
      <c r="BS399" s="16">
        <f t="shared" si="668"/>
        <v>27.009830771403429</v>
      </c>
      <c r="BT399" s="17">
        <f t="shared" si="669"/>
        <v>1.3599780696716579E-2</v>
      </c>
      <c r="BU399" s="18">
        <f t="shared" si="729"/>
        <v>0.43934302921592544</v>
      </c>
      <c r="BV399" s="19">
        <f t="shared" si="730"/>
        <v>958.51573096287996</v>
      </c>
      <c r="BW399" s="15">
        <f t="shared" si="670"/>
        <v>5.4170314619257601E-6</v>
      </c>
      <c r="BX399" s="16">
        <f t="shared" si="671"/>
        <v>26.911930906073117</v>
      </c>
      <c r="BY399" s="17">
        <f t="shared" si="672"/>
        <v>1.355716967739464E-2</v>
      </c>
      <c r="BZ399" s="18">
        <f t="shared" si="731"/>
        <v>0.44094126546081502</v>
      </c>
      <c r="CA399" s="19">
        <f t="shared" si="732"/>
        <v>948.09579710500896</v>
      </c>
      <c r="CB399" s="15">
        <f t="shared" si="673"/>
        <v>5.3961915942100192E-6</v>
      </c>
      <c r="CC399" s="16">
        <f t="shared" si="674"/>
        <v>26.792101666707602</v>
      </c>
      <c r="CD399" s="17">
        <f t="shared" si="675"/>
        <v>1.3505013874966216E-2</v>
      </c>
      <c r="CE399" s="18">
        <f t="shared" si="733"/>
        <v>0.44291340102159837</v>
      </c>
      <c r="CF399" s="19">
        <f t="shared" si="734"/>
        <v>932.59119185062696</v>
      </c>
      <c r="CG399" s="15">
        <f t="shared" si="676"/>
        <v>5.3651823837012544E-6</v>
      </c>
      <c r="CH399" s="16">
        <f t="shared" si="677"/>
        <v>26.613798706282211</v>
      </c>
      <c r="CI399" s="17">
        <f t="shared" si="678"/>
        <v>1.3427407323964217E-2</v>
      </c>
      <c r="CJ399" s="18">
        <f t="shared" si="735"/>
        <v>0.44588076285843337</v>
      </c>
      <c r="CK399" s="19">
        <f t="shared" si="736"/>
        <v>903.50466449342377</v>
      </c>
      <c r="CL399" s="15">
        <f t="shared" si="679"/>
        <v>5.3070093289868477E-6</v>
      </c>
      <c r="CM399" s="16">
        <f t="shared" si="680"/>
        <v>26.279303641674375</v>
      </c>
      <c r="CN399" s="17">
        <f t="shared" si="681"/>
        <v>1.328181799538845E-2</v>
      </c>
      <c r="CO399" s="18">
        <f t="shared" si="737"/>
        <v>0.45155613830267477</v>
      </c>
      <c r="CP399" s="19">
        <f t="shared" si="738"/>
        <v>843.0481104528285</v>
      </c>
      <c r="CQ399" s="15">
        <f t="shared" si="682"/>
        <v>5.1860962209056574E-6</v>
      </c>
      <c r="CR399" s="16">
        <f t="shared" si="683"/>
        <v>25.584053270207527</v>
      </c>
      <c r="CS399" s="17">
        <f t="shared" si="684"/>
        <v>1.2979209540185738E-2</v>
      </c>
      <c r="CT399" s="18">
        <f t="shared" si="739"/>
        <v>0.46382724208663445</v>
      </c>
      <c r="CU399" s="19">
        <f t="shared" si="740"/>
        <v>724.65345767813244</v>
      </c>
      <c r="CV399" s="15">
        <f t="shared" si="685"/>
        <v>4.9493069153562646E-6</v>
      </c>
      <c r="CW399" s="16">
        <f t="shared" si="686"/>
        <v>24.22251476329852</v>
      </c>
      <c r="CX399" s="17">
        <f t="shared" si="687"/>
        <v>1.2386598473462424E-2</v>
      </c>
      <c r="CY399" s="18">
        <f t="shared" si="741"/>
        <v>0.48989879810901837</v>
      </c>
      <c r="CZ399" s="20">
        <f t="shared" si="691"/>
        <v>526.63592464315388</v>
      </c>
      <c r="DA399" s="15">
        <f t="shared" si="688"/>
        <v>6.8115207182975245E-6</v>
      </c>
      <c r="DB399" s="16">
        <f t="shared" si="689"/>
        <v>38.222558185348532</v>
      </c>
      <c r="DC399" s="17">
        <f t="shared" si="690"/>
        <v>1.7047148939064838E-2</v>
      </c>
      <c r="DD399" s="18">
        <f t="shared" si="742"/>
        <v>0.31046014272970862</v>
      </c>
    </row>
    <row r="400" spans="2:108" x14ac:dyDescent="0.25">
      <c r="B400">
        <v>133</v>
      </c>
      <c r="C400">
        <f t="shared" si="743"/>
        <v>0.13002275062391844</v>
      </c>
      <c r="D400" s="19">
        <f t="shared" si="640"/>
        <v>1017.821963773273</v>
      </c>
      <c r="E400" s="15">
        <f t="shared" si="692"/>
        <v>5.5356439275465461E-6</v>
      </c>
      <c r="F400" s="16">
        <f t="shared" si="641"/>
        <v>27.593952583392639</v>
      </c>
      <c r="G400" s="17">
        <f t="shared" si="638"/>
        <v>1.3854020329560407E-2</v>
      </c>
      <c r="H400" s="18">
        <f t="shared" si="693"/>
        <v>0.43004280861378935</v>
      </c>
      <c r="I400" s="19">
        <f t="shared" si="694"/>
        <v>1017.4974269717482</v>
      </c>
      <c r="J400" s="15">
        <f t="shared" si="695"/>
        <v>5.5349948539434967E-6</v>
      </c>
      <c r="K400" s="16">
        <f t="shared" si="642"/>
        <v>27.590220410175103</v>
      </c>
      <c r="L400" s="17">
        <f t="shared" si="696"/>
        <v>1.3852395897243276E-2</v>
      </c>
      <c r="M400" s="18">
        <f t="shared" si="697"/>
        <v>0.43010098119192902</v>
      </c>
      <c r="N400" s="19">
        <f t="shared" si="698"/>
        <v>1016.5916577908258</v>
      </c>
      <c r="O400" s="15">
        <f t="shared" si="699"/>
        <v>5.533183315581652E-6</v>
      </c>
      <c r="P400" s="16">
        <f t="shared" si="700"/>
        <v>27.579804064594498</v>
      </c>
      <c r="Q400" s="17">
        <f t="shared" si="639"/>
        <v>1.3854020329560407E-2</v>
      </c>
      <c r="R400" s="18">
        <f t="shared" si="701"/>
        <v>0.43026342181130978</v>
      </c>
      <c r="S400" s="19">
        <f t="shared" si="702"/>
        <v>1015.0902329371964</v>
      </c>
      <c r="T400" s="15">
        <f t="shared" si="703"/>
        <v>5.5301804658743927E-6</v>
      </c>
      <c r="U400" s="16">
        <f t="shared" si="704"/>
        <v>27.562537678777758</v>
      </c>
      <c r="V400" s="17">
        <f t="shared" si="705"/>
        <v>1.3840346959295542E-2</v>
      </c>
      <c r="W400" s="18">
        <f t="shared" si="706"/>
        <v>0.43053295774194161</v>
      </c>
      <c r="X400" s="19">
        <f t="shared" si="707"/>
        <v>1012.9910500137842</v>
      </c>
      <c r="Y400" s="15">
        <f t="shared" si="708"/>
        <v>5.5259821000275692E-6</v>
      </c>
      <c r="Z400" s="16">
        <f t="shared" si="709"/>
        <v>27.538397075158517</v>
      </c>
      <c r="AA400" s="17">
        <f t="shared" si="710"/>
        <v>1.3829839736187606E-2</v>
      </c>
      <c r="AB400" s="18">
        <f t="shared" si="711"/>
        <v>0.43091036988577491</v>
      </c>
      <c r="AC400" s="19">
        <f t="shared" si="712"/>
        <v>1010.2926684151479</v>
      </c>
      <c r="AD400" s="15">
        <f t="shared" si="643"/>
        <v>5.5205853368302967E-6</v>
      </c>
      <c r="AE400" s="16">
        <f t="shared" si="644"/>
        <v>27.5073656867742</v>
      </c>
      <c r="AF400" s="17">
        <f t="shared" si="645"/>
        <v>1.3816333291765345E-2</v>
      </c>
      <c r="AG400" s="18">
        <f t="shared" si="713"/>
        <v>0.43139648503031541</v>
      </c>
      <c r="AH400" s="19">
        <f t="shared" si="714"/>
        <v>1006.9948326251288</v>
      </c>
      <c r="AI400" s="15">
        <f t="shared" si="646"/>
        <v>5.5139896652502577E-6</v>
      </c>
      <c r="AJ400" s="16">
        <f t="shared" si="647"/>
        <v>27.46944057518898</v>
      </c>
      <c r="AK400" s="17">
        <f t="shared" si="648"/>
        <v>1.3799826347071475E-2</v>
      </c>
      <c r="AL400" s="18">
        <f t="shared" si="715"/>
        <v>0.43199208361149016</v>
      </c>
      <c r="AM400" s="19">
        <f t="shared" si="716"/>
        <v>1003.0974794743536</v>
      </c>
      <c r="AN400" s="15">
        <f t="shared" si="649"/>
        <v>5.5061949589487079E-6</v>
      </c>
      <c r="AO400" s="16">
        <f t="shared" si="650"/>
        <v>27.424621013955065</v>
      </c>
      <c r="AP400" s="17">
        <f t="shared" si="651"/>
        <v>1.3780318585918837E-2</v>
      </c>
      <c r="AQ400" s="18">
        <f t="shared" si="717"/>
        <v>0.43269808044674779</v>
      </c>
      <c r="AR400" s="19">
        <f t="shared" si="718"/>
        <v>998.60059229517969</v>
      </c>
      <c r="AS400" s="15">
        <f t="shared" si="652"/>
        <v>5.4972011845903596E-6</v>
      </c>
      <c r="AT400" s="16">
        <f t="shared" si="653"/>
        <v>27.372906811394564</v>
      </c>
      <c r="AU400" s="17">
        <f t="shared" si="654"/>
        <v>1.3757809924879424E-2</v>
      </c>
      <c r="AV400" s="18">
        <f t="shared" si="719"/>
        <v>0.43351555432096739</v>
      </c>
      <c r="AW400" s="19">
        <f t="shared" si="720"/>
        <v>993.50411586761561</v>
      </c>
      <c r="AX400" s="15">
        <f t="shared" si="655"/>
        <v>5.4870082317352323E-6</v>
      </c>
      <c r="AY400" s="16">
        <f t="shared" si="656"/>
        <v>27.31429733247758</v>
      </c>
      <c r="AZ400" s="17">
        <f t="shared" si="657"/>
        <v>1.3732300087555807E-2</v>
      </c>
      <c r="BA400" s="18">
        <f t="shared" si="721"/>
        <v>0.43444576755075998</v>
      </c>
      <c r="BB400" s="19">
        <f t="shared" si="722"/>
        <v>987.80768024055942</v>
      </c>
      <c r="BC400" s="15">
        <f t="shared" si="658"/>
        <v>5.4756153604811193E-6</v>
      </c>
      <c r="BD400" s="16">
        <f t="shared" si="659"/>
        <v>27.248788322766433</v>
      </c>
      <c r="BE400" s="17">
        <f t="shared" si="660"/>
        <v>1.3703787222199509E-2</v>
      </c>
      <c r="BF400" s="18">
        <f t="shared" si="723"/>
        <v>0.43549022177266278</v>
      </c>
      <c r="BG400" s="19">
        <f t="shared" si="724"/>
        <v>981.50904112802141</v>
      </c>
      <c r="BH400" s="15">
        <f t="shared" si="661"/>
        <v>5.4630180822560439E-6</v>
      </c>
      <c r="BI400" s="16">
        <f t="shared" si="662"/>
        <v>27.176353972972244</v>
      </c>
      <c r="BJ400" s="17">
        <f t="shared" si="663"/>
        <v>1.3672260095290413E-2</v>
      </c>
      <c r="BK400" s="18">
        <f t="shared" si="725"/>
        <v>0.43665095330740811</v>
      </c>
      <c r="BL400" s="19">
        <f t="shared" si="726"/>
        <v>974.59588791529245</v>
      </c>
      <c r="BM400" s="15">
        <f t="shared" si="664"/>
        <v>5.449191775830585E-6</v>
      </c>
      <c r="BN400" s="16">
        <f t="shared" si="665"/>
        <v>27.096852711025861</v>
      </c>
      <c r="BO400" s="17">
        <f t="shared" si="666"/>
        <v>1.3637657087436557E-2</v>
      </c>
      <c r="BP400" s="18">
        <f t="shared" si="727"/>
        <v>0.43793207263843303</v>
      </c>
      <c r="BQ400" s="19">
        <f t="shared" si="728"/>
        <v>967.00765714961869</v>
      </c>
      <c r="BR400" s="15">
        <f t="shared" si="667"/>
        <v>5.4340153142992384E-6</v>
      </c>
      <c r="BS400" s="16">
        <f t="shared" si="668"/>
        <v>27.009588057220615</v>
      </c>
      <c r="BT400" s="17">
        <f t="shared" si="669"/>
        <v>1.359967505511331E-2</v>
      </c>
      <c r="BU400" s="18">
        <f t="shared" si="729"/>
        <v>0.43934697725038213</v>
      </c>
      <c r="BV400" s="19">
        <f t="shared" si="730"/>
        <v>958.48060192193884</v>
      </c>
      <c r="BW400" s="15">
        <f t="shared" si="670"/>
        <v>5.4169612038438785E-6</v>
      </c>
      <c r="BX400" s="16">
        <f t="shared" si="671"/>
        <v>26.911526922102297</v>
      </c>
      <c r="BY400" s="17">
        <f t="shared" si="672"/>
        <v>1.3556993842946572E-2</v>
      </c>
      <c r="BZ400" s="18">
        <f t="shared" si="731"/>
        <v>0.44094788467658214</v>
      </c>
      <c r="CA400" s="19">
        <f t="shared" si="732"/>
        <v>948.01514895228888</v>
      </c>
      <c r="CB400" s="15">
        <f t="shared" si="673"/>
        <v>5.3960302979045784E-6</v>
      </c>
      <c r="CC400" s="16">
        <f t="shared" si="674"/>
        <v>26.791174212951322</v>
      </c>
      <c r="CD400" s="17">
        <f t="shared" si="675"/>
        <v>1.3504610199743619E-2</v>
      </c>
      <c r="CE400" s="18">
        <f t="shared" si="733"/>
        <v>0.44292873374625685</v>
      </c>
      <c r="CF400" s="19">
        <f t="shared" si="734"/>
        <v>932.38895497860619</v>
      </c>
      <c r="CG400" s="15">
        <f t="shared" si="676"/>
        <v>5.3647779099572125E-6</v>
      </c>
      <c r="CH400" s="16">
        <f t="shared" si="677"/>
        <v>26.611472982253972</v>
      </c>
      <c r="CI400" s="17">
        <f t="shared" si="678"/>
        <v>1.3426395050135541E-2</v>
      </c>
      <c r="CJ400" s="18">
        <f t="shared" si="735"/>
        <v>0.44591973084808956</v>
      </c>
      <c r="CK400" s="19">
        <f t="shared" si="736"/>
        <v>903.04811809935529</v>
      </c>
      <c r="CL400" s="15">
        <f t="shared" si="679"/>
        <v>5.3060962361987108E-6</v>
      </c>
      <c r="CM400" s="16">
        <f t="shared" si="680"/>
        <v>26.274053358142584</v>
      </c>
      <c r="CN400" s="17">
        <f t="shared" si="681"/>
        <v>1.3279532803960825E-2</v>
      </c>
      <c r="CO400" s="18">
        <f t="shared" si="737"/>
        <v>0.45164637172514266</v>
      </c>
      <c r="CP400" s="19">
        <f t="shared" si="738"/>
        <v>842.21274566820284</v>
      </c>
      <c r="CQ400" s="15">
        <f t="shared" si="682"/>
        <v>5.184425491336406E-6</v>
      </c>
      <c r="CR400" s="16">
        <f t="shared" si="683"/>
        <v>25.574446575184332</v>
      </c>
      <c r="CS400" s="17">
        <f t="shared" si="684"/>
        <v>1.2975028216075922E-2</v>
      </c>
      <c r="CT400" s="18">
        <f t="shared" si="739"/>
        <v>0.46400147251797835</v>
      </c>
      <c r="CU400" s="19">
        <f t="shared" si="740"/>
        <v>723.51231021698402</v>
      </c>
      <c r="CV400" s="15">
        <f t="shared" si="685"/>
        <v>4.947024620433969E-6</v>
      </c>
      <c r="CW400" s="16">
        <f t="shared" si="686"/>
        <v>24.209391567495317</v>
      </c>
      <c r="CX400" s="17">
        <f t="shared" si="687"/>
        <v>1.2380886588690684E-2</v>
      </c>
      <c r="CY400" s="18">
        <f t="shared" si="741"/>
        <v>0.49016435777140865</v>
      </c>
      <c r="CZ400" s="20">
        <f t="shared" si="691"/>
        <v>525.60287791389953</v>
      </c>
      <c r="DA400" s="15">
        <f t="shared" si="688"/>
        <v>6.8273307463103641E-6</v>
      </c>
      <c r="DB400" s="16">
        <f t="shared" si="689"/>
        <v>38.252516540496913</v>
      </c>
      <c r="DC400" s="17">
        <f t="shared" si="690"/>
        <v>1.7086716594132179E-2</v>
      </c>
      <c r="DD400" s="18">
        <f t="shared" si="742"/>
        <v>0.31021699859027752</v>
      </c>
    </row>
    <row r="401" spans="2:108" x14ac:dyDescent="0.25">
      <c r="B401">
        <v>134</v>
      </c>
      <c r="C401">
        <f t="shared" si="743"/>
        <v>0.13100036529026371</v>
      </c>
      <c r="D401" s="19">
        <f t="shared" si="640"/>
        <v>1017.8053945636382</v>
      </c>
      <c r="E401" s="15">
        <f t="shared" si="692"/>
        <v>5.5356107891272769E-6</v>
      </c>
      <c r="F401" s="16">
        <f t="shared" si="641"/>
        <v>27.593762037481838</v>
      </c>
      <c r="G401" s="17">
        <f t="shared" si="638"/>
        <v>1.3853937394252381E-2</v>
      </c>
      <c r="H401" s="18">
        <f t="shared" si="693"/>
        <v>0.430045778230565</v>
      </c>
      <c r="I401" s="19">
        <f t="shared" si="694"/>
        <v>1017.4808523237242</v>
      </c>
      <c r="J401" s="15">
        <f t="shared" si="695"/>
        <v>5.5349617046474486E-6</v>
      </c>
      <c r="K401" s="16">
        <f t="shared" si="642"/>
        <v>27.590029801722828</v>
      </c>
      <c r="L401" s="17">
        <f t="shared" si="696"/>
        <v>1.385231293471401E-2</v>
      </c>
      <c r="M401" s="18">
        <f t="shared" si="697"/>
        <v>0.43010395258713724</v>
      </c>
      <c r="N401" s="19">
        <f t="shared" si="698"/>
        <v>1016.5750702807809</v>
      </c>
      <c r="O401" s="15">
        <f t="shared" si="699"/>
        <v>5.5331501405615623E-6</v>
      </c>
      <c r="P401" s="16">
        <f t="shared" si="700"/>
        <v>27.579613308228978</v>
      </c>
      <c r="Q401" s="17">
        <f t="shared" si="639"/>
        <v>1.3853937394252381E-2</v>
      </c>
      <c r="R401" s="18">
        <f t="shared" si="701"/>
        <v>0.43026639775900144</v>
      </c>
      <c r="S401" s="19">
        <f t="shared" si="702"/>
        <v>1015.0736378685334</v>
      </c>
      <c r="T401" s="15">
        <f t="shared" si="703"/>
        <v>5.5301472757370672E-6</v>
      </c>
      <c r="U401" s="16">
        <f t="shared" si="704"/>
        <v>27.562346835488135</v>
      </c>
      <c r="V401" s="17">
        <f t="shared" si="705"/>
        <v>1.3840263894553071E-2</v>
      </c>
      <c r="W401" s="18">
        <f t="shared" si="706"/>
        <v>0.43053593877713564</v>
      </c>
      <c r="X401" s="19">
        <f t="shared" si="707"/>
        <v>1012.9744570011143</v>
      </c>
      <c r="Y401" s="15">
        <f t="shared" si="708"/>
        <v>5.5259489140022295E-6</v>
      </c>
      <c r="Z401" s="16">
        <f t="shared" si="709"/>
        <v>27.538206255512812</v>
      </c>
      <c r="AA401" s="17">
        <f t="shared" si="710"/>
        <v>1.3829756681736177E-2</v>
      </c>
      <c r="AB401" s="18">
        <f t="shared" si="711"/>
        <v>0.43091335577974887</v>
      </c>
      <c r="AC401" s="19">
        <f t="shared" si="712"/>
        <v>1010.2760854867896</v>
      </c>
      <c r="AD401" s="15">
        <f t="shared" si="643"/>
        <v>5.5205521709735797E-6</v>
      </c>
      <c r="AE401" s="16">
        <f t="shared" si="644"/>
        <v>27.507174983098082</v>
      </c>
      <c r="AF401" s="17">
        <f t="shared" si="645"/>
        <v>1.3816250287789798E-2</v>
      </c>
      <c r="AG401" s="18">
        <f t="shared" si="713"/>
        <v>0.43139947584618837</v>
      </c>
      <c r="AH401" s="19">
        <f t="shared" si="714"/>
        <v>1006.9782653322812</v>
      </c>
      <c r="AI401" s="15">
        <f t="shared" si="646"/>
        <v>5.5139565306645631E-6</v>
      </c>
      <c r="AJ401" s="16">
        <f t="shared" si="647"/>
        <v>27.469250051321232</v>
      </c>
      <c r="AK401" s="17">
        <f t="shared" si="648"/>
        <v>1.3799743421357712E-2</v>
      </c>
      <c r="AL401" s="18">
        <f t="shared" si="715"/>
        <v>0.43199507986375235</v>
      </c>
      <c r="AM401" s="19">
        <f t="shared" si="716"/>
        <v>1003.08093188982</v>
      </c>
      <c r="AN401" s="15">
        <f t="shared" si="649"/>
        <v>5.5061618637796406E-6</v>
      </c>
      <c r="AO401" s="16">
        <f t="shared" si="650"/>
        <v>27.424430716732928</v>
      </c>
      <c r="AP401" s="17">
        <f t="shared" si="651"/>
        <v>1.3780235758852816E-2</v>
      </c>
      <c r="AQ401" s="18">
        <f t="shared" si="717"/>
        <v>0.43270108292448684</v>
      </c>
      <c r="AR401" s="19">
        <f t="shared" si="718"/>
        <v>998.58406738821452</v>
      </c>
      <c r="AS401" s="15">
        <f t="shared" si="652"/>
        <v>5.4971681347764297E-6</v>
      </c>
      <c r="AT401" s="16">
        <f t="shared" si="653"/>
        <v>27.372716774964466</v>
      </c>
      <c r="AU401" s="17">
        <f t="shared" si="654"/>
        <v>1.3757727211323411E-2</v>
      </c>
      <c r="AV401" s="18">
        <f t="shared" si="719"/>
        <v>0.43351856402398709</v>
      </c>
      <c r="AW401" s="19">
        <f t="shared" si="720"/>
        <v>993.48761257372973</v>
      </c>
      <c r="AX401" s="15">
        <f t="shared" si="655"/>
        <v>5.4869752251474595E-6</v>
      </c>
      <c r="AY401" s="16">
        <f t="shared" si="656"/>
        <v>27.314107544597888</v>
      </c>
      <c r="AZ401" s="17">
        <f t="shared" si="657"/>
        <v>1.3732217482181617E-2</v>
      </c>
      <c r="BA401" s="18">
        <f t="shared" si="721"/>
        <v>0.43444878623042688</v>
      </c>
      <c r="BB401" s="19">
        <f t="shared" si="722"/>
        <v>987.79117470257631</v>
      </c>
      <c r="BC401" s="15">
        <f t="shared" si="658"/>
        <v>5.4755823494051528E-6</v>
      </c>
      <c r="BD401" s="16">
        <f t="shared" si="659"/>
        <v>27.248598509079628</v>
      </c>
      <c r="BE401" s="17">
        <f t="shared" si="660"/>
        <v>1.3703704605592747E-2</v>
      </c>
      <c r="BF401" s="18">
        <f t="shared" si="723"/>
        <v>0.43549325539674205</v>
      </c>
      <c r="BG401" s="19">
        <f t="shared" si="724"/>
        <v>981.49239044016474</v>
      </c>
      <c r="BH401" s="15">
        <f t="shared" si="661"/>
        <v>5.4629847808803301E-6</v>
      </c>
      <c r="BI401" s="16">
        <f t="shared" si="662"/>
        <v>27.176162490061891</v>
      </c>
      <c r="BJ401" s="17">
        <f t="shared" si="663"/>
        <v>1.3672176752152347E-2</v>
      </c>
      <c r="BK401" s="18">
        <f t="shared" si="725"/>
        <v>0.43665402994471403</v>
      </c>
      <c r="BL401" s="19">
        <f t="shared" si="726"/>
        <v>974.57839707379617</v>
      </c>
      <c r="BM401" s="15">
        <f t="shared" si="664"/>
        <v>5.449156794147593E-6</v>
      </c>
      <c r="BN401" s="16">
        <f t="shared" si="665"/>
        <v>27.096651566348655</v>
      </c>
      <c r="BO401" s="17">
        <f t="shared" si="666"/>
        <v>1.363756953900431E-2</v>
      </c>
      <c r="BP401" s="18">
        <f t="shared" si="727"/>
        <v>0.43793532350893905</v>
      </c>
      <c r="BQ401" s="19">
        <f t="shared" si="728"/>
        <v>966.98640104521871</v>
      </c>
      <c r="BR401" s="15">
        <f t="shared" si="667"/>
        <v>5.4339728020904379E-6</v>
      </c>
      <c r="BS401" s="16">
        <f t="shared" si="668"/>
        <v>27.009343612020015</v>
      </c>
      <c r="BT401" s="17">
        <f t="shared" si="669"/>
        <v>1.3599568660082724E-2</v>
      </c>
      <c r="BU401" s="18">
        <f t="shared" si="729"/>
        <v>0.43935095351361642</v>
      </c>
      <c r="BV401" s="19">
        <f t="shared" si="730"/>
        <v>958.44501590878292</v>
      </c>
      <c r="BW401" s="15">
        <f t="shared" si="670"/>
        <v>5.4168900318175661E-6</v>
      </c>
      <c r="BX401" s="16">
        <f t="shared" si="671"/>
        <v>26.911117682951001</v>
      </c>
      <c r="BY401" s="17">
        <f t="shared" si="672"/>
        <v>1.3556815721175675E-2</v>
      </c>
      <c r="BZ401" s="18">
        <f t="shared" si="731"/>
        <v>0.44095459020030714</v>
      </c>
      <c r="CA401" s="19">
        <f t="shared" si="732"/>
        <v>947.93339508253007</v>
      </c>
      <c r="CB401" s="15">
        <f t="shared" si="673"/>
        <v>5.3958667901650599E-6</v>
      </c>
      <c r="CC401" s="16">
        <f t="shared" si="674"/>
        <v>26.790234043449097</v>
      </c>
      <c r="CD401" s="17">
        <f t="shared" si="675"/>
        <v>1.3504200989979231E-2</v>
      </c>
      <c r="CE401" s="18">
        <f t="shared" si="733"/>
        <v>0.44294427777198103</v>
      </c>
      <c r="CF401" s="19">
        <f t="shared" si="734"/>
        <v>932.1847733148486</v>
      </c>
      <c r="CG401" s="15">
        <f t="shared" si="676"/>
        <v>5.364369546629698E-6</v>
      </c>
      <c r="CH401" s="16">
        <f t="shared" si="677"/>
        <v>26.609124893120757</v>
      </c>
      <c r="CI401" s="17">
        <f t="shared" si="678"/>
        <v>1.3425373041871412E-2</v>
      </c>
      <c r="CJ401" s="18">
        <f t="shared" si="735"/>
        <v>0.44595908048016114</v>
      </c>
      <c r="CK401" s="19">
        <f t="shared" si="736"/>
        <v>902.58968487992308</v>
      </c>
      <c r="CL401" s="15">
        <f t="shared" si="679"/>
        <v>5.3051793697598466E-6</v>
      </c>
      <c r="CM401" s="16">
        <f t="shared" si="680"/>
        <v>26.268781376119115</v>
      </c>
      <c r="CN401" s="17">
        <f t="shared" si="681"/>
        <v>1.3277238168241877E-2</v>
      </c>
      <c r="CO401" s="18">
        <f t="shared" si="737"/>
        <v>0.45173701435978214</v>
      </c>
      <c r="CP401" s="19">
        <f t="shared" si="738"/>
        <v>841.37824245372667</v>
      </c>
      <c r="CQ401" s="15">
        <f t="shared" si="682"/>
        <v>5.1827564849074542E-6</v>
      </c>
      <c r="CR401" s="16">
        <f t="shared" si="683"/>
        <v>25.564849788217856</v>
      </c>
      <c r="CS401" s="17">
        <f t="shared" si="684"/>
        <v>1.2970851204458211E-2</v>
      </c>
      <c r="CT401" s="18">
        <f t="shared" si="739"/>
        <v>0.4641756539945282</v>
      </c>
      <c r="CU401" s="19">
        <f t="shared" si="740"/>
        <v>722.37683106569818</v>
      </c>
      <c r="CV401" s="15">
        <f t="shared" si="685"/>
        <v>4.9447536621313963E-6</v>
      </c>
      <c r="CW401" s="16">
        <f t="shared" si="686"/>
        <v>24.196333557255528</v>
      </c>
      <c r="CX401" s="17">
        <f t="shared" si="687"/>
        <v>1.2375203076003956E-2</v>
      </c>
      <c r="CY401" s="18">
        <f t="shared" si="741"/>
        <v>0.4904288842620777</v>
      </c>
      <c r="CZ401" s="20">
        <f t="shared" si="691"/>
        <v>524.57665366012941</v>
      </c>
      <c r="DA401" s="15">
        <f t="shared" si="688"/>
        <v>6.843022298832983E-6</v>
      </c>
      <c r="DB401" s="16">
        <f t="shared" si="689"/>
        <v>38.28227704385624</v>
      </c>
      <c r="DC401" s="17">
        <f t="shared" si="690"/>
        <v>1.712598774135481E-2</v>
      </c>
      <c r="DD401" s="18">
        <f t="shared" si="742"/>
        <v>0.30997583702044484</v>
      </c>
    </row>
    <row r="402" spans="2:108" x14ac:dyDescent="0.25">
      <c r="B402">
        <v>135</v>
      </c>
      <c r="C402">
        <f t="shared" si="743"/>
        <v>0.13197797995660895</v>
      </c>
      <c r="D402" s="19">
        <f t="shared" si="640"/>
        <v>1017.7888250763468</v>
      </c>
      <c r="E402" s="15">
        <f t="shared" si="692"/>
        <v>5.5355776501526938E-6</v>
      </c>
      <c r="F402" s="16">
        <f t="shared" si="641"/>
        <v>27.593571488377989</v>
      </c>
      <c r="G402" s="17">
        <f t="shared" si="638"/>
        <v>1.3853854457554578E-2</v>
      </c>
      <c r="H402" s="18">
        <f t="shared" si="693"/>
        <v>0.43004874793811776</v>
      </c>
      <c r="I402" s="19">
        <f t="shared" si="694"/>
        <v>1017.4642775453129</v>
      </c>
      <c r="J402" s="15">
        <f t="shared" si="695"/>
        <v>5.5349285550906262E-6</v>
      </c>
      <c r="K402" s="16">
        <f t="shared" si="642"/>
        <v>27.589839191771098</v>
      </c>
      <c r="L402" s="17">
        <f t="shared" si="696"/>
        <v>1.3852229971532102E-2</v>
      </c>
      <c r="M402" s="18">
        <f t="shared" si="697"/>
        <v>0.43010692404677758</v>
      </c>
      <c r="N402" s="19">
        <f t="shared" si="698"/>
        <v>1016.5584828728266</v>
      </c>
      <c r="O402" s="15">
        <f t="shared" si="699"/>
        <v>5.5331169657456533E-6</v>
      </c>
      <c r="P402" s="16">
        <f t="shared" si="700"/>
        <v>27.579422553037503</v>
      </c>
      <c r="Q402" s="17">
        <f t="shared" si="639"/>
        <v>1.3853854457554578E-2</v>
      </c>
      <c r="R402" s="18">
        <f t="shared" si="701"/>
        <v>0.43026937372954366</v>
      </c>
      <c r="S402" s="19">
        <f t="shared" si="702"/>
        <v>1015.0570430197108</v>
      </c>
      <c r="T402" s="15">
        <f t="shared" si="703"/>
        <v>5.530114086039422E-6</v>
      </c>
      <c r="U402" s="16">
        <f t="shared" si="704"/>
        <v>27.562155994726673</v>
      </c>
      <c r="V402" s="17">
        <f t="shared" si="705"/>
        <v>1.3840180830910988E-2</v>
      </c>
      <c r="W402" s="18">
        <f t="shared" si="706"/>
        <v>0.43053891981412018</v>
      </c>
      <c r="X402" s="19">
        <f t="shared" si="707"/>
        <v>1012.9578642201453</v>
      </c>
      <c r="Y402" s="15">
        <f t="shared" si="708"/>
        <v>5.5259157284402905E-6</v>
      </c>
      <c r="Z402" s="16">
        <f t="shared" si="709"/>
        <v>27.538015438531673</v>
      </c>
      <c r="AA402" s="17">
        <f t="shared" si="710"/>
        <v>1.3829673628444498E-2</v>
      </c>
      <c r="AB402" s="18">
        <f t="shared" si="711"/>
        <v>0.43091634167340798</v>
      </c>
      <c r="AC402" s="19">
        <f t="shared" si="712"/>
        <v>1010.2595027703595</v>
      </c>
      <c r="AD402" s="15">
        <f t="shared" si="643"/>
        <v>5.5205190055407197E-6</v>
      </c>
      <c r="AE402" s="16">
        <f t="shared" si="644"/>
        <v>27.506984281859133</v>
      </c>
      <c r="AF402" s="17">
        <f t="shared" si="645"/>
        <v>1.3816167284875034E-2</v>
      </c>
      <c r="AG402" s="18">
        <f t="shared" si="713"/>
        <v>0.43140246666530846</v>
      </c>
      <c r="AH402" s="19">
        <f t="shared" si="714"/>
        <v>1006.9616982359273</v>
      </c>
      <c r="AI402" s="15">
        <f t="shared" si="646"/>
        <v>5.5139233964718554E-6</v>
      </c>
      <c r="AJ402" s="16">
        <f t="shared" si="647"/>
        <v>27.469059529713164</v>
      </c>
      <c r="AK402" s="17">
        <f t="shared" si="648"/>
        <v>1.3799660496627477E-2</v>
      </c>
      <c r="AL402" s="18">
        <f t="shared" si="715"/>
        <v>0.43199807612204083</v>
      </c>
      <c r="AM402" s="19">
        <f t="shared" si="716"/>
        <v>1003.0643844874774</v>
      </c>
      <c r="AN402" s="15">
        <f t="shared" si="649"/>
        <v>5.5061287689749551E-6</v>
      </c>
      <c r="AO402" s="16">
        <f t="shared" si="650"/>
        <v>27.424240421605987</v>
      </c>
      <c r="AP402" s="17">
        <f t="shared" si="651"/>
        <v>1.3780152932698728E-2</v>
      </c>
      <c r="AQ402" s="18">
        <f t="shared" si="717"/>
        <v>0.43270408541083599</v>
      </c>
      <c r="AR402" s="19">
        <f t="shared" si="718"/>
        <v>998.56754260404932</v>
      </c>
      <c r="AS402" s="15">
        <f t="shared" si="652"/>
        <v>5.4971350852080994E-6</v>
      </c>
      <c r="AT402" s="16">
        <f t="shared" si="653"/>
        <v>27.372526739946565</v>
      </c>
      <c r="AU402" s="17">
        <f t="shared" si="654"/>
        <v>1.3757644498382059E-2</v>
      </c>
      <c r="AV402" s="18">
        <f t="shared" si="719"/>
        <v>0.43352157374643097</v>
      </c>
      <c r="AW402" s="19">
        <f t="shared" si="720"/>
        <v>993.47110906564888</v>
      </c>
      <c r="AX402" s="15">
        <f t="shared" si="655"/>
        <v>5.4869422181312981E-6</v>
      </c>
      <c r="AY402" s="16">
        <f t="shared" si="656"/>
        <v>27.313917754254959</v>
      </c>
      <c r="AZ402" s="17">
        <f t="shared" si="657"/>
        <v>1.3732134875735304E-2</v>
      </c>
      <c r="BA402" s="18">
        <f t="shared" si="721"/>
        <v>0.43445180499122371</v>
      </c>
      <c r="BB402" s="19">
        <f t="shared" si="722"/>
        <v>987.77466720027951</v>
      </c>
      <c r="BC402" s="15">
        <f t="shared" si="658"/>
        <v>5.4755493344005593E-6</v>
      </c>
      <c r="BD402" s="16">
        <f t="shared" si="659"/>
        <v>27.248408672803215</v>
      </c>
      <c r="BE402" s="17">
        <f t="shared" si="660"/>
        <v>1.3703621979153834E-2</v>
      </c>
      <c r="BF402" s="18">
        <f t="shared" si="723"/>
        <v>0.43549628942412322</v>
      </c>
      <c r="BG402" s="19">
        <f t="shared" si="724"/>
        <v>981.47572971489694</v>
      </c>
      <c r="BH402" s="15">
        <f t="shared" si="661"/>
        <v>5.4629514594297949E-6</v>
      </c>
      <c r="BI402" s="16">
        <f t="shared" si="662"/>
        <v>27.175970891721313</v>
      </c>
      <c r="BJ402" s="17">
        <f t="shared" si="663"/>
        <v>1.3672093358773155E-2</v>
      </c>
      <c r="BK402" s="18">
        <f t="shared" si="725"/>
        <v>0.43665710848008177</v>
      </c>
      <c r="BL402" s="19">
        <f t="shared" si="726"/>
        <v>974.5608637230481</v>
      </c>
      <c r="BM402" s="15">
        <f t="shared" si="664"/>
        <v>5.4491217274460965E-6</v>
      </c>
      <c r="BN402" s="16">
        <f t="shared" si="665"/>
        <v>27.096449932815052</v>
      </c>
      <c r="BO402" s="17">
        <f t="shared" si="666"/>
        <v>1.3637481777796801E-2</v>
      </c>
      <c r="BP402" s="18">
        <f t="shared" si="727"/>
        <v>0.43793858232871019</v>
      </c>
      <c r="BQ402" s="19">
        <f t="shared" si="728"/>
        <v>966.96499151118906</v>
      </c>
      <c r="BR402" s="15">
        <f t="shared" si="667"/>
        <v>5.4339299830223784E-6</v>
      </c>
      <c r="BS402" s="16">
        <f t="shared" si="668"/>
        <v>27.009097402378671</v>
      </c>
      <c r="BT402" s="17">
        <f t="shared" si="669"/>
        <v>1.3599461497077454E-2</v>
      </c>
      <c r="BU402" s="18">
        <f t="shared" si="729"/>
        <v>0.43935495855084805</v>
      </c>
      <c r="BV402" s="19">
        <f t="shared" si="730"/>
        <v>958.40896781362937</v>
      </c>
      <c r="BW402" s="15">
        <f t="shared" si="670"/>
        <v>5.4168179356272591E-6</v>
      </c>
      <c r="BX402" s="16">
        <f t="shared" si="671"/>
        <v>26.910703129856735</v>
      </c>
      <c r="BY402" s="17">
        <f t="shared" si="672"/>
        <v>1.3556635286505513E-2</v>
      </c>
      <c r="BZ402" s="18">
        <f t="shared" si="731"/>
        <v>0.44096138300274407</v>
      </c>
      <c r="CA402" s="19">
        <f t="shared" si="732"/>
        <v>947.85053228639265</v>
      </c>
      <c r="CB402" s="15">
        <f t="shared" si="673"/>
        <v>5.395701064572786E-6</v>
      </c>
      <c r="CC402" s="16">
        <f t="shared" si="674"/>
        <v>26.789281121293513</v>
      </c>
      <c r="CD402" s="17">
        <f t="shared" si="675"/>
        <v>1.3503786229609066E-2</v>
      </c>
      <c r="CE402" s="18">
        <f t="shared" si="733"/>
        <v>0.44296003375341503</v>
      </c>
      <c r="CF402" s="19">
        <f t="shared" si="734"/>
        <v>931.97865884614396</v>
      </c>
      <c r="CG402" s="15">
        <f t="shared" si="676"/>
        <v>5.3639573176922892E-6</v>
      </c>
      <c r="CH402" s="16">
        <f t="shared" si="677"/>
        <v>26.606754576730655</v>
      </c>
      <c r="CI402" s="17">
        <f t="shared" si="678"/>
        <v>1.3424341359170347E-2</v>
      </c>
      <c r="CJ402" s="18">
        <f t="shared" si="735"/>
        <v>0.44599880964422467</v>
      </c>
      <c r="CK402" s="19">
        <f t="shared" si="736"/>
        <v>902.12940268470834</v>
      </c>
      <c r="CL402" s="15">
        <f t="shared" si="679"/>
        <v>5.3042588053694179E-6</v>
      </c>
      <c r="CM402" s="16">
        <f t="shared" si="680"/>
        <v>26.263488130874144</v>
      </c>
      <c r="CN402" s="17">
        <f t="shared" si="681"/>
        <v>1.3274934277683418E-2</v>
      </c>
      <c r="CO402" s="18">
        <f t="shared" si="737"/>
        <v>0.45182805918944535</v>
      </c>
      <c r="CP402" s="19">
        <f t="shared" si="738"/>
        <v>840.54463125300515</v>
      </c>
      <c r="CQ402" s="15">
        <f t="shared" si="682"/>
        <v>5.1810892625060112E-6</v>
      </c>
      <c r="CR402" s="16">
        <f t="shared" si="683"/>
        <v>25.555263259409557</v>
      </c>
      <c r="CS402" s="17">
        <f t="shared" si="684"/>
        <v>1.2966678657714633E-2</v>
      </c>
      <c r="CT402" s="18">
        <f t="shared" si="739"/>
        <v>0.46434977989704618</v>
      </c>
      <c r="CU402" s="19">
        <f t="shared" si="740"/>
        <v>721.24697109338376</v>
      </c>
      <c r="CV402" s="15">
        <f t="shared" si="685"/>
        <v>4.9424939421867682E-6</v>
      </c>
      <c r="CW402" s="16">
        <f t="shared" si="686"/>
        <v>24.183340167573913</v>
      </c>
      <c r="CX402" s="17">
        <f t="shared" si="687"/>
        <v>1.236954768948312E-2</v>
      </c>
      <c r="CY402" s="18">
        <f t="shared" si="741"/>
        <v>0.49069238523258801</v>
      </c>
      <c r="CZ402" s="20">
        <f t="shared" si="691"/>
        <v>523.55715997056529</v>
      </c>
      <c r="DA402" s="15">
        <f t="shared" si="688"/>
        <v>6.8585972066609492E-6</v>
      </c>
      <c r="DB402" s="16">
        <f t="shared" si="689"/>
        <v>38.311842360853603</v>
      </c>
      <c r="DC402" s="17">
        <f t="shared" si="690"/>
        <v>1.7164966962652971E-2</v>
      </c>
      <c r="DD402" s="18">
        <f t="shared" si="742"/>
        <v>0.3097366281148351</v>
      </c>
    </row>
    <row r="403" spans="2:108" x14ac:dyDescent="0.25">
      <c r="B403">
        <v>136</v>
      </c>
      <c r="C403">
        <f t="shared" si="743"/>
        <v>0.1329555946229542</v>
      </c>
      <c r="D403" s="19">
        <f t="shared" si="640"/>
        <v>1017.7722553189176</v>
      </c>
      <c r="E403" s="15">
        <f t="shared" si="692"/>
        <v>5.535544510637835E-6</v>
      </c>
      <c r="F403" s="16">
        <f t="shared" si="641"/>
        <v>27.593380936167552</v>
      </c>
      <c r="G403" s="17">
        <f t="shared" si="638"/>
        <v>1.3853771519504628E-2</v>
      </c>
      <c r="H403" s="18">
        <f t="shared" si="693"/>
        <v>0.43005171773510292</v>
      </c>
      <c r="I403" s="19">
        <f t="shared" si="694"/>
        <v>1017.4477026403297</v>
      </c>
      <c r="J403" s="15">
        <f t="shared" si="695"/>
        <v>5.5348954052806596E-6</v>
      </c>
      <c r="K403" s="16">
        <f t="shared" si="642"/>
        <v>27.589648580363793</v>
      </c>
      <c r="L403" s="17">
        <f t="shared" si="696"/>
        <v>1.3852147007716652E-2</v>
      </c>
      <c r="M403" s="18">
        <f t="shared" si="697"/>
        <v>0.43010989557016777</v>
      </c>
      <c r="N403" s="19">
        <f t="shared" si="698"/>
        <v>1016.5418955665874</v>
      </c>
      <c r="O403" s="15">
        <f t="shared" si="699"/>
        <v>5.5330837911331754E-6</v>
      </c>
      <c r="P403" s="16">
        <f t="shared" si="700"/>
        <v>27.579231799015755</v>
      </c>
      <c r="Q403" s="17">
        <f t="shared" si="639"/>
        <v>1.3853771519504628E-2</v>
      </c>
      <c r="R403" s="18">
        <f t="shared" si="701"/>
        <v>0.43027234972300393</v>
      </c>
      <c r="S403" s="19">
        <f t="shared" si="702"/>
        <v>1015.0404483895612</v>
      </c>
      <c r="T403" s="15">
        <f t="shared" si="703"/>
        <v>5.5300808967791229E-6</v>
      </c>
      <c r="U403" s="16">
        <f t="shared" si="704"/>
        <v>27.561965156479953</v>
      </c>
      <c r="V403" s="17">
        <f t="shared" si="705"/>
        <v>1.3840097768363445E-2</v>
      </c>
      <c r="W403" s="18">
        <f t="shared" si="706"/>
        <v>0.43054190085310395</v>
      </c>
      <c r="X403" s="19">
        <f t="shared" si="707"/>
        <v>1012.9412716704228</v>
      </c>
      <c r="Y403" s="15">
        <f t="shared" si="708"/>
        <v>5.5258825433408458E-6</v>
      </c>
      <c r="Z403" s="16">
        <f t="shared" si="709"/>
        <v>27.537824624209861</v>
      </c>
      <c r="AA403" s="17">
        <f t="shared" si="710"/>
        <v>1.3829590576310299E-2</v>
      </c>
      <c r="AB403" s="18">
        <f t="shared" si="711"/>
        <v>0.43091932756683332</v>
      </c>
      <c r="AC403" s="19">
        <f t="shared" si="712"/>
        <v>1010.2429202658661</v>
      </c>
      <c r="AD403" s="15">
        <f t="shared" si="643"/>
        <v>5.5204858405317328E-6</v>
      </c>
      <c r="AE403" s="16">
        <f t="shared" si="644"/>
        <v>27.506793583057458</v>
      </c>
      <c r="AF403" s="17">
        <f t="shared" si="645"/>
        <v>1.3816084283021094E-2</v>
      </c>
      <c r="AG403" s="18">
        <f t="shared" si="713"/>
        <v>0.43140545748767328</v>
      </c>
      <c r="AH403" s="19">
        <f t="shared" si="714"/>
        <v>1006.9451313360461</v>
      </c>
      <c r="AI403" s="15">
        <f t="shared" si="646"/>
        <v>5.513890262672093E-6</v>
      </c>
      <c r="AJ403" s="16">
        <f t="shared" si="647"/>
        <v>27.468869010364529</v>
      </c>
      <c r="AK403" s="17">
        <f t="shared" si="648"/>
        <v>1.3799577572880662E-2</v>
      </c>
      <c r="AL403" s="18">
        <f t="shared" si="715"/>
        <v>0.43200107238635893</v>
      </c>
      <c r="AM403" s="19">
        <f t="shared" si="716"/>
        <v>1003.0478372666287</v>
      </c>
      <c r="AN403" s="15">
        <f t="shared" si="649"/>
        <v>5.5060956745332579E-6</v>
      </c>
      <c r="AO403" s="16">
        <f t="shared" si="650"/>
        <v>27.424050128566229</v>
      </c>
      <c r="AP403" s="17">
        <f t="shared" si="651"/>
        <v>1.3780070107453088E-2</v>
      </c>
      <c r="AQ403" s="18">
        <f t="shared" si="717"/>
        <v>0.43270708790592127</v>
      </c>
      <c r="AR403" s="19">
        <f t="shared" si="718"/>
        <v>998.55101793851588</v>
      </c>
      <c r="AS403" s="15">
        <f t="shared" si="652"/>
        <v>5.4971020358770325E-6</v>
      </c>
      <c r="AT403" s="16">
        <f t="shared" si="653"/>
        <v>27.372336706292934</v>
      </c>
      <c r="AU403" s="17">
        <f t="shared" si="654"/>
        <v>1.3757561786034503E-2</v>
      </c>
      <c r="AV403" s="18">
        <f t="shared" si="719"/>
        <v>0.43352458348905804</v>
      </c>
      <c r="AW403" s="19">
        <f t="shared" si="720"/>
        <v>993.45460532233983</v>
      </c>
      <c r="AX403" s="15">
        <f t="shared" si="655"/>
        <v>5.4869092106446803E-6</v>
      </c>
      <c r="AY403" s="16">
        <f t="shared" si="656"/>
        <v>27.313727961206908</v>
      </c>
      <c r="AZ403" s="17">
        <f t="shared" si="657"/>
        <v>1.373205226811158E-2</v>
      </c>
      <c r="BA403" s="18">
        <f t="shared" si="721"/>
        <v>0.43445482383700035</v>
      </c>
      <c r="BB403" s="19">
        <f t="shared" si="722"/>
        <v>987.75815764012316</v>
      </c>
      <c r="BC403" s="15">
        <f t="shared" si="658"/>
        <v>5.4755163152802471E-6</v>
      </c>
      <c r="BD403" s="16">
        <f t="shared" si="659"/>
        <v>27.248218812861417</v>
      </c>
      <c r="BE403" s="17">
        <f t="shared" si="660"/>
        <v>1.3703539342414538E-2</v>
      </c>
      <c r="BF403" s="18">
        <f t="shared" si="723"/>
        <v>0.43549932387201618</v>
      </c>
      <c r="BG403" s="19">
        <f t="shared" si="724"/>
        <v>981.45905859274865</v>
      </c>
      <c r="BH403" s="15">
        <f t="shared" si="661"/>
        <v>5.462918117185497E-6</v>
      </c>
      <c r="BI403" s="16">
        <f t="shared" si="662"/>
        <v>27.175779173816608</v>
      </c>
      <c r="BJ403" s="17">
        <f t="shared" si="663"/>
        <v>1.3672009913353546E-2</v>
      </c>
      <c r="BK403" s="18">
        <f t="shared" si="725"/>
        <v>0.43666018898001435</v>
      </c>
      <c r="BL403" s="19">
        <f t="shared" si="726"/>
        <v>974.54328670939992</v>
      </c>
      <c r="BM403" s="15">
        <f t="shared" si="664"/>
        <v>5.4490865734188006E-6</v>
      </c>
      <c r="BN403" s="16">
        <f t="shared" si="665"/>
        <v>27.0962477971581</v>
      </c>
      <c r="BO403" s="17">
        <f t="shared" si="666"/>
        <v>1.3637393798039578E-2</v>
      </c>
      <c r="BP403" s="18">
        <f t="shared" si="727"/>
        <v>0.43794184931252678</v>
      </c>
      <c r="BQ403" s="19">
        <f t="shared" si="728"/>
        <v>966.94342563323039</v>
      </c>
      <c r="BR403" s="15">
        <f t="shared" si="667"/>
        <v>5.4338868512664618E-6</v>
      </c>
      <c r="BS403" s="16">
        <f t="shared" si="668"/>
        <v>27.008849394782146</v>
      </c>
      <c r="BT403" s="17">
        <f t="shared" si="669"/>
        <v>1.3599353551510301E-2</v>
      </c>
      <c r="BU403" s="18">
        <f t="shared" si="729"/>
        <v>0.43935899290883562</v>
      </c>
      <c r="BV403" s="19">
        <f t="shared" si="730"/>
        <v>958.37245258259668</v>
      </c>
      <c r="BW403" s="15">
        <f t="shared" si="670"/>
        <v>5.4167449051651942E-6</v>
      </c>
      <c r="BX403" s="16">
        <f t="shared" si="671"/>
        <v>26.910283204699859</v>
      </c>
      <c r="BY403" s="17">
        <f t="shared" si="672"/>
        <v>1.3556452513639454E-2</v>
      </c>
      <c r="BZ403" s="18">
        <f t="shared" si="731"/>
        <v>0.4409682640443342</v>
      </c>
      <c r="CA403" s="19">
        <f t="shared" si="732"/>
        <v>947.76655754335945</v>
      </c>
      <c r="CB403" s="15">
        <f t="shared" si="673"/>
        <v>5.3955331150867186E-6</v>
      </c>
      <c r="CC403" s="16">
        <f t="shared" si="674"/>
        <v>26.788315411748634</v>
      </c>
      <c r="CD403" s="17">
        <f t="shared" si="675"/>
        <v>1.3503365903514258E-2</v>
      </c>
      <c r="CE403" s="18">
        <f t="shared" si="733"/>
        <v>0.44297600231007939</v>
      </c>
      <c r="CF403" s="19">
        <f t="shared" si="734"/>
        <v>931.77062372218211</v>
      </c>
      <c r="CG403" s="15">
        <f t="shared" si="676"/>
        <v>5.3635412474443643E-6</v>
      </c>
      <c r="CH403" s="16">
        <f t="shared" si="677"/>
        <v>26.604362172805093</v>
      </c>
      <c r="CI403" s="17">
        <f t="shared" si="678"/>
        <v>1.3423300062846248E-2</v>
      </c>
      <c r="CJ403" s="18">
        <f t="shared" si="735"/>
        <v>0.44603891619878355</v>
      </c>
      <c r="CK403" s="19">
        <f t="shared" si="736"/>
        <v>901.66730891740008</v>
      </c>
      <c r="CL403" s="15">
        <f t="shared" si="679"/>
        <v>5.3033346178348003E-6</v>
      </c>
      <c r="CM403" s="16">
        <f t="shared" si="680"/>
        <v>26.2581740525501</v>
      </c>
      <c r="CN403" s="17">
        <f t="shared" si="681"/>
        <v>1.3272621319505381E-2</v>
      </c>
      <c r="CO403" s="18">
        <f t="shared" si="737"/>
        <v>0.45191949927552022</v>
      </c>
      <c r="CP403" s="19">
        <f t="shared" si="738"/>
        <v>839.71194149072414</v>
      </c>
      <c r="CQ403" s="15">
        <f t="shared" si="682"/>
        <v>5.1794238829814485E-6</v>
      </c>
      <c r="CR403" s="16">
        <f t="shared" si="683"/>
        <v>25.545687327143327</v>
      </c>
      <c r="CS403" s="17">
        <f t="shared" si="684"/>
        <v>1.2962510723127129E-2</v>
      </c>
      <c r="CT403" s="18">
        <f t="shared" si="739"/>
        <v>0.46452384380001299</v>
      </c>
      <c r="CU403" s="19">
        <f t="shared" si="740"/>
        <v>720.12268164076704</v>
      </c>
      <c r="CV403" s="15">
        <f t="shared" si="685"/>
        <v>4.9402453632815352E-6</v>
      </c>
      <c r="CW403" s="16">
        <f t="shared" si="686"/>
        <v>24.170410838868818</v>
      </c>
      <c r="CX403" s="17">
        <f t="shared" si="687"/>
        <v>1.2363920185569673E-2</v>
      </c>
      <c r="CY403" s="18">
        <f t="shared" si="741"/>
        <v>0.49095486828196827</v>
      </c>
      <c r="CZ403" s="20">
        <f t="shared" si="691"/>
        <v>522.54430695979215</v>
      </c>
      <c r="DA403" s="15">
        <f t="shared" si="688"/>
        <v>6.8740572563327187E-6</v>
      </c>
      <c r="DB403" s="16">
        <f t="shared" si="689"/>
        <v>38.341215098166025</v>
      </c>
      <c r="DC403" s="17">
        <f t="shared" si="690"/>
        <v>1.7203658729184935E-2</v>
      </c>
      <c r="DD403" s="18">
        <f t="shared" si="742"/>
        <v>0.30949934266130008</v>
      </c>
    </row>
    <row r="404" spans="2:108" x14ac:dyDescent="0.25">
      <c r="B404">
        <v>137</v>
      </c>
      <c r="C404">
        <f t="shared" si="743"/>
        <v>0.13393320928929944</v>
      </c>
      <c r="D404" s="19">
        <f t="shared" si="640"/>
        <v>1017.7556852986802</v>
      </c>
      <c r="E404" s="15">
        <f t="shared" si="692"/>
        <v>5.5355113705973608E-6</v>
      </c>
      <c r="F404" s="16">
        <f t="shared" si="641"/>
        <v>27.593190380934821</v>
      </c>
      <c r="G404" s="17">
        <f t="shared" si="638"/>
        <v>1.3853688580139224E-2</v>
      </c>
      <c r="H404" s="18">
        <f t="shared" si="693"/>
        <v>0.43005468762020965</v>
      </c>
      <c r="I404" s="19">
        <f t="shared" si="694"/>
        <v>1017.4311276125283</v>
      </c>
      <c r="J404" s="15">
        <f t="shared" si="695"/>
        <v>5.5348622552250568E-6</v>
      </c>
      <c r="K404" s="16">
        <f t="shared" si="642"/>
        <v>27.589457967544075</v>
      </c>
      <c r="L404" s="17">
        <f t="shared" si="696"/>
        <v>1.385206404328645E-2</v>
      </c>
      <c r="M404" s="18">
        <f t="shared" si="697"/>
        <v>0.43011286715663677</v>
      </c>
      <c r="N404" s="19">
        <f t="shared" si="698"/>
        <v>1016.5253083617174</v>
      </c>
      <c r="O404" s="15">
        <f t="shared" si="699"/>
        <v>5.5330506167234356E-6</v>
      </c>
      <c r="P404" s="16">
        <f t="shared" si="700"/>
        <v>27.579041046159752</v>
      </c>
      <c r="Q404" s="17">
        <f t="shared" si="639"/>
        <v>1.3853688580139224E-2</v>
      </c>
      <c r="R404" s="18">
        <f t="shared" si="701"/>
        <v>0.43027532573944455</v>
      </c>
      <c r="S404" s="19">
        <f t="shared" si="702"/>
        <v>1015.0238539769377</v>
      </c>
      <c r="T404" s="15">
        <f t="shared" si="703"/>
        <v>5.5300477079538759E-6</v>
      </c>
      <c r="U404" s="16">
        <f t="shared" si="704"/>
        <v>27.561774320734784</v>
      </c>
      <c r="V404" s="17">
        <f t="shared" si="705"/>
        <v>1.3840014706904706E-2</v>
      </c>
      <c r="W404" s="18">
        <f t="shared" si="706"/>
        <v>0.43054488189429241</v>
      </c>
      <c r="X404" s="19">
        <f t="shared" si="707"/>
        <v>1012.924679351491</v>
      </c>
      <c r="Y404" s="15">
        <f t="shared" si="708"/>
        <v>5.5258493587029825E-6</v>
      </c>
      <c r="Z404" s="16">
        <f t="shared" si="709"/>
        <v>27.537633812542147</v>
      </c>
      <c r="AA404" s="17">
        <f t="shared" si="710"/>
        <v>1.3829507525331297E-2</v>
      </c>
      <c r="AB404" s="18">
        <f t="shared" si="711"/>
        <v>0.4309223134601059</v>
      </c>
      <c r="AC404" s="19">
        <f t="shared" si="712"/>
        <v>1010.2263379733118</v>
      </c>
      <c r="AD404" s="15">
        <f t="shared" si="643"/>
        <v>5.520452675946624E-6</v>
      </c>
      <c r="AE404" s="16">
        <f t="shared" si="644"/>
        <v>27.506602886693088</v>
      </c>
      <c r="AF404" s="17">
        <f t="shared" si="645"/>
        <v>1.3816001282227991E-2</v>
      </c>
      <c r="AG404" s="18">
        <f t="shared" si="713"/>
        <v>0.43140844831328162</v>
      </c>
      <c r="AH404" s="19">
        <f t="shared" si="714"/>
        <v>1006.9285646326067</v>
      </c>
      <c r="AI404" s="15">
        <f t="shared" si="646"/>
        <v>5.5138571292652133E-6</v>
      </c>
      <c r="AJ404" s="16">
        <f t="shared" si="647"/>
        <v>27.468678493274979</v>
      </c>
      <c r="AK404" s="17">
        <f t="shared" si="648"/>
        <v>1.3799494650117114E-2</v>
      </c>
      <c r="AL404" s="18">
        <f t="shared" si="715"/>
        <v>0.43200406865671148</v>
      </c>
      <c r="AM404" s="19">
        <f t="shared" si="716"/>
        <v>1003.0312902265343</v>
      </c>
      <c r="AN404" s="15">
        <f t="shared" si="649"/>
        <v>5.5060625804530693E-6</v>
      </c>
      <c r="AO404" s="16">
        <f t="shared" si="650"/>
        <v>27.423859837605143</v>
      </c>
      <c r="AP404" s="17">
        <f t="shared" si="651"/>
        <v>1.3779987283112196E-2</v>
      </c>
      <c r="AQ404" s="18">
        <f t="shared" si="717"/>
        <v>0.43271009040987635</v>
      </c>
      <c r="AR404" s="19">
        <f t="shared" si="718"/>
        <v>998.53449338724408</v>
      </c>
      <c r="AS404" s="15">
        <f t="shared" si="652"/>
        <v>5.497068986774489E-6</v>
      </c>
      <c r="AT404" s="16">
        <f t="shared" si="653"/>
        <v>27.372146673953306</v>
      </c>
      <c r="AU404" s="17">
        <f t="shared" si="654"/>
        <v>1.3757479074258871E-2</v>
      </c>
      <c r="AV404" s="18">
        <f t="shared" si="719"/>
        <v>0.43352759325266438</v>
      </c>
      <c r="AW404" s="19">
        <f t="shared" si="720"/>
        <v>993.43810132193573</v>
      </c>
      <c r="AX404" s="15">
        <f t="shared" si="655"/>
        <v>5.4868762026438719E-6</v>
      </c>
      <c r="AY404" s="16">
        <f t="shared" si="656"/>
        <v>27.31353816520226</v>
      </c>
      <c r="AZ404" s="17">
        <f t="shared" si="657"/>
        <v>1.3731969659200996E-2</v>
      </c>
      <c r="BA404" s="18">
        <f t="shared" si="721"/>
        <v>0.43445784277175958</v>
      </c>
      <c r="BB404" s="19">
        <f t="shared" si="722"/>
        <v>987.7416459256749</v>
      </c>
      <c r="BC404" s="15">
        <f t="shared" si="658"/>
        <v>5.4754832918513503E-6</v>
      </c>
      <c r="BD404" s="16">
        <f t="shared" si="659"/>
        <v>27.24802892814526</v>
      </c>
      <c r="BE404" s="17">
        <f t="shared" si="660"/>
        <v>1.3703456694892178E-2</v>
      </c>
      <c r="BF404" s="18">
        <f t="shared" si="723"/>
        <v>0.43550235875816218</v>
      </c>
      <c r="BG404" s="19">
        <f t="shared" si="724"/>
        <v>981.44237670635835</v>
      </c>
      <c r="BH404" s="15">
        <f t="shared" si="661"/>
        <v>5.4628847534127167E-6</v>
      </c>
      <c r="BI404" s="16">
        <f t="shared" si="662"/>
        <v>27.175587332123122</v>
      </c>
      <c r="BJ404" s="17">
        <f t="shared" si="663"/>
        <v>1.3671926414054743E-2</v>
      </c>
      <c r="BK404" s="18">
        <f t="shared" si="725"/>
        <v>0.43666327151247658</v>
      </c>
      <c r="BL404" s="19">
        <f t="shared" si="726"/>
        <v>974.52566486455851</v>
      </c>
      <c r="BM404" s="15">
        <f t="shared" si="664"/>
        <v>5.4490513297291175E-6</v>
      </c>
      <c r="BN404" s="16">
        <f t="shared" si="665"/>
        <v>27.096045145942423</v>
      </c>
      <c r="BO404" s="17">
        <f t="shared" si="666"/>
        <v>1.3637305593884876E-2</v>
      </c>
      <c r="BP404" s="18">
        <f t="shared" si="727"/>
        <v>0.43794512467790508</v>
      </c>
      <c r="BQ404" s="19">
        <f t="shared" si="728"/>
        <v>966.92170048990351</v>
      </c>
      <c r="BR404" s="15">
        <f t="shared" si="667"/>
        <v>5.4338434009798073E-6</v>
      </c>
      <c r="BS404" s="16">
        <f t="shared" si="668"/>
        <v>27.008599555633889</v>
      </c>
      <c r="BT404" s="17">
        <f t="shared" si="669"/>
        <v>1.3599244808758324E-2</v>
      </c>
      <c r="BU404" s="18">
        <f t="shared" si="729"/>
        <v>0.43936305713572532</v>
      </c>
      <c r="BV404" s="19">
        <f t="shared" si="730"/>
        <v>958.335465218742</v>
      </c>
      <c r="BW404" s="15">
        <f t="shared" si="670"/>
        <v>5.4166709304374844E-6</v>
      </c>
      <c r="BX404" s="16">
        <f t="shared" si="671"/>
        <v>26.909857850015534</v>
      </c>
      <c r="BY404" s="17">
        <f t="shared" si="672"/>
        <v>1.3556267377565859E-2</v>
      </c>
      <c r="BZ404" s="18">
        <f t="shared" si="731"/>
        <v>0.44097523427501301</v>
      </c>
      <c r="CA404" s="19">
        <f t="shared" si="732"/>
        <v>947.68146801963053</v>
      </c>
      <c r="CB404" s="15">
        <f t="shared" si="673"/>
        <v>5.3953629360392611E-6</v>
      </c>
      <c r="CC404" s="16">
        <f t="shared" si="674"/>
        <v>26.787336882225752</v>
      </c>
      <c r="CD404" s="17">
        <f t="shared" si="675"/>
        <v>1.3502939997510548E-2</v>
      </c>
      <c r="CE404" s="18">
        <f t="shared" si="733"/>
        <v>0.44299218402676493</v>
      </c>
      <c r="CF404" s="19">
        <f t="shared" si="734"/>
        <v>931.56068024735953</v>
      </c>
      <c r="CG404" s="15">
        <f t="shared" si="676"/>
        <v>5.3631213604947197E-6</v>
      </c>
      <c r="CH404" s="16">
        <f t="shared" si="677"/>
        <v>26.601947822844636</v>
      </c>
      <c r="CI404" s="17">
        <f t="shared" si="678"/>
        <v>1.3422249214487389E-2</v>
      </c>
      <c r="CJ404" s="18">
        <f t="shared" si="735"/>
        <v>0.44607939797278218</v>
      </c>
      <c r="CK404" s="19">
        <f t="shared" si="736"/>
        <v>901.2034405357258</v>
      </c>
      <c r="CL404" s="15">
        <f t="shared" si="679"/>
        <v>5.3024068810714516E-6</v>
      </c>
      <c r="CM404" s="16">
        <f t="shared" si="680"/>
        <v>26.252839566160844</v>
      </c>
      <c r="CN404" s="17">
        <f t="shared" si="681"/>
        <v>1.3270299478695506E-2</v>
      </c>
      <c r="CO404" s="18">
        <f t="shared" si="737"/>
        <v>0.45201132775799158</v>
      </c>
      <c r="CP404" s="19">
        <f t="shared" si="738"/>
        <v>838.88020160112455</v>
      </c>
      <c r="CQ404" s="15">
        <f t="shared" si="682"/>
        <v>5.1777604032022497E-6</v>
      </c>
      <c r="CR404" s="16">
        <f t="shared" si="683"/>
        <v>25.536122318412932</v>
      </c>
      <c r="CS404" s="17">
        <f t="shared" si="684"/>
        <v>1.2958347543020087E-2</v>
      </c>
      <c r="CT404" s="18">
        <f t="shared" si="739"/>
        <v>0.46469783946646626</v>
      </c>
      <c r="CU404" s="19">
        <f t="shared" si="740"/>
        <v>719.00391452206554</v>
      </c>
      <c r="CV404" s="15">
        <f t="shared" si="685"/>
        <v>4.9380078290441316E-6</v>
      </c>
      <c r="CW404" s="16">
        <f t="shared" si="686"/>
        <v>24.157545017003756</v>
      </c>
      <c r="CX404" s="17">
        <f t="shared" si="687"/>
        <v>1.235832032307512E-2</v>
      </c>
      <c r="CY404" s="18">
        <f t="shared" si="741"/>
        <v>0.49121634095539823</v>
      </c>
      <c r="CZ404" s="20">
        <f t="shared" si="691"/>
        <v>521.53800670541239</v>
      </c>
      <c r="DA404" s="15">
        <f t="shared" si="688"/>
        <v>6.8894041915749186E-6</v>
      </c>
      <c r="DB404" s="16">
        <f t="shared" si="689"/>
        <v>38.370397805543035</v>
      </c>
      <c r="DC404" s="17">
        <f t="shared" si="690"/>
        <v>1.7242067404964073E-2</v>
      </c>
      <c r="DD404" s="18">
        <f t="shared" si="742"/>
        <v>0.30926395211893365</v>
      </c>
    </row>
    <row r="405" spans="2:108" x14ac:dyDescent="0.25">
      <c r="B405">
        <v>138</v>
      </c>
      <c r="C405">
        <f t="shared" si="743"/>
        <v>0.13491082395564469</v>
      </c>
      <c r="D405" s="19">
        <f t="shared" si="640"/>
        <v>1017.7391150227819</v>
      </c>
      <c r="E405" s="15">
        <f t="shared" si="692"/>
        <v>5.5354782300455642E-6</v>
      </c>
      <c r="F405" s="16">
        <f t="shared" si="641"/>
        <v>27.592999822761989</v>
      </c>
      <c r="G405" s="17">
        <f t="shared" si="638"/>
        <v>1.3853605639494136E-2</v>
      </c>
      <c r="H405" s="18">
        <f t="shared" si="693"/>
        <v>0.43005765759215969</v>
      </c>
      <c r="I405" s="19">
        <f t="shared" si="694"/>
        <v>1017.4145524656018</v>
      </c>
      <c r="J405" s="15">
        <f t="shared" si="695"/>
        <v>5.5348291049312039E-6</v>
      </c>
      <c r="K405" s="16">
        <f t="shared" si="642"/>
        <v>27.589267353354419</v>
      </c>
      <c r="L405" s="17">
        <f t="shared" si="696"/>
        <v>1.3851981078259981E-2</v>
      </c>
      <c r="M405" s="18">
        <f t="shared" si="697"/>
        <v>0.43011583880552412</v>
      </c>
      <c r="N405" s="19">
        <f t="shared" si="698"/>
        <v>1016.5087212578995</v>
      </c>
      <c r="O405" s="15">
        <f t="shared" si="699"/>
        <v>5.5330174425157996E-6</v>
      </c>
      <c r="P405" s="16">
        <f t="shared" si="700"/>
        <v>27.578850294465845</v>
      </c>
      <c r="Q405" s="17">
        <f t="shared" si="639"/>
        <v>1.3853605639494136E-2</v>
      </c>
      <c r="R405" s="18">
        <f t="shared" si="701"/>
        <v>0.43027830177892246</v>
      </c>
      <c r="S405" s="19">
        <f t="shared" si="702"/>
        <v>1015.0072597807139</v>
      </c>
      <c r="T405" s="15">
        <f t="shared" si="703"/>
        <v>5.5300145195614281E-6</v>
      </c>
      <c r="U405" s="16">
        <f t="shared" si="704"/>
        <v>27.56158348747821</v>
      </c>
      <c r="V405" s="17">
        <f t="shared" si="705"/>
        <v>1.383993164652913E-2</v>
      </c>
      <c r="W405" s="18">
        <f t="shared" si="706"/>
        <v>0.43054786293788705</v>
      </c>
      <c r="X405" s="19">
        <f t="shared" si="707"/>
        <v>1012.9080872628929</v>
      </c>
      <c r="Y405" s="15">
        <f t="shared" si="708"/>
        <v>5.5258161745257865E-6</v>
      </c>
      <c r="Z405" s="16">
        <f t="shared" si="709"/>
        <v>27.537443003523265</v>
      </c>
      <c r="AA405" s="17">
        <f t="shared" si="710"/>
        <v>1.3829424475505205E-2</v>
      </c>
      <c r="AB405" s="18">
        <f t="shared" si="711"/>
        <v>0.4309252993533072</v>
      </c>
      <c r="AC405" s="19">
        <f t="shared" si="712"/>
        <v>1010.2097558926928</v>
      </c>
      <c r="AD405" s="15">
        <f t="shared" si="643"/>
        <v>5.5204195117853866E-6</v>
      </c>
      <c r="AE405" s="16">
        <f t="shared" si="644"/>
        <v>27.506412192765964</v>
      </c>
      <c r="AF405" s="17">
        <f t="shared" si="645"/>
        <v>1.3815918282495707E-2</v>
      </c>
      <c r="AG405" s="18">
        <f t="shared" si="713"/>
        <v>0.4314114391421337</v>
      </c>
      <c r="AH405" s="19">
        <f t="shared" si="714"/>
        <v>1006.9119981255683</v>
      </c>
      <c r="AI405" s="15">
        <f t="shared" si="646"/>
        <v>5.5138239962511366E-6</v>
      </c>
      <c r="AJ405" s="16">
        <f t="shared" si="647"/>
        <v>27.468487978444035</v>
      </c>
      <c r="AK405" s="17">
        <f t="shared" si="648"/>
        <v>1.3799411728336628E-2</v>
      </c>
      <c r="AL405" s="18">
        <f t="shared" si="715"/>
        <v>0.43200706493310542</v>
      </c>
      <c r="AM405" s="19">
        <f t="shared" si="716"/>
        <v>1003.01474336641</v>
      </c>
      <c r="AN405" s="15">
        <f t="shared" si="649"/>
        <v>5.5060294867328206E-6</v>
      </c>
      <c r="AO405" s="16">
        <f t="shared" si="650"/>
        <v>27.423669548713715</v>
      </c>
      <c r="AP405" s="17">
        <f t="shared" si="651"/>
        <v>1.3779904459672122E-2</v>
      </c>
      <c r="AQ405" s="18">
        <f t="shared" si="717"/>
        <v>0.43271309292284305</v>
      </c>
      <c r="AR405" s="19">
        <f t="shared" si="718"/>
        <v>998.5179689456545</v>
      </c>
      <c r="AS405" s="15">
        <f t="shared" si="652"/>
        <v>5.4970359378913093E-6</v>
      </c>
      <c r="AT405" s="16">
        <f t="shared" si="653"/>
        <v>27.371956642875027</v>
      </c>
      <c r="AU405" s="17">
        <f t="shared" si="654"/>
        <v>1.375739636303224E-2</v>
      </c>
      <c r="AV405" s="18">
        <f t="shared" si="719"/>
        <v>0.43353060303808394</v>
      </c>
      <c r="AW405" s="19">
        <f t="shared" si="720"/>
        <v>993.42159704171479</v>
      </c>
      <c r="AX405" s="15">
        <f t="shared" si="655"/>
        <v>5.4868431940834305E-6</v>
      </c>
      <c r="AY405" s="16">
        <f t="shared" si="656"/>
        <v>27.313348365979721</v>
      </c>
      <c r="AZ405" s="17">
        <f t="shared" si="657"/>
        <v>1.3731887048889821E-2</v>
      </c>
      <c r="BA405" s="18">
        <f t="shared" si="721"/>
        <v>0.43446086179966048</v>
      </c>
      <c r="BB405" s="19">
        <f t="shared" si="722"/>
        <v>987.72513195757062</v>
      </c>
      <c r="BC405" s="15">
        <f t="shared" si="658"/>
        <v>5.4754502639151412E-6</v>
      </c>
      <c r="BD405" s="16">
        <f t="shared" si="659"/>
        <v>27.247839017512064</v>
      </c>
      <c r="BE405" s="17">
        <f t="shared" si="660"/>
        <v>1.3703374036089394E-2</v>
      </c>
      <c r="BF405" s="18">
        <f t="shared" si="723"/>
        <v>0.43550539410084227</v>
      </c>
      <c r="BG405" s="19">
        <f t="shared" si="724"/>
        <v>981.42568368044147</v>
      </c>
      <c r="BH405" s="15">
        <f t="shared" si="661"/>
        <v>5.4628513673608836E-6</v>
      </c>
      <c r="BI405" s="16">
        <f t="shared" si="662"/>
        <v>27.175395362325077</v>
      </c>
      <c r="BJ405" s="17">
        <f t="shared" si="663"/>
        <v>1.36718428589983E-2</v>
      </c>
      <c r="BK405" s="18">
        <f t="shared" si="725"/>
        <v>0.43666635614690152</v>
      </c>
      <c r="BL405" s="19">
        <f t="shared" si="726"/>
        <v>974.50799700578159</v>
      </c>
      <c r="BM405" s="15">
        <f t="shared" si="664"/>
        <v>5.4490159940115637E-6</v>
      </c>
      <c r="BN405" s="16">
        <f t="shared" si="665"/>
        <v>27.095841965566485</v>
      </c>
      <c r="BO405" s="17">
        <f t="shared" si="666"/>
        <v>1.3637217159412617E-2</v>
      </c>
      <c r="BP405" s="18">
        <f t="shared" si="727"/>
        <v>0.43794840864506079</v>
      </c>
      <c r="BQ405" s="19">
        <f t="shared" si="728"/>
        <v>966.89981315343914</v>
      </c>
      <c r="BR405" s="15">
        <f t="shared" si="667"/>
        <v>5.4337996263068789E-6</v>
      </c>
      <c r="BS405" s="16">
        <f t="shared" si="668"/>
        <v>27.008347851264549</v>
      </c>
      <c r="BT405" s="17">
        <f t="shared" si="669"/>
        <v>1.3599135254166915E-2</v>
      </c>
      <c r="BU405" s="18">
        <f t="shared" si="729"/>
        <v>0.43936715178090013</v>
      </c>
      <c r="BV405" s="19">
        <f t="shared" si="730"/>
        <v>958.29800078305027</v>
      </c>
      <c r="BW405" s="15">
        <f t="shared" si="670"/>
        <v>5.4165960015661011E-6</v>
      </c>
      <c r="BX405" s="16">
        <f t="shared" si="671"/>
        <v>26.909427009005078</v>
      </c>
      <c r="BY405" s="17">
        <f t="shared" si="672"/>
        <v>1.355607985356305E-2</v>
      </c>
      <c r="BZ405" s="18">
        <f t="shared" si="731"/>
        <v>0.44098229463402616</v>
      </c>
      <c r="CA405" s="19">
        <f t="shared" si="732"/>
        <v>947.59526106597366</v>
      </c>
      <c r="CB405" s="15">
        <f t="shared" si="673"/>
        <v>5.395190522131948E-6</v>
      </c>
      <c r="CC405" s="16">
        <f t="shared" si="674"/>
        <v>26.786345502258698</v>
      </c>
      <c r="CD405" s="17">
        <f t="shared" si="675"/>
        <v>1.3502508498337503E-2</v>
      </c>
      <c r="CE405" s="18">
        <f t="shared" si="733"/>
        <v>0.44300857945393396</v>
      </c>
      <c r="CF405" s="19">
        <f t="shared" si="734"/>
        <v>931.34884087277817</v>
      </c>
      <c r="CG405" s="15">
        <f t="shared" si="676"/>
        <v>5.3626976817455566E-6</v>
      </c>
      <c r="CH405" s="16">
        <f t="shared" si="677"/>
        <v>26.599511670036946</v>
      </c>
      <c r="CI405" s="17">
        <f t="shared" si="678"/>
        <v>1.3421188876416346E-2</v>
      </c>
      <c r="CJ405" s="18">
        <f t="shared" si="735"/>
        <v>0.44612025276708456</v>
      </c>
      <c r="CK405" s="19">
        <f t="shared" si="736"/>
        <v>900.73783405167603</v>
      </c>
      <c r="CL405" s="15">
        <f t="shared" si="679"/>
        <v>5.3014756681033526E-6</v>
      </c>
      <c r="CM405" s="16">
        <f t="shared" si="680"/>
        <v>26.247485091594271</v>
      </c>
      <c r="CN405" s="17">
        <f t="shared" si="681"/>
        <v>1.3267968938010438E-2</v>
      </c>
      <c r="CO405" s="18">
        <f t="shared" si="737"/>
        <v>0.45210353785544805</v>
      </c>
      <c r="CP405" s="19">
        <f t="shared" si="738"/>
        <v>838.04943905573191</v>
      </c>
      <c r="CQ405" s="15">
        <f t="shared" si="682"/>
        <v>5.1760988781114643E-6</v>
      </c>
      <c r="CR405" s="16">
        <f t="shared" si="683"/>
        <v>25.526568549140919</v>
      </c>
      <c r="CS405" s="17">
        <f t="shared" si="684"/>
        <v>1.2954189254899122E-2</v>
      </c>
      <c r="CT405" s="18">
        <f t="shared" si="739"/>
        <v>0.46487176084296927</v>
      </c>
      <c r="CU405" s="19">
        <f t="shared" si="740"/>
        <v>717.89062202630851</v>
      </c>
      <c r="CV405" s="15">
        <f t="shared" si="685"/>
        <v>4.9357812440526172E-6</v>
      </c>
      <c r="CW405" s="16">
        <f t="shared" si="686"/>
        <v>24.144742153302545</v>
      </c>
      <c r="CX405" s="17">
        <f t="shared" si="687"/>
        <v>1.2352747863187583E-2</v>
      </c>
      <c r="CY405" s="18">
        <f t="shared" si="741"/>
        <v>0.49147681074302857</v>
      </c>
      <c r="CZ405" s="20">
        <f t="shared" si="691"/>
        <v>520.53817318764459</v>
      </c>
      <c r="DA405" s="15">
        <f t="shared" si="688"/>
        <v>6.9046397146892618E-6</v>
      </c>
      <c r="DB405" s="16">
        <f t="shared" si="689"/>
        <v>38.399392977558307</v>
      </c>
      <c r="DC405" s="17">
        <f t="shared" si="690"/>
        <v>1.7280197250329893E-2</v>
      </c>
      <c r="DD405" s="18">
        <f t="shared" si="742"/>
        <v>0.30903042859695895</v>
      </c>
    </row>
    <row r="406" spans="2:108" x14ac:dyDescent="0.25">
      <c r="B406">
        <v>139</v>
      </c>
      <c r="C406">
        <f t="shared" si="743"/>
        <v>0.13588843862198996</v>
      </c>
      <c r="D406" s="19">
        <f t="shared" si="640"/>
        <v>1017.7225444981935</v>
      </c>
      <c r="E406" s="15">
        <f t="shared" si="692"/>
        <v>5.5354450889963882E-6</v>
      </c>
      <c r="F406" s="16">
        <f t="shared" si="641"/>
        <v>27.592809261729226</v>
      </c>
      <c r="G406" s="17">
        <f t="shared" si="638"/>
        <v>1.3853522697604261E-2</v>
      </c>
      <c r="H406" s="18">
        <f t="shared" si="693"/>
        <v>0.43006062764970626</v>
      </c>
      <c r="I406" s="19">
        <f t="shared" si="694"/>
        <v>1017.3979772031839</v>
      </c>
      <c r="J406" s="15">
        <f t="shared" si="695"/>
        <v>5.5347959544063686E-6</v>
      </c>
      <c r="K406" s="16">
        <f t="shared" si="642"/>
        <v>27.589076737836614</v>
      </c>
      <c r="L406" s="17">
        <f t="shared" si="696"/>
        <v>1.3851898112655435E-2</v>
      </c>
      <c r="M406" s="18">
        <f t="shared" si="697"/>
        <v>0.43011881051618012</v>
      </c>
      <c r="N406" s="19">
        <f t="shared" si="698"/>
        <v>1016.4921342548442</v>
      </c>
      <c r="O406" s="15">
        <f t="shared" si="699"/>
        <v>5.5329842685096888E-6</v>
      </c>
      <c r="P406" s="16">
        <f t="shared" si="700"/>
        <v>27.578659543930709</v>
      </c>
      <c r="Q406" s="17">
        <f t="shared" si="639"/>
        <v>1.3853522697604261E-2</v>
      </c>
      <c r="R406" s="18">
        <f t="shared" si="701"/>
        <v>0.43028127784148962</v>
      </c>
      <c r="S406" s="19">
        <f t="shared" si="702"/>
        <v>1014.9906657997832</v>
      </c>
      <c r="T406" s="15">
        <f t="shared" si="703"/>
        <v>5.5299813315995669E-6</v>
      </c>
      <c r="U406" s="16">
        <f t="shared" si="704"/>
        <v>27.561392656697507</v>
      </c>
      <c r="V406" s="17">
        <f t="shared" si="705"/>
        <v>1.383984858723118E-2</v>
      </c>
      <c r="W406" s="18">
        <f t="shared" si="706"/>
        <v>0.43055084398408588</v>
      </c>
      <c r="X406" s="19">
        <f t="shared" si="707"/>
        <v>1012.8914954041704</v>
      </c>
      <c r="Y406" s="15">
        <f t="shared" si="708"/>
        <v>5.5257829908083405E-6</v>
      </c>
      <c r="Z406" s="16">
        <f t="shared" si="709"/>
        <v>27.537252197147957</v>
      </c>
      <c r="AA406" s="17">
        <f t="shared" si="710"/>
        <v>1.3829341426829725E-2</v>
      </c>
      <c r="AB406" s="18">
        <f t="shared" si="711"/>
        <v>0.43092828524651872</v>
      </c>
      <c r="AC406" s="19">
        <f t="shared" si="712"/>
        <v>1010.1931740239988</v>
      </c>
      <c r="AD406" s="15">
        <f t="shared" si="643"/>
        <v>5.5203863480479977E-6</v>
      </c>
      <c r="AE406" s="16">
        <f t="shared" si="644"/>
        <v>27.506221501275988</v>
      </c>
      <c r="AF406" s="17">
        <f t="shared" si="645"/>
        <v>1.381583528382419E-2</v>
      </c>
      <c r="AG406" s="18">
        <f t="shared" si="713"/>
        <v>0.43141442997423035</v>
      </c>
      <c r="AH406" s="19">
        <f t="shared" si="714"/>
        <v>1006.8954318148792</v>
      </c>
      <c r="AI406" s="15">
        <f t="shared" si="646"/>
        <v>5.5137908636297589E-6</v>
      </c>
      <c r="AJ406" s="16">
        <f t="shared" si="647"/>
        <v>27.46829746587111</v>
      </c>
      <c r="AK406" s="17">
        <f t="shared" si="648"/>
        <v>1.379932880753895E-2</v>
      </c>
      <c r="AL406" s="18">
        <f t="shared" si="715"/>
        <v>0.43201006121554941</v>
      </c>
      <c r="AM406" s="19">
        <f t="shared" si="716"/>
        <v>1002.9981966854249</v>
      </c>
      <c r="AN406" s="15">
        <f t="shared" si="649"/>
        <v>5.5059963933708499E-6</v>
      </c>
      <c r="AO406" s="16">
        <f t="shared" si="650"/>
        <v>27.423479261882385</v>
      </c>
      <c r="AP406" s="17">
        <f t="shared" si="651"/>
        <v>1.3779821637128707E-2</v>
      </c>
      <c r="AQ406" s="18">
        <f t="shared" si="717"/>
        <v>0.43271609544497164</v>
      </c>
      <c r="AR406" s="19">
        <f t="shared" si="718"/>
        <v>998.50144460895137</v>
      </c>
      <c r="AS406" s="15">
        <f t="shared" si="652"/>
        <v>5.4970028892179033E-6</v>
      </c>
      <c r="AT406" s="16">
        <f t="shared" si="653"/>
        <v>27.37176661300294</v>
      </c>
      <c r="AU406" s="17">
        <f t="shared" si="654"/>
        <v>1.3757313652330608E-2</v>
      </c>
      <c r="AV406" s="18">
        <f t="shared" si="719"/>
        <v>0.43353361284619046</v>
      </c>
      <c r="AW406" s="19">
        <f t="shared" si="720"/>
        <v>993.40509245807834</v>
      </c>
      <c r="AX406" s="15">
        <f t="shared" si="655"/>
        <v>5.4868101849161578E-6</v>
      </c>
      <c r="AY406" s="16">
        <f t="shared" si="656"/>
        <v>27.313158563267898</v>
      </c>
      <c r="AZ406" s="17">
        <f t="shared" si="657"/>
        <v>1.3731804437059934E-2</v>
      </c>
      <c r="BA406" s="18">
        <f t="shared" si="721"/>
        <v>0.43446388092502308</v>
      </c>
      <c r="BB406" s="19">
        <f t="shared" si="722"/>
        <v>987.70861563346966</v>
      </c>
      <c r="BC406" s="15">
        <f t="shared" si="658"/>
        <v>5.4754172312669395E-6</v>
      </c>
      <c r="BD406" s="16">
        <f t="shared" si="659"/>
        <v>27.2476490797849</v>
      </c>
      <c r="BE406" s="17">
        <f t="shared" si="660"/>
        <v>1.3703291365493938E-2</v>
      </c>
      <c r="BF406" s="18">
        <f t="shared" si="723"/>
        <v>0.43550842991888594</v>
      </c>
      <c r="BG406" s="19">
        <f t="shared" si="724"/>
        <v>981.40897913176218</v>
      </c>
      <c r="BH406" s="15">
        <f t="shared" si="661"/>
        <v>5.4628179582635244E-6</v>
      </c>
      <c r="BI406" s="16">
        <f t="shared" si="662"/>
        <v>27.175203260015266</v>
      </c>
      <c r="BJ406" s="17">
        <f t="shared" si="663"/>
        <v>1.3671759246265965E-2</v>
      </c>
      <c r="BK406" s="18">
        <f t="shared" si="725"/>
        <v>0.4366694429541953</v>
      </c>
      <c r="BL406" s="19">
        <f t="shared" si="726"/>
        <v>974.49028193607944</v>
      </c>
      <c r="BM406" s="15">
        <f t="shared" si="664"/>
        <v>5.4489805638721591E-6</v>
      </c>
      <c r="BN406" s="16">
        <f t="shared" si="665"/>
        <v>27.095638242264911</v>
      </c>
      <c r="BO406" s="17">
        <f t="shared" si="666"/>
        <v>1.3637128488631401E-2</v>
      </c>
      <c r="BP406" s="18">
        <f t="shared" si="727"/>
        <v>0.43795170143687218</v>
      </c>
      <c r="BQ406" s="19">
        <f t="shared" si="728"/>
        <v>966.877760690542</v>
      </c>
      <c r="BR406" s="15">
        <f t="shared" si="667"/>
        <v>5.4337555213810847E-6</v>
      </c>
      <c r="BS406" s="16">
        <f t="shared" si="668"/>
        <v>27.00809424794123</v>
      </c>
      <c r="BT406" s="17">
        <f t="shared" si="669"/>
        <v>1.359902487305379E-2</v>
      </c>
      <c r="BU406" s="18">
        <f t="shared" si="729"/>
        <v>0.43937127739483001</v>
      </c>
      <c r="BV406" s="19">
        <f t="shared" si="730"/>
        <v>958.26005439537755</v>
      </c>
      <c r="BW406" s="15">
        <f t="shared" si="670"/>
        <v>5.4165201087907555E-6</v>
      </c>
      <c r="BX406" s="16">
        <f t="shared" si="671"/>
        <v>26.908990625546842</v>
      </c>
      <c r="BY406" s="17">
        <f t="shared" si="672"/>
        <v>1.3555889917204016E-2</v>
      </c>
      <c r="BZ406" s="18">
        <f t="shared" si="731"/>
        <v>0.44098944604975299</v>
      </c>
      <c r="CA406" s="19">
        <f t="shared" si="732"/>
        <v>947.50793421553306</v>
      </c>
      <c r="CB406" s="15">
        <f t="shared" si="673"/>
        <v>5.3950158684310665E-6</v>
      </c>
      <c r="CC406" s="16">
        <f t="shared" si="674"/>
        <v>26.78534124347863</v>
      </c>
      <c r="CD406" s="17">
        <f t="shared" si="675"/>
        <v>1.3502071393647549E-2</v>
      </c>
      <c r="CE406" s="18">
        <f t="shared" si="733"/>
        <v>0.44302518910812944</v>
      </c>
      <c r="CF406" s="19">
        <f t="shared" si="734"/>
        <v>931.13511818843574</v>
      </c>
      <c r="CG406" s="15">
        <f t="shared" si="676"/>
        <v>5.3622702363768716E-6</v>
      </c>
      <c r="CH406" s="16">
        <f t="shared" si="677"/>
        <v>26.597053859167012</v>
      </c>
      <c r="CI406" s="17">
        <f t="shared" si="678"/>
        <v>1.3420119111650938E-2</v>
      </c>
      <c r="CJ406" s="18">
        <f t="shared" si="735"/>
        <v>0.44616147835591691</v>
      </c>
      <c r="CK406" s="19">
        <f t="shared" si="736"/>
        <v>900.27052553200747</v>
      </c>
      <c r="CL406" s="15">
        <f t="shared" si="679"/>
        <v>5.3005410510640156E-6</v>
      </c>
      <c r="CM406" s="16">
        <f t="shared" si="680"/>
        <v>26.242111043618085</v>
      </c>
      <c r="CN406" s="17">
        <f t="shared" si="681"/>
        <v>1.3265629877978255E-2</v>
      </c>
      <c r="CO406" s="18">
        <f t="shared" si="737"/>
        <v>0.45219612286503819</v>
      </c>
      <c r="CP406" s="19">
        <f t="shared" si="738"/>
        <v>837.21968039035596</v>
      </c>
      <c r="CQ406" s="15">
        <f t="shared" si="682"/>
        <v>5.1744393607807124E-6</v>
      </c>
      <c r="CR406" s="16">
        <f t="shared" si="683"/>
        <v>25.517026324489095</v>
      </c>
      <c r="CS406" s="17">
        <f t="shared" si="684"/>
        <v>1.2950035991586234E-2</v>
      </c>
      <c r="CT406" s="18">
        <f t="shared" si="739"/>
        <v>0.46504560205470935</v>
      </c>
      <c r="CU406" s="19">
        <f t="shared" si="740"/>
        <v>716.78275691814372</v>
      </c>
      <c r="CV406" s="15">
        <f t="shared" si="685"/>
        <v>4.9335655138362886E-6</v>
      </c>
      <c r="CW406" s="16">
        <f t="shared" si="686"/>
        <v>24.132001704558654</v>
      </c>
      <c r="CX406" s="17">
        <f t="shared" si="687"/>
        <v>1.2347202569475847E-2</v>
      </c>
      <c r="CY406" s="18">
        <f t="shared" si="741"/>
        <v>0.49173628507892253</v>
      </c>
      <c r="CZ406" s="20">
        <f t="shared" si="691"/>
        <v>519.54472223125833</v>
      </c>
      <c r="DA406" s="15">
        <f t="shared" si="688"/>
        <v>6.9197654878839027E-6</v>
      </c>
      <c r="DB406" s="16">
        <f t="shared" si="689"/>
        <v>38.428203055293508</v>
      </c>
      <c r="DC406" s="17">
        <f t="shared" si="690"/>
        <v>1.731805242528002E-2</v>
      </c>
      <c r="DD406" s="18">
        <f t="shared" si="742"/>
        <v>0.30879874483444703</v>
      </c>
    </row>
    <row r="407" spans="2:108" x14ac:dyDescent="0.25">
      <c r="B407">
        <v>140</v>
      </c>
      <c r="C407">
        <f t="shared" si="743"/>
        <v>0.1368660532883352</v>
      </c>
      <c r="D407" s="19">
        <f t="shared" si="640"/>
        <v>1017.7059737317155</v>
      </c>
      <c r="E407" s="15">
        <f t="shared" si="692"/>
        <v>5.535411947463431E-6</v>
      </c>
      <c r="F407" s="16">
        <f t="shared" si="641"/>
        <v>27.592618697914727</v>
      </c>
      <c r="G407" s="17">
        <f t="shared" si="638"/>
        <v>1.385343975450363E-2</v>
      </c>
      <c r="H407" s="18">
        <f t="shared" si="693"/>
        <v>0.43006359779163328</v>
      </c>
      <c r="I407" s="19">
        <f t="shared" si="694"/>
        <v>1017.38140182885</v>
      </c>
      <c r="J407" s="15">
        <f t="shared" si="695"/>
        <v>5.5347628036577005E-6</v>
      </c>
      <c r="K407" s="16">
        <f t="shared" si="642"/>
        <v>27.588886121031774</v>
      </c>
      <c r="L407" s="17">
        <f t="shared" si="696"/>
        <v>1.3851815146490705E-2</v>
      </c>
      <c r="M407" s="18">
        <f t="shared" si="697"/>
        <v>0.43012178228796538</v>
      </c>
      <c r="N407" s="19">
        <f t="shared" si="698"/>
        <v>1016.4755473522886</v>
      </c>
      <c r="O407" s="15">
        <f t="shared" si="699"/>
        <v>5.5329510947045773E-6</v>
      </c>
      <c r="P407" s="16">
        <f t="shared" si="700"/>
        <v>27.57846879455132</v>
      </c>
      <c r="Q407" s="17">
        <f t="shared" si="639"/>
        <v>1.385343975450363E-2</v>
      </c>
      <c r="R407" s="18">
        <f t="shared" si="701"/>
        <v>0.43028425392719338</v>
      </c>
      <c r="S407" s="19">
        <f t="shared" si="702"/>
        <v>1014.9740720330593</v>
      </c>
      <c r="T407" s="15">
        <f t="shared" si="703"/>
        <v>5.5299481440661189E-6</v>
      </c>
      <c r="U407" s="16">
        <f t="shared" si="704"/>
        <v>27.561201828380181</v>
      </c>
      <c r="V407" s="17">
        <f t="shared" si="705"/>
        <v>1.3839765529005418E-2</v>
      </c>
      <c r="W407" s="18">
        <f t="shared" si="706"/>
        <v>0.43055382503308337</v>
      </c>
      <c r="X407" s="19">
        <f t="shared" si="707"/>
        <v>1012.8749037748646</v>
      </c>
      <c r="Y407" s="15">
        <f t="shared" si="708"/>
        <v>5.5257498075497297E-6</v>
      </c>
      <c r="Z407" s="16">
        <f t="shared" si="709"/>
        <v>27.537061393410944</v>
      </c>
      <c r="AA407" s="17">
        <f t="shared" si="710"/>
        <v>1.3829258379302569E-2</v>
      </c>
      <c r="AB407" s="18">
        <f t="shared" si="711"/>
        <v>0.4309312711398221</v>
      </c>
      <c r="AC407" s="19">
        <f t="shared" si="712"/>
        <v>1010.1765923672139</v>
      </c>
      <c r="AD407" s="15">
        <f t="shared" si="643"/>
        <v>5.5203531847344277E-6</v>
      </c>
      <c r="AE407" s="16">
        <f t="shared" si="644"/>
        <v>27.50603081222296</v>
      </c>
      <c r="AF407" s="17">
        <f t="shared" si="645"/>
        <v>1.3815752286213361E-2</v>
      </c>
      <c r="AG407" s="18">
        <f t="shared" si="713"/>
        <v>0.4314174208095739</v>
      </c>
      <c r="AH407" s="19">
        <f t="shared" si="714"/>
        <v>1006.8788657004766</v>
      </c>
      <c r="AI407" s="15">
        <f t="shared" si="646"/>
        <v>5.5137577314009538E-6</v>
      </c>
      <c r="AJ407" s="16">
        <f t="shared" si="647"/>
        <v>27.468106955555481</v>
      </c>
      <c r="AK407" s="17">
        <f t="shared" si="648"/>
        <v>1.3799245887723759E-2</v>
      </c>
      <c r="AL407" s="18">
        <f t="shared" si="715"/>
        <v>0.43201305750405411</v>
      </c>
      <c r="AM407" s="19">
        <f t="shared" si="716"/>
        <v>1002.9816501826996</v>
      </c>
      <c r="AN407" s="15">
        <f t="shared" si="649"/>
        <v>5.5059633003653996E-6</v>
      </c>
      <c r="AO407" s="16">
        <f t="shared" si="650"/>
        <v>27.423288977101045</v>
      </c>
      <c r="AP407" s="17">
        <f t="shared" si="651"/>
        <v>1.3779738815477553E-2</v>
      </c>
      <c r="AQ407" s="18">
        <f t="shared" si="717"/>
        <v>0.43271909797642122</v>
      </c>
      <c r="AR407" s="19">
        <f t="shared" si="718"/>
        <v>998.48492037211474</v>
      </c>
      <c r="AS407" s="15">
        <f t="shared" si="652"/>
        <v>5.4969698407442302E-6</v>
      </c>
      <c r="AT407" s="16">
        <f t="shared" si="653"/>
        <v>27.371576584279318</v>
      </c>
      <c r="AU407" s="17">
        <f t="shared" si="654"/>
        <v>1.3757230942128846E-2</v>
      </c>
      <c r="AV407" s="18">
        <f t="shared" si="719"/>
        <v>0.43353662267789828</v>
      </c>
      <c r="AW407" s="19">
        <f t="shared" si="720"/>
        <v>993.38858754652915</v>
      </c>
      <c r="AX407" s="15">
        <f t="shared" si="655"/>
        <v>5.4867771750930589E-6</v>
      </c>
      <c r="AY407" s="16">
        <f t="shared" si="656"/>
        <v>27.312968756785082</v>
      </c>
      <c r="AZ407" s="17">
        <f t="shared" si="657"/>
        <v>1.3731721823588713E-2</v>
      </c>
      <c r="BA407" s="18">
        <f t="shared" si="721"/>
        <v>0.43446690015233164</v>
      </c>
      <c r="BB407" s="19">
        <f t="shared" si="722"/>
        <v>987.69209684801046</v>
      </c>
      <c r="BC407" s="15">
        <f t="shared" si="658"/>
        <v>5.4753841936960212E-6</v>
      </c>
      <c r="BD407" s="16">
        <f t="shared" si="659"/>
        <v>27.247459113752122</v>
      </c>
      <c r="BE407" s="17">
        <f t="shared" si="660"/>
        <v>1.3703208682578431E-2</v>
      </c>
      <c r="BF407" s="18">
        <f t="shared" si="723"/>
        <v>0.43551146623167852</v>
      </c>
      <c r="BG407" s="19">
        <f t="shared" si="724"/>
        <v>981.39226266910862</v>
      </c>
      <c r="BH407" s="15">
        <f t="shared" si="661"/>
        <v>5.4627845253382178E-6</v>
      </c>
      <c r="BI407" s="16">
        <f t="shared" si="662"/>
        <v>27.175011020694747</v>
      </c>
      <c r="BJ407" s="17">
        <f t="shared" si="663"/>
        <v>1.3671675573899582E-2</v>
      </c>
      <c r="BK407" s="18">
        <f t="shared" si="725"/>
        <v>0.43667253200674216</v>
      </c>
      <c r="BL407" s="19">
        <f t="shared" si="726"/>
        <v>974.47251844442189</v>
      </c>
      <c r="BM407" s="15">
        <f t="shared" si="664"/>
        <v>5.4489450368888441E-6</v>
      </c>
      <c r="BN407" s="16">
        <f t="shared" si="665"/>
        <v>27.095433962110853</v>
      </c>
      <c r="BO407" s="17">
        <f t="shared" si="666"/>
        <v>1.3637039575479555E-2</v>
      </c>
      <c r="BP407" s="18">
        <f t="shared" si="727"/>
        <v>0.43795500327884174</v>
      </c>
      <c r="BQ407" s="19">
        <f t="shared" si="728"/>
        <v>966.85554016318986</v>
      </c>
      <c r="BR407" s="15">
        <f t="shared" si="667"/>
        <v>5.4337110803263801E-6</v>
      </c>
      <c r="BS407" s="16">
        <f t="shared" si="668"/>
        <v>27.007838711876683</v>
      </c>
      <c r="BT407" s="17">
        <f t="shared" si="669"/>
        <v>1.359891365071301E-2</v>
      </c>
      <c r="BU407" s="18">
        <f t="shared" si="729"/>
        <v>0.43937543452892347</v>
      </c>
      <c r="BV407" s="19">
        <f t="shared" si="730"/>
        <v>958.22162123534838</v>
      </c>
      <c r="BW407" s="15">
        <f t="shared" si="670"/>
        <v>5.4164432424706974E-6</v>
      </c>
      <c r="BX407" s="16">
        <f t="shared" si="671"/>
        <v>26.908548644206505</v>
      </c>
      <c r="BY407" s="17">
        <f t="shared" si="672"/>
        <v>1.3555697544360914E-2</v>
      </c>
      <c r="BZ407" s="18">
        <f t="shared" si="731"/>
        <v>0.44099668943954029</v>
      </c>
      <c r="CA407" s="19">
        <f t="shared" si="732"/>
        <v>947.41948518160109</v>
      </c>
      <c r="CB407" s="15">
        <f t="shared" si="673"/>
        <v>5.3948389703632028E-6</v>
      </c>
      <c r="CC407" s="16">
        <f t="shared" si="674"/>
        <v>26.784324079588412</v>
      </c>
      <c r="CD407" s="17">
        <f t="shared" si="675"/>
        <v>1.3501628671994835E-2</v>
      </c>
      <c r="CE407" s="18">
        <f t="shared" si="733"/>
        <v>0.44304201347239108</v>
      </c>
      <c r="CF407" s="19">
        <f t="shared" si="734"/>
        <v>930.91952491560551</v>
      </c>
      <c r="CG407" s="15">
        <f t="shared" si="676"/>
        <v>5.3618390498312118E-6</v>
      </c>
      <c r="CH407" s="16">
        <f t="shared" si="677"/>
        <v>26.594574536529464</v>
      </c>
      <c r="CI407" s="17">
        <f t="shared" si="678"/>
        <v>1.341903998386606E-2</v>
      </c>
      <c r="CJ407" s="18">
        <f t="shared" si="735"/>
        <v>0.44620307248827534</v>
      </c>
      <c r="CK407" s="19">
        <f t="shared" si="736"/>
        <v>899.80155059900937</v>
      </c>
      <c r="CL407" s="15">
        <f t="shared" si="679"/>
        <v>5.2996031011980195E-6</v>
      </c>
      <c r="CM407" s="16">
        <f t="shared" si="680"/>
        <v>26.236717831888605</v>
      </c>
      <c r="CN407" s="17">
        <f t="shared" si="681"/>
        <v>1.3263282476902302E-2</v>
      </c>
      <c r="CO407" s="18">
        <f t="shared" si="737"/>
        <v>0.45228907616237846</v>
      </c>
      <c r="CP407" s="19">
        <f t="shared" si="738"/>
        <v>836.3909512313777</v>
      </c>
      <c r="CQ407" s="15">
        <f t="shared" si="682"/>
        <v>5.1727819024627557E-6</v>
      </c>
      <c r="CR407" s="16">
        <f t="shared" si="683"/>
        <v>25.50749593916084</v>
      </c>
      <c r="CS407" s="17">
        <f t="shared" si="684"/>
        <v>1.2945887881351377E-2</v>
      </c>
      <c r="CT407" s="18">
        <f t="shared" si="739"/>
        <v>0.46521935740072068</v>
      </c>
      <c r="CU407" s="19">
        <f t="shared" si="740"/>
        <v>715.680272438168</v>
      </c>
      <c r="CV407" s="15">
        <f t="shared" si="685"/>
        <v>4.931360544876336E-6</v>
      </c>
      <c r="CW407" s="16">
        <f t="shared" si="686"/>
        <v>24.119323133038932</v>
      </c>
      <c r="CX407" s="17">
        <f t="shared" si="687"/>
        <v>1.2341684207890986E-2</v>
      </c>
      <c r="CY407" s="18">
        <f t="shared" si="741"/>
        <v>0.4919947713401176</v>
      </c>
      <c r="CZ407" s="20">
        <f t="shared" si="691"/>
        <v>518.55757144973916</v>
      </c>
      <c r="DA407" s="15">
        <f t="shared" si="688"/>
        <v>6.9347831345517641E-6</v>
      </c>
      <c r="DB407" s="16">
        <f t="shared" si="689"/>
        <v>38.456830427957563</v>
      </c>
      <c r="DC407" s="17">
        <f t="shared" si="690"/>
        <v>1.735563699266944E-2</v>
      </c>
      <c r="DD407" s="18">
        <f t="shared" si="742"/>
        <v>0.30856887418082862</v>
      </c>
    </row>
    <row r="408" spans="2:108" x14ac:dyDescent="0.25">
      <c r="B408">
        <v>141</v>
      </c>
      <c r="C408">
        <f t="shared" si="743"/>
        <v>0.13784366795468045</v>
      </c>
      <c r="D408" s="19">
        <f t="shared" si="640"/>
        <v>1017.6894027299836</v>
      </c>
      <c r="E408" s="15">
        <f t="shared" si="692"/>
        <v>5.5353788054599673E-6</v>
      </c>
      <c r="F408" s="16">
        <f t="shared" si="641"/>
        <v>27.592428131394811</v>
      </c>
      <c r="G408" s="17">
        <f t="shared" si="638"/>
        <v>1.3853356810225466E-2</v>
      </c>
      <c r="H408" s="18">
        <f t="shared" si="693"/>
        <v>0.43006656801675386</v>
      </c>
      <c r="I408" s="19">
        <f t="shared" si="694"/>
        <v>1017.3648263461176</v>
      </c>
      <c r="J408" s="15">
        <f t="shared" si="695"/>
        <v>5.5347296526922361E-6</v>
      </c>
      <c r="K408" s="16">
        <f t="shared" si="642"/>
        <v>27.58869550298035</v>
      </c>
      <c r="L408" s="17">
        <f t="shared" si="696"/>
        <v>1.3851732179783397E-2</v>
      </c>
      <c r="M408" s="18">
        <f t="shared" si="697"/>
        <v>0.43012475412025103</v>
      </c>
      <c r="N408" s="19">
        <f t="shared" si="698"/>
        <v>1016.4589605499954</v>
      </c>
      <c r="O408" s="15">
        <f t="shared" si="699"/>
        <v>5.5329179210999915E-6</v>
      </c>
      <c r="P408" s="16">
        <f t="shared" si="700"/>
        <v>27.578278046324947</v>
      </c>
      <c r="Q408" s="17">
        <f t="shared" si="639"/>
        <v>1.3853356810225466E-2</v>
      </c>
      <c r="R408" s="18">
        <f t="shared" si="701"/>
        <v>0.43028723003607644</v>
      </c>
      <c r="S408" s="19">
        <f t="shared" si="702"/>
        <v>1014.9574784794754</v>
      </c>
      <c r="T408" s="15">
        <f t="shared" si="703"/>
        <v>5.5299149569589512E-6</v>
      </c>
      <c r="U408" s="16">
        <f t="shared" si="704"/>
        <v>27.561011002513965</v>
      </c>
      <c r="V408" s="17">
        <f t="shared" si="705"/>
        <v>1.3839682471846504E-2</v>
      </c>
      <c r="W408" s="18">
        <f t="shared" si="706"/>
        <v>0.43055680608507046</v>
      </c>
      <c r="X408" s="19">
        <f t="shared" si="707"/>
        <v>1012.8583123745159</v>
      </c>
      <c r="Y408" s="15">
        <f t="shared" si="708"/>
        <v>5.5257166247490326E-6</v>
      </c>
      <c r="Z408" s="16">
        <f t="shared" si="709"/>
        <v>27.536870592306933</v>
      </c>
      <c r="AA408" s="17">
        <f t="shared" si="710"/>
        <v>1.3829175332921433E-2</v>
      </c>
      <c r="AB408" s="18">
        <f t="shared" si="711"/>
        <v>0.43093425703329935</v>
      </c>
      <c r="AC408" s="19">
        <f t="shared" si="712"/>
        <v>1010.1600109223153</v>
      </c>
      <c r="AD408" s="15">
        <f t="shared" si="643"/>
        <v>5.5203200218446308E-6</v>
      </c>
      <c r="AE408" s="16">
        <f t="shared" si="644"/>
        <v>27.505840125606625</v>
      </c>
      <c r="AF408" s="17">
        <f t="shared" si="645"/>
        <v>1.3815669289663103E-2</v>
      </c>
      <c r="AG408" s="18">
        <f t="shared" si="713"/>
        <v>0.43142041164816769</v>
      </c>
      <c r="AH408" s="19">
        <f t="shared" si="714"/>
        <v>1006.8622997822862</v>
      </c>
      <c r="AI408" s="15">
        <f t="shared" si="646"/>
        <v>5.5137245995645731E-6</v>
      </c>
      <c r="AJ408" s="16">
        <f t="shared" si="647"/>
        <v>27.46791644749629</v>
      </c>
      <c r="AK408" s="17">
        <f t="shared" si="648"/>
        <v>1.3799162968890687E-2</v>
      </c>
      <c r="AL408" s="18">
        <f t="shared" si="715"/>
        <v>0.43201605379863245</v>
      </c>
      <c r="AM408" s="19">
        <f t="shared" si="716"/>
        <v>1002.9651038573039</v>
      </c>
      <c r="AN408" s="15">
        <f t="shared" si="649"/>
        <v>5.5059302077146087E-6</v>
      </c>
      <c r="AO408" s="16">
        <f t="shared" si="650"/>
        <v>27.423098694358995</v>
      </c>
      <c r="AP408" s="17">
        <f t="shared" si="651"/>
        <v>1.3779655994714004E-2</v>
      </c>
      <c r="AQ408" s="18">
        <f t="shared" si="717"/>
        <v>0.43272210051736004</v>
      </c>
      <c r="AR408" s="19">
        <f t="shared" si="718"/>
        <v>998.4683962298933</v>
      </c>
      <c r="AS408" s="15">
        <f t="shared" si="652"/>
        <v>5.4969367924597876E-6</v>
      </c>
      <c r="AT408" s="16">
        <f t="shared" si="653"/>
        <v>27.37138655664377</v>
      </c>
      <c r="AU408" s="17">
        <f t="shared" si="654"/>
        <v>1.375714823240067E-2</v>
      </c>
      <c r="AV408" s="18">
        <f t="shared" si="719"/>
        <v>0.43353963253416405</v>
      </c>
      <c r="AW408" s="19">
        <f t="shared" si="720"/>
        <v>993.37208228164911</v>
      </c>
      <c r="AX408" s="15">
        <f t="shared" si="655"/>
        <v>5.486744164563299E-6</v>
      </c>
      <c r="AY408" s="16">
        <f t="shared" si="656"/>
        <v>27.312778946238964</v>
      </c>
      <c r="AZ408" s="17">
        <f t="shared" si="657"/>
        <v>1.3731639208348941E-2</v>
      </c>
      <c r="BA408" s="18">
        <f t="shared" si="721"/>
        <v>0.43446991948623942</v>
      </c>
      <c r="BB408" s="19">
        <f t="shared" si="722"/>
        <v>987.67557549276694</v>
      </c>
      <c r="BC408" s="15">
        <f t="shared" si="658"/>
        <v>5.475351150985534E-6</v>
      </c>
      <c r="BD408" s="16">
        <f t="shared" si="659"/>
        <v>27.24726911816682</v>
      </c>
      <c r="BE408" s="17">
        <f t="shared" si="660"/>
        <v>1.3703125986800156E-2</v>
      </c>
      <c r="BF408" s="18">
        <f t="shared" si="723"/>
        <v>0.43551450305917028</v>
      </c>
      <c r="BG408" s="19">
        <f t="shared" si="724"/>
        <v>981.37553389327093</v>
      </c>
      <c r="BH408" s="15">
        <f t="shared" si="661"/>
        <v>5.4627510677865422E-6</v>
      </c>
      <c r="BI408" s="16">
        <f t="shared" si="662"/>
        <v>27.174818639772617</v>
      </c>
      <c r="BJ408" s="17">
        <f t="shared" si="663"/>
        <v>1.3671591839900944E-2</v>
      </c>
      <c r="BK408" s="18">
        <f t="shared" si="725"/>
        <v>0.43667562337840837</v>
      </c>
      <c r="BL408" s="19">
        <f t="shared" si="726"/>
        <v>974.45470530595094</v>
      </c>
      <c r="BM408" s="15">
        <f t="shared" si="664"/>
        <v>5.4489094106119022E-6</v>
      </c>
      <c r="BN408" s="16">
        <f t="shared" si="665"/>
        <v>27.095229111018433</v>
      </c>
      <c r="BO408" s="17">
        <f t="shared" si="666"/>
        <v>1.363695041382619E-2</v>
      </c>
      <c r="BP408" s="18">
        <f t="shared" si="727"/>
        <v>0.43795831439905719</v>
      </c>
      <c r="BQ408" s="19">
        <f t="shared" si="728"/>
        <v>966.83314862942518</v>
      </c>
      <c r="BR408" s="15">
        <f t="shared" si="667"/>
        <v>5.4336662972588501E-6</v>
      </c>
      <c r="BS408" s="16">
        <f t="shared" si="668"/>
        <v>27.007581209238388</v>
      </c>
      <c r="BT408" s="17">
        <f t="shared" si="669"/>
        <v>1.3598801572418939E-2</v>
      </c>
      <c r="BU408" s="18">
        <f t="shared" si="729"/>
        <v>0.43937962373538059</v>
      </c>
      <c r="BV408" s="19">
        <f t="shared" si="730"/>
        <v>958.18269654320704</v>
      </c>
      <c r="BW408" s="15">
        <f t="shared" si="670"/>
        <v>5.4163653930864139E-6</v>
      </c>
      <c r="BX408" s="16">
        <f t="shared" si="671"/>
        <v>26.908101010246881</v>
      </c>
      <c r="BY408" s="17">
        <f t="shared" si="672"/>
        <v>1.3555502711209323E-2</v>
      </c>
      <c r="BZ408" s="18">
        <f t="shared" si="731"/>
        <v>0.44100402570954311</v>
      </c>
      <c r="CA408" s="19">
        <f t="shared" si="732"/>
        <v>947.32991185535445</v>
      </c>
      <c r="CB408" s="15">
        <f t="shared" si="673"/>
        <v>5.3946598237107096E-6</v>
      </c>
      <c r="CC408" s="16">
        <f t="shared" si="674"/>
        <v>26.783293986336574</v>
      </c>
      <c r="CD408" s="17">
        <f t="shared" si="675"/>
        <v>1.350118032282388E-2</v>
      </c>
      <c r="CE408" s="18">
        <f t="shared" si="733"/>
        <v>0.4430590529966778</v>
      </c>
      <c r="CF408" s="19">
        <f t="shared" si="734"/>
        <v>930.70207389940299</v>
      </c>
      <c r="CG408" s="15">
        <f t="shared" si="676"/>
        <v>5.3614041477988071E-6</v>
      </c>
      <c r="CH408" s="16">
        <f t="shared" si="677"/>
        <v>26.592073849843132</v>
      </c>
      <c r="CI408" s="17">
        <f t="shared" si="678"/>
        <v>1.3417951557356488E-2</v>
      </c>
      <c r="CJ408" s="18">
        <f t="shared" si="735"/>
        <v>0.44624503288929834</v>
      </c>
      <c r="CK408" s="19">
        <f t="shared" si="736"/>
        <v>899.33094443151822</v>
      </c>
      <c r="CL408" s="15">
        <f t="shared" si="679"/>
        <v>5.2986618888630372E-6</v>
      </c>
      <c r="CM408" s="16">
        <f t="shared" si="680"/>
        <v>26.231305860962458</v>
      </c>
      <c r="CN408" s="17">
        <f t="shared" si="681"/>
        <v>1.3260926910866272E-2</v>
      </c>
      <c r="CO408" s="18">
        <f t="shared" si="737"/>
        <v>0.45238239120141538</v>
      </c>
      <c r="CP408" s="19">
        <f t="shared" si="738"/>
        <v>835.56327632133866</v>
      </c>
      <c r="CQ408" s="15">
        <f t="shared" si="682"/>
        <v>5.1711265526426779E-6</v>
      </c>
      <c r="CR408" s="16">
        <f t="shared" si="683"/>
        <v>25.497977677695395</v>
      </c>
      <c r="CS408" s="17">
        <f t="shared" si="684"/>
        <v>1.2941745048040555E-2</v>
      </c>
      <c r="CT408" s="18">
        <f t="shared" si="739"/>
        <v>0.46539302134923061</v>
      </c>
      <c r="CU408" s="19">
        <f t="shared" si="740"/>
        <v>714.58312230281513</v>
      </c>
      <c r="CV408" s="15">
        <f t="shared" si="685"/>
        <v>4.9291662446056304E-6</v>
      </c>
      <c r="CW408" s="16">
        <f t="shared" si="686"/>
        <v>24.106705906482375</v>
      </c>
      <c r="CX408" s="17">
        <f t="shared" si="687"/>
        <v>1.2336192546765847E-2</v>
      </c>
      <c r="CY408" s="18">
        <f t="shared" si="741"/>
        <v>0.49225227684579398</v>
      </c>
      <c r="CZ408" s="20">
        <f t="shared" si="691"/>
        <v>517.57664019158551</v>
      </c>
      <c r="DA408" s="15">
        <f t="shared" si="688"/>
        <v>6.9496942404983332E-6</v>
      </c>
      <c r="DB408" s="16">
        <f t="shared" si="689"/>
        <v>38.485277434444015</v>
      </c>
      <c r="DC408" s="17">
        <f t="shared" si="690"/>
        <v>1.7392954921283312E-2</v>
      </c>
      <c r="DD408" s="18">
        <f t="shared" si="742"/>
        <v>0.30834079057716246</v>
      </c>
    </row>
    <row r="409" spans="2:108" x14ac:dyDescent="0.25">
      <c r="B409">
        <v>142</v>
      </c>
      <c r="C409">
        <f t="shared" si="743"/>
        <v>0.13882128262102572</v>
      </c>
      <c r="D409" s="19">
        <f t="shared" si="640"/>
        <v>1017.6728314994745</v>
      </c>
      <c r="E409" s="15">
        <f t="shared" si="692"/>
        <v>5.5353456629989492E-6</v>
      </c>
      <c r="F409" s="16">
        <f t="shared" si="641"/>
        <v>27.592237562243955</v>
      </c>
      <c r="G409" s="17">
        <f t="shared" si="638"/>
        <v>1.3853273864802182E-2</v>
      </c>
      <c r="H409" s="18">
        <f t="shared" si="693"/>
        <v>0.43006953832390976</v>
      </c>
      <c r="I409" s="19">
        <f t="shared" si="694"/>
        <v>1017.3482507584479</v>
      </c>
      <c r="J409" s="15">
        <f t="shared" si="695"/>
        <v>5.5346965015168964E-6</v>
      </c>
      <c r="K409" s="16">
        <f t="shared" si="642"/>
        <v>27.588504883722152</v>
      </c>
      <c r="L409" s="17">
        <f t="shared" si="696"/>
        <v>1.3851649212550837E-2</v>
      </c>
      <c r="M409" s="18">
        <f t="shared" si="697"/>
        <v>0.43012772601241805</v>
      </c>
      <c r="N409" s="19">
        <f t="shared" si="698"/>
        <v>1016.4423738477518</v>
      </c>
      <c r="O409" s="15">
        <f t="shared" si="699"/>
        <v>5.5328847476955045E-6</v>
      </c>
      <c r="P409" s="16">
        <f t="shared" si="700"/>
        <v>27.578087299249145</v>
      </c>
      <c r="Q409" s="17">
        <f t="shared" si="639"/>
        <v>1.3853273864802182E-2</v>
      </c>
      <c r="R409" s="18">
        <f t="shared" si="701"/>
        <v>0.43029020616817704</v>
      </c>
      <c r="S409" s="19">
        <f t="shared" si="702"/>
        <v>1014.9408851379841</v>
      </c>
      <c r="T409" s="15">
        <f t="shared" si="703"/>
        <v>5.5298817702759683E-6</v>
      </c>
      <c r="U409" s="16">
        <f t="shared" si="704"/>
        <v>27.560820179086818</v>
      </c>
      <c r="V409" s="17">
        <f t="shared" si="705"/>
        <v>1.3839599415749193E-2</v>
      </c>
      <c r="W409" s="18">
        <f t="shared" si="706"/>
        <v>0.43055978714023446</v>
      </c>
      <c r="X409" s="19">
        <f t="shared" si="707"/>
        <v>1012.8417212026641</v>
      </c>
      <c r="Y409" s="15">
        <f t="shared" si="708"/>
        <v>5.5256834424053283E-6</v>
      </c>
      <c r="Z409" s="16">
        <f t="shared" si="709"/>
        <v>27.536679793830636</v>
      </c>
      <c r="AA409" s="17">
        <f t="shared" si="710"/>
        <v>1.3829092287684006E-2</v>
      </c>
      <c r="AB409" s="18">
        <f t="shared" si="711"/>
        <v>0.43093724292703245</v>
      </c>
      <c r="AC409" s="19">
        <f t="shared" si="712"/>
        <v>1010.1434296892746</v>
      </c>
      <c r="AD409" s="15">
        <f t="shared" si="643"/>
        <v>5.5202868593785494E-6</v>
      </c>
      <c r="AE409" s="16">
        <f t="shared" si="644"/>
        <v>27.505649441426655</v>
      </c>
      <c r="AF409" s="17">
        <f t="shared" si="645"/>
        <v>1.3815586294173277E-2</v>
      </c>
      <c r="AG409" s="18">
        <f t="shared" si="713"/>
        <v>0.43142340249001609</v>
      </c>
      <c r="AH409" s="19">
        <f t="shared" si="714"/>
        <v>1006.8457340602214</v>
      </c>
      <c r="AI409" s="15">
        <f t="shared" si="646"/>
        <v>5.5136914681204432E-6</v>
      </c>
      <c r="AJ409" s="16">
        <f t="shared" si="647"/>
        <v>27.467725941692546</v>
      </c>
      <c r="AK409" s="17">
        <f t="shared" si="648"/>
        <v>1.3799080051039301E-2</v>
      </c>
      <c r="AL409" s="18">
        <f t="shared" si="715"/>
        <v>0.43201905009929942</v>
      </c>
      <c r="AM409" s="19">
        <f t="shared" si="716"/>
        <v>1002.9485577082548</v>
      </c>
      <c r="AN409" s="15">
        <f t="shared" si="649"/>
        <v>5.5058971154165106E-6</v>
      </c>
      <c r="AO409" s="16">
        <f t="shared" si="650"/>
        <v>27.422908413644929</v>
      </c>
      <c r="AP409" s="17">
        <f t="shared" si="651"/>
        <v>1.3779573174833137E-2</v>
      </c>
      <c r="AQ409" s="18">
        <f t="shared" si="717"/>
        <v>0.43272510306796613</v>
      </c>
      <c r="AR409" s="19">
        <f t="shared" si="718"/>
        <v>998.4518721767962</v>
      </c>
      <c r="AS409" s="15">
        <f t="shared" si="652"/>
        <v>5.4969037443535929E-6</v>
      </c>
      <c r="AT409" s="16">
        <f t="shared" si="653"/>
        <v>27.371196530033156</v>
      </c>
      <c r="AU409" s="17">
        <f t="shared" si="654"/>
        <v>1.3757065523118596E-2</v>
      </c>
      <c r="AV409" s="18">
        <f t="shared" si="719"/>
        <v>0.43354264241598806</v>
      </c>
      <c r="AW409" s="19">
        <f t="shared" si="720"/>
        <v>993.35557663707732</v>
      </c>
      <c r="AX409" s="15">
        <f t="shared" si="655"/>
        <v>5.4867111532741554E-6</v>
      </c>
      <c r="AY409" s="16">
        <f t="shared" si="656"/>
        <v>27.312589131326391</v>
      </c>
      <c r="AZ409" s="17">
        <f t="shared" si="657"/>
        <v>1.3731556591208661E-2</v>
      </c>
      <c r="BA409" s="18">
        <f t="shared" si="721"/>
        <v>0.43447293893157241</v>
      </c>
      <c r="BB409" s="19">
        <f t="shared" si="722"/>
        <v>987.65905145620548</v>
      </c>
      <c r="BC409" s="15">
        <f t="shared" si="658"/>
        <v>5.4753181029124117E-6</v>
      </c>
      <c r="BD409" s="16">
        <f t="shared" si="659"/>
        <v>27.247079091746365</v>
      </c>
      <c r="BE409" s="17">
        <f t="shared" si="660"/>
        <v>1.3703043277600852E-2</v>
      </c>
      <c r="BF409" s="18">
        <f t="shared" si="723"/>
        <v>0.43551754042188329</v>
      </c>
      <c r="BG409" s="19">
        <f t="shared" si="724"/>
        <v>981.35879239702251</v>
      </c>
      <c r="BH409" s="15">
        <f t="shared" si="661"/>
        <v>5.4627175847940456E-6</v>
      </c>
      <c r="BI409" s="16">
        <f t="shared" si="662"/>
        <v>27.174626112565758</v>
      </c>
      <c r="BJ409" s="17">
        <f t="shared" si="663"/>
        <v>1.3671508042231726E-2</v>
      </c>
      <c r="BK409" s="18">
        <f t="shared" si="725"/>
        <v>0.43667871714454609</v>
      </c>
      <c r="BL409" s="19">
        <f t="shared" si="726"/>
        <v>974.43684128219866</v>
      </c>
      <c r="BM409" s="15">
        <f t="shared" si="664"/>
        <v>5.448873682564398E-6</v>
      </c>
      <c r="BN409" s="16">
        <f t="shared" si="665"/>
        <v>27.095023674745285</v>
      </c>
      <c r="BO409" s="17">
        <f t="shared" si="666"/>
        <v>1.3636860997472296E-2</v>
      </c>
      <c r="BP409" s="18">
        <f t="shared" si="727"/>
        <v>0.43796163502815078</v>
      </c>
      <c r="BQ409" s="19">
        <f t="shared" si="728"/>
        <v>966.81058314414042</v>
      </c>
      <c r="BR409" s="15">
        <f t="shared" si="667"/>
        <v>5.4336211662882816E-6</v>
      </c>
      <c r="BS409" s="16">
        <f t="shared" si="668"/>
        <v>27.007321706157612</v>
      </c>
      <c r="BT409" s="17">
        <f t="shared" si="669"/>
        <v>1.359868862343018E-2</v>
      </c>
      <c r="BU409" s="18">
        <f t="shared" si="729"/>
        <v>0.43938384556704646</v>
      </c>
      <c r="BV409" s="19">
        <f t="shared" si="730"/>
        <v>958.1432756206251</v>
      </c>
      <c r="BW409" s="15">
        <f t="shared" si="670"/>
        <v>5.4162865512412504E-6</v>
      </c>
      <c r="BX409" s="16">
        <f t="shared" si="671"/>
        <v>26.907647669637186</v>
      </c>
      <c r="BY409" s="17">
        <f t="shared" si="672"/>
        <v>1.3555305394232288E-2</v>
      </c>
      <c r="BZ409" s="18">
        <f t="shared" si="731"/>
        <v>0.44101145575457523</v>
      </c>
      <c r="CA409" s="19">
        <f t="shared" si="732"/>
        <v>947.2392123035587</v>
      </c>
      <c r="CB409" s="15">
        <f t="shared" si="673"/>
        <v>5.3944784246071179E-6</v>
      </c>
      <c r="CC409" s="16">
        <f t="shared" si="674"/>
        <v>26.782250941490922</v>
      </c>
      <c r="CD409" s="17">
        <f t="shared" si="675"/>
        <v>1.35007263364581E-2</v>
      </c>
      <c r="CE409" s="18">
        <f t="shared" si="733"/>
        <v>0.44307630809829557</v>
      </c>
      <c r="CF409" s="19">
        <f t="shared" si="734"/>
        <v>930.48277810153854</v>
      </c>
      <c r="CG409" s="15">
        <f t="shared" si="676"/>
        <v>5.3609655562030778E-6</v>
      </c>
      <c r="CH409" s="16">
        <f t="shared" si="677"/>
        <v>26.589551948167692</v>
      </c>
      <c r="CI409" s="17">
        <f t="shared" si="678"/>
        <v>1.3416853897000593E-2</v>
      </c>
      <c r="CJ409" s="18">
        <f t="shared" si="735"/>
        <v>0.44628735726160418</v>
      </c>
      <c r="CK409" s="19">
        <f t="shared" si="736"/>
        <v>898.85874176616721</v>
      </c>
      <c r="CL409" s="15">
        <f t="shared" si="679"/>
        <v>5.2977174835323358E-6</v>
      </c>
      <c r="CM409" s="16">
        <f t="shared" si="680"/>
        <v>26.225875530310923</v>
      </c>
      <c r="CN409" s="17">
        <f t="shared" si="681"/>
        <v>1.3258563353740465E-2</v>
      </c>
      <c r="CO409" s="18">
        <f t="shared" si="737"/>
        <v>0.45247606151424502</v>
      </c>
      <c r="CP409" s="19">
        <f t="shared" si="738"/>
        <v>834.73667954384905</v>
      </c>
      <c r="CQ409" s="15">
        <f t="shared" si="682"/>
        <v>5.1694733590876982E-6</v>
      </c>
      <c r="CR409" s="16">
        <f t="shared" si="683"/>
        <v>25.488471814754263</v>
      </c>
      <c r="CS409" s="17">
        <f t="shared" si="684"/>
        <v>1.2937607611200476E-2</v>
      </c>
      <c r="CT409" s="18">
        <f t="shared" si="739"/>
        <v>0.46556658853312682</v>
      </c>
      <c r="CU409" s="19">
        <f t="shared" si="740"/>
        <v>713.49126070383522</v>
      </c>
      <c r="CV409" s="15">
        <f t="shared" si="685"/>
        <v>4.9269825214076711E-6</v>
      </c>
      <c r="CW409" s="16">
        <f t="shared" si="686"/>
        <v>24.094149498094104</v>
      </c>
      <c r="CX409" s="17">
        <f t="shared" si="687"/>
        <v>1.2330727356812406E-2</v>
      </c>
      <c r="CY409" s="18">
        <f t="shared" si="741"/>
        <v>0.49250880885654708</v>
      </c>
      <c r="CZ409" s="20">
        <f t="shared" si="691"/>
        <v>516.6018494886423</v>
      </c>
      <c r="DA409" s="15">
        <f t="shared" si="688"/>
        <v>6.9645003551212448E-6</v>
      </c>
      <c r="DB409" s="16">
        <f t="shared" si="689"/>
        <v>38.513546364829367</v>
      </c>
      <c r="DC409" s="17">
        <f t="shared" si="690"/>
        <v>1.7430010088789097E-2</v>
      </c>
      <c r="DD409" s="18">
        <f t="shared" si="742"/>
        <v>0.30811446853812663</v>
      </c>
    </row>
    <row r="410" spans="2:108" x14ac:dyDescent="0.25">
      <c r="B410">
        <v>143</v>
      </c>
      <c r="C410">
        <f t="shared" si="743"/>
        <v>0.13979889728737097</v>
      </c>
      <c r="D410" s="19">
        <f t="shared" si="640"/>
        <v>1017.6562600465107</v>
      </c>
      <c r="E410" s="15">
        <f t="shared" si="692"/>
        <v>5.5353125200930219E-6</v>
      </c>
      <c r="F410" s="16">
        <f t="shared" si="641"/>
        <v>27.592046990534872</v>
      </c>
      <c r="G410" s="17">
        <f t="shared" si="638"/>
        <v>1.3853190918265427E-2</v>
      </c>
      <c r="H410" s="18">
        <f t="shared" si="693"/>
        <v>0.43007250871197017</v>
      </c>
      <c r="I410" s="19">
        <f t="shared" si="694"/>
        <v>1017.3316750692463</v>
      </c>
      <c r="J410" s="15">
        <f t="shared" si="695"/>
        <v>5.5346633501384932E-6</v>
      </c>
      <c r="K410" s="16">
        <f t="shared" si="642"/>
        <v>27.588314263296333</v>
      </c>
      <c r="L410" s="17">
        <f t="shared" si="696"/>
        <v>1.3851566244810072E-2</v>
      </c>
      <c r="M410" s="18">
        <f t="shared" si="697"/>
        <v>0.43013069796385756</v>
      </c>
      <c r="N410" s="19">
        <f t="shared" si="698"/>
        <v>1016.425787245369</v>
      </c>
      <c r="O410" s="15">
        <f t="shared" si="699"/>
        <v>5.5328515744907377E-6</v>
      </c>
      <c r="P410" s="16">
        <f t="shared" si="700"/>
        <v>27.577896553321743</v>
      </c>
      <c r="Q410" s="17">
        <f t="shared" si="639"/>
        <v>1.3853190918265427E-2</v>
      </c>
      <c r="R410" s="18">
        <f t="shared" si="701"/>
        <v>0.43029318232352914</v>
      </c>
      <c r="S410" s="19">
        <f t="shared" si="702"/>
        <v>1014.9242920075569</v>
      </c>
      <c r="T410" s="15">
        <f t="shared" si="703"/>
        <v>5.5298485840151145E-6</v>
      </c>
      <c r="U410" s="16">
        <f t="shared" si="704"/>
        <v>27.560629358086903</v>
      </c>
      <c r="V410" s="17">
        <f t="shared" si="705"/>
        <v>1.3839516360708345E-2</v>
      </c>
      <c r="W410" s="18">
        <f t="shared" si="706"/>
        <v>0.43056276819875955</v>
      </c>
      <c r="X410" s="19">
        <f t="shared" si="707"/>
        <v>1012.8251302588487</v>
      </c>
      <c r="Y410" s="15">
        <f t="shared" si="708"/>
        <v>5.5256502605176979E-6</v>
      </c>
      <c r="Z410" s="16">
        <f t="shared" si="709"/>
        <v>27.536488997976761</v>
      </c>
      <c r="AA410" s="17">
        <f t="shared" si="710"/>
        <v>1.3829009243587997E-2</v>
      </c>
      <c r="AB410" s="18">
        <f t="shared" si="711"/>
        <v>0.43094022882110328</v>
      </c>
      <c r="AC410" s="19">
        <f t="shared" si="712"/>
        <v>1010.1268486680567</v>
      </c>
      <c r="AD410" s="15">
        <f t="shared" si="643"/>
        <v>5.5202536973361141E-6</v>
      </c>
      <c r="AE410" s="16">
        <f t="shared" si="644"/>
        <v>27.505458759682654</v>
      </c>
      <c r="AF410" s="17">
        <f t="shared" si="645"/>
        <v>1.3815503299743707E-2</v>
      </c>
      <c r="AG410" s="18">
        <f t="shared" si="713"/>
        <v>0.43142639333512467</v>
      </c>
      <c r="AH410" s="19">
        <f t="shared" si="714"/>
        <v>1006.8291685341829</v>
      </c>
      <c r="AI410" s="15">
        <f t="shared" si="646"/>
        <v>5.5136583370683668E-6</v>
      </c>
      <c r="AJ410" s="16">
        <f t="shared" si="647"/>
        <v>27.467535438143102</v>
      </c>
      <c r="AK410" s="17">
        <f t="shared" si="648"/>
        <v>1.3798997134169102E-2</v>
      </c>
      <c r="AL410" s="18">
        <f t="shared" si="715"/>
        <v>0.43202204640607245</v>
      </c>
      <c r="AM410" s="19">
        <f t="shared" si="716"/>
        <v>1002.9320117345142</v>
      </c>
      <c r="AN410" s="15">
        <f t="shared" si="649"/>
        <v>5.505864023469029E-6</v>
      </c>
      <c r="AO410" s="16">
        <f t="shared" si="650"/>
        <v>27.422718134946912</v>
      </c>
      <c r="AP410" s="17">
        <f t="shared" si="651"/>
        <v>1.3779490355829755E-2</v>
      </c>
      <c r="AQ410" s="18">
        <f t="shared" si="717"/>
        <v>0.4327281056284274</v>
      </c>
      <c r="AR410" s="19">
        <f t="shared" si="718"/>
        <v>998.43534820708555</v>
      </c>
      <c r="AS410" s="15">
        <f t="shared" si="652"/>
        <v>5.4968706964141714E-6</v>
      </c>
      <c r="AT410" s="16">
        <f t="shared" si="653"/>
        <v>27.371006504381484</v>
      </c>
      <c r="AU410" s="17">
        <f t="shared" si="654"/>
        <v>1.3756982814253901E-2</v>
      </c>
      <c r="AV410" s="18">
        <f t="shared" si="719"/>
        <v>0.43354565232441583</v>
      </c>
      <c r="AW410" s="19">
        <f t="shared" si="720"/>
        <v>993.33907058548766</v>
      </c>
      <c r="AX410" s="15">
        <f t="shared" si="655"/>
        <v>5.4866781411709759E-6</v>
      </c>
      <c r="AY410" s="16">
        <f t="shared" si="656"/>
        <v>27.31239931173311</v>
      </c>
      <c r="AZ410" s="17">
        <f t="shared" si="657"/>
        <v>1.3731473972031099E-2</v>
      </c>
      <c r="BA410" s="18">
        <f t="shared" si="721"/>
        <v>0.43447595849333326</v>
      </c>
      <c r="BB410" s="19">
        <f t="shared" si="722"/>
        <v>987.64252462364243</v>
      </c>
      <c r="BC410" s="15">
        <f t="shared" si="658"/>
        <v>5.4752850492472855E-6</v>
      </c>
      <c r="BD410" s="16">
        <f t="shared" si="659"/>
        <v>27.24688903317189</v>
      </c>
      <c r="BE410" s="17">
        <f t="shared" si="660"/>
        <v>1.3702960554406472E-2</v>
      </c>
      <c r="BF410" s="18">
        <f t="shared" si="723"/>
        <v>0.43552057834092023</v>
      </c>
      <c r="BG410" s="19">
        <f t="shared" si="724"/>
        <v>981.34203776510446</v>
      </c>
      <c r="BH410" s="15">
        <f t="shared" si="661"/>
        <v>5.4626840755302098E-6</v>
      </c>
      <c r="BI410" s="16">
        <f t="shared" si="662"/>
        <v>27.174433434298699</v>
      </c>
      <c r="BJ410" s="17">
        <f t="shared" si="663"/>
        <v>1.3671424178813398E-2</v>
      </c>
      <c r="BK410" s="18">
        <f t="shared" si="725"/>
        <v>0.43668181338199608</v>
      </c>
      <c r="BL410" s="19">
        <f t="shared" si="726"/>
        <v>974.41892512130948</v>
      </c>
      <c r="BM410" s="15">
        <f t="shared" si="664"/>
        <v>5.4488378502426192E-6</v>
      </c>
      <c r="BN410" s="16">
        <f t="shared" si="665"/>
        <v>27.094817638895059</v>
      </c>
      <c r="BO410" s="17">
        <f t="shared" si="666"/>
        <v>1.3636771320151847E-2</v>
      </c>
      <c r="BP410" s="18">
        <f t="shared" si="727"/>
        <v>0.43796496539925872</v>
      </c>
      <c r="BQ410" s="19">
        <f t="shared" si="728"/>
        <v>966.78784075985652</v>
      </c>
      <c r="BR410" s="15">
        <f t="shared" si="667"/>
        <v>5.4335756815197133E-6</v>
      </c>
      <c r="BS410" s="16">
        <f t="shared" si="668"/>
        <v>27.007060168738349</v>
      </c>
      <c r="BT410" s="17">
        <f t="shared" si="669"/>
        <v>1.3598574788993451E-2</v>
      </c>
      <c r="BU410" s="18">
        <f t="shared" si="729"/>
        <v>0.43938810057726668</v>
      </c>
      <c r="BV410" s="19">
        <f t="shared" si="730"/>
        <v>958.10335383146401</v>
      </c>
      <c r="BW410" s="15">
        <f t="shared" si="670"/>
        <v>5.4162067076629284E-6</v>
      </c>
      <c r="BX410" s="16">
        <f t="shared" si="671"/>
        <v>26.907188569061837</v>
      </c>
      <c r="BY410" s="17">
        <f t="shared" si="672"/>
        <v>1.3555105570224144E-2</v>
      </c>
      <c r="BZ410" s="18">
        <f t="shared" si="731"/>
        <v>0.44101898045796639</v>
      </c>
      <c r="CA410" s="19">
        <f t="shared" si="732"/>
        <v>947.14738476624382</v>
      </c>
      <c r="CB410" s="15">
        <f t="shared" si="673"/>
        <v>5.3942947695324883E-6</v>
      </c>
      <c r="CC410" s="16">
        <f t="shared" si="674"/>
        <v>26.781194924811803</v>
      </c>
      <c r="CD410" s="17">
        <f t="shared" si="675"/>
        <v>1.3500266704088163E-2</v>
      </c>
      <c r="CE410" s="18">
        <f t="shared" si="733"/>
        <v>0.44309377916233089</v>
      </c>
      <c r="CF410" s="19">
        <f t="shared" si="734"/>
        <v>930.26165059325285</v>
      </c>
      <c r="CG410" s="15">
        <f t="shared" si="676"/>
        <v>5.3605233011865068E-6</v>
      </c>
      <c r="CH410" s="16">
        <f t="shared" si="677"/>
        <v>26.587008981822407</v>
      </c>
      <c r="CI410" s="17">
        <f t="shared" si="678"/>
        <v>1.3415747068225004E-2</v>
      </c>
      <c r="CJ410" s="18">
        <f t="shared" si="735"/>
        <v>0.44633004328659548</v>
      </c>
      <c r="CK410" s="19">
        <f t="shared" si="736"/>
        <v>898.38497689885662</v>
      </c>
      <c r="CL410" s="15">
        <f t="shared" si="679"/>
        <v>5.296769953797714E-6</v>
      </c>
      <c r="CM410" s="16">
        <f t="shared" si="680"/>
        <v>26.220427234336853</v>
      </c>
      <c r="CN410" s="17">
        <f t="shared" si="681"/>
        <v>1.3256191977189134E-2</v>
      </c>
      <c r="CO410" s="18">
        <f t="shared" si="737"/>
        <v>0.45257008071089194</v>
      </c>
      <c r="CP410" s="19">
        <f t="shared" si="738"/>
        <v>833.91118394782984</v>
      </c>
      <c r="CQ410" s="15">
        <f t="shared" si="682"/>
        <v>5.1678223678956605E-6</v>
      </c>
      <c r="CR410" s="16">
        <f t="shared" si="683"/>
        <v>25.478978615400042</v>
      </c>
      <c r="CS410" s="17">
        <f t="shared" si="684"/>
        <v>1.2933475686199918E-2</v>
      </c>
      <c r="CT410" s="18">
        <f t="shared" si="739"/>
        <v>0.46574005374554073</v>
      </c>
      <c r="CU410" s="19">
        <f t="shared" si="740"/>
        <v>712.40464230739497</v>
      </c>
      <c r="CV410" s="15">
        <f t="shared" si="685"/>
        <v>4.9248092846147901E-6</v>
      </c>
      <c r="CW410" s="16">
        <f t="shared" si="686"/>
        <v>24.081653386535042</v>
      </c>
      <c r="CX410" s="17">
        <f t="shared" si="687"/>
        <v>1.2325288411117271E-2</v>
      </c>
      <c r="CY410" s="18">
        <f t="shared" si="741"/>
        <v>0.49276437457375538</v>
      </c>
      <c r="CZ410" s="20">
        <f t="shared" si="691"/>
        <v>515.63312200638234</v>
      </c>
      <c r="DA410" s="15">
        <f t="shared" si="688"/>
        <v>6.9792029925438594E-6</v>
      </c>
      <c r="DB410" s="16">
        <f t="shared" si="689"/>
        <v>38.54163946181491</v>
      </c>
      <c r="DC410" s="17">
        <f t="shared" si="690"/>
        <v>1.7466806284573557E-2</v>
      </c>
      <c r="DD410" s="18">
        <f t="shared" si="742"/>
        <v>0.30788988313469906</v>
      </c>
    </row>
    <row r="411" spans="2:108" x14ac:dyDescent="0.25">
      <c r="B411">
        <v>144</v>
      </c>
      <c r="C411">
        <f t="shared" si="743"/>
        <v>0.14077651195371621</v>
      </c>
      <c r="D411" s="19">
        <f t="shared" si="640"/>
        <v>1017.6396883772661</v>
      </c>
      <c r="E411" s="15">
        <f t="shared" si="692"/>
        <v>5.5352793767545326E-6</v>
      </c>
      <c r="F411" s="16">
        <f t="shared" si="641"/>
        <v>27.591856416338558</v>
      </c>
      <c r="G411" s="17">
        <f t="shared" si="638"/>
        <v>1.3853107970646102E-2</v>
      </c>
      <c r="H411" s="18">
        <f t="shared" si="693"/>
        <v>0.43007547917983097</v>
      </c>
      <c r="I411" s="19">
        <f t="shared" si="694"/>
        <v>1017.3150992818639</v>
      </c>
      <c r="J411" s="15">
        <f t="shared" si="695"/>
        <v>5.5346301985637284E-6</v>
      </c>
      <c r="K411" s="16">
        <f t="shared" si="642"/>
        <v>27.588123641741433</v>
      </c>
      <c r="L411" s="17">
        <f t="shared" si="696"/>
        <v>1.3851483276577875E-2</v>
      </c>
      <c r="M411" s="18">
        <f t="shared" si="697"/>
        <v>0.43013366997397035</v>
      </c>
      <c r="N411" s="19">
        <f t="shared" si="698"/>
        <v>1016.4092007426806</v>
      </c>
      <c r="O411" s="15">
        <f t="shared" si="699"/>
        <v>5.5328184014853617E-6</v>
      </c>
      <c r="P411" s="16">
        <f t="shared" si="700"/>
        <v>27.577705808540827</v>
      </c>
      <c r="Q411" s="17">
        <f t="shared" si="639"/>
        <v>1.3853107970646102E-2</v>
      </c>
      <c r="R411" s="18">
        <f t="shared" si="701"/>
        <v>0.43029615850216274</v>
      </c>
      <c r="S411" s="19">
        <f t="shared" si="702"/>
        <v>1014.9076990871845</v>
      </c>
      <c r="T411" s="15">
        <f t="shared" si="703"/>
        <v>5.5298153981743695E-6</v>
      </c>
      <c r="U411" s="16">
        <f t="shared" si="704"/>
        <v>27.56043853950262</v>
      </c>
      <c r="V411" s="17">
        <f t="shared" si="705"/>
        <v>1.3839433306718898E-2</v>
      </c>
      <c r="W411" s="18">
        <f t="shared" si="706"/>
        <v>0.4305657492608263</v>
      </c>
      <c r="X411" s="19">
        <f t="shared" si="707"/>
        <v>1012.808539542609</v>
      </c>
      <c r="Y411" s="15">
        <f t="shared" si="708"/>
        <v>5.5256170790852182E-6</v>
      </c>
      <c r="Z411" s="16">
        <f t="shared" si="709"/>
        <v>27.536298204740003</v>
      </c>
      <c r="AA411" s="17">
        <f t="shared" si="710"/>
        <v>1.3828926200631086E-2</v>
      </c>
      <c r="AB411" s="18">
        <f t="shared" si="711"/>
        <v>0.43094321471559405</v>
      </c>
      <c r="AC411" s="19">
        <f t="shared" si="712"/>
        <v>1010.1102678586204</v>
      </c>
      <c r="AD411" s="15">
        <f t="shared" si="643"/>
        <v>5.520220535717241E-6</v>
      </c>
      <c r="AE411" s="16">
        <f t="shared" si="644"/>
        <v>27.505268080374137</v>
      </c>
      <c r="AF411" s="17">
        <f t="shared" si="645"/>
        <v>1.3815420306374183E-2</v>
      </c>
      <c r="AG411" s="18">
        <f t="shared" si="713"/>
        <v>0.43142938418350019</v>
      </c>
      <c r="AH411" s="19">
        <f t="shared" si="714"/>
        <v>1006.8126032040584</v>
      </c>
      <c r="AI411" s="15">
        <f t="shared" si="646"/>
        <v>5.5136252064081176E-6</v>
      </c>
      <c r="AJ411" s="16">
        <f t="shared" si="647"/>
        <v>27.467344936846672</v>
      </c>
      <c r="AK411" s="17">
        <f t="shared" si="648"/>
        <v>1.3798914218279527E-2</v>
      </c>
      <c r="AL411" s="18">
        <f t="shared" si="715"/>
        <v>0.43202504271897113</v>
      </c>
      <c r="AM411" s="19">
        <f t="shared" si="716"/>
        <v>1002.9154659349862</v>
      </c>
      <c r="AN411" s="15">
        <f t="shared" si="649"/>
        <v>5.5058309318699735E-6</v>
      </c>
      <c r="AO411" s="16">
        <f t="shared" si="650"/>
        <v>27.422527858252341</v>
      </c>
      <c r="AP411" s="17">
        <f t="shared" si="651"/>
        <v>1.3779407537698378E-2</v>
      </c>
      <c r="AQ411" s="18">
        <f t="shared" si="717"/>
        <v>0.43273110819894212</v>
      </c>
      <c r="AR411" s="19">
        <f t="shared" si="718"/>
        <v>998.41882431476802</v>
      </c>
      <c r="AS411" s="15">
        <f t="shared" si="652"/>
        <v>5.4968376486295367E-6</v>
      </c>
      <c r="AT411" s="16">
        <f t="shared" si="653"/>
        <v>27.370816479619833</v>
      </c>
      <c r="AU411" s="17">
        <f t="shared" si="654"/>
        <v>1.375690010577659E-2</v>
      </c>
      <c r="AV411" s="18">
        <f t="shared" si="719"/>
        <v>0.43354866226053917</v>
      </c>
      <c r="AW411" s="19">
        <f t="shared" si="720"/>
        <v>993.32256409856666</v>
      </c>
      <c r="AX411" s="15">
        <f t="shared" si="655"/>
        <v>5.4866451281971337E-6</v>
      </c>
      <c r="AY411" s="16">
        <f t="shared" si="656"/>
        <v>27.312209487133515</v>
      </c>
      <c r="AZ411" s="17">
        <f t="shared" si="657"/>
        <v>1.3731391350674534E-2</v>
      </c>
      <c r="BA411" s="18">
        <f t="shared" si="721"/>
        <v>0.43447897817670578</v>
      </c>
      <c r="BB411" s="19">
        <f t="shared" si="722"/>
        <v>987.62599487720206</v>
      </c>
      <c r="BC411" s="15">
        <f t="shared" si="658"/>
        <v>5.4752519897544049E-6</v>
      </c>
      <c r="BD411" s="16">
        <f t="shared" si="659"/>
        <v>27.246698941087821</v>
      </c>
      <c r="BE411" s="17">
        <f t="shared" si="660"/>
        <v>1.3702877816627013E-2</v>
      </c>
      <c r="BF411" s="18">
        <f t="shared" si="723"/>
        <v>0.43552361683797158</v>
      </c>
      <c r="BG411" s="19">
        <f t="shared" si="724"/>
        <v>981.32526957421283</v>
      </c>
      <c r="BH411" s="15">
        <f t="shared" si="661"/>
        <v>5.4626505391484261E-6</v>
      </c>
      <c r="BI411" s="16">
        <f t="shared" si="662"/>
        <v>27.174240600103445</v>
      </c>
      <c r="BJ411" s="17">
        <f t="shared" si="663"/>
        <v>1.3671340247527159E-2</v>
      </c>
      <c r="BK411" s="18">
        <f t="shared" si="725"/>
        <v>0.43668491216909022</v>
      </c>
      <c r="BL411" s="19">
        <f t="shared" si="726"/>
        <v>974.40095555826804</v>
      </c>
      <c r="BM411" s="15">
        <f t="shared" si="664"/>
        <v>5.4488019111165366E-6</v>
      </c>
      <c r="BN411" s="16">
        <f t="shared" si="665"/>
        <v>27.094610988920081</v>
      </c>
      <c r="BO411" s="17">
        <f t="shared" si="666"/>
        <v>1.3636681375532957E-2</v>
      </c>
      <c r="BP411" s="18">
        <f t="shared" si="727"/>
        <v>0.4379683057479789</v>
      </c>
      <c r="BQ411" s="19">
        <f t="shared" si="728"/>
        <v>966.76491852749336</v>
      </c>
      <c r="BR411" s="15">
        <f t="shared" si="667"/>
        <v>5.4335298370549871E-6</v>
      </c>
      <c r="BS411" s="16">
        <f t="shared" si="668"/>
        <v>27.006796563066175</v>
      </c>
      <c r="BT411" s="17">
        <f t="shared" si="669"/>
        <v>1.3598460054347467E-2</v>
      </c>
      <c r="BU411" s="18">
        <f t="shared" si="729"/>
        <v>0.43939238931974406</v>
      </c>
      <c r="BV411" s="19">
        <f t="shared" si="730"/>
        <v>958.06292660249505</v>
      </c>
      <c r="BW411" s="15">
        <f t="shared" si="670"/>
        <v>5.4161258532049906E-6</v>
      </c>
      <c r="BX411" s="16">
        <f t="shared" si="671"/>
        <v>26.906723655928694</v>
      </c>
      <c r="BY411" s="17">
        <f t="shared" si="672"/>
        <v>1.3554903216294111E-2</v>
      </c>
      <c r="BZ411" s="18">
        <f t="shared" si="731"/>
        <v>0.44102660069142929</v>
      </c>
      <c r="CA411" s="19">
        <f t="shared" si="732"/>
        <v>947.05442765435362</v>
      </c>
      <c r="CB411" s="15">
        <f t="shared" si="673"/>
        <v>5.3941088553087073E-6</v>
      </c>
      <c r="CC411" s="16">
        <f t="shared" si="674"/>
        <v>26.780125918025064</v>
      </c>
      <c r="CD411" s="17">
        <f t="shared" si="675"/>
        <v>1.3499801417760226E-2</v>
      </c>
      <c r="CE411" s="18">
        <f t="shared" si="733"/>
        <v>0.44311146654208916</v>
      </c>
      <c r="CF411" s="19">
        <f t="shared" si="734"/>
        <v>930.03870454843377</v>
      </c>
      <c r="CG411" s="15">
        <f t="shared" si="676"/>
        <v>5.3600774090968678E-6</v>
      </c>
      <c r="CH411" s="16">
        <f t="shared" si="677"/>
        <v>26.584445102306987</v>
      </c>
      <c r="CI411" s="17">
        <f t="shared" si="678"/>
        <v>1.3414631136970123E-2</v>
      </c>
      <c r="CJ411" s="18">
        <f t="shared" si="735"/>
        <v>0.44637308862572878</v>
      </c>
      <c r="CK411" s="19">
        <f t="shared" si="736"/>
        <v>897.9096836864328</v>
      </c>
      <c r="CL411" s="15">
        <f t="shared" si="679"/>
        <v>5.2958193673728654E-6</v>
      </c>
      <c r="CM411" s="16">
        <f t="shared" si="680"/>
        <v>26.214961362393979</v>
      </c>
      <c r="CN411" s="17">
        <f t="shared" si="681"/>
        <v>1.3253812950678897E-2</v>
      </c>
      <c r="CO411" s="18">
        <f t="shared" si="737"/>
        <v>0.45266444247904969</v>
      </c>
      <c r="CP411" s="19">
        <f t="shared" si="738"/>
        <v>833.08681177110452</v>
      </c>
      <c r="CQ411" s="15">
        <f t="shared" si="682"/>
        <v>5.1661736235422098E-6</v>
      </c>
      <c r="CR411" s="16">
        <f t="shared" si="683"/>
        <v>25.469498335367703</v>
      </c>
      <c r="CS411" s="17">
        <f t="shared" si="684"/>
        <v>1.2929349384347791E-2</v>
      </c>
      <c r="CT411" s="18">
        <f t="shared" si="739"/>
        <v>0.46591341193554692</v>
      </c>
      <c r="CU411" s="19">
        <f t="shared" si="740"/>
        <v>711.3232222528286</v>
      </c>
      <c r="CV411" s="15">
        <f t="shared" si="685"/>
        <v>4.9226464445056571E-6</v>
      </c>
      <c r="CW411" s="16">
        <f t="shared" si="686"/>
        <v>24.069217055907529</v>
      </c>
      <c r="CX411" s="17">
        <f t="shared" si="687"/>
        <v>1.2319875485135452E-2</v>
      </c>
      <c r="CY411" s="18">
        <f t="shared" si="741"/>
        <v>0.49301898113903853</v>
      </c>
      <c r="CZ411" s="20">
        <f t="shared" si="691"/>
        <v>514.6703819960494</v>
      </c>
      <c r="DA411" s="15">
        <f t="shared" si="688"/>
        <v>6.9938036327049367E-6</v>
      </c>
      <c r="DB411" s="16">
        <f t="shared" si="689"/>
        <v>38.569558922114567</v>
      </c>
      <c r="DC411" s="17">
        <f t="shared" si="690"/>
        <v>1.7503347212469871E-2</v>
      </c>
      <c r="DD411" s="18">
        <f t="shared" si="742"/>
        <v>0.30766700997749746</v>
      </c>
    </row>
    <row r="412" spans="2:108" x14ac:dyDescent="0.25">
      <c r="B412">
        <v>145</v>
      </c>
      <c r="C412">
        <f t="shared" si="743"/>
        <v>0.14175412662006145</v>
      </c>
      <c r="D412" s="19">
        <f t="shared" si="640"/>
        <v>1017.6231164977702</v>
      </c>
      <c r="E412" s="15">
        <f t="shared" si="692"/>
        <v>5.5352462329955406E-6</v>
      </c>
      <c r="F412" s="16">
        <f t="shared" si="641"/>
        <v>27.591665839724357</v>
      </c>
      <c r="G412" s="17">
        <f t="shared" si="638"/>
        <v>1.3853025021974387E-2</v>
      </c>
      <c r="H412" s="18">
        <f t="shared" si="693"/>
        <v>0.43007844972641374</v>
      </c>
      <c r="I412" s="19">
        <f t="shared" si="694"/>
        <v>1017.2985233995981</v>
      </c>
      <c r="J412" s="15">
        <f t="shared" si="695"/>
        <v>5.5345970467991976E-6</v>
      </c>
      <c r="K412" s="16">
        <f t="shared" si="642"/>
        <v>27.587933019095377</v>
      </c>
      <c r="L412" s="17">
        <f t="shared" si="696"/>
        <v>1.3851400307870748E-2</v>
      </c>
      <c r="M412" s="18">
        <f t="shared" si="697"/>
        <v>0.43013664204216667</v>
      </c>
      <c r="N412" s="19">
        <f t="shared" si="698"/>
        <v>1016.3926143395424</v>
      </c>
      <c r="O412" s="15">
        <f t="shared" si="699"/>
        <v>5.5327852286790849E-6</v>
      </c>
      <c r="P412" s="16">
        <f t="shared" si="700"/>
        <v>27.577515064904738</v>
      </c>
      <c r="Q412" s="17">
        <f t="shared" si="639"/>
        <v>1.3853025021974387E-2</v>
      </c>
      <c r="R412" s="18">
        <f t="shared" si="701"/>
        <v>0.43029913470410391</v>
      </c>
      <c r="S412" s="19">
        <f t="shared" si="702"/>
        <v>1014.8911063758758</v>
      </c>
      <c r="T412" s="15">
        <f t="shared" si="703"/>
        <v>5.5297822127517522E-6</v>
      </c>
      <c r="U412" s="16">
        <f t="shared" si="704"/>
        <v>27.560247723322568</v>
      </c>
      <c r="V412" s="17">
        <f t="shared" si="705"/>
        <v>1.3839350253775898E-2</v>
      </c>
      <c r="W412" s="18">
        <f t="shared" si="706"/>
        <v>0.43056873032661203</v>
      </c>
      <c r="X412" s="19">
        <f t="shared" si="707"/>
        <v>1012.791949053484</v>
      </c>
      <c r="Y412" s="15">
        <f t="shared" si="708"/>
        <v>5.5255838981069683E-6</v>
      </c>
      <c r="Z412" s="16">
        <f t="shared" si="709"/>
        <v>27.536107414115065</v>
      </c>
      <c r="AA412" s="17">
        <f t="shared" si="710"/>
        <v>1.3828843158810977E-2</v>
      </c>
      <c r="AB412" s="18">
        <f t="shared" si="711"/>
        <v>0.43094620061058686</v>
      </c>
      <c r="AC412" s="19">
        <f t="shared" si="712"/>
        <v>1010.0936872609183</v>
      </c>
      <c r="AD412" s="15">
        <f t="shared" si="643"/>
        <v>5.5201873745218369E-6</v>
      </c>
      <c r="AE412" s="16">
        <f t="shared" si="644"/>
        <v>27.505077403500557</v>
      </c>
      <c r="AF412" s="17">
        <f t="shared" si="645"/>
        <v>1.3815337314064473E-2</v>
      </c>
      <c r="AG412" s="18">
        <f t="shared" si="713"/>
        <v>0.43143237503515058</v>
      </c>
      <c r="AH412" s="19">
        <f t="shared" si="714"/>
        <v>1006.7960380697215</v>
      </c>
      <c r="AI412" s="15">
        <f t="shared" si="646"/>
        <v>5.5135920761394442E-6</v>
      </c>
      <c r="AJ412" s="16">
        <f t="shared" si="647"/>
        <v>27.467154437801796</v>
      </c>
      <c r="AK412" s="17">
        <f t="shared" si="648"/>
        <v>1.3798831303369945E-2</v>
      </c>
      <c r="AL412" s="18">
        <f t="shared" si="715"/>
        <v>0.43202803903801784</v>
      </c>
      <c r="AM412" s="19">
        <f t="shared" si="716"/>
        <v>1002.8989203085155</v>
      </c>
      <c r="AN412" s="15">
        <f t="shared" si="649"/>
        <v>5.505797840617031E-6</v>
      </c>
      <c r="AO412" s="16">
        <f t="shared" si="650"/>
        <v>27.422337583547929</v>
      </c>
      <c r="AP412" s="17">
        <f t="shared" si="651"/>
        <v>1.3779324720433214E-2</v>
      </c>
      <c r="AQ412" s="18">
        <f t="shared" si="717"/>
        <v>0.43273411077971963</v>
      </c>
      <c r="AR412" s="19">
        <f t="shared" si="718"/>
        <v>998.40230049358706</v>
      </c>
      <c r="AS412" s="15">
        <f t="shared" si="652"/>
        <v>5.4968046009871748E-6</v>
      </c>
      <c r="AT412" s="16">
        <f t="shared" si="653"/>
        <v>27.370626455676252</v>
      </c>
      <c r="AU412" s="17">
        <f t="shared" si="654"/>
        <v>1.3756817397655347E-2</v>
      </c>
      <c r="AV412" s="18">
        <f t="shared" si="719"/>
        <v>0.43355167222549817</v>
      </c>
      <c r="AW412" s="19">
        <f t="shared" si="720"/>
        <v>993.30605714699061</v>
      </c>
      <c r="AX412" s="15">
        <f t="shared" si="655"/>
        <v>5.4866121142939821E-6</v>
      </c>
      <c r="AY412" s="16">
        <f t="shared" si="656"/>
        <v>27.31201965719039</v>
      </c>
      <c r="AZ412" s="17">
        <f t="shared" si="657"/>
        <v>1.3731308726992193E-2</v>
      </c>
      <c r="BA412" s="18">
        <f t="shared" si="721"/>
        <v>0.43448199798705855</v>
      </c>
      <c r="BB412" s="19">
        <f t="shared" si="722"/>
        <v>987.60946209577583</v>
      </c>
      <c r="BC412" s="15">
        <f t="shared" si="658"/>
        <v>5.4752189241915524E-6</v>
      </c>
      <c r="BD412" s="16">
        <f t="shared" si="659"/>
        <v>27.246508814101421</v>
      </c>
      <c r="BE412" s="17">
        <f t="shared" si="660"/>
        <v>1.370279506365627E-2</v>
      </c>
      <c r="BF412" s="18">
        <f t="shared" si="723"/>
        <v>0.43552665593532314</v>
      </c>
      <c r="BG412" s="19">
        <f t="shared" si="724"/>
        <v>981.30848739298904</v>
      </c>
      <c r="BH412" s="15">
        <f t="shared" si="661"/>
        <v>5.4626169747859788E-6</v>
      </c>
      <c r="BI412" s="16">
        <f t="shared" si="662"/>
        <v>27.174047605019375</v>
      </c>
      <c r="BJ412" s="17">
        <f t="shared" si="663"/>
        <v>1.3671256246213893E-2</v>
      </c>
      <c r="BK412" s="18">
        <f t="shared" si="725"/>
        <v>0.43668801358565362</v>
      </c>
      <c r="BL412" s="19">
        <f t="shared" si="726"/>
        <v>974.38293131513115</v>
      </c>
      <c r="BM412" s="15">
        <f t="shared" si="664"/>
        <v>5.4487658626302631E-6</v>
      </c>
      <c r="BN412" s="16">
        <f t="shared" si="665"/>
        <v>27.094403710124006</v>
      </c>
      <c r="BO412" s="17">
        <f t="shared" si="666"/>
        <v>1.3636591157219023E-2</v>
      </c>
      <c r="BP412" s="18">
        <f t="shared" si="727"/>
        <v>0.43797165631232809</v>
      </c>
      <c r="BQ412" s="19">
        <f t="shared" si="728"/>
        <v>966.74181349713251</v>
      </c>
      <c r="BR412" s="15">
        <f t="shared" si="667"/>
        <v>5.4334836269942653E-6</v>
      </c>
      <c r="BS412" s="16">
        <f t="shared" si="668"/>
        <v>27.006530855217022</v>
      </c>
      <c r="BT412" s="17">
        <f t="shared" si="669"/>
        <v>1.3598344404726747E-2</v>
      </c>
      <c r="BU412" s="18">
        <f t="shared" si="729"/>
        <v>0.43939671234839689</v>
      </c>
      <c r="BV412" s="19">
        <f t="shared" si="730"/>
        <v>958.02198942407676</v>
      </c>
      <c r="BW412" s="15">
        <f t="shared" si="670"/>
        <v>5.416043978848154E-6</v>
      </c>
      <c r="BX412" s="16">
        <f t="shared" si="671"/>
        <v>26.906252878376883</v>
      </c>
      <c r="BY412" s="17">
        <f t="shared" si="672"/>
        <v>1.3554698309869684E-2</v>
      </c>
      <c r="BZ412" s="18">
        <f t="shared" si="731"/>
        <v>0.44103431731493298</v>
      </c>
      <c r="CA412" s="19">
        <f t="shared" si="732"/>
        <v>946.9603395473714</v>
      </c>
      <c r="CB412" s="15">
        <f t="shared" si="673"/>
        <v>5.3939206790947435E-6</v>
      </c>
      <c r="CC412" s="16">
        <f t="shared" si="674"/>
        <v>26.779043904794769</v>
      </c>
      <c r="CD412" s="17">
        <f t="shared" si="675"/>
        <v>1.3499330470364057E-2</v>
      </c>
      <c r="CE412" s="18">
        <f t="shared" si="733"/>
        <v>0.4431293705595365</v>
      </c>
      <c r="CF412" s="19">
        <f t="shared" si="734"/>
        <v>929.81395323691163</v>
      </c>
      <c r="CG412" s="15">
        <f t="shared" si="676"/>
        <v>5.359627906473824E-6</v>
      </c>
      <c r="CH412" s="16">
        <f t="shared" si="677"/>
        <v>26.581860462224483</v>
      </c>
      <c r="CI412" s="17">
        <f t="shared" si="678"/>
        <v>1.341350616965659E-2</v>
      </c>
      <c r="CJ412" s="18">
        <f t="shared" si="735"/>
        <v>0.4464164909217514</v>
      </c>
      <c r="CK412" s="19">
        <f t="shared" si="736"/>
        <v>897.43289554856244</v>
      </c>
      <c r="CL412" s="15">
        <f t="shared" si="679"/>
        <v>5.294865791097125E-6</v>
      </c>
      <c r="CM412" s="16">
        <f t="shared" si="680"/>
        <v>26.209478298808467</v>
      </c>
      <c r="CN412" s="17">
        <f t="shared" si="681"/>
        <v>1.3251426441488131E-2</v>
      </c>
      <c r="CO412" s="18">
        <f t="shared" si="737"/>
        <v>0.45275914058378552</v>
      </c>
      <c r="CP412" s="19">
        <f t="shared" si="738"/>
        <v>832.2635844633561</v>
      </c>
      <c r="CQ412" s="15">
        <f t="shared" si="682"/>
        <v>5.1645271689267122E-6</v>
      </c>
      <c r="CR412" s="16">
        <f t="shared" si="683"/>
        <v>25.460031221328592</v>
      </c>
      <c r="CS412" s="17">
        <f t="shared" si="684"/>
        <v>1.2925228813008061E-2</v>
      </c>
      <c r="CT412" s="18">
        <f t="shared" si="739"/>
        <v>0.46608665820397449</v>
      </c>
      <c r="CU412" s="19">
        <f t="shared" si="740"/>
        <v>710.24695615106543</v>
      </c>
      <c r="CV412" s="15">
        <f t="shared" si="685"/>
        <v>4.9204939123021312E-6</v>
      </c>
      <c r="CW412" s="16">
        <f t="shared" si="686"/>
        <v>24.056839995737249</v>
      </c>
      <c r="CX412" s="17">
        <f t="shared" si="687"/>
        <v>1.2314488356682467E-2</v>
      </c>
      <c r="CY412" s="18">
        <f t="shared" si="741"/>
        <v>0.49327263563379881</v>
      </c>
      <c r="CZ412" s="20">
        <f t="shared" si="691"/>
        <v>513.71355524858097</v>
      </c>
      <c r="DA412" s="15">
        <f t="shared" si="688"/>
        <v>7.0083037224064073E-6</v>
      </c>
      <c r="DB412" s="16">
        <f t="shared" si="689"/>
        <v>38.59730689779115</v>
      </c>
      <c r="DC412" s="17">
        <f t="shared" si="690"/>
        <v>1.75396364933799E-2</v>
      </c>
      <c r="DD412" s="18">
        <f t="shared" si="742"/>
        <v>0.30744582520074737</v>
      </c>
    </row>
    <row r="413" spans="2:108" x14ac:dyDescent="0.25">
      <c r="B413">
        <v>146</v>
      </c>
      <c r="C413">
        <f t="shared" si="743"/>
        <v>0.1427317412864067</v>
      </c>
      <c r="D413" s="19">
        <f t="shared" si="640"/>
        <v>1017.6065444139131</v>
      </c>
      <c r="E413" s="15">
        <f t="shared" si="692"/>
        <v>5.5352130888278273E-6</v>
      </c>
      <c r="F413" s="16">
        <f t="shared" si="641"/>
        <v>27.591475260759999</v>
      </c>
      <c r="G413" s="17">
        <f t="shared" si="638"/>
        <v>1.3852942072279769E-2</v>
      </c>
      <c r="H413" s="18">
        <f t="shared" si="693"/>
        <v>0.4300814203506651</v>
      </c>
      <c r="I413" s="19">
        <f t="shared" si="694"/>
        <v>1017.2819474256936</v>
      </c>
      <c r="J413" s="15">
        <f t="shared" si="695"/>
        <v>5.5345638948513884E-6</v>
      </c>
      <c r="K413" s="16">
        <f t="shared" si="642"/>
        <v>27.587742395395473</v>
      </c>
      <c r="L413" s="17">
        <f t="shared" si="696"/>
        <v>1.3851317338704934E-2</v>
      </c>
      <c r="M413" s="18">
        <f t="shared" si="697"/>
        <v>0.43013961416786639</v>
      </c>
      <c r="N413" s="19">
        <f t="shared" si="698"/>
        <v>1016.3760280358314</v>
      </c>
      <c r="O413" s="15">
        <f t="shared" si="699"/>
        <v>5.5327520560716627E-6</v>
      </c>
      <c r="P413" s="16">
        <f t="shared" si="700"/>
        <v>27.577324322412061</v>
      </c>
      <c r="Q413" s="17">
        <f t="shared" si="639"/>
        <v>1.3852942072279769E-2</v>
      </c>
      <c r="R413" s="18">
        <f t="shared" si="701"/>
        <v>0.43030211092937476</v>
      </c>
      <c r="S413" s="19">
        <f t="shared" si="702"/>
        <v>1014.8745138726582</v>
      </c>
      <c r="T413" s="15">
        <f t="shared" si="703"/>
        <v>5.5297490277453168E-6</v>
      </c>
      <c r="U413" s="16">
        <f t="shared" si="704"/>
        <v>27.560056909535568</v>
      </c>
      <c r="V413" s="17">
        <f t="shared" si="705"/>
        <v>1.3839267201874474E-2</v>
      </c>
      <c r="W413" s="18">
        <f t="shared" si="706"/>
        <v>0.4305717113962908</v>
      </c>
      <c r="X413" s="19">
        <f t="shared" si="707"/>
        <v>1012.775358791013</v>
      </c>
      <c r="Y413" s="15">
        <f t="shared" si="708"/>
        <v>5.5255507175820268E-6</v>
      </c>
      <c r="Z413" s="16">
        <f t="shared" si="709"/>
        <v>27.53591662609665</v>
      </c>
      <c r="AA413" s="17">
        <f t="shared" si="710"/>
        <v>1.3828760118125357E-2</v>
      </c>
      <c r="AB413" s="18">
        <f t="shared" si="711"/>
        <v>0.43094918650616365</v>
      </c>
      <c r="AC413" s="19">
        <f t="shared" si="712"/>
        <v>1010.0771068748963</v>
      </c>
      <c r="AD413" s="15">
        <f t="shared" si="643"/>
        <v>5.5201542137497935E-6</v>
      </c>
      <c r="AE413" s="16">
        <f t="shared" si="644"/>
        <v>27.504886729061305</v>
      </c>
      <c r="AF413" s="17">
        <f t="shared" si="645"/>
        <v>1.3815254322814306E-2</v>
      </c>
      <c r="AG413" s="18">
        <f t="shared" si="713"/>
        <v>0.43143536589008469</v>
      </c>
      <c r="AH413" s="19">
        <f t="shared" si="714"/>
        <v>1006.7794731310315</v>
      </c>
      <c r="AI413" s="15">
        <f t="shared" si="646"/>
        <v>5.5135589462620635E-6</v>
      </c>
      <c r="AJ413" s="16">
        <f t="shared" si="647"/>
        <v>27.46696394100686</v>
      </c>
      <c r="AK413" s="17">
        <f t="shared" si="648"/>
        <v>1.3798748389439649E-2</v>
      </c>
      <c r="AL413" s="18">
        <f t="shared" si="715"/>
        <v>0.43203103536323728</v>
      </c>
      <c r="AM413" s="19">
        <f t="shared" si="716"/>
        <v>1002.8823748538844</v>
      </c>
      <c r="AN413" s="15">
        <f t="shared" si="649"/>
        <v>5.5057647497077695E-6</v>
      </c>
      <c r="AO413" s="16">
        <f t="shared" si="650"/>
        <v>27.422147310819668</v>
      </c>
      <c r="AP413" s="17">
        <f t="shared" si="651"/>
        <v>1.377924190402818E-2</v>
      </c>
      <c r="AQ413" s="18">
        <f t="shared" si="717"/>
        <v>0.43273711337098048</v>
      </c>
      <c r="AR413" s="19">
        <f t="shared" si="718"/>
        <v>998.38577673701445</v>
      </c>
      <c r="AS413" s="15">
        <f t="shared" si="652"/>
        <v>5.4967715534740294E-6</v>
      </c>
      <c r="AT413" s="16">
        <f t="shared" si="653"/>
        <v>27.370436432475664</v>
      </c>
      <c r="AU413" s="17">
        <f t="shared" si="654"/>
        <v>1.375673468985749E-2</v>
      </c>
      <c r="AV413" s="18">
        <f t="shared" si="719"/>
        <v>0.43355468222048232</v>
      </c>
      <c r="AW413" s="19">
        <f t="shared" si="720"/>
        <v>993.28954970040354</v>
      </c>
      <c r="AX413" s="15">
        <f t="shared" si="655"/>
        <v>5.4865790994008073E-6</v>
      </c>
      <c r="AY413" s="16">
        <f t="shared" si="656"/>
        <v>27.311829821554639</v>
      </c>
      <c r="AZ413" s="17">
        <f t="shared" si="657"/>
        <v>1.3731226100832128E-2</v>
      </c>
      <c r="BA413" s="18">
        <f t="shared" si="721"/>
        <v>0.43448501792994959</v>
      </c>
      <c r="BB413" s="19">
        <f t="shared" si="722"/>
        <v>987.59292615498168</v>
      </c>
      <c r="BC413" s="15">
        <f t="shared" si="658"/>
        <v>5.4751858523099637E-6</v>
      </c>
      <c r="BD413" s="16">
        <f t="shared" si="659"/>
        <v>27.246318650782289</v>
      </c>
      <c r="BE413" s="17">
        <f t="shared" si="660"/>
        <v>1.3702712294871671E-2</v>
      </c>
      <c r="BF413" s="18">
        <f t="shared" si="723"/>
        <v>0.43552969565586391</v>
      </c>
      <c r="BG413" s="19">
        <f t="shared" si="724"/>
        <v>981.29169078201323</v>
      </c>
      <c r="BH413" s="15">
        <f t="shared" si="661"/>
        <v>5.4625833815640271E-6</v>
      </c>
      <c r="BI413" s="16">
        <f t="shared" si="662"/>
        <v>27.17385444399315</v>
      </c>
      <c r="BJ413" s="17">
        <f t="shared" si="663"/>
        <v>1.3671172172674127E-2</v>
      </c>
      <c r="BK413" s="18">
        <f t="shared" si="725"/>
        <v>0.43669111771300578</v>
      </c>
      <c r="BL413" s="19">
        <f t="shared" si="726"/>
        <v>974.36485110126432</v>
      </c>
      <c r="BM413" s="15">
        <f t="shared" si="664"/>
        <v>5.4487297022025285E-6</v>
      </c>
      <c r="BN413" s="16">
        <f t="shared" si="665"/>
        <v>27.094195787664539</v>
      </c>
      <c r="BO413" s="17">
        <f t="shared" si="666"/>
        <v>1.3636500658749915E-2</v>
      </c>
      <c r="BP413" s="18">
        <f t="shared" si="727"/>
        <v>0.43797501733269834</v>
      </c>
      <c r="BQ413" s="19">
        <f t="shared" si="728"/>
        <v>966.71852271877196</v>
      </c>
      <c r="BR413" s="15">
        <f t="shared" si="667"/>
        <v>5.433437045437545E-6</v>
      </c>
      <c r="BS413" s="16">
        <f t="shared" si="668"/>
        <v>27.006263011265876</v>
      </c>
      <c r="BT413" s="17">
        <f t="shared" si="669"/>
        <v>1.3598227825365386E-2</v>
      </c>
      <c r="BU413" s="18">
        <f t="shared" si="729"/>
        <v>0.43940107021721814</v>
      </c>
      <c r="BV413" s="19">
        <f t="shared" si="730"/>
        <v>957.98053785078957</v>
      </c>
      <c r="BW413" s="15">
        <f t="shared" si="670"/>
        <v>5.4159610757015794E-6</v>
      </c>
      <c r="BX413" s="16">
        <f t="shared" si="671"/>
        <v>26.905776185284079</v>
      </c>
      <c r="BY413" s="17">
        <f t="shared" si="672"/>
        <v>1.3554490828699823E-2</v>
      </c>
      <c r="BZ413" s="18">
        <f t="shared" si="731"/>
        <v>0.44104213117658503</v>
      </c>
      <c r="CA413" s="19">
        <f t="shared" si="732"/>
        <v>946.86511919092516</v>
      </c>
      <c r="CB413" s="15">
        <f t="shared" si="673"/>
        <v>5.3937302383818513E-6</v>
      </c>
      <c r="CC413" s="16">
        <f t="shared" si="674"/>
        <v>26.777948870695639</v>
      </c>
      <c r="CD413" s="17">
        <f t="shared" si="675"/>
        <v>1.3498853855621036E-2</v>
      </c>
      <c r="CE413" s="18">
        <f t="shared" si="733"/>
        <v>0.44314749150574606</v>
      </c>
      <c r="CF413" s="19">
        <f t="shared" si="734"/>
        <v>929.58741001793112</v>
      </c>
      <c r="CG413" s="15">
        <f t="shared" si="676"/>
        <v>5.3591748200358625E-6</v>
      </c>
      <c r="CH413" s="16">
        <f t="shared" si="677"/>
        <v>26.579255215206206</v>
      </c>
      <c r="CI413" s="17">
        <f t="shared" si="678"/>
        <v>1.3412372233152595E-2</v>
      </c>
      <c r="CJ413" s="18">
        <f t="shared" si="735"/>
        <v>0.44646024779990567</v>
      </c>
      <c r="CK413" s="19">
        <f t="shared" si="736"/>
        <v>896.95464546979144</v>
      </c>
      <c r="CL413" s="15">
        <f t="shared" si="679"/>
        <v>5.293909290939583E-6</v>
      </c>
      <c r="CM413" s="16">
        <f t="shared" si="680"/>
        <v>26.203978422902601</v>
      </c>
      <c r="CN413" s="17">
        <f t="shared" si="681"/>
        <v>1.3249032614717254E-2</v>
      </c>
      <c r="CO413" s="18">
        <f t="shared" si="737"/>
        <v>0.45285416886721142</v>
      </c>
      <c r="CP413" s="19">
        <f t="shared" si="738"/>
        <v>831.44152270846382</v>
      </c>
      <c r="CQ413" s="15">
        <f t="shared" si="682"/>
        <v>5.1628830454169286E-6</v>
      </c>
      <c r="CR413" s="16">
        <f t="shared" si="683"/>
        <v>25.450577511147333</v>
      </c>
      <c r="CS413" s="17">
        <f t="shared" si="684"/>
        <v>1.2921114075711556E-2</v>
      </c>
      <c r="CT413" s="18">
        <f t="shared" si="739"/>
        <v>0.46625978779932775</v>
      </c>
      <c r="CU413" s="19">
        <f t="shared" si="740"/>
        <v>709.17580008276036</v>
      </c>
      <c r="CV413" s="15">
        <f t="shared" si="685"/>
        <v>4.9183516001655212E-6</v>
      </c>
      <c r="CW413" s="16">
        <f t="shared" si="686"/>
        <v>24.044521700951744</v>
      </c>
      <c r="CX413" s="17">
        <f t="shared" si="687"/>
        <v>1.230912680592499E-2</v>
      </c>
      <c r="CY413" s="18">
        <f t="shared" si="741"/>
        <v>0.49352534507884133</v>
      </c>
      <c r="CZ413" s="20">
        <f t="shared" si="691"/>
        <v>512.76256905023558</v>
      </c>
      <c r="DA413" s="15">
        <f t="shared" si="688"/>
        <v>7.0227046763210875E-6</v>
      </c>
      <c r="DB413" s="16">
        <f t="shared" si="689"/>
        <v>38.624885497543161</v>
      </c>
      <c r="DC413" s="17">
        <f t="shared" si="690"/>
        <v>1.7575677667796167E-2</v>
      </c>
      <c r="DD413" s="18">
        <f t="shared" si="742"/>
        <v>0.30722630544685248</v>
      </c>
    </row>
    <row r="414" spans="2:108" x14ac:dyDescent="0.25">
      <c r="B414">
        <v>147</v>
      </c>
      <c r="C414">
        <f t="shared" si="743"/>
        <v>0.14370935595275197</v>
      </c>
      <c r="D414" s="19">
        <f t="shared" si="640"/>
        <v>1017.5899721314497</v>
      </c>
      <c r="E414" s="15">
        <f t="shared" si="692"/>
        <v>5.5351799442628996E-6</v>
      </c>
      <c r="F414" s="16">
        <f t="shared" si="641"/>
        <v>27.59128467951167</v>
      </c>
      <c r="G414" s="17">
        <f t="shared" si="638"/>
        <v>1.3852859121591045E-2</v>
      </c>
      <c r="H414" s="18">
        <f t="shared" si="693"/>
        <v>0.43008439105155583</v>
      </c>
      <c r="I414" s="19">
        <f t="shared" si="694"/>
        <v>1017.2653713633432</v>
      </c>
      <c r="J414" s="15">
        <f t="shared" si="695"/>
        <v>5.5345307427266874E-6</v>
      </c>
      <c r="K414" s="16">
        <f t="shared" si="642"/>
        <v>27.587551770678445</v>
      </c>
      <c r="L414" s="17">
        <f t="shared" si="696"/>
        <v>1.3851234369096415E-2</v>
      </c>
      <c r="M414" s="18">
        <f t="shared" si="697"/>
        <v>0.4301425863504984</v>
      </c>
      <c r="N414" s="19">
        <f t="shared" si="698"/>
        <v>1016.3594418314444</v>
      </c>
      <c r="O414" s="15">
        <f t="shared" si="699"/>
        <v>5.5327188836628892E-6</v>
      </c>
      <c r="P414" s="16">
        <f t="shared" si="700"/>
        <v>27.577133581061609</v>
      </c>
      <c r="Q414" s="17">
        <f t="shared" si="639"/>
        <v>1.3852859121591045E-2</v>
      </c>
      <c r="R414" s="18">
        <f t="shared" si="701"/>
        <v>0.43030508717799387</v>
      </c>
      <c r="S414" s="19">
        <f t="shared" si="702"/>
        <v>1014.8579215765774</v>
      </c>
      <c r="T414" s="15">
        <f t="shared" si="703"/>
        <v>5.5297158431531552E-6</v>
      </c>
      <c r="U414" s="16">
        <f t="shared" si="704"/>
        <v>27.559866098130641</v>
      </c>
      <c r="V414" s="17">
        <f t="shared" si="705"/>
        <v>1.383918415100985E-2</v>
      </c>
      <c r="W414" s="18">
        <f t="shared" si="706"/>
        <v>0.43057469247003333</v>
      </c>
      <c r="X414" s="19">
        <f t="shared" si="707"/>
        <v>1012.7587687547352</v>
      </c>
      <c r="Y414" s="15">
        <f t="shared" si="708"/>
        <v>5.5255175375094711E-6</v>
      </c>
      <c r="Z414" s="16">
        <f t="shared" si="709"/>
        <v>27.535725840679454</v>
      </c>
      <c r="AA414" s="17">
        <f t="shared" si="710"/>
        <v>1.3828677078571923E-2</v>
      </c>
      <c r="AB414" s="18">
        <f t="shared" si="711"/>
        <v>0.43095217240240674</v>
      </c>
      <c r="AC414" s="19">
        <f t="shared" si="712"/>
        <v>1010.0605267004945</v>
      </c>
      <c r="AD414" s="15">
        <f t="shared" si="643"/>
        <v>5.5201210534009895E-6</v>
      </c>
      <c r="AE414" s="16">
        <f t="shared" si="644"/>
        <v>27.504696057055686</v>
      </c>
      <c r="AF414" s="17">
        <f t="shared" si="645"/>
        <v>1.3815171332623374E-2</v>
      </c>
      <c r="AG414" s="18">
        <f t="shared" si="713"/>
        <v>0.4314383567483126</v>
      </c>
      <c r="AH414" s="19">
        <f t="shared" si="714"/>
        <v>1006.7629083878328</v>
      </c>
      <c r="AI414" s="15">
        <f t="shared" si="646"/>
        <v>5.5135258167756665E-6</v>
      </c>
      <c r="AJ414" s="16">
        <f t="shared" si="647"/>
        <v>27.466773446460074</v>
      </c>
      <c r="AK414" s="17">
        <f t="shared" si="648"/>
        <v>1.3798665476487866E-2</v>
      </c>
      <c r="AL414" s="18">
        <f t="shared" si="715"/>
        <v>0.43203403169465715</v>
      </c>
      <c r="AM414" s="19">
        <f t="shared" si="716"/>
        <v>1002.8658295698106</v>
      </c>
      <c r="AN414" s="15">
        <f t="shared" si="649"/>
        <v>5.5057316591396218E-6</v>
      </c>
      <c r="AO414" s="16">
        <f t="shared" si="650"/>
        <v>27.421957040052821</v>
      </c>
      <c r="AP414" s="17">
        <f t="shared" si="651"/>
        <v>1.3779159088476848E-2</v>
      </c>
      <c r="AQ414" s="18">
        <f t="shared" si="717"/>
        <v>0.43274011597295686</v>
      </c>
      <c r="AR414" s="19">
        <f t="shared" si="718"/>
        <v>998.36925303824171</v>
      </c>
      <c r="AS414" s="15">
        <f t="shared" si="652"/>
        <v>5.4967385060764836E-6</v>
      </c>
      <c r="AT414" s="16">
        <f t="shared" si="653"/>
        <v>27.370246409939778</v>
      </c>
      <c r="AU414" s="17">
        <f t="shared" si="654"/>
        <v>1.3756651982348947E-2</v>
      </c>
      <c r="AV414" s="18">
        <f t="shared" si="719"/>
        <v>0.43355769224673224</v>
      </c>
      <c r="AW414" s="19">
        <f t="shared" si="720"/>
        <v>993.273041727394</v>
      </c>
      <c r="AX414" s="15">
        <f t="shared" si="655"/>
        <v>5.4865460834547884E-6</v>
      </c>
      <c r="AY414" s="16">
        <f t="shared" si="656"/>
        <v>27.311639979865028</v>
      </c>
      <c r="AZ414" s="17">
        <f t="shared" si="657"/>
        <v>1.3731143472037117E-2</v>
      </c>
      <c r="BA414" s="18">
        <f t="shared" si="721"/>
        <v>0.43448803801113017</v>
      </c>
      <c r="BB414" s="19">
        <f t="shared" si="722"/>
        <v>987.57638692712442</v>
      </c>
      <c r="BC414" s="15">
        <f t="shared" si="658"/>
        <v>5.475152773854249E-6</v>
      </c>
      <c r="BD414" s="16">
        <f t="shared" si="659"/>
        <v>27.246128449661931</v>
      </c>
      <c r="BE414" s="17">
        <f t="shared" si="660"/>
        <v>1.3702629509634048E-2</v>
      </c>
      <c r="BF414" s="18">
        <f t="shared" si="723"/>
        <v>0.43553273602309317</v>
      </c>
      <c r="BG414" s="19">
        <f t="shared" si="724"/>
        <v>981.27487929380106</v>
      </c>
      <c r="BH414" s="15">
        <f t="shared" si="661"/>
        <v>5.4625497585876021E-6</v>
      </c>
      <c r="BI414" s="16">
        <f t="shared" si="662"/>
        <v>27.173661111878712</v>
      </c>
      <c r="BJ414" s="17">
        <f t="shared" si="663"/>
        <v>1.3671088024668038E-2</v>
      </c>
      <c r="BK414" s="18">
        <f t="shared" si="725"/>
        <v>0.43669422463396124</v>
      </c>
      <c r="BL414" s="19">
        <f t="shared" si="726"/>
        <v>974.3467136135821</v>
      </c>
      <c r="BM414" s="15">
        <f t="shared" si="664"/>
        <v>5.4486934272271649E-6</v>
      </c>
      <c r="BN414" s="16">
        <f t="shared" si="665"/>
        <v>27.093987206556193</v>
      </c>
      <c r="BO414" s="17">
        <f t="shared" si="666"/>
        <v>1.3636409873603197E-2</v>
      </c>
      <c r="BP414" s="18">
        <f t="shared" si="727"/>
        <v>0.43797838905181247</v>
      </c>
      <c r="BQ414" s="19">
        <f t="shared" si="728"/>
        <v>966.69504324307229</v>
      </c>
      <c r="BR414" s="15">
        <f t="shared" si="667"/>
        <v>5.4333900864861454E-6</v>
      </c>
      <c r="BS414" s="16">
        <f t="shared" si="668"/>
        <v>27.00599299729533</v>
      </c>
      <c r="BT414" s="17">
        <f t="shared" si="669"/>
        <v>1.3598110301500798E-2</v>
      </c>
      <c r="BU414" s="18">
        <f t="shared" si="729"/>
        <v>0.43940546348013737</v>
      </c>
      <c r="BV414" s="19">
        <f t="shared" si="730"/>
        <v>957.93856750203054</v>
      </c>
      <c r="BW414" s="15">
        <f t="shared" si="670"/>
        <v>5.4158771350040614E-6</v>
      </c>
      <c r="BX414" s="16">
        <f t="shared" si="671"/>
        <v>26.905293526273351</v>
      </c>
      <c r="BY414" s="17">
        <f t="shared" si="672"/>
        <v>1.3554280750857911E-2</v>
      </c>
      <c r="BZ414" s="18">
        <f t="shared" si="731"/>
        <v>0.44105004311252116</v>
      </c>
      <c r="CA414" s="19">
        <f t="shared" si="732"/>
        <v>946.76876549437384</v>
      </c>
      <c r="CB414" s="15">
        <f t="shared" si="673"/>
        <v>5.3935375309887489E-6</v>
      </c>
      <c r="CC414" s="16">
        <f t="shared" si="674"/>
        <v>26.776840803185298</v>
      </c>
      <c r="CD414" s="17">
        <f t="shared" si="675"/>
        <v>1.3498371568072083E-2</v>
      </c>
      <c r="CE414" s="18">
        <f t="shared" si="733"/>
        <v>0.44316582964134749</v>
      </c>
      <c r="CF414" s="19">
        <f t="shared" si="734"/>
        <v>929.35908833379699</v>
      </c>
      <c r="CG414" s="15">
        <f t="shared" si="676"/>
        <v>5.358718176667594E-6</v>
      </c>
      <c r="CH414" s="16">
        <f t="shared" si="677"/>
        <v>26.576629515838665</v>
      </c>
      <c r="CI414" s="17">
        <f t="shared" si="678"/>
        <v>1.3411229394742078E-2</v>
      </c>
      <c r="CJ414" s="18">
        <f t="shared" si="735"/>
        <v>0.44650435686910056</v>
      </c>
      <c r="CK414" s="19">
        <f t="shared" si="736"/>
        <v>896.47496600177612</v>
      </c>
      <c r="CL414" s="15">
        <f t="shared" si="679"/>
        <v>5.2929499320035533E-6</v>
      </c>
      <c r="CM414" s="16">
        <f t="shared" si="680"/>
        <v>26.198462109020426</v>
      </c>
      <c r="CN414" s="17">
        <f t="shared" si="681"/>
        <v>1.3246631633299904E-2</v>
      </c>
      <c r="CO414" s="18">
        <f t="shared" si="737"/>
        <v>0.45294952124812321</v>
      </c>
      <c r="CP414" s="19">
        <f t="shared" si="738"/>
        <v>830.62064644623479</v>
      </c>
      <c r="CQ414" s="15">
        <f t="shared" si="682"/>
        <v>5.1612412928924696E-6</v>
      </c>
      <c r="CR414" s="16">
        <f t="shared" si="683"/>
        <v>25.441137434131697</v>
      </c>
      <c r="CS414" s="17">
        <f t="shared" si="684"/>
        <v>1.291700527226472E-2</v>
      </c>
      <c r="CT414" s="18">
        <f t="shared" si="739"/>
        <v>0.46643279611381511</v>
      </c>
      <c r="CU414" s="19">
        <f t="shared" si="740"/>
        <v>708.10971059615042</v>
      </c>
      <c r="CV414" s="15">
        <f t="shared" si="685"/>
        <v>4.9162194211923015E-6</v>
      </c>
      <c r="CW414" s="16">
        <f t="shared" si="686"/>
        <v>24.032261671855728</v>
      </c>
      <c r="CX414" s="17">
        <f t="shared" si="687"/>
        <v>1.230379061537013E-2</v>
      </c>
      <c r="CY414" s="18">
        <f t="shared" si="741"/>
        <v>0.49377711643406813</v>
      </c>
      <c r="CZ414" s="20">
        <f t="shared" si="691"/>
        <v>511.81735213984763</v>
      </c>
      <c r="DA414" s="15">
        <f t="shared" si="688"/>
        <v>7.0370078779622068E-6</v>
      </c>
      <c r="DB414" s="16">
        <f t="shared" si="689"/>
        <v>38.652296787944415</v>
      </c>
      <c r="DC414" s="17">
        <f t="shared" si="690"/>
        <v>1.7611474198228297E-2</v>
      </c>
      <c r="DD414" s="18">
        <f t="shared" si="742"/>
        <v>0.30700842785153881</v>
      </c>
    </row>
    <row r="415" spans="2:108" x14ac:dyDescent="0.25">
      <c r="B415">
        <v>148</v>
      </c>
      <c r="C415">
        <f t="shared" si="743"/>
        <v>0.14468697061909722</v>
      </c>
      <c r="D415" s="19">
        <f t="shared" si="640"/>
        <v>1017.5733996560044</v>
      </c>
      <c r="E415" s="15">
        <f t="shared" si="692"/>
        <v>5.5351467993120094E-6</v>
      </c>
      <c r="F415" s="16">
        <f t="shared" si="641"/>
        <v>27.591094096044049</v>
      </c>
      <c r="G415" s="17">
        <f t="shared" si="638"/>
        <v>1.3852776169936376E-2</v>
      </c>
      <c r="H415" s="18">
        <f t="shared" si="693"/>
        <v>0.43008736182807999</v>
      </c>
      <c r="I415" s="19">
        <f t="shared" si="694"/>
        <v>1017.2487952156891</v>
      </c>
      <c r="J415" s="15">
        <f t="shared" si="695"/>
        <v>5.5344975904313787E-6</v>
      </c>
      <c r="K415" s="16">
        <f t="shared" si="642"/>
        <v>27.587361144980424</v>
      </c>
      <c r="L415" s="17">
        <f t="shared" si="696"/>
        <v>1.3851151399060917E-2</v>
      </c>
      <c r="M415" s="18">
        <f t="shared" si="697"/>
        <v>0.43014555858950093</v>
      </c>
      <c r="N415" s="19">
        <f t="shared" si="698"/>
        <v>1016.3428557262982</v>
      </c>
      <c r="O415" s="15">
        <f t="shared" si="699"/>
        <v>5.5326857114525967E-6</v>
      </c>
      <c r="P415" s="16">
        <f t="shared" si="700"/>
        <v>27.576942840852428</v>
      </c>
      <c r="Q415" s="17">
        <f t="shared" si="639"/>
        <v>1.3852776169936376E-2</v>
      </c>
      <c r="R415" s="18">
        <f t="shared" si="701"/>
        <v>0.43030806344997635</v>
      </c>
      <c r="S415" s="19">
        <f t="shared" si="702"/>
        <v>1014.8413294866964</v>
      </c>
      <c r="T415" s="15">
        <f t="shared" si="703"/>
        <v>5.5296826589733935E-6</v>
      </c>
      <c r="U415" s="16">
        <f t="shared" si="704"/>
        <v>27.559675289097008</v>
      </c>
      <c r="V415" s="17">
        <f t="shared" si="705"/>
        <v>1.3839101101177335E-2</v>
      </c>
      <c r="W415" s="18">
        <f t="shared" si="706"/>
        <v>0.43057767354800741</v>
      </c>
      <c r="X415" s="19">
        <f t="shared" si="707"/>
        <v>1012.7421789441904</v>
      </c>
      <c r="Y415" s="15">
        <f t="shared" si="708"/>
        <v>5.5254843578883815E-6</v>
      </c>
      <c r="Z415" s="16">
        <f t="shared" si="709"/>
        <v>27.535535057858191</v>
      </c>
      <c r="AA415" s="17">
        <f t="shared" si="710"/>
        <v>1.3828594040148367E-2</v>
      </c>
      <c r="AB415" s="18">
        <f t="shared" si="711"/>
        <v>0.43095515829939796</v>
      </c>
      <c r="AC415" s="19">
        <f t="shared" si="712"/>
        <v>1010.043946737646</v>
      </c>
      <c r="AD415" s="15">
        <f t="shared" si="643"/>
        <v>5.5200878934752921E-6</v>
      </c>
      <c r="AE415" s="16">
        <f t="shared" si="644"/>
        <v>27.504505387482929</v>
      </c>
      <c r="AF415" s="17">
        <f t="shared" si="645"/>
        <v>1.3815088343491351E-2</v>
      </c>
      <c r="AG415" s="18">
        <f t="shared" si="713"/>
        <v>0.43144134760984576</v>
      </c>
      <c r="AH415" s="19">
        <f t="shared" si="714"/>
        <v>1006.7463438399541</v>
      </c>
      <c r="AI415" s="15">
        <f t="shared" si="646"/>
        <v>5.5134926876799083E-6</v>
      </c>
      <c r="AJ415" s="16">
        <f t="shared" si="647"/>
        <v>27.46658295415947</v>
      </c>
      <c r="AK415" s="17">
        <f t="shared" si="648"/>
        <v>1.3798582564513733E-2</v>
      </c>
      <c r="AL415" s="18">
        <f t="shared" si="715"/>
        <v>0.43203702803230765</v>
      </c>
      <c r="AM415" s="19">
        <f t="shared" si="716"/>
        <v>1002.8492844549444</v>
      </c>
      <c r="AN415" s="15">
        <f t="shared" si="649"/>
        <v>5.5056985689098891E-6</v>
      </c>
      <c r="AO415" s="16">
        <f t="shared" si="650"/>
        <v>27.421766771231859</v>
      </c>
      <c r="AP415" s="17">
        <f t="shared" si="651"/>
        <v>1.3779076273772466E-2</v>
      </c>
      <c r="AQ415" s="18">
        <f t="shared" si="717"/>
        <v>0.43274311858589337</v>
      </c>
      <c r="AR415" s="19">
        <f t="shared" si="718"/>
        <v>998.3527293901717</v>
      </c>
      <c r="AS415" s="15">
        <f t="shared" si="652"/>
        <v>5.4967054587803439E-6</v>
      </c>
      <c r="AT415" s="16">
        <f t="shared" si="653"/>
        <v>27.370056387986974</v>
      </c>
      <c r="AU415" s="17">
        <f t="shared" si="654"/>
        <v>1.375656927509419E-2</v>
      </c>
      <c r="AV415" s="18">
        <f t="shared" si="719"/>
        <v>0.43356070230554128</v>
      </c>
      <c r="AW415" s="19">
        <f t="shared" si="720"/>
        <v>993.25653319547291</v>
      </c>
      <c r="AX415" s="15">
        <f t="shared" si="655"/>
        <v>5.4865130663909469E-6</v>
      </c>
      <c r="AY415" s="16">
        <f t="shared" si="656"/>
        <v>27.311450131747939</v>
      </c>
      <c r="AZ415" s="17">
        <f t="shared" si="657"/>
        <v>1.3731060840444538E-2</v>
      </c>
      <c r="BA415" s="18">
        <f t="shared" si="721"/>
        <v>0.43449105823654904</v>
      </c>
      <c r="BB415" s="19">
        <f t="shared" si="722"/>
        <v>987.55984428115676</v>
      </c>
      <c r="BC415" s="15">
        <f t="shared" si="658"/>
        <v>5.4751196885623136E-6</v>
      </c>
      <c r="BD415" s="16">
        <f t="shared" si="659"/>
        <v>27.245938209233302</v>
      </c>
      <c r="BE415" s="17">
        <f t="shared" si="660"/>
        <v>1.3702546707287457E-2</v>
      </c>
      <c r="BF415" s="18">
        <f t="shared" si="723"/>
        <v>0.43553577706112778</v>
      </c>
      <c r="BG415" s="19">
        <f t="shared" si="724"/>
        <v>981.258052472803</v>
      </c>
      <c r="BH415" s="15">
        <f t="shared" si="661"/>
        <v>5.462516104945607E-6</v>
      </c>
      <c r="BI415" s="16">
        <f t="shared" si="662"/>
        <v>27.173467603437231</v>
      </c>
      <c r="BJ415" s="17">
        <f t="shared" si="663"/>
        <v>1.3671003799915421E-2</v>
      </c>
      <c r="BK415" s="18">
        <f t="shared" si="725"/>
        <v>0.43669733443282993</v>
      </c>
      <c r="BL415" s="19">
        <f t="shared" si="726"/>
        <v>974.32851753679302</v>
      </c>
      <c r="BM415" s="15">
        <f t="shared" si="664"/>
        <v>5.448657035073587E-6</v>
      </c>
      <c r="BN415" s="16">
        <f t="shared" si="665"/>
        <v>27.093777951673118</v>
      </c>
      <c r="BO415" s="17">
        <f t="shared" si="666"/>
        <v>1.3636318795195319E-2</v>
      </c>
      <c r="BP415" s="18">
        <f t="shared" si="727"/>
        <v>0.437981771714679</v>
      </c>
      <c r="BQ415" s="19">
        <f t="shared" si="728"/>
        <v>966.671372122094</v>
      </c>
      <c r="BR415" s="15">
        <f t="shared" si="667"/>
        <v>5.4333427442441888E-6</v>
      </c>
      <c r="BS415" s="16">
        <f t="shared" si="668"/>
        <v>27.005720779404079</v>
      </c>
      <c r="BT415" s="17">
        <f t="shared" si="669"/>
        <v>1.3597991818377409E-2</v>
      </c>
      <c r="BU415" s="18">
        <f t="shared" si="729"/>
        <v>0.4394098926908831</v>
      </c>
      <c r="BV415" s="19">
        <f t="shared" si="730"/>
        <v>957.89607406256641</v>
      </c>
      <c r="BW415" s="15">
        <f t="shared" si="670"/>
        <v>5.4157921481251328E-6</v>
      </c>
      <c r="BX415" s="16">
        <f t="shared" si="671"/>
        <v>26.904804851719511</v>
      </c>
      <c r="BY415" s="17">
        <f t="shared" si="672"/>
        <v>1.3554068054744536E-2</v>
      </c>
      <c r="BZ415" s="18">
        <f t="shared" si="731"/>
        <v>0.44105805394680253</v>
      </c>
      <c r="CA415" s="19">
        <f t="shared" si="732"/>
        <v>946.67127752837757</v>
      </c>
      <c r="CB415" s="15">
        <f t="shared" si="673"/>
        <v>5.3933425550567554E-6</v>
      </c>
      <c r="CC415" s="16">
        <f t="shared" si="674"/>
        <v>26.775719691576342</v>
      </c>
      <c r="CD415" s="17">
        <f t="shared" si="675"/>
        <v>1.3497883603065487E-2</v>
      </c>
      <c r="CE415" s="18">
        <f t="shared" si="733"/>
        <v>0.44318438519697878</v>
      </c>
      <c r="CF415" s="19">
        <f t="shared" si="734"/>
        <v>929.12900170369119</v>
      </c>
      <c r="CG415" s="15">
        <f t="shared" si="676"/>
        <v>5.3582580034073833E-6</v>
      </c>
      <c r="CH415" s="16">
        <f t="shared" si="677"/>
        <v>26.573983519592446</v>
      </c>
      <c r="CI415" s="17">
        <f t="shared" si="678"/>
        <v>1.3410077722093778E-2</v>
      </c>
      <c r="CJ415" s="18">
        <f t="shared" si="735"/>
        <v>0.44654881572305166</v>
      </c>
      <c r="CK415" s="19">
        <f t="shared" si="736"/>
        <v>895.99388926567622</v>
      </c>
      <c r="CL415" s="15">
        <f t="shared" si="679"/>
        <v>5.2919877785313529E-6</v>
      </c>
      <c r="CM415" s="16">
        <f t="shared" si="680"/>
        <v>26.192929726555278</v>
      </c>
      <c r="CN415" s="17">
        <f t="shared" si="681"/>
        <v>1.3244223658014916E-2</v>
      </c>
      <c r="CO415" s="18">
        <f t="shared" si="737"/>
        <v>0.45304519172161017</v>
      </c>
      <c r="CP415" s="19">
        <f t="shared" si="738"/>
        <v>829.80097489354603</v>
      </c>
      <c r="CQ415" s="15">
        <f t="shared" si="682"/>
        <v>5.1596019497870925E-6</v>
      </c>
      <c r="CR415" s="16">
        <f t="shared" si="683"/>
        <v>25.431711211275779</v>
      </c>
      <c r="CS415" s="17">
        <f t="shared" si="684"/>
        <v>1.2912902498855468E-2</v>
      </c>
      <c r="CT415" s="18">
        <f t="shared" si="739"/>
        <v>0.46660567867948094</v>
      </c>
      <c r="CU415" s="19">
        <f t="shared" si="740"/>
        <v>707.04864470465964</v>
      </c>
      <c r="CV415" s="15">
        <f t="shared" si="685"/>
        <v>4.9140972894093193E-6</v>
      </c>
      <c r="CW415" s="16">
        <f t="shared" si="686"/>
        <v>24.020059414103585</v>
      </c>
      <c r="CX415" s="17">
        <f t="shared" si="687"/>
        <v>1.2298479569853429E-2</v>
      </c>
      <c r="CY415" s="18">
        <f t="shared" si="741"/>
        <v>0.49402795659823945</v>
      </c>
      <c r="CZ415" s="20">
        <f t="shared" si="691"/>
        <v>510.87783466764313</v>
      </c>
      <c r="DA415" s="15">
        <f t="shared" si="688"/>
        <v>7.051214680616359E-6</v>
      </c>
      <c r="DB415" s="16">
        <f t="shared" si="689"/>
        <v>38.679542794638344</v>
      </c>
      <c r="DC415" s="17">
        <f t="shared" si="690"/>
        <v>1.7647029471537921E-2</v>
      </c>
      <c r="DD415" s="18">
        <f t="shared" si="742"/>
        <v>0.30679217002954884</v>
      </c>
    </row>
    <row r="416" spans="2:108" x14ac:dyDescent="0.25">
      <c r="B416">
        <v>149</v>
      </c>
      <c r="C416">
        <f t="shared" si="743"/>
        <v>0.14566458528544246</v>
      </c>
      <c r="D416" s="19">
        <f t="shared" si="640"/>
        <v>1017.5568269930748</v>
      </c>
      <c r="E416" s="15">
        <f t="shared" si="692"/>
        <v>5.5351136539861497E-6</v>
      </c>
      <c r="F416" s="16">
        <f t="shared" si="641"/>
        <v>27.590903510420361</v>
      </c>
      <c r="G416" s="17">
        <f t="shared" si="638"/>
        <v>1.3852693217343269E-2</v>
      </c>
      <c r="H416" s="18">
        <f t="shared" si="693"/>
        <v>0.43009033267925428</v>
      </c>
      <c r="I416" s="19">
        <f t="shared" si="694"/>
        <v>1017.2322189858235</v>
      </c>
      <c r="J416" s="15">
        <f t="shared" si="695"/>
        <v>5.5344644379716482E-6</v>
      </c>
      <c r="K416" s="16">
        <f t="shared" si="642"/>
        <v>27.587170518336968</v>
      </c>
      <c r="L416" s="17">
        <f t="shared" si="696"/>
        <v>1.385106842861392E-2</v>
      </c>
      <c r="M416" s="18">
        <f t="shared" si="697"/>
        <v>0.43014853088432098</v>
      </c>
      <c r="N416" s="19">
        <f t="shared" si="698"/>
        <v>1016.3262697203279</v>
      </c>
      <c r="O416" s="15">
        <f t="shared" si="699"/>
        <v>5.5326525394406565E-6</v>
      </c>
      <c r="P416" s="16">
        <f t="shared" si="700"/>
        <v>27.576752101783768</v>
      </c>
      <c r="Q416" s="17">
        <f t="shared" si="639"/>
        <v>1.3852693217343269E-2</v>
      </c>
      <c r="R416" s="18">
        <f t="shared" si="701"/>
        <v>0.43031103974533402</v>
      </c>
      <c r="S416" s="19">
        <f t="shared" si="702"/>
        <v>1014.8247376020961</v>
      </c>
      <c r="T416" s="15">
        <f t="shared" si="703"/>
        <v>5.5296494752041929E-6</v>
      </c>
      <c r="U416" s="16">
        <f t="shared" si="704"/>
        <v>27.559484482424104</v>
      </c>
      <c r="V416" s="17">
        <f t="shared" si="705"/>
        <v>1.383901805237233E-2</v>
      </c>
      <c r="W416" s="18">
        <f t="shared" si="706"/>
        <v>0.43058065463037742</v>
      </c>
      <c r="X416" s="19">
        <f t="shared" si="707"/>
        <v>1012.7255893589185</v>
      </c>
      <c r="Y416" s="15">
        <f t="shared" si="708"/>
        <v>5.5254511787178371E-6</v>
      </c>
      <c r="Z416" s="16">
        <f t="shared" si="709"/>
        <v>27.535344277627562</v>
      </c>
      <c r="AA416" s="17">
        <f t="shared" si="710"/>
        <v>1.3828511002852388E-2</v>
      </c>
      <c r="AB416" s="18">
        <f t="shared" si="711"/>
        <v>0.43095814419721939</v>
      </c>
      <c r="AC416" s="19">
        <f t="shared" si="712"/>
        <v>1010.0273669862777</v>
      </c>
      <c r="AD416" s="15">
        <f t="shared" si="643"/>
        <v>5.5200547339725555E-6</v>
      </c>
      <c r="AE416" s="16">
        <f t="shared" si="644"/>
        <v>27.504314720342194</v>
      </c>
      <c r="AF416" s="17">
        <f t="shared" si="645"/>
        <v>1.3815005355417869E-2</v>
      </c>
      <c r="AG416" s="18">
        <f t="shared" si="713"/>
        <v>0.43144433847469665</v>
      </c>
      <c r="AH416" s="19">
        <f t="shared" si="714"/>
        <v>1006.7297794872076</v>
      </c>
      <c r="AI416" s="15">
        <f t="shared" si="646"/>
        <v>5.5134595589744155E-6</v>
      </c>
      <c r="AJ416" s="16">
        <f t="shared" si="647"/>
        <v>27.466392464102888</v>
      </c>
      <c r="AK416" s="17">
        <f t="shared" si="648"/>
        <v>1.3798499653516315E-2</v>
      </c>
      <c r="AL416" s="18">
        <f t="shared" si="715"/>
        <v>0.43204002437622224</v>
      </c>
      <c r="AM416" s="19">
        <f t="shared" si="716"/>
        <v>1002.8327395078666</v>
      </c>
      <c r="AN416" s="15">
        <f t="shared" si="649"/>
        <v>5.505665479015734E-6</v>
      </c>
      <c r="AO416" s="16">
        <f t="shared" si="650"/>
        <v>27.421576504340464</v>
      </c>
      <c r="AP416" s="17">
        <f t="shared" si="651"/>
        <v>1.3778993459907931E-2</v>
      </c>
      <c r="AQ416" s="18">
        <f t="shared" si="717"/>
        <v>0.43274612121004713</v>
      </c>
      <c r="AR416" s="19">
        <f t="shared" si="718"/>
        <v>998.33620578541002</v>
      </c>
      <c r="AS416" s="15">
        <f t="shared" si="652"/>
        <v>5.49667241157082E-6</v>
      </c>
      <c r="AT416" s="16">
        <f t="shared" si="653"/>
        <v>27.369866366532214</v>
      </c>
      <c r="AU416" s="17">
        <f t="shared" si="654"/>
        <v>1.3756486568056206E-2</v>
      </c>
      <c r="AV416" s="18">
        <f t="shared" si="719"/>
        <v>0.43356371239825692</v>
      </c>
      <c r="AW416" s="19">
        <f t="shared" si="720"/>
        <v>993.24002407105058</v>
      </c>
      <c r="AX416" s="15">
        <f t="shared" si="655"/>
        <v>5.486480048142102E-6</v>
      </c>
      <c r="AY416" s="16">
        <f t="shared" si="656"/>
        <v>27.31126027681708</v>
      </c>
      <c r="AZ416" s="17">
        <f t="shared" si="657"/>
        <v>1.3730978205886259E-2</v>
      </c>
      <c r="BA416" s="18">
        <f t="shared" si="721"/>
        <v>0.43449407861235684</v>
      </c>
      <c r="BB416" s="19">
        <f t="shared" si="722"/>
        <v>987.54329808264106</v>
      </c>
      <c r="BC416" s="15">
        <f t="shared" si="658"/>
        <v>5.4750865961652819E-6</v>
      </c>
      <c r="BD416" s="16">
        <f t="shared" si="659"/>
        <v>27.245747927950369</v>
      </c>
      <c r="BE416" s="17">
        <f t="shared" si="660"/>
        <v>1.370246388715899E-2</v>
      </c>
      <c r="BF416" s="18">
        <f t="shared" si="723"/>
        <v>0.43553881879470918</v>
      </c>
      <c r="BG416" s="19">
        <f t="shared" si="724"/>
        <v>981.24120985540708</v>
      </c>
      <c r="BH416" s="15">
        <f t="shared" si="661"/>
        <v>5.4624824197108153E-6</v>
      </c>
      <c r="BI416" s="16">
        <f t="shared" si="662"/>
        <v>27.17327391333718</v>
      </c>
      <c r="BJ416" s="17">
        <f t="shared" si="663"/>
        <v>1.367091949609572E-2</v>
      </c>
      <c r="BK416" s="18">
        <f t="shared" si="725"/>
        <v>0.43670044719541673</v>
      </c>
      <c r="BL416" s="19">
        <f t="shared" si="726"/>
        <v>974.31026154364815</v>
      </c>
      <c r="BM416" s="15">
        <f t="shared" si="664"/>
        <v>5.4486205230872967E-6</v>
      </c>
      <c r="BN416" s="16">
        <f t="shared" si="665"/>
        <v>27.093568007751955</v>
      </c>
      <c r="BO416" s="17">
        <f t="shared" si="666"/>
        <v>1.3636227416882885E-2</v>
      </c>
      <c r="BP416" s="18">
        <f t="shared" si="727"/>
        <v>0.43798516556854589</v>
      </c>
      <c r="BQ416" s="19">
        <f t="shared" si="728"/>
        <v>966.64750641002581</v>
      </c>
      <c r="BR416" s="15">
        <f t="shared" si="667"/>
        <v>5.4332950128200527E-6</v>
      </c>
      <c r="BS416" s="16">
        <f t="shared" si="668"/>
        <v>27.005446323715297</v>
      </c>
      <c r="BT416" s="17">
        <f t="shared" si="669"/>
        <v>1.3597872361250289E-2</v>
      </c>
      <c r="BU416" s="18">
        <f t="shared" si="729"/>
        <v>0.43941435840284765</v>
      </c>
      <c r="BV416" s="19">
        <f t="shared" si="730"/>
        <v>957.85305328304821</v>
      </c>
      <c r="BW416" s="15">
        <f t="shared" si="670"/>
        <v>5.4157061065660971E-6</v>
      </c>
      <c r="BX416" s="16">
        <f t="shared" si="671"/>
        <v>26.904310112755056</v>
      </c>
      <c r="BY416" s="17">
        <f t="shared" si="672"/>
        <v>1.3553852719090063E-2</v>
      </c>
      <c r="BZ416" s="18">
        <f t="shared" si="731"/>
        <v>0.44106616449131975</v>
      </c>
      <c r="CA416" s="19">
        <f t="shared" si="732"/>
        <v>946.57265452245451</v>
      </c>
      <c r="CB416" s="15">
        <f t="shared" si="673"/>
        <v>5.3931453090449097E-6</v>
      </c>
      <c r="CC416" s="16">
        <f t="shared" si="674"/>
        <v>26.774585527008227</v>
      </c>
      <c r="CD416" s="17">
        <f t="shared" si="675"/>
        <v>1.3497389956744698E-2</v>
      </c>
      <c r="CE416" s="18">
        <f t="shared" si="733"/>
        <v>0.44320315837374091</v>
      </c>
      <c r="CF416" s="19">
        <f t="shared" si="734"/>
        <v>928.89716371765894</v>
      </c>
      <c r="CG416" s="15">
        <f t="shared" si="676"/>
        <v>5.3577943274353182E-6</v>
      </c>
      <c r="CH416" s="16">
        <f t="shared" si="677"/>
        <v>26.57131738275308</v>
      </c>
      <c r="CI416" s="17">
        <f t="shared" si="678"/>
        <v>1.3408917283231127E-2</v>
      </c>
      <c r="CJ416" s="18">
        <f t="shared" si="735"/>
        <v>0.44659362194138946</v>
      </c>
      <c r="CK416" s="19">
        <f t="shared" si="736"/>
        <v>895.51144695469964</v>
      </c>
      <c r="CL416" s="15">
        <f t="shared" si="679"/>
        <v>5.2910228939093997E-6</v>
      </c>
      <c r="CM416" s="16">
        <f t="shared" si="680"/>
        <v>26.187381639979044</v>
      </c>
      <c r="CN416" s="17">
        <f t="shared" si="681"/>
        <v>1.324180884749907E-2</v>
      </c>
      <c r="CO416" s="18">
        <f t="shared" si="737"/>
        <v>0.45314117435863643</v>
      </c>
      <c r="CP416" s="19">
        <f t="shared" si="738"/>
        <v>828.9825265649099</v>
      </c>
      <c r="CQ416" s="15">
        <f t="shared" si="682"/>
        <v>5.1579650531298203E-6</v>
      </c>
      <c r="CR416" s="16">
        <f t="shared" si="683"/>
        <v>25.422299055496463</v>
      </c>
      <c r="CS416" s="17">
        <f t="shared" si="684"/>
        <v>1.29088058481561E-2</v>
      </c>
      <c r="CT416" s="18">
        <f t="shared" si="739"/>
        <v>0.46677843116444134</v>
      </c>
      <c r="CU416" s="19">
        <f t="shared" si="740"/>
        <v>705.99255988427387</v>
      </c>
      <c r="CV416" s="15">
        <f t="shared" si="685"/>
        <v>4.9119851197685482E-6</v>
      </c>
      <c r="CW416" s="16">
        <f t="shared" si="686"/>
        <v>24.007914438669147</v>
      </c>
      <c r="CX416" s="17">
        <f t="shared" si="687"/>
        <v>1.2293193456525745E-2</v>
      </c>
      <c r="CY416" s="18">
        <f t="shared" si="741"/>
        <v>0.49427787240880011</v>
      </c>
      <c r="CZ416" s="20">
        <f t="shared" si="691"/>
        <v>509.94394815554614</v>
      </c>
      <c r="DA416" s="15">
        <f t="shared" si="688"/>
        <v>7.0653264082415899E-6</v>
      </c>
      <c r="DB416" s="16">
        <f t="shared" si="689"/>
        <v>38.706625503489157</v>
      </c>
      <c r="DC416" s="17">
        <f t="shared" si="690"/>
        <v>1.7682346801186292E-2</v>
      </c>
      <c r="DD416" s="18">
        <f t="shared" si="742"/>
        <v>0.30657751006086031</v>
      </c>
    </row>
    <row r="417" spans="2:108" x14ac:dyDescent="0.25">
      <c r="B417">
        <v>150</v>
      </c>
      <c r="C417">
        <f t="shared" si="743"/>
        <v>0.14664219995178773</v>
      </c>
      <c r="D417" s="19">
        <f t="shared" si="640"/>
        <v>1017.5402541480354</v>
      </c>
      <c r="E417" s="15">
        <f t="shared" si="692"/>
        <v>5.5350805082960708E-6</v>
      </c>
      <c r="F417" s="16">
        <f t="shared" si="641"/>
        <v>27.590712922702409</v>
      </c>
      <c r="G417" s="17">
        <f t="shared" si="638"/>
        <v>1.3852610263838638E-2</v>
      </c>
      <c r="H417" s="18">
        <f t="shared" si="693"/>
        <v>0.43009330360411763</v>
      </c>
      <c r="I417" s="19">
        <f t="shared" si="694"/>
        <v>1017.2156426767893</v>
      </c>
      <c r="J417" s="15">
        <f t="shared" si="695"/>
        <v>5.5344312853535793E-6</v>
      </c>
      <c r="K417" s="16">
        <f t="shared" si="642"/>
        <v>27.586979890783077</v>
      </c>
      <c r="L417" s="17">
        <f t="shared" si="696"/>
        <v>1.3850985457770649E-2</v>
      </c>
      <c r="M417" s="18">
        <f t="shared" si="697"/>
        <v>0.43015150323441426</v>
      </c>
      <c r="N417" s="19">
        <f t="shared" si="698"/>
        <v>1016.3096838134868</v>
      </c>
      <c r="O417" s="15">
        <f t="shared" si="699"/>
        <v>5.5326193676269745E-6</v>
      </c>
      <c r="P417" s="16">
        <f t="shared" si="700"/>
        <v>27.576561363855099</v>
      </c>
      <c r="Q417" s="17">
        <f t="shared" si="639"/>
        <v>1.3852610263838638E-2</v>
      </c>
      <c r="R417" s="18">
        <f t="shared" si="701"/>
        <v>0.43031401606407521</v>
      </c>
      <c r="S417" s="19">
        <f t="shared" si="702"/>
        <v>1014.8081459218746</v>
      </c>
      <c r="T417" s="15">
        <f t="shared" si="703"/>
        <v>5.5296162918437493E-6</v>
      </c>
      <c r="U417" s="16">
        <f t="shared" si="704"/>
        <v>27.559293678101557</v>
      </c>
      <c r="V417" s="17">
        <f t="shared" si="705"/>
        <v>1.3838935004590318E-2</v>
      </c>
      <c r="W417" s="18">
        <f t="shared" si="706"/>
        <v>0.43058363571730468</v>
      </c>
      <c r="X417" s="19">
        <f t="shared" si="707"/>
        <v>1012.7089999984597</v>
      </c>
      <c r="Y417" s="15">
        <f t="shared" si="708"/>
        <v>5.5254179999969199E-6</v>
      </c>
      <c r="Z417" s="16">
        <f t="shared" si="709"/>
        <v>27.535153499982286</v>
      </c>
      <c r="AA417" s="17">
        <f t="shared" si="710"/>
        <v>1.382842796668169E-2</v>
      </c>
      <c r="AB417" s="18">
        <f t="shared" si="711"/>
        <v>0.43096113009595288</v>
      </c>
      <c r="AC417" s="19">
        <f t="shared" si="712"/>
        <v>1010.0107874463098</v>
      </c>
      <c r="AD417" s="15">
        <f t="shared" si="643"/>
        <v>5.5200215748926196E-6</v>
      </c>
      <c r="AE417" s="16">
        <f t="shared" si="644"/>
        <v>27.504124055632563</v>
      </c>
      <c r="AF417" s="17">
        <f t="shared" si="645"/>
        <v>1.3814922368402528E-2</v>
      </c>
      <c r="AG417" s="18">
        <f t="shared" si="713"/>
        <v>0.43144732934287883</v>
      </c>
      <c r="AH417" s="19">
        <f t="shared" si="714"/>
        <v>1006.7132153293887</v>
      </c>
      <c r="AI417" s="15">
        <f t="shared" si="646"/>
        <v>5.5134264306587781E-6</v>
      </c>
      <c r="AJ417" s="16">
        <f t="shared" si="647"/>
        <v>27.466201976287969</v>
      </c>
      <c r="AK417" s="17">
        <f t="shared" si="648"/>
        <v>1.3798416743494583E-2</v>
      </c>
      <c r="AL417" s="18">
        <f t="shared" si="715"/>
        <v>0.43204302072643735</v>
      </c>
      <c r="AM417" s="19">
        <f t="shared" si="716"/>
        <v>1002.8161947270851</v>
      </c>
      <c r="AN417" s="15">
        <f t="shared" si="649"/>
        <v>5.5056323894541705E-6</v>
      </c>
      <c r="AO417" s="16">
        <f t="shared" si="650"/>
        <v>27.421386239361478</v>
      </c>
      <c r="AP417" s="17">
        <f t="shared" si="651"/>
        <v>1.3778910646875772E-2</v>
      </c>
      <c r="AQ417" s="18">
        <f t="shared" si="717"/>
        <v>0.43274912384568848</v>
      </c>
      <c r="AR417" s="19">
        <f t="shared" si="718"/>
        <v>998.31968221625596</v>
      </c>
      <c r="AS417" s="15">
        <f t="shared" si="652"/>
        <v>5.4966393644325121E-6</v>
      </c>
      <c r="AT417" s="16">
        <f t="shared" si="653"/>
        <v>27.369676345486944</v>
      </c>
      <c r="AU417" s="17">
        <f t="shared" si="654"/>
        <v>1.3756403861196455E-2</v>
      </c>
      <c r="AV417" s="18">
        <f t="shared" si="719"/>
        <v>0.43356672252628259</v>
      </c>
      <c r="AW417" s="19">
        <f t="shared" si="720"/>
        <v>993.22351431941377</v>
      </c>
      <c r="AX417" s="15">
        <f t="shared" si="655"/>
        <v>5.4864470286388276E-6</v>
      </c>
      <c r="AY417" s="16">
        <f t="shared" si="656"/>
        <v>27.311070414673257</v>
      </c>
      <c r="AZ417" s="17">
        <f t="shared" si="657"/>
        <v>1.3730895568188527E-2</v>
      </c>
      <c r="BA417" s="18">
        <f t="shared" si="721"/>
        <v>0.4344970991449098</v>
      </c>
      <c r="BB417" s="19">
        <f t="shared" si="722"/>
        <v>987.52674819371202</v>
      </c>
      <c r="BC417" s="15">
        <f t="shared" si="658"/>
        <v>5.4750534963874246E-6</v>
      </c>
      <c r="BD417" s="16">
        <f t="shared" si="659"/>
        <v>27.245557604227688</v>
      </c>
      <c r="BE417" s="17">
        <f t="shared" si="660"/>
        <v>1.3702381048558577E-2</v>
      </c>
      <c r="BF417" s="18">
        <f t="shared" si="723"/>
        <v>0.43554186124921018</v>
      </c>
      <c r="BG417" s="19">
        <f t="shared" si="724"/>
        <v>981.22435096994423</v>
      </c>
      <c r="BH417" s="15">
        <f t="shared" si="661"/>
        <v>5.4624487019398889E-6</v>
      </c>
      <c r="BI417" s="16">
        <f t="shared" si="662"/>
        <v>27.17308003615436</v>
      </c>
      <c r="BJ417" s="17">
        <f t="shared" si="663"/>
        <v>1.367083511084804E-2</v>
      </c>
      <c r="BK417" s="18">
        <f t="shared" si="725"/>
        <v>0.43670356300902069</v>
      </c>
      <c r="BL417" s="19">
        <f t="shared" si="726"/>
        <v>974.29194429519271</v>
      </c>
      <c r="BM417" s="15">
        <f t="shared" si="664"/>
        <v>5.448583888590386E-6</v>
      </c>
      <c r="BN417" s="16">
        <f t="shared" si="665"/>
        <v>27.093357359394716</v>
      </c>
      <c r="BO417" s="17">
        <f t="shared" si="666"/>
        <v>1.363613573196391E-2</v>
      </c>
      <c r="BP417" s="18">
        <f t="shared" si="727"/>
        <v>0.4379885708628547</v>
      </c>
      <c r="BQ417" s="19">
        <f t="shared" si="728"/>
        <v>966.62344316390352</v>
      </c>
      <c r="BR417" s="15">
        <f t="shared" si="667"/>
        <v>5.4332468863278076E-6</v>
      </c>
      <c r="BS417" s="16">
        <f t="shared" si="668"/>
        <v>27.005169596384889</v>
      </c>
      <c r="BT417" s="17">
        <f t="shared" si="669"/>
        <v>1.3597751915388763E-2</v>
      </c>
      <c r="BU417" s="18">
        <f t="shared" si="729"/>
        <v>0.43941886116895362</v>
      </c>
      <c r="BV417" s="19">
        <f t="shared" si="730"/>
        <v>957.80950098048629</v>
      </c>
      <c r="BW417" s="15">
        <f t="shared" si="670"/>
        <v>5.4156190019609734E-6</v>
      </c>
      <c r="BX417" s="16">
        <f t="shared" si="671"/>
        <v>26.90380926127559</v>
      </c>
      <c r="BY417" s="17">
        <f t="shared" si="672"/>
        <v>1.3553634722957007E-2</v>
      </c>
      <c r="BZ417" s="18">
        <f t="shared" si="731"/>
        <v>0.44107437554570544</v>
      </c>
      <c r="CA417" s="19">
        <f t="shared" si="732"/>
        <v>946.47289586252612</v>
      </c>
      <c r="CB417" s="15">
        <f t="shared" si="673"/>
        <v>5.3929457917250528E-6</v>
      </c>
      <c r="CC417" s="16">
        <f t="shared" si="674"/>
        <v>26.773438302419052</v>
      </c>
      <c r="CD417" s="17">
        <f t="shared" si="675"/>
        <v>1.3496890626036009E-2</v>
      </c>
      <c r="CE417" s="18">
        <f t="shared" si="733"/>
        <v>0.44322214934365456</v>
      </c>
      <c r="CF417" s="19">
        <f t="shared" si="734"/>
        <v>928.66358803076082</v>
      </c>
      <c r="CG417" s="15">
        <f t="shared" si="676"/>
        <v>5.3573271760615224E-6</v>
      </c>
      <c r="CH417" s="16">
        <f t="shared" si="677"/>
        <v>26.568631262353748</v>
      </c>
      <c r="CI417" s="17">
        <f t="shared" si="678"/>
        <v>1.3407748146502998E-2</v>
      </c>
      <c r="CJ417" s="18">
        <f t="shared" si="735"/>
        <v>0.4466387730907378</v>
      </c>
      <c r="CK417" s="19">
        <f t="shared" si="736"/>
        <v>895.02767033678833</v>
      </c>
      <c r="CL417" s="15">
        <f t="shared" si="679"/>
        <v>5.2900553406735773E-6</v>
      </c>
      <c r="CM417" s="16">
        <f t="shared" si="680"/>
        <v>26.181818208873064</v>
      </c>
      <c r="CN417" s="17">
        <f t="shared" si="681"/>
        <v>1.3239387358260519E-2</v>
      </c>
      <c r="CO417" s="18">
        <f t="shared" si="737"/>
        <v>0.45323746330559628</v>
      </c>
      <c r="CP417" s="19">
        <f t="shared" si="738"/>
        <v>828.16531929247844</v>
      </c>
      <c r="CQ417" s="15">
        <f t="shared" si="682"/>
        <v>5.156330638584958E-6</v>
      </c>
      <c r="CR417" s="16">
        <f t="shared" si="683"/>
        <v>25.412901171863503</v>
      </c>
      <c r="CS417" s="17">
        <f t="shared" si="684"/>
        <v>1.2904715409423438E-2</v>
      </c>
      <c r="CT417" s="18">
        <f t="shared" si="739"/>
        <v>0.46695104936921822</v>
      </c>
      <c r="CU417" s="19">
        <f t="shared" si="740"/>
        <v>704.9414140707039</v>
      </c>
      <c r="CV417" s="15">
        <f t="shared" si="685"/>
        <v>4.9098828281414081E-6</v>
      </c>
      <c r="CW417" s="16">
        <f t="shared" si="686"/>
        <v>23.995826261813093</v>
      </c>
      <c r="CX417" s="17">
        <f t="shared" si="687"/>
        <v>1.2287932064839019E-2</v>
      </c>
      <c r="CY417" s="18">
        <f t="shared" si="741"/>
        <v>0.49452687064176448</v>
      </c>
      <c r="CZ417" s="20">
        <f t="shared" si="691"/>
        <v>509.01562545891494</v>
      </c>
      <c r="DA417" s="15">
        <f t="shared" si="688"/>
        <v>7.0793443563320679E-6</v>
      </c>
      <c r="DB417" s="16">
        <f t="shared" si="689"/>
        <v>38.733546861691465</v>
      </c>
      <c r="DC417" s="17">
        <f t="shared" si="690"/>
        <v>1.7717429429398305E-2</v>
      </c>
      <c r="DD417" s="18">
        <f t="shared" si="742"/>
        <v>0.30636442647740764</v>
      </c>
    </row>
    <row r="418" spans="2:108" x14ac:dyDescent="0.25">
      <c r="B418">
        <v>151</v>
      </c>
      <c r="C418">
        <f t="shared" si="743"/>
        <v>0.14761981461813298</v>
      </c>
      <c r="D418" s="19">
        <f t="shared" si="640"/>
        <v>1017.5236811261419</v>
      </c>
      <c r="E418" s="15">
        <f t="shared" si="692"/>
        <v>5.5350473622522845E-6</v>
      </c>
      <c r="F418" s="16">
        <f t="shared" si="641"/>
        <v>27.590522332950631</v>
      </c>
      <c r="G418" s="17">
        <f t="shared" si="638"/>
        <v>1.3852527309448782E-2</v>
      </c>
      <c r="H418" s="18">
        <f t="shared" si="693"/>
        <v>0.43009627460173</v>
      </c>
      <c r="I418" s="19">
        <f t="shared" si="694"/>
        <v>1017.1990662915819</v>
      </c>
      <c r="J418" s="15">
        <f t="shared" si="695"/>
        <v>5.5343981325831639E-6</v>
      </c>
      <c r="K418" s="16">
        <f t="shared" si="642"/>
        <v>27.586789262353193</v>
      </c>
      <c r="L418" s="17">
        <f t="shared" si="696"/>
        <v>1.3850902486546105E-2</v>
      </c>
      <c r="M418" s="18">
        <f t="shared" si="697"/>
        <v>0.43015447563924525</v>
      </c>
      <c r="N418" s="19">
        <f t="shared" si="698"/>
        <v>1016.2930980057454</v>
      </c>
      <c r="O418" s="15">
        <f t="shared" si="699"/>
        <v>5.5325861960114905E-6</v>
      </c>
      <c r="P418" s="16">
        <f t="shared" si="700"/>
        <v>27.576370627066069</v>
      </c>
      <c r="Q418" s="17">
        <f t="shared" si="639"/>
        <v>1.3852527309448782E-2</v>
      </c>
      <c r="R418" s="18">
        <f t="shared" si="701"/>
        <v>0.43031699240620552</v>
      </c>
      <c r="S418" s="19">
        <f t="shared" si="702"/>
        <v>1014.791554445147</v>
      </c>
      <c r="T418" s="15">
        <f t="shared" si="703"/>
        <v>5.5295831088902948E-6</v>
      </c>
      <c r="U418" s="16">
        <f t="shared" si="704"/>
        <v>27.559102876119191</v>
      </c>
      <c r="V418" s="17">
        <f t="shared" si="705"/>
        <v>1.3838851957826876E-2</v>
      </c>
      <c r="W418" s="18">
        <f t="shared" si="706"/>
        <v>0.43058661680894755</v>
      </c>
      <c r="X418" s="19">
        <f t="shared" si="707"/>
        <v>1012.6924108623552</v>
      </c>
      <c r="Y418" s="15">
        <f t="shared" si="708"/>
        <v>5.5253848217247108E-6</v>
      </c>
      <c r="Z418" s="16">
        <f t="shared" si="709"/>
        <v>27.534962724917087</v>
      </c>
      <c r="AA418" s="17">
        <f t="shared" si="710"/>
        <v>1.3828344931633971E-2</v>
      </c>
      <c r="AB418" s="18">
        <f t="shared" si="711"/>
        <v>0.43096411599568024</v>
      </c>
      <c r="AC418" s="19">
        <f t="shared" si="712"/>
        <v>1009.9942081176561</v>
      </c>
      <c r="AD418" s="15">
        <f t="shared" si="643"/>
        <v>5.5199884162353125E-6</v>
      </c>
      <c r="AE418" s="16">
        <f t="shared" si="644"/>
        <v>27.503933393353044</v>
      </c>
      <c r="AF418" s="17">
        <f t="shared" si="645"/>
        <v>1.3814839382444896E-2</v>
      </c>
      <c r="AG418" s="18">
        <f t="shared" si="713"/>
        <v>0.43145032021440721</v>
      </c>
      <c r="AH418" s="19">
        <f t="shared" si="714"/>
        <v>1006.6966513662753</v>
      </c>
      <c r="AI418" s="15">
        <f t="shared" si="646"/>
        <v>5.5133933027325514E-6</v>
      </c>
      <c r="AJ418" s="16">
        <f t="shared" si="647"/>
        <v>27.466011490712166</v>
      </c>
      <c r="AK418" s="17">
        <f t="shared" si="648"/>
        <v>1.3798333834447429E-2</v>
      </c>
      <c r="AL418" s="18">
        <f t="shared" si="715"/>
        <v>0.43204601708299256</v>
      </c>
      <c r="AM418" s="19">
        <f t="shared" si="716"/>
        <v>1002.7996501110326</v>
      </c>
      <c r="AN418" s="15">
        <f t="shared" si="649"/>
        <v>5.5055993002220656E-6</v>
      </c>
      <c r="AO418" s="16">
        <f t="shared" si="650"/>
        <v>27.421195976276874</v>
      </c>
      <c r="AP418" s="17">
        <f t="shared" si="651"/>
        <v>1.3778827834668144E-2</v>
      </c>
      <c r="AQ418" s="18">
        <f t="shared" si="717"/>
        <v>0.43275212649310163</v>
      </c>
      <c r="AR418" s="19">
        <f t="shared" si="718"/>
        <v>998.3031586746938</v>
      </c>
      <c r="AS418" s="15">
        <f t="shared" si="652"/>
        <v>5.4966063173493883E-6</v>
      </c>
      <c r="AT418" s="16">
        <f t="shared" si="653"/>
        <v>27.369486324758977</v>
      </c>
      <c r="AU418" s="17">
        <f t="shared" si="654"/>
        <v>1.3756321154474812E-2</v>
      </c>
      <c r="AV418" s="18">
        <f t="shared" si="719"/>
        <v>0.43356973269107923</v>
      </c>
      <c r="AW418" s="19">
        <f t="shared" si="720"/>
        <v>993.20700390470313</v>
      </c>
      <c r="AX418" s="15">
        <f t="shared" si="655"/>
        <v>5.4864140078094062E-6</v>
      </c>
      <c r="AY418" s="16">
        <f t="shared" si="656"/>
        <v>27.310880544904087</v>
      </c>
      <c r="AZ418" s="17">
        <f t="shared" si="657"/>
        <v>1.3730812927171857E-2</v>
      </c>
      <c r="BA418" s="18">
        <f t="shared" si="721"/>
        <v>0.43450011984077436</v>
      </c>
      <c r="BB418" s="19">
        <f t="shared" si="722"/>
        <v>987.51019447303986</v>
      </c>
      <c r="BC418" s="15">
        <f t="shared" si="658"/>
        <v>5.4750203889460798E-6</v>
      </c>
      <c r="BD418" s="16">
        <f t="shared" si="659"/>
        <v>27.245367236439957</v>
      </c>
      <c r="BE418" s="17">
        <f t="shared" si="660"/>
        <v>1.3702298190778804E-2</v>
      </c>
      <c r="BF418" s="18">
        <f t="shared" si="723"/>
        <v>0.4355449044506422</v>
      </c>
      <c r="BG418" s="19">
        <f t="shared" si="724"/>
        <v>981.2074753366968</v>
      </c>
      <c r="BH418" s="15">
        <f t="shared" si="661"/>
        <v>5.4624149506733944E-6</v>
      </c>
      <c r="BI418" s="16">
        <f t="shared" si="662"/>
        <v>27.172885966372014</v>
      </c>
      <c r="BJ418" s="17">
        <f t="shared" si="663"/>
        <v>1.3670750641771222E-2</v>
      </c>
      <c r="BK418" s="18">
        <f t="shared" si="725"/>
        <v>0.43670668196243362</v>
      </c>
      <c r="BL418" s="19">
        <f t="shared" si="726"/>
        <v>974.2735644410219</v>
      </c>
      <c r="BM418" s="15">
        <f t="shared" si="664"/>
        <v>5.4485471288820445E-6</v>
      </c>
      <c r="BN418" s="16">
        <f t="shared" si="665"/>
        <v>27.093145991071751</v>
      </c>
      <c r="BO418" s="17">
        <f t="shared" si="666"/>
        <v>1.3636043733679097E-2</v>
      </c>
      <c r="BP418" s="18">
        <f t="shared" si="727"/>
        <v>0.43799198784919258</v>
      </c>
      <c r="BQ418" s="19">
        <f t="shared" si="728"/>
        <v>966.59917944431936</v>
      </c>
      <c r="BR418" s="15">
        <f t="shared" si="667"/>
        <v>5.4331983588886393E-6</v>
      </c>
      <c r="BS418" s="16">
        <f t="shared" si="668"/>
        <v>27.004890563609671</v>
      </c>
      <c r="BT418" s="17">
        <f t="shared" si="669"/>
        <v>1.3597630466079961E-2</v>
      </c>
      <c r="BU418" s="18">
        <f t="shared" si="729"/>
        <v>0.43942340154152154</v>
      </c>
      <c r="BV418" s="19">
        <f t="shared" si="730"/>
        <v>957.76541303868714</v>
      </c>
      <c r="BW418" s="15">
        <f t="shared" si="670"/>
        <v>5.4155308260773746E-6</v>
      </c>
      <c r="BX418" s="16">
        <f t="shared" si="671"/>
        <v>26.9033022499449</v>
      </c>
      <c r="BY418" s="17">
        <f t="shared" si="672"/>
        <v>1.3553414045742224E-2</v>
      </c>
      <c r="BZ418" s="18">
        <f t="shared" si="731"/>
        <v>0.44108268789725252</v>
      </c>
      <c r="CA418" s="19">
        <f t="shared" si="732"/>
        <v>946.37200108845263</v>
      </c>
      <c r="CB418" s="15">
        <f t="shared" si="673"/>
        <v>5.3927440021769056E-6</v>
      </c>
      <c r="CC418" s="16">
        <f t="shared" si="674"/>
        <v>26.772278012517205</v>
      </c>
      <c r="CD418" s="17">
        <f t="shared" si="675"/>
        <v>1.349638560863624E-2</v>
      </c>
      <c r="CE418" s="18">
        <f t="shared" si="733"/>
        <v>0.44324135825011812</v>
      </c>
      <c r="CF418" s="19">
        <f t="shared" si="734"/>
        <v>928.42828835738874</v>
      </c>
      <c r="CG418" s="15">
        <f t="shared" si="676"/>
        <v>5.3568565767147776E-6</v>
      </c>
      <c r="CH418" s="16">
        <f t="shared" si="677"/>
        <v>26.565925316109968</v>
      </c>
      <c r="CI418" s="17">
        <f t="shared" si="678"/>
        <v>1.3406570380555221E-2</v>
      </c>
      <c r="CJ418" s="18">
        <f t="shared" si="735"/>
        <v>0.4466842667257605</v>
      </c>
      <c r="CK418" s="19">
        <f t="shared" si="736"/>
        <v>894.54259025743625</v>
      </c>
      <c r="CL418" s="15">
        <f t="shared" si="679"/>
        <v>5.2890851805148731E-6</v>
      </c>
      <c r="CM418" s="16">
        <f t="shared" si="680"/>
        <v>26.176239787960515</v>
      </c>
      <c r="CN418" s="17">
        <f t="shared" si="681"/>
        <v>1.3236959344692894E-2</v>
      </c>
      <c r="CO418" s="18">
        <f t="shared" si="737"/>
        <v>0.45333405278384586</v>
      </c>
      <c r="CP418" s="19">
        <f t="shared" si="738"/>
        <v>827.3493702455005</v>
      </c>
      <c r="CQ418" s="15">
        <f t="shared" si="682"/>
        <v>5.1546987404910013E-6</v>
      </c>
      <c r="CR418" s="16">
        <f t="shared" si="683"/>
        <v>25.403517757823256</v>
      </c>
      <c r="CS418" s="17">
        <f t="shared" si="684"/>
        <v>1.2900631268596219E-2</v>
      </c>
      <c r="CT418" s="18">
        <f t="shared" si="739"/>
        <v>0.46712352922317113</v>
      </c>
      <c r="CU418" s="19">
        <f t="shared" si="740"/>
        <v>703.89516565635597</v>
      </c>
      <c r="CV418" s="15">
        <f t="shared" si="685"/>
        <v>4.9077903313127131E-6</v>
      </c>
      <c r="CW418" s="16">
        <f t="shared" si="686"/>
        <v>23.983794405048094</v>
      </c>
      <c r="CX418" s="17">
        <f t="shared" si="687"/>
        <v>1.2282695186531146E-2</v>
      </c>
      <c r="CY418" s="18">
        <f t="shared" si="741"/>
        <v>0.49477495801165755</v>
      </c>
      <c r="CZ418" s="20">
        <f t="shared" si="691"/>
        <v>508.09280072964549</v>
      </c>
      <c r="DA418" s="15">
        <f t="shared" si="688"/>
        <v>7.0932697927508778E-6</v>
      </c>
      <c r="DB418" s="16">
        <f t="shared" si="689"/>
        <v>38.760308778840276</v>
      </c>
      <c r="DC418" s="17">
        <f t="shared" si="690"/>
        <v>1.7752280529246718E-2</v>
      </c>
      <c r="DD418" s="18">
        <f t="shared" si="742"/>
        <v>0.30615289825028458</v>
      </c>
    </row>
    <row r="419" spans="2:108" x14ac:dyDescent="0.25">
      <c r="B419">
        <v>152</v>
      </c>
      <c r="C419">
        <f t="shared" si="743"/>
        <v>0.14859742928447822</v>
      </c>
      <c r="D419" s="19">
        <f t="shared" si="640"/>
        <v>1017.5071079325346</v>
      </c>
      <c r="E419" s="15">
        <f t="shared" si="692"/>
        <v>5.5350142158650696E-6</v>
      </c>
      <c r="F419" s="16">
        <f t="shared" si="641"/>
        <v>27.590331741224148</v>
      </c>
      <c r="G419" s="17">
        <f t="shared" si="638"/>
        <v>1.3852444354199432E-2</v>
      </c>
      <c r="H419" s="18">
        <f t="shared" si="693"/>
        <v>0.43009924567117197</v>
      </c>
      <c r="I419" s="19">
        <f t="shared" si="694"/>
        <v>1017.1824898331487</v>
      </c>
      <c r="J419" s="15">
        <f t="shared" si="695"/>
        <v>5.5343649796662982E-6</v>
      </c>
      <c r="K419" s="16">
        <f t="shared" si="642"/>
        <v>27.586598633081209</v>
      </c>
      <c r="L419" s="17">
        <f t="shared" si="696"/>
        <v>1.3850819514955039E-2</v>
      </c>
      <c r="M419" s="18">
        <f t="shared" si="697"/>
        <v>0.43015744809828677</v>
      </c>
      <c r="N419" s="19">
        <f t="shared" si="698"/>
        <v>1016.2765122970908</v>
      </c>
      <c r="O419" s="15">
        <f t="shared" si="699"/>
        <v>5.5325530245941818E-6</v>
      </c>
      <c r="P419" s="16">
        <f t="shared" si="700"/>
        <v>27.576179891416544</v>
      </c>
      <c r="Q419" s="17">
        <f t="shared" si="639"/>
        <v>1.3852444354199432E-2</v>
      </c>
      <c r="R419" s="18">
        <f t="shared" si="701"/>
        <v>0.43031996877172718</v>
      </c>
      <c r="S419" s="19">
        <f t="shared" si="702"/>
        <v>1014.774963171045</v>
      </c>
      <c r="T419" s="15">
        <f t="shared" si="703"/>
        <v>5.5295499263420906E-6</v>
      </c>
      <c r="U419" s="16">
        <f t="shared" si="704"/>
        <v>27.558912076467017</v>
      </c>
      <c r="V419" s="17">
        <f t="shared" si="705"/>
        <v>1.3838768912077653E-2</v>
      </c>
      <c r="W419" s="18">
        <f t="shared" si="706"/>
        <v>0.43058959790546147</v>
      </c>
      <c r="X419" s="19">
        <f t="shared" si="707"/>
        <v>1012.6758219501468</v>
      </c>
      <c r="Y419" s="15">
        <f t="shared" si="708"/>
        <v>5.5253516439002941E-6</v>
      </c>
      <c r="Z419" s="16">
        <f t="shared" si="709"/>
        <v>27.534771952426688</v>
      </c>
      <c r="AA419" s="17">
        <f t="shared" si="710"/>
        <v>1.3828261897706938E-2</v>
      </c>
      <c r="AB419" s="18">
        <f t="shared" si="711"/>
        <v>0.43096710189648313</v>
      </c>
      <c r="AC419" s="19">
        <f t="shared" si="712"/>
        <v>1009.9776290002235</v>
      </c>
      <c r="AD419" s="15">
        <f t="shared" si="643"/>
        <v>5.519955258000447E-6</v>
      </c>
      <c r="AE419" s="16">
        <f t="shared" si="644"/>
        <v>27.50374273350257</v>
      </c>
      <c r="AF419" s="17">
        <f t="shared" si="645"/>
        <v>1.3814756397544507E-2</v>
      </c>
      <c r="AG419" s="18">
        <f t="shared" si="713"/>
        <v>0.4314533110892978</v>
      </c>
      <c r="AH419" s="19">
        <f t="shared" si="714"/>
        <v>1006.6800875976265</v>
      </c>
      <c r="AI419" s="15">
        <f t="shared" si="646"/>
        <v>5.5133601751952535E-6</v>
      </c>
      <c r="AJ419" s="16">
        <f t="shared" si="647"/>
        <v>27.465821007372703</v>
      </c>
      <c r="AK419" s="17">
        <f t="shared" si="648"/>
        <v>1.3798250926373644E-2</v>
      </c>
      <c r="AL419" s="18">
        <f t="shared" si="715"/>
        <v>0.43204901344593083</v>
      </c>
      <c r="AM419" s="19">
        <f t="shared" si="716"/>
        <v>1002.7831056580641</v>
      </c>
      <c r="AN419" s="15">
        <f t="shared" si="649"/>
        <v>5.5055662113161294E-6</v>
      </c>
      <c r="AO419" s="16">
        <f t="shared" si="650"/>
        <v>27.421005715067736</v>
      </c>
      <c r="AP419" s="17">
        <f t="shared" si="651"/>
        <v>1.377874502327682E-2</v>
      </c>
      <c r="AQ419" s="18">
        <f t="shared" si="717"/>
        <v>0.43275512915258463</v>
      </c>
      <c r="AR419" s="19">
        <f t="shared" si="718"/>
        <v>998.28663515238361</v>
      </c>
      <c r="AS419" s="15">
        <f t="shared" si="652"/>
        <v>5.4965732703047682E-6</v>
      </c>
      <c r="AT419" s="16">
        <f t="shared" si="653"/>
        <v>27.369296304252408</v>
      </c>
      <c r="AU419" s="17">
        <f t="shared" si="654"/>
        <v>1.3756238447849531E-2</v>
      </c>
      <c r="AV419" s="18">
        <f t="shared" si="719"/>
        <v>0.43357274289416675</v>
      </c>
      <c r="AW419" s="19">
        <f t="shared" si="720"/>
        <v>993.1904927898903</v>
      </c>
      <c r="AX419" s="15">
        <f t="shared" si="655"/>
        <v>5.486380985579781E-6</v>
      </c>
      <c r="AY419" s="16">
        <f t="shared" si="656"/>
        <v>27.310690667083737</v>
      </c>
      <c r="AZ419" s="17">
        <f t="shared" si="657"/>
        <v>1.3730730282650903E-2</v>
      </c>
      <c r="BA419" s="18">
        <f t="shared" si="721"/>
        <v>0.43450314070673129</v>
      </c>
      <c r="BB419" s="19">
        <f t="shared" si="722"/>
        <v>987.49363677579493</v>
      </c>
      <c r="BC419" s="15">
        <f t="shared" si="658"/>
        <v>5.4749872735515904E-6</v>
      </c>
      <c r="BD419" s="16">
        <f t="shared" si="659"/>
        <v>27.245176822921643</v>
      </c>
      <c r="BE419" s="17">
        <f t="shared" si="660"/>
        <v>1.3702215313094748E-2</v>
      </c>
      <c r="BF419" s="18">
        <f t="shared" si="723"/>
        <v>0.4355479484256613</v>
      </c>
      <c r="BG419" s="19">
        <f t="shared" si="724"/>
        <v>981.1905824679103</v>
      </c>
      <c r="BH419" s="15">
        <f t="shared" si="661"/>
        <v>5.4623811649358218E-6</v>
      </c>
      <c r="BI419" s="16">
        <f t="shared" si="662"/>
        <v>27.172691698380966</v>
      </c>
      <c r="BJ419" s="17">
        <f t="shared" si="663"/>
        <v>1.3670666086423857E-2</v>
      </c>
      <c r="BK419" s="18">
        <f t="shared" si="725"/>
        <v>0.43670980414593769</v>
      </c>
      <c r="BL419" s="19">
        <f t="shared" si="726"/>
        <v>974.25512061953964</v>
      </c>
      <c r="BM419" s="15">
        <f t="shared" si="664"/>
        <v>5.4485102412390799E-6</v>
      </c>
      <c r="BN419" s="16">
        <f t="shared" si="665"/>
        <v>27.092933887124705</v>
      </c>
      <c r="BO419" s="17">
        <f t="shared" si="666"/>
        <v>1.363595141521313E-2</v>
      </c>
      <c r="BP419" s="18">
        <f t="shared" si="727"/>
        <v>0.43799541678124487</v>
      </c>
      <c r="BQ419" s="19">
        <f t="shared" si="728"/>
        <v>966.5747123161218</v>
      </c>
      <c r="BR419" s="15">
        <f t="shared" si="667"/>
        <v>5.4331494246322443E-6</v>
      </c>
      <c r="BS419" s="16">
        <f t="shared" si="668"/>
        <v>27.004609191635399</v>
      </c>
      <c r="BT419" s="17">
        <f t="shared" si="669"/>
        <v>1.3597507998632309E-2</v>
      </c>
      <c r="BU419" s="18">
        <f t="shared" si="729"/>
        <v>0.43942798007214035</v>
      </c>
      <c r="BV419" s="19">
        <f t="shared" si="730"/>
        <v>957.72078540865346</v>
      </c>
      <c r="BW419" s="15">
        <f t="shared" si="670"/>
        <v>5.4154415708173077E-6</v>
      </c>
      <c r="BX419" s="16">
        <f t="shared" si="671"/>
        <v>26.902789032199514</v>
      </c>
      <c r="BY419" s="17">
        <f t="shared" si="672"/>
        <v>1.3553190667178923E-2</v>
      </c>
      <c r="BZ419" s="18">
        <f t="shared" si="731"/>
        <v>0.44109110232084037</v>
      </c>
      <c r="CA419" s="19">
        <f t="shared" si="732"/>
        <v>946.26996989156157</v>
      </c>
      <c r="CB419" s="15">
        <f t="shared" si="673"/>
        <v>5.3925399397831241E-6</v>
      </c>
      <c r="CC419" s="16">
        <f t="shared" si="674"/>
        <v>26.771104653752957</v>
      </c>
      <c r="CD419" s="17">
        <f t="shared" si="675"/>
        <v>1.3495874903000374E-2</v>
      </c>
      <c r="CE419" s="18">
        <f t="shared" si="733"/>
        <v>0.44326078520836681</v>
      </c>
      <c r="CF419" s="19">
        <f t="shared" si="734"/>
        <v>928.19127846574247</v>
      </c>
      <c r="CG419" s="15">
        <f t="shared" si="676"/>
        <v>5.3563825569314854E-6</v>
      </c>
      <c r="CH419" s="16">
        <f t="shared" si="677"/>
        <v>26.563199702356037</v>
      </c>
      <c r="CI419" s="17">
        <f t="shared" si="678"/>
        <v>1.3405384054302973E-2</v>
      </c>
      <c r="CJ419" s="18">
        <f t="shared" si="735"/>
        <v>0.44673010039017946</v>
      </c>
      <c r="CK419" s="19">
        <f t="shared" si="736"/>
        <v>894.05623714263004</v>
      </c>
      <c r="CL419" s="15">
        <f t="shared" si="679"/>
        <v>5.2881124742852599E-6</v>
      </c>
      <c r="CM419" s="16">
        <f t="shared" si="680"/>
        <v>26.170646727140245</v>
      </c>
      <c r="CN419" s="17">
        <f t="shared" si="681"/>
        <v>1.3234524959090038E-2</v>
      </c>
      <c r="CO419" s="18">
        <f t="shared" si="737"/>
        <v>0.45343093708921117</v>
      </c>
      <c r="CP419" s="19">
        <f t="shared" si="738"/>
        <v>826.53469594924411</v>
      </c>
      <c r="CQ419" s="15">
        <f t="shared" si="682"/>
        <v>5.1530693918984888E-6</v>
      </c>
      <c r="CR419" s="16">
        <f t="shared" si="683"/>
        <v>25.394149003416306</v>
      </c>
      <c r="CS419" s="17">
        <f t="shared" si="684"/>
        <v>1.2896553508389808E-2</v>
      </c>
      <c r="CT419" s="18">
        <f t="shared" si="739"/>
        <v>0.46729586678102397</v>
      </c>
      <c r="CU419" s="19">
        <f t="shared" si="740"/>
        <v>702.85377348712723</v>
      </c>
      <c r="CV419" s="15">
        <f t="shared" si="685"/>
        <v>4.9057075469742551E-6</v>
      </c>
      <c r="CW419" s="16">
        <f t="shared" si="686"/>
        <v>23.971818395101963</v>
      </c>
      <c r="CX419" s="17">
        <f t="shared" si="687"/>
        <v>1.2277482615609903E-2</v>
      </c>
      <c r="CY419" s="18">
        <f t="shared" si="741"/>
        <v>0.49502214117150728</v>
      </c>
      <c r="CZ419" s="20">
        <f t="shared" si="691"/>
        <v>507.17540938058568</v>
      </c>
      <c r="DA419" s="15">
        <f t="shared" si="688"/>
        <v>7.1071039585322597E-6</v>
      </c>
      <c r="DB419" s="16">
        <f t="shared" si="689"/>
        <v>38.786913127963011</v>
      </c>
      <c r="DC419" s="17">
        <f t="shared" si="690"/>
        <v>1.7786903206659918E-2</v>
      </c>
      <c r="DD419" s="18">
        <f t="shared" si="742"/>
        <v>0.30594290477740582</v>
      </c>
    </row>
    <row r="420" spans="2:108" x14ac:dyDescent="0.25">
      <c r="B420">
        <v>153</v>
      </c>
      <c r="C420">
        <f t="shared" si="743"/>
        <v>0.14957504395082347</v>
      </c>
      <c r="D420" s="19">
        <f t="shared" si="640"/>
        <v>1017.4905345722418</v>
      </c>
      <c r="E420" s="15">
        <f t="shared" si="692"/>
        <v>5.5349810691444845E-6</v>
      </c>
      <c r="F420" s="16">
        <f t="shared" si="641"/>
        <v>27.590141147580781</v>
      </c>
      <c r="G420" s="17">
        <f t="shared" si="638"/>
        <v>1.3852361398115758E-2</v>
      </c>
      <c r="H420" s="18">
        <f t="shared" si="693"/>
        <v>0.43010221681154431</v>
      </c>
      <c r="I420" s="19">
        <f t="shared" si="694"/>
        <v>1017.1659133043911</v>
      </c>
      <c r="J420" s="15">
        <f t="shared" si="695"/>
        <v>5.5343318266087826E-6</v>
      </c>
      <c r="K420" s="16">
        <f t="shared" si="642"/>
        <v>27.586408003000496</v>
      </c>
      <c r="L420" s="17">
        <f t="shared" si="696"/>
        <v>1.3850736543011971E-2</v>
      </c>
      <c r="M420" s="18">
        <f t="shared" si="697"/>
        <v>0.43016042061101989</v>
      </c>
      <c r="N420" s="19">
        <f t="shared" si="698"/>
        <v>1016.2599266875261</v>
      </c>
      <c r="O420" s="15">
        <f t="shared" si="699"/>
        <v>5.5325198533750525E-6</v>
      </c>
      <c r="P420" s="16">
        <f t="shared" si="700"/>
        <v>27.575989156906552</v>
      </c>
      <c r="Q420" s="17">
        <f t="shared" si="639"/>
        <v>1.3852361398115758E-2</v>
      </c>
      <c r="R420" s="18">
        <f t="shared" si="701"/>
        <v>0.4303229451606399</v>
      </c>
      <c r="S420" s="19">
        <f t="shared" si="702"/>
        <v>1014.758372098717</v>
      </c>
      <c r="T420" s="15">
        <f t="shared" si="703"/>
        <v>5.5295167441974348E-6</v>
      </c>
      <c r="U420" s="16">
        <f t="shared" si="704"/>
        <v>27.558721279135245</v>
      </c>
      <c r="V420" s="17">
        <f t="shared" si="705"/>
        <v>1.3838685867338383E-2</v>
      </c>
      <c r="W420" s="18">
        <f t="shared" si="706"/>
        <v>0.43059257900699865</v>
      </c>
      <c r="X420" s="19">
        <f t="shared" si="707"/>
        <v>1012.6592332613767</v>
      </c>
      <c r="Y420" s="15">
        <f t="shared" si="708"/>
        <v>5.5253184665227533E-6</v>
      </c>
      <c r="Z420" s="16">
        <f t="shared" si="709"/>
        <v>27.534581182505832</v>
      </c>
      <c r="AA420" s="17">
        <f t="shared" si="710"/>
        <v>1.3828178864898297E-2</v>
      </c>
      <c r="AB420" s="18">
        <f t="shared" si="711"/>
        <v>0.43097008779844315</v>
      </c>
      <c r="AC420" s="19">
        <f t="shared" si="712"/>
        <v>1009.9610500939123</v>
      </c>
      <c r="AD420" s="15">
        <f t="shared" si="643"/>
        <v>5.5199221001878257E-6</v>
      </c>
      <c r="AE420" s="16">
        <f t="shared" si="644"/>
        <v>27.503552076079991</v>
      </c>
      <c r="AF420" s="17">
        <f t="shared" si="645"/>
        <v>1.3814673413700867E-2</v>
      </c>
      <c r="AG420" s="18">
        <f t="shared" si="713"/>
        <v>0.4314563019675679</v>
      </c>
      <c r="AH420" s="19">
        <f t="shared" si="714"/>
        <v>1006.6635240231825</v>
      </c>
      <c r="AI420" s="15">
        <f t="shared" si="646"/>
        <v>5.513327048046365E-6</v>
      </c>
      <c r="AJ420" s="16">
        <f t="shared" si="647"/>
        <v>27.465630526266597</v>
      </c>
      <c r="AK420" s="17">
        <f t="shared" si="648"/>
        <v>1.3798168019271929E-2</v>
      </c>
      <c r="AL420" s="18">
        <f t="shared" si="715"/>
        <v>0.43205200981529851</v>
      </c>
      <c r="AM420" s="19">
        <f t="shared" si="716"/>
        <v>1002.7665613664531</v>
      </c>
      <c r="AN420" s="15">
        <f t="shared" si="649"/>
        <v>5.5055331227329068E-6</v>
      </c>
      <c r="AO420" s="16">
        <f t="shared" si="650"/>
        <v>27.420815455714209</v>
      </c>
      <c r="AP420" s="17">
        <f t="shared" si="651"/>
        <v>1.3778662212693148E-2</v>
      </c>
      <c r="AQ420" s="18">
        <f t="shared" si="717"/>
        <v>0.4327581318244505</v>
      </c>
      <c r="AR420" s="19">
        <f t="shared" si="718"/>
        <v>998.27011164065209</v>
      </c>
      <c r="AS420" s="15">
        <f t="shared" si="652"/>
        <v>5.4965402232813044E-6</v>
      </c>
      <c r="AT420" s="16">
        <f t="shared" si="653"/>
        <v>27.369106283867499</v>
      </c>
      <c r="AU420" s="17">
        <f t="shared" si="654"/>
        <v>1.37561557412772E-2</v>
      </c>
      <c r="AV420" s="18">
        <f t="shared" si="719"/>
        <v>0.43357575313712599</v>
      </c>
      <c r="AW420" s="19">
        <f t="shared" si="720"/>
        <v>993.17398093675502</v>
      </c>
      <c r="AX420" s="15">
        <f t="shared" si="655"/>
        <v>5.4863479618735105E-6</v>
      </c>
      <c r="AY420" s="16">
        <f t="shared" si="656"/>
        <v>27.310500780772681</v>
      </c>
      <c r="AZ420" s="17">
        <f t="shared" si="657"/>
        <v>1.3730647634434361E-2</v>
      </c>
      <c r="BA420" s="18">
        <f t="shared" si="721"/>
        <v>0.43450616174977968</v>
      </c>
      <c r="BB420" s="19">
        <f t="shared" si="722"/>
        <v>987.47707495361249</v>
      </c>
      <c r="BC420" s="15">
        <f t="shared" si="658"/>
        <v>5.4749541499072253E-6</v>
      </c>
      <c r="BD420" s="16">
        <f t="shared" si="659"/>
        <v>27.244986361966543</v>
      </c>
      <c r="BE420" s="17">
        <f t="shared" si="660"/>
        <v>1.3702132414763781E-2</v>
      </c>
      <c r="BF420" s="18">
        <f t="shared" si="723"/>
        <v>0.4355509932015752</v>
      </c>
      <c r="BG420" s="19">
        <f t="shared" si="724"/>
        <v>981.17367186780734</v>
      </c>
      <c r="BH420" s="15">
        <f t="shared" si="661"/>
        <v>5.4623473437356148E-6</v>
      </c>
      <c r="BI420" s="16">
        <f t="shared" si="662"/>
        <v>27.172497226479784</v>
      </c>
      <c r="BJ420" s="17">
        <f t="shared" si="663"/>
        <v>1.3670581442324387E-2</v>
      </c>
      <c r="BK420" s="18">
        <f t="shared" si="725"/>
        <v>0.43671292965130326</v>
      </c>
      <c r="BL420" s="19">
        <f t="shared" si="726"/>
        <v>974.23661145821984</v>
      </c>
      <c r="BM420" s="15">
        <f t="shared" si="664"/>
        <v>5.4484732229164406E-6</v>
      </c>
      <c r="BN420" s="16">
        <f t="shared" si="665"/>
        <v>27.092721031769528</v>
      </c>
      <c r="BO420" s="17">
        <f t="shared" si="666"/>
        <v>1.3635858769695981E-2</v>
      </c>
      <c r="BP420" s="18">
        <f t="shared" si="727"/>
        <v>0.43799885791474696</v>
      </c>
      <c r="BQ420" s="19">
        <f t="shared" si="728"/>
        <v>966.55003884910468</v>
      </c>
      <c r="BR420" s="15">
        <f t="shared" si="667"/>
        <v>5.4331000776982091E-6</v>
      </c>
      <c r="BS420" s="16">
        <f t="shared" si="668"/>
        <v>27.004325446764703</v>
      </c>
      <c r="BT420" s="17">
        <f t="shared" si="669"/>
        <v>1.3597384498378993E-2</v>
      </c>
      <c r="BU420" s="18">
        <f t="shared" si="729"/>
        <v>0.439432597311539</v>
      </c>
      <c r="BV420" s="19">
        <f t="shared" si="730"/>
        <v>957.67561410894723</v>
      </c>
      <c r="BW420" s="15">
        <f t="shared" si="670"/>
        <v>5.4153512282178945E-6</v>
      </c>
      <c r="BX420" s="16">
        <f t="shared" si="671"/>
        <v>26.90226956225289</v>
      </c>
      <c r="BY420" s="17">
        <f t="shared" si="672"/>
        <v>1.3552964567338456E-2</v>
      </c>
      <c r="BZ420" s="18">
        <f t="shared" si="731"/>
        <v>0.44109961957886756</v>
      </c>
      <c r="CA420" s="19">
        <f t="shared" si="732"/>
        <v>946.1668021121709</v>
      </c>
      <c r="CB420" s="15">
        <f t="shared" si="673"/>
        <v>5.3923336042243421E-6</v>
      </c>
      <c r="CC420" s="16">
        <f t="shared" si="674"/>
        <v>26.769918224289967</v>
      </c>
      <c r="CD420" s="17">
        <f t="shared" si="675"/>
        <v>1.3495358508329133E-2</v>
      </c>
      <c r="CE420" s="18">
        <f t="shared" si="733"/>
        <v>0.44328043030593317</v>
      </c>
      <c r="CF420" s="19">
        <f t="shared" si="734"/>
        <v>927.95257217246501</v>
      </c>
      <c r="CG420" s="15">
        <f t="shared" si="676"/>
        <v>5.3559051443449303E-6</v>
      </c>
      <c r="CH420" s="16">
        <f t="shared" si="677"/>
        <v>26.560454579983347</v>
      </c>
      <c r="CI420" s="17">
        <f t="shared" si="678"/>
        <v>1.3404189236903896E-2</v>
      </c>
      <c r="CJ420" s="18">
        <f t="shared" si="735"/>
        <v>0.44677627161776307</v>
      </c>
      <c r="CK420" s="19">
        <f t="shared" si="736"/>
        <v>893.56864100190433</v>
      </c>
      <c r="CL420" s="15">
        <f t="shared" si="679"/>
        <v>5.2871372820038092E-6</v>
      </c>
      <c r="CM420" s="16">
        <f t="shared" si="680"/>
        <v>26.1650393715219</v>
      </c>
      <c r="CN420" s="17">
        <f t="shared" si="681"/>
        <v>1.3232084351661294E-2</v>
      </c>
      <c r="CO420" s="18">
        <f t="shared" si="737"/>
        <v>0.45352811059147563</v>
      </c>
      <c r="CP420" s="19">
        <f t="shared" si="738"/>
        <v>825.72131230339983</v>
      </c>
      <c r="CQ420" s="15">
        <f t="shared" si="682"/>
        <v>5.1514426246068E-6</v>
      </c>
      <c r="CR420" s="16">
        <f t="shared" si="683"/>
        <v>25.384795091489096</v>
      </c>
      <c r="CS420" s="17">
        <f t="shared" si="684"/>
        <v>1.2892482208388309E-2</v>
      </c>
      <c r="CT420" s="18">
        <f t="shared" si="739"/>
        <v>0.46746805821948406</v>
      </c>
      <c r="CU420" s="19">
        <f t="shared" si="740"/>
        <v>701.81719685904091</v>
      </c>
      <c r="CV420" s="15">
        <f t="shared" si="685"/>
        <v>4.903634393718082E-6</v>
      </c>
      <c r="CW420" s="16">
        <f t="shared" si="686"/>
        <v>23.959897763878971</v>
      </c>
      <c r="CX420" s="17">
        <f t="shared" si="687"/>
        <v>1.2272294148336135E-2</v>
      </c>
      <c r="CY420" s="18">
        <f t="shared" si="741"/>
        <v>0.49526842671288457</v>
      </c>
      <c r="CZ420" s="20">
        <f t="shared" si="691"/>
        <v>506.26338805120446</v>
      </c>
      <c r="DA420" s="15">
        <f t="shared" si="688"/>
        <v>7.1208480686546675E-6</v>
      </c>
      <c r="DB420" s="16">
        <f t="shared" si="689"/>
        <v>38.813361746515071</v>
      </c>
      <c r="DC420" s="17">
        <f t="shared" si="690"/>
        <v>1.7821300502356637E-2</v>
      </c>
      <c r="DD420" s="18">
        <f t="shared" si="742"/>
        <v>0.30573442587161009</v>
      </c>
    </row>
    <row r="421" spans="2:108" x14ac:dyDescent="0.25">
      <c r="B421">
        <v>154</v>
      </c>
      <c r="C421">
        <f t="shared" si="743"/>
        <v>0.15055265861716871</v>
      </c>
      <c r="D421" s="19">
        <f t="shared" si="640"/>
        <v>1017.4739610501832</v>
      </c>
      <c r="E421" s="15">
        <f t="shared" si="692"/>
        <v>5.5349479221003668E-6</v>
      </c>
      <c r="F421" s="16">
        <f t="shared" si="641"/>
        <v>27.589950552077106</v>
      </c>
      <c r="G421" s="17">
        <f t="shared" si="638"/>
        <v>1.3852278441222381E-2</v>
      </c>
      <c r="H421" s="18">
        <f t="shared" si="693"/>
        <v>0.43010518802196712</v>
      </c>
      <c r="I421" s="19">
        <f t="shared" si="694"/>
        <v>1017.1493367081649</v>
      </c>
      <c r="J421" s="15">
        <f t="shared" si="695"/>
        <v>5.5342986734163305E-6</v>
      </c>
      <c r="K421" s="16">
        <f t="shared" si="642"/>
        <v>27.586217372143896</v>
      </c>
      <c r="L421" s="17">
        <f t="shared" si="696"/>
        <v>1.3850653570731196E-2</v>
      </c>
      <c r="M421" s="18">
        <f t="shared" si="697"/>
        <v>0.43016339317693386</v>
      </c>
      <c r="N421" s="19">
        <f t="shared" si="698"/>
        <v>1016.2433411770696</v>
      </c>
      <c r="O421" s="15">
        <f t="shared" si="699"/>
        <v>5.53248668235414E-6</v>
      </c>
      <c r="P421" s="16">
        <f t="shared" si="700"/>
        <v>27.575798423536298</v>
      </c>
      <c r="Q421" s="17">
        <f t="shared" si="639"/>
        <v>1.3852278441222381E-2</v>
      </c>
      <c r="R421" s="18">
        <f t="shared" si="701"/>
        <v>0.43032592157294053</v>
      </c>
      <c r="S421" s="19">
        <f t="shared" si="702"/>
        <v>1014.7417812273276</v>
      </c>
      <c r="T421" s="15">
        <f t="shared" si="703"/>
        <v>5.5294835624546556E-6</v>
      </c>
      <c r="U421" s="16">
        <f t="shared" si="704"/>
        <v>27.558530484114264</v>
      </c>
      <c r="V421" s="17">
        <f t="shared" si="705"/>
        <v>1.3838602823604891E-2</v>
      </c>
      <c r="W421" s="18">
        <f t="shared" si="706"/>
        <v>0.43059556011370875</v>
      </c>
      <c r="X421" s="19">
        <f t="shared" si="707"/>
        <v>1012.6426447955882</v>
      </c>
      <c r="Y421" s="15">
        <f t="shared" si="708"/>
        <v>5.5252852895911771E-6</v>
      </c>
      <c r="Z421" s="16">
        <f t="shared" si="709"/>
        <v>27.534390415149264</v>
      </c>
      <c r="AA421" s="17">
        <f t="shared" si="710"/>
        <v>1.3828095833205772E-2</v>
      </c>
      <c r="AB421" s="18">
        <f t="shared" si="711"/>
        <v>0.43097307370164162</v>
      </c>
      <c r="AC421" s="19">
        <f t="shared" si="712"/>
        <v>1009.9444713986156</v>
      </c>
      <c r="AD421" s="15">
        <f t="shared" si="643"/>
        <v>5.5198889427972318E-6</v>
      </c>
      <c r="AE421" s="16">
        <f t="shared" si="644"/>
        <v>27.50336142108408</v>
      </c>
      <c r="AF421" s="17">
        <f t="shared" si="645"/>
        <v>1.381459043091343E-2</v>
      </c>
      <c r="AG421" s="18">
        <f t="shared" si="713"/>
        <v>0.43145929284923612</v>
      </c>
      <c r="AH421" s="19">
        <f t="shared" si="714"/>
        <v>1006.6469606426634</v>
      </c>
      <c r="AI421" s="15">
        <f t="shared" si="646"/>
        <v>5.5132939212853269E-6</v>
      </c>
      <c r="AJ421" s="16">
        <f t="shared" si="647"/>
        <v>27.465440047390629</v>
      </c>
      <c r="AK421" s="17">
        <f t="shared" si="648"/>
        <v>1.3798085113140884E-2</v>
      </c>
      <c r="AL421" s="18">
        <f t="shared" si="715"/>
        <v>0.43205500619114567</v>
      </c>
      <c r="AM421" s="19">
        <f t="shared" si="716"/>
        <v>1002.7500172343895</v>
      </c>
      <c r="AN421" s="15">
        <f t="shared" si="649"/>
        <v>5.5055000344687802E-6</v>
      </c>
      <c r="AO421" s="16">
        <f t="shared" si="650"/>
        <v>27.420625198195481</v>
      </c>
      <c r="AP421" s="17">
        <f t="shared" si="651"/>
        <v>1.3778579402908074E-2</v>
      </c>
      <c r="AQ421" s="18">
        <f t="shared" si="717"/>
        <v>0.43276113450902731</v>
      </c>
      <c r="AR421" s="19">
        <f t="shared" si="718"/>
        <v>998.25358813048342</v>
      </c>
      <c r="AS421" s="15">
        <f t="shared" si="652"/>
        <v>5.496507176260967E-6</v>
      </c>
      <c r="AT421" s="16">
        <f t="shared" si="653"/>
        <v>27.368916263500559</v>
      </c>
      <c r="AU421" s="17">
        <f t="shared" si="654"/>
        <v>1.3756073034712693E-2</v>
      </c>
      <c r="AV421" s="18">
        <f t="shared" si="719"/>
        <v>0.43357876342160034</v>
      </c>
      <c r="AW421" s="19">
        <f t="shared" si="720"/>
        <v>993.15746830586215</v>
      </c>
      <c r="AX421" s="15">
        <f t="shared" si="655"/>
        <v>5.4863149366117249E-6</v>
      </c>
      <c r="AY421" s="16">
        <f t="shared" si="656"/>
        <v>27.310310885517413</v>
      </c>
      <c r="AZ421" s="17">
        <f t="shared" si="657"/>
        <v>1.373056498232484E-2</v>
      </c>
      <c r="BA421" s="18">
        <f t="shared" si="721"/>
        <v>0.43450918297714125</v>
      </c>
      <c r="BB421" s="19">
        <f t="shared" si="722"/>
        <v>987.46050885455884</v>
      </c>
      <c r="BC421" s="15">
        <f t="shared" si="658"/>
        <v>5.4749210177091184E-6</v>
      </c>
      <c r="BD421" s="16">
        <f t="shared" si="659"/>
        <v>27.244795851827426</v>
      </c>
      <c r="BE421" s="17">
        <f t="shared" si="660"/>
        <v>1.3702049495025419E-2</v>
      </c>
      <c r="BF421" s="18">
        <f t="shared" si="723"/>
        <v>0.43555403880634896</v>
      </c>
      <c r="BG421" s="19">
        <f t="shared" si="724"/>
        <v>981.15674303260528</v>
      </c>
      <c r="BH421" s="15">
        <f t="shared" si="661"/>
        <v>5.4623134860652107E-6</v>
      </c>
      <c r="BI421" s="16">
        <f t="shared" si="662"/>
        <v>27.17230254487496</v>
      </c>
      <c r="BJ421" s="17">
        <f t="shared" si="663"/>
        <v>1.3670496706951189E-2</v>
      </c>
      <c r="BK421" s="18">
        <f t="shared" si="725"/>
        <v>0.43671605857178586</v>
      </c>
      <c r="BL421" s="19">
        <f t="shared" si="726"/>
        <v>974.21803557387159</v>
      </c>
      <c r="BM421" s="15">
        <f t="shared" si="664"/>
        <v>5.4484360711477432E-6</v>
      </c>
      <c r="BN421" s="16">
        <f t="shared" si="665"/>
        <v>27.092507409099522</v>
      </c>
      <c r="BO421" s="17">
        <f t="shared" si="666"/>
        <v>1.3635765790204245E-2</v>
      </c>
      <c r="BP421" s="18">
        <f t="shared" si="727"/>
        <v>0.43800231150743496</v>
      </c>
      <c r="BQ421" s="19">
        <f t="shared" si="728"/>
        <v>966.52515611868671</v>
      </c>
      <c r="BR421" s="15">
        <f t="shared" si="667"/>
        <v>5.4330503122373741E-6</v>
      </c>
      <c r="BS421" s="16">
        <f t="shared" si="668"/>
        <v>27.004039295364898</v>
      </c>
      <c r="BT421" s="17">
        <f t="shared" si="669"/>
        <v>1.3597259950681355E-2</v>
      </c>
      <c r="BU421" s="18">
        <f t="shared" si="729"/>
        <v>0.43943725380946008</v>
      </c>
      <c r="BV421" s="19">
        <f t="shared" si="730"/>
        <v>957.6298952260172</v>
      </c>
      <c r="BW421" s="15">
        <f t="shared" si="670"/>
        <v>5.4152597904520341E-6</v>
      </c>
      <c r="BX421" s="16">
        <f t="shared" si="671"/>
        <v>26.901743795099197</v>
      </c>
      <c r="BY421" s="17">
        <f t="shared" si="672"/>
        <v>1.355273572663199E-2</v>
      </c>
      <c r="BZ421" s="18">
        <f t="shared" si="731"/>
        <v>0.44110824042119096</v>
      </c>
      <c r="CA421" s="19">
        <f t="shared" si="732"/>
        <v>946.06249773710852</v>
      </c>
      <c r="CB421" s="15">
        <f t="shared" si="673"/>
        <v>5.3921249954742179E-6</v>
      </c>
      <c r="CC421" s="16">
        <f t="shared" si="674"/>
        <v>26.768718723976747</v>
      </c>
      <c r="CD421" s="17">
        <f t="shared" si="675"/>
        <v>1.3494836424556589E-2</v>
      </c>
      <c r="CE421" s="18">
        <f t="shared" si="733"/>
        <v>0.44330029360310769</v>
      </c>
      <c r="CF421" s="19">
        <f t="shared" si="734"/>
        <v>927.71218333743263</v>
      </c>
      <c r="CG421" s="15">
        <f t="shared" si="676"/>
        <v>5.355424366674866E-6</v>
      </c>
      <c r="CH421" s="16">
        <f t="shared" si="677"/>
        <v>26.557690108380477</v>
      </c>
      <c r="CI421" s="17">
        <f t="shared" si="678"/>
        <v>1.340298599773204E-2</v>
      </c>
      <c r="CJ421" s="18">
        <f t="shared" si="735"/>
        <v>0.44682277793328534</v>
      </c>
      <c r="CK421" s="19">
        <f t="shared" si="736"/>
        <v>893.07983143150204</v>
      </c>
      <c r="CL421" s="15">
        <f t="shared" si="679"/>
        <v>5.2861596628630045E-6</v>
      </c>
      <c r="CM421" s="16">
        <f t="shared" si="680"/>
        <v>26.159418061462272</v>
      </c>
      <c r="CN421" s="17">
        <f t="shared" si="681"/>
        <v>1.3229637670547309E-2</v>
      </c>
      <c r="CO421" s="18">
        <f t="shared" si="737"/>
        <v>0.45362556773384793</v>
      </c>
      <c r="CP421" s="19">
        <f t="shared" si="738"/>
        <v>824.90923459997668</v>
      </c>
      <c r="CQ421" s="15">
        <f t="shared" si="682"/>
        <v>5.1498184691999542E-6</v>
      </c>
      <c r="CR421" s="16">
        <f t="shared" si="683"/>
        <v>25.37545619789973</v>
      </c>
      <c r="CS421" s="17">
        <f t="shared" si="684"/>
        <v>1.2888417445134149E-2</v>
      </c>
      <c r="CT421" s="18">
        <f t="shared" si="739"/>
        <v>0.46764009983395172</v>
      </c>
      <c r="CU421" s="19">
        <f t="shared" si="740"/>
        <v>700.78539551473762</v>
      </c>
      <c r="CV421" s="15">
        <f t="shared" si="685"/>
        <v>4.9015707910294753E-6</v>
      </c>
      <c r="CW421" s="16">
        <f t="shared" si="686"/>
        <v>23.948032048419481</v>
      </c>
      <c r="CX421" s="17">
        <f t="shared" si="687"/>
        <v>1.2267129583206172E-2</v>
      </c>
      <c r="CY421" s="18">
        <f t="shared" si="741"/>
        <v>0.49551382116598874</v>
      </c>
      <c r="CZ421" s="20">
        <f t="shared" si="691"/>
        <v>505.35667457446345</v>
      </c>
      <c r="DA421" s="15">
        <f t="shared" si="688"/>
        <v>7.1345033127858723E-6</v>
      </c>
      <c r="DB421" s="16">
        <f t="shared" si="689"/>
        <v>38.839656437340558</v>
      </c>
      <c r="DC421" s="17">
        <f t="shared" si="690"/>
        <v>1.7855475393710723E-2</v>
      </c>
      <c r="DD421" s="18">
        <f t="shared" si="742"/>
        <v>0.30552744174918428</v>
      </c>
    </row>
    <row r="422" spans="2:108" x14ac:dyDescent="0.25">
      <c r="B422">
        <v>155</v>
      </c>
      <c r="C422">
        <f t="shared" si="743"/>
        <v>0.15153027328351398</v>
      </c>
      <c r="D422" s="19">
        <f t="shared" si="640"/>
        <v>1017.4573873711731</v>
      </c>
      <c r="E422" s="15">
        <f t="shared" si="692"/>
        <v>5.534914774742347E-6</v>
      </c>
      <c r="F422" s="16">
        <f t="shared" si="641"/>
        <v>27.589759954768489</v>
      </c>
      <c r="G422" s="17">
        <f t="shared" si="638"/>
        <v>1.3852195483543403E-2</v>
      </c>
      <c r="H422" s="18">
        <f t="shared" si="693"/>
        <v>0.43010815930157931</v>
      </c>
      <c r="I422" s="19">
        <f t="shared" si="694"/>
        <v>1017.1327600472812</v>
      </c>
      <c r="J422" s="15">
        <f t="shared" si="695"/>
        <v>5.5342655200945627E-6</v>
      </c>
      <c r="K422" s="16">
        <f t="shared" si="642"/>
        <v>27.586026740543733</v>
      </c>
      <c r="L422" s="17">
        <f t="shared" si="696"/>
        <v>1.3850570598126784E-2</v>
      </c>
      <c r="M422" s="18">
        <f t="shared" si="697"/>
        <v>0.43016636579552603</v>
      </c>
      <c r="N422" s="19">
        <f t="shared" si="698"/>
        <v>1016.2267557657543</v>
      </c>
      <c r="O422" s="15">
        <f t="shared" si="699"/>
        <v>5.5324535115315094E-6</v>
      </c>
      <c r="P422" s="16">
        <f t="shared" si="700"/>
        <v>27.575607691306175</v>
      </c>
      <c r="Q422" s="17">
        <f t="shared" si="639"/>
        <v>1.3852195483543403E-2</v>
      </c>
      <c r="R422" s="18">
        <f t="shared" si="701"/>
        <v>0.43032889800862312</v>
      </c>
      <c r="S422" s="19">
        <f t="shared" si="702"/>
        <v>1014.7251905560571</v>
      </c>
      <c r="T422" s="15">
        <f t="shared" si="703"/>
        <v>5.5294503811121155E-6</v>
      </c>
      <c r="U422" s="16">
        <f t="shared" si="704"/>
        <v>27.558339691394657</v>
      </c>
      <c r="V422" s="17">
        <f t="shared" si="705"/>
        <v>1.3838519780873073E-2</v>
      </c>
      <c r="W422" s="18">
        <f t="shared" si="706"/>
        <v>0.43059854122573815</v>
      </c>
      <c r="X422" s="19">
        <f t="shared" si="707"/>
        <v>1012.6260565523254</v>
      </c>
      <c r="Y422" s="15">
        <f t="shared" si="708"/>
        <v>5.5252521131046514E-6</v>
      </c>
      <c r="Z422" s="16">
        <f t="shared" si="709"/>
        <v>27.534199650351741</v>
      </c>
      <c r="AA422" s="17">
        <f t="shared" si="710"/>
        <v>1.382801280262707E-2</v>
      </c>
      <c r="AB422" s="18">
        <f t="shared" si="711"/>
        <v>0.43097605960615987</v>
      </c>
      <c r="AC422" s="19">
        <f t="shared" si="712"/>
        <v>1009.9278929142199</v>
      </c>
      <c r="AD422" s="15">
        <f t="shared" si="643"/>
        <v>5.51985578582844E-6</v>
      </c>
      <c r="AE422" s="16">
        <f t="shared" si="644"/>
        <v>27.503170768513527</v>
      </c>
      <c r="AF422" s="17">
        <f t="shared" si="645"/>
        <v>1.3814507449181635E-2</v>
      </c>
      <c r="AG422" s="18">
        <f t="shared" si="713"/>
        <v>0.43146228373432216</v>
      </c>
      <c r="AH422" s="19">
        <f t="shared" si="714"/>
        <v>1006.630397455769</v>
      </c>
      <c r="AI422" s="15">
        <f t="shared" si="646"/>
        <v>5.513260794911538E-6</v>
      </c>
      <c r="AJ422" s="16">
        <f t="shared" si="647"/>
        <v>27.465249570741342</v>
      </c>
      <c r="AK422" s="17">
        <f t="shared" si="648"/>
        <v>1.3798002207979006E-2</v>
      </c>
      <c r="AL422" s="18">
        <f t="shared" si="715"/>
        <v>0.43205800257352606</v>
      </c>
      <c r="AM422" s="19">
        <f t="shared" si="716"/>
        <v>1002.7334732599763</v>
      </c>
      <c r="AN422" s="15">
        <f t="shared" si="649"/>
        <v>5.5054669465199531E-6</v>
      </c>
      <c r="AO422" s="16">
        <f t="shared" si="650"/>
        <v>27.420434942489727</v>
      </c>
      <c r="AP422" s="17">
        <f t="shared" si="651"/>
        <v>1.37784965939121E-2</v>
      </c>
      <c r="AQ422" s="18">
        <f t="shared" si="717"/>
        <v>0.43276413720665929</v>
      </c>
      <c r="AR422" s="19">
        <f t="shared" si="718"/>
        <v>998.23706461250947</v>
      </c>
      <c r="AS422" s="15">
        <f t="shared" si="652"/>
        <v>5.4964741292250197E-6</v>
      </c>
      <c r="AT422" s="16">
        <f t="shared" si="653"/>
        <v>27.368726243043859</v>
      </c>
      <c r="AU422" s="17">
        <f t="shared" si="654"/>
        <v>1.3755990328109117E-2</v>
      </c>
      <c r="AV422" s="18">
        <f t="shared" si="719"/>
        <v>0.43358177374929729</v>
      </c>
      <c r="AW422" s="19">
        <f t="shared" si="720"/>
        <v>993.14095485653934</v>
      </c>
      <c r="AX422" s="15">
        <f t="shared" si="655"/>
        <v>5.4862819097130796E-6</v>
      </c>
      <c r="AY422" s="16">
        <f t="shared" si="656"/>
        <v>27.310120980850201</v>
      </c>
      <c r="AZ422" s="17">
        <f t="shared" si="657"/>
        <v>1.3730482326118761E-2</v>
      </c>
      <c r="BA422" s="18">
        <f t="shared" si="721"/>
        <v>0.43451220439626465</v>
      </c>
      <c r="BB422" s="19">
        <f t="shared" si="722"/>
        <v>987.443938323098</v>
      </c>
      <c r="BC422" s="15">
        <f t="shared" si="658"/>
        <v>5.4748878766461967E-6</v>
      </c>
      <c r="BD422" s="16">
        <f t="shared" si="659"/>
        <v>27.244605290715626</v>
      </c>
      <c r="BE422" s="17">
        <f t="shared" si="660"/>
        <v>1.3701966553101142E-2</v>
      </c>
      <c r="BF422" s="18">
        <f t="shared" si="723"/>
        <v>0.43555708526861181</v>
      </c>
      <c r="BG422" s="19">
        <f t="shared" si="724"/>
        <v>981.13979545053621</v>
      </c>
      <c r="BH422" s="15">
        <f t="shared" si="661"/>
        <v>5.4622795909010729E-6</v>
      </c>
      <c r="BI422" s="16">
        <f t="shared" si="662"/>
        <v>27.172107647681166</v>
      </c>
      <c r="BJ422" s="17">
        <f t="shared" si="663"/>
        <v>1.3670411877742665E-2</v>
      </c>
      <c r="BK422" s="18">
        <f t="shared" si="725"/>
        <v>0.43671919100212225</v>
      </c>
      <c r="BL422" s="19">
        <f t="shared" si="726"/>
        <v>974.19939157290605</v>
      </c>
      <c r="BM422" s="15">
        <f t="shared" si="664"/>
        <v>5.4483987831458122E-6</v>
      </c>
      <c r="BN422" s="16">
        <f t="shared" si="665"/>
        <v>27.092293003088418</v>
      </c>
      <c r="BO422" s="17">
        <f t="shared" si="666"/>
        <v>1.3635672469762475E-2</v>
      </c>
      <c r="BP422" s="18">
        <f t="shared" si="727"/>
        <v>0.43800577781899647</v>
      </c>
      <c r="BQ422" s="19">
        <f t="shared" si="728"/>
        <v>966.50006120658043</v>
      </c>
      <c r="BR422" s="15">
        <f t="shared" si="667"/>
        <v>5.4330001224131612E-6</v>
      </c>
      <c r="BS422" s="16">
        <f t="shared" si="668"/>
        <v>27.003750703875674</v>
      </c>
      <c r="BT422" s="17">
        <f t="shared" si="669"/>
        <v>1.3597134340932231E-2</v>
      </c>
      <c r="BU422" s="18">
        <f t="shared" si="729"/>
        <v>0.43944195011453591</v>
      </c>
      <c r="BV422" s="19">
        <f t="shared" si="730"/>
        <v>957.58362491449122</v>
      </c>
      <c r="BW422" s="15">
        <f t="shared" si="670"/>
        <v>5.415167249828983E-6</v>
      </c>
      <c r="BX422" s="16">
        <f t="shared" si="671"/>
        <v>26.901211686516646</v>
      </c>
      <c r="BY422" s="17">
        <f t="shared" si="672"/>
        <v>1.3552504125811953E-2</v>
      </c>
      <c r="BZ422" s="18">
        <f t="shared" si="731"/>
        <v>0.44111696558507196</v>
      </c>
      <c r="CA422" s="19">
        <f t="shared" si="732"/>
        <v>945.95705689723013</v>
      </c>
      <c r="CB422" s="15">
        <f t="shared" si="673"/>
        <v>5.39191411379446E-6</v>
      </c>
      <c r="CC422" s="16">
        <f t="shared" si="674"/>
        <v>26.767506154318145</v>
      </c>
      <c r="CD422" s="17">
        <f t="shared" si="675"/>
        <v>1.3494308652337724E-2</v>
      </c>
      <c r="CE422" s="18">
        <f t="shared" si="733"/>
        <v>0.44332037513339945</v>
      </c>
      <c r="CF422" s="19">
        <f t="shared" si="734"/>
        <v>927.47012585869834</v>
      </c>
      <c r="CG422" s="15">
        <f t="shared" si="676"/>
        <v>5.3549402517173977E-6</v>
      </c>
      <c r="CH422" s="16">
        <f t="shared" si="677"/>
        <v>26.554906447375032</v>
      </c>
      <c r="CI422" s="17">
        <f t="shared" si="678"/>
        <v>1.3401774406352538E-2</v>
      </c>
      <c r="CJ422" s="18">
        <f t="shared" si="735"/>
        <v>0.44686961685345788</v>
      </c>
      <c r="CK422" s="19">
        <f t="shared" si="736"/>
        <v>892.58983761763341</v>
      </c>
      <c r="CL422" s="15">
        <f t="shared" si="679"/>
        <v>5.2851796752352675E-6</v>
      </c>
      <c r="CM422" s="16">
        <f t="shared" si="680"/>
        <v>26.153783132602783</v>
      </c>
      <c r="CN422" s="17">
        <f t="shared" si="681"/>
        <v>1.3227185061836365E-2</v>
      </c>
      <c r="CO422" s="18">
        <f t="shared" si="737"/>
        <v>0.45372330303241126</v>
      </c>
      <c r="CP422" s="19">
        <f t="shared" si="738"/>
        <v>824.09847754070393</v>
      </c>
      <c r="CQ422" s="15">
        <f t="shared" si="682"/>
        <v>5.1481969550814085E-6</v>
      </c>
      <c r="CR422" s="16">
        <f t="shared" si="683"/>
        <v>25.366132491718094</v>
      </c>
      <c r="CS422" s="17">
        <f t="shared" si="684"/>
        <v>1.2884359292215168E-2</v>
      </c>
      <c r="CT422" s="18">
        <f t="shared" si="739"/>
        <v>0.46781198803531732</v>
      </c>
      <c r="CU422" s="19">
        <f t="shared" si="740"/>
        <v>699.75832963983589</v>
      </c>
      <c r="CV422" s="15">
        <f t="shared" si="685"/>
        <v>4.8995166592796723E-6</v>
      </c>
      <c r="CW422" s="16">
        <f t="shared" si="686"/>
        <v>23.918527408350343</v>
      </c>
      <c r="CX422" s="17">
        <f t="shared" si="687"/>
        <v>1.2261988720933627E-2</v>
      </c>
      <c r="CY422" s="18">
        <f t="shared" si="741"/>
        <v>0.49612506100919423</v>
      </c>
      <c r="CZ422" s="20">
        <f t="shared" si="691"/>
        <v>504.450995775693</v>
      </c>
      <c r="DA422" s="15">
        <f t="shared" si="688"/>
        <v>7.1481342311670302E-6</v>
      </c>
      <c r="DB422" s="16">
        <f t="shared" si="689"/>
        <v>38.865921122504901</v>
      </c>
      <c r="DC422" s="17">
        <f t="shared" si="690"/>
        <v>1.7889589405167172E-2</v>
      </c>
      <c r="DD422" s="18">
        <f t="shared" si="742"/>
        <v>0.30532097341304693</v>
      </c>
    </row>
    <row r="423" spans="2:108" x14ac:dyDescent="0.25">
      <c r="B423">
        <v>156</v>
      </c>
      <c r="C423">
        <f t="shared" si="743"/>
        <v>0.15250788794985923</v>
      </c>
      <c r="D423" s="19">
        <f t="shared" si="640"/>
        <v>1017.4408135399236</v>
      </c>
      <c r="E423" s="15">
        <f t="shared" si="692"/>
        <v>5.5348816270798478E-6</v>
      </c>
      <c r="F423" s="16">
        <f t="shared" si="641"/>
        <v>27.58956935570912</v>
      </c>
      <c r="G423" s="17">
        <f t="shared" si="638"/>
        <v>1.3852112525102407E-2</v>
      </c>
      <c r="H423" s="18">
        <f t="shared" si="693"/>
        <v>0.4301111306495381</v>
      </c>
      <c r="I423" s="19">
        <f t="shared" si="694"/>
        <v>1017.1161833245069</v>
      </c>
      <c r="J423" s="15">
        <f t="shared" si="695"/>
        <v>5.5342323666490138E-6</v>
      </c>
      <c r="K423" s="16">
        <f t="shared" si="642"/>
        <v>27.585836108231828</v>
      </c>
      <c r="L423" s="17">
        <f t="shared" si="696"/>
        <v>1.3850487625212586E-2</v>
      </c>
      <c r="M423" s="18">
        <f t="shared" si="697"/>
        <v>0.43016933846630151</v>
      </c>
      <c r="N423" s="19">
        <f t="shared" si="698"/>
        <v>1016.2101704536274</v>
      </c>
      <c r="O423" s="15">
        <f t="shared" si="699"/>
        <v>5.5324203409072556E-6</v>
      </c>
      <c r="P423" s="16">
        <f t="shared" si="700"/>
        <v>27.575416960216714</v>
      </c>
      <c r="Q423" s="17">
        <f t="shared" si="639"/>
        <v>1.3852112525102407E-2</v>
      </c>
      <c r="R423" s="18">
        <f t="shared" si="701"/>
        <v>0.43033187446767945</v>
      </c>
      <c r="S423" s="19">
        <f t="shared" si="702"/>
        <v>1014.7086000841017</v>
      </c>
      <c r="T423" s="15">
        <f t="shared" si="703"/>
        <v>5.5294172001682043E-6</v>
      </c>
      <c r="U423" s="16">
        <f t="shared" si="704"/>
        <v>27.558148900967169</v>
      </c>
      <c r="V423" s="17">
        <f t="shared" si="705"/>
        <v>1.3838436739138902E-2</v>
      </c>
      <c r="W423" s="18">
        <f t="shared" si="706"/>
        <v>0.4306015223432309</v>
      </c>
      <c r="X423" s="19">
        <f t="shared" si="707"/>
        <v>1012.6094685311333</v>
      </c>
      <c r="Y423" s="15">
        <f t="shared" si="708"/>
        <v>5.5252189370622675E-6</v>
      </c>
      <c r="Z423" s="16">
        <f t="shared" si="709"/>
        <v>27.534008888108033</v>
      </c>
      <c r="AA423" s="17">
        <f t="shared" si="710"/>
        <v>1.3827929773159919E-2</v>
      </c>
      <c r="AB423" s="18">
        <f t="shared" si="711"/>
        <v>0.43097904551207894</v>
      </c>
      <c r="AC423" s="19">
        <f t="shared" si="712"/>
        <v>1009.9113146406042</v>
      </c>
      <c r="AD423" s="15">
        <f t="shared" si="643"/>
        <v>5.5198226292812089E-6</v>
      </c>
      <c r="AE423" s="16">
        <f t="shared" si="644"/>
        <v>27.502980118366949</v>
      </c>
      <c r="AF423" s="17">
        <f t="shared" si="645"/>
        <v>1.3814424468504878E-2</v>
      </c>
      <c r="AG423" s="18">
        <f t="shared" si="713"/>
        <v>0.43146527462284706</v>
      </c>
      <c r="AH423" s="19">
        <f t="shared" si="714"/>
        <v>1006.613834462177</v>
      </c>
      <c r="AI423" s="15">
        <f t="shared" si="646"/>
        <v>5.5132276689243543E-6</v>
      </c>
      <c r="AJ423" s="16">
        <f t="shared" si="647"/>
        <v>27.465059096315034</v>
      </c>
      <c r="AK423" s="17">
        <f t="shared" si="648"/>
        <v>1.379791930378468E-2</v>
      </c>
      <c r="AL423" s="18">
        <f t="shared" si="715"/>
        <v>0.43206099896249733</v>
      </c>
      <c r="AM423" s="19">
        <f t="shared" si="716"/>
        <v>1002.7169294412267</v>
      </c>
      <c r="AN423" s="15">
        <f t="shared" si="649"/>
        <v>5.5054338588824538E-6</v>
      </c>
      <c r="AO423" s="16">
        <f t="shared" si="650"/>
        <v>27.420244688574108</v>
      </c>
      <c r="AP423" s="17">
        <f t="shared" si="651"/>
        <v>1.3778413785695283E-2</v>
      </c>
      <c r="AQ423" s="18">
        <f t="shared" si="717"/>
        <v>0.43276713991770643</v>
      </c>
      <c r="AR423" s="19">
        <f t="shared" si="718"/>
        <v>998.22054107700069</v>
      </c>
      <c r="AS423" s="15">
        <f t="shared" si="652"/>
        <v>5.4964410821540018E-6</v>
      </c>
      <c r="AT423" s="16">
        <f t="shared" si="653"/>
        <v>27.368536222385508</v>
      </c>
      <c r="AU423" s="17">
        <f t="shared" si="654"/>
        <v>1.3755907621417771E-2</v>
      </c>
      <c r="AV423" s="18">
        <f t="shared" si="719"/>
        <v>0.43358478412199053</v>
      </c>
      <c r="AW423" s="19">
        <f t="shared" si="720"/>
        <v>993.12444054685363</v>
      </c>
      <c r="AX423" s="15">
        <f t="shared" si="655"/>
        <v>5.4862488810937079E-6</v>
      </c>
      <c r="AY423" s="16">
        <f t="shared" si="656"/>
        <v>27.309931066288815</v>
      </c>
      <c r="AZ423" s="17">
        <f t="shared" si="657"/>
        <v>1.3730399665606232E-2</v>
      </c>
      <c r="BA423" s="18">
        <f t="shared" si="721"/>
        <v>0.4345152260148295</v>
      </c>
      <c r="BB423" s="19">
        <f t="shared" si="722"/>
        <v>987.42736320005963</v>
      </c>
      <c r="BC423" s="15">
        <f t="shared" si="658"/>
        <v>5.4748547264001199E-6</v>
      </c>
      <c r="BD423" s="16">
        <f t="shared" si="659"/>
        <v>27.244414676800687</v>
      </c>
      <c r="BE423" s="17">
        <f t="shared" si="660"/>
        <v>1.3701883588194241E-2</v>
      </c>
      <c r="BF423" s="18">
        <f t="shared" si="723"/>
        <v>0.43556013261766252</v>
      </c>
      <c r="BG423" s="19">
        <f t="shared" si="724"/>
        <v>981.12282860186986</v>
      </c>
      <c r="BH423" s="15">
        <f t="shared" si="661"/>
        <v>5.4622456572037401E-6</v>
      </c>
      <c r="BI423" s="16">
        <f t="shared" si="662"/>
        <v>27.171912528921503</v>
      </c>
      <c r="BJ423" s="17">
        <f t="shared" si="663"/>
        <v>1.3670326952097364E-2</v>
      </c>
      <c r="BK423" s="18">
        <f t="shared" si="725"/>
        <v>0.4367223270385267</v>
      </c>
      <c r="BL423" s="19">
        <f t="shared" si="726"/>
        <v>974.18067805160604</v>
      </c>
      <c r="BM423" s="15">
        <f t="shared" si="664"/>
        <v>5.448361356103212E-6</v>
      </c>
      <c r="BN423" s="16">
        <f t="shared" si="665"/>
        <v>27.092077797593468</v>
      </c>
      <c r="BO423" s="17">
        <f t="shared" si="666"/>
        <v>1.3635578801344521E-2</v>
      </c>
      <c r="BP423" s="18">
        <f t="shared" si="727"/>
        <v>0.4380092571110209</v>
      </c>
      <c r="BQ423" s="19">
        <f t="shared" si="728"/>
        <v>966.47475120145032</v>
      </c>
      <c r="BR423" s="15">
        <f t="shared" si="667"/>
        <v>5.4329495024029009E-6</v>
      </c>
      <c r="BS423" s="16">
        <f t="shared" si="668"/>
        <v>27.003459638816679</v>
      </c>
      <c r="BT423" s="17">
        <f t="shared" si="669"/>
        <v>1.3597007654559262E-2</v>
      </c>
      <c r="BU423" s="18">
        <f t="shared" si="729"/>
        <v>0.43944668677416571</v>
      </c>
      <c r="BV423" s="19">
        <f t="shared" si="730"/>
        <v>957.53679939743483</v>
      </c>
      <c r="BW423" s="15">
        <f t="shared" si="670"/>
        <v>5.4150735987948703E-6</v>
      </c>
      <c r="BX423" s="16">
        <f t="shared" si="671"/>
        <v>26.900673193070499</v>
      </c>
      <c r="BY423" s="17">
        <f t="shared" si="672"/>
        <v>1.3552269745973318E-2</v>
      </c>
      <c r="BZ423" s="18">
        <f t="shared" si="731"/>
        <v>0.44112579579512828</v>
      </c>
      <c r="CA423" s="19">
        <f t="shared" si="732"/>
        <v>945.85047986493726</v>
      </c>
      <c r="CB423" s="15">
        <f t="shared" si="673"/>
        <v>5.3917009597298758E-6</v>
      </c>
      <c r="CC423" s="16">
        <f t="shared" si="674"/>
        <v>26.766280518446777</v>
      </c>
      <c r="CD423" s="17">
        <f t="shared" si="675"/>
        <v>1.3493775193036017E-2</v>
      </c>
      <c r="CE423" s="18">
        <f t="shared" si="733"/>
        <v>0.44334067490399692</v>
      </c>
      <c r="CF423" s="19">
        <f t="shared" si="734"/>
        <v>927.22641366758455</v>
      </c>
      <c r="CG423" s="15">
        <f t="shared" si="676"/>
        <v>5.3544528273351695E-6</v>
      </c>
      <c r="CH423" s="16">
        <f t="shared" si="677"/>
        <v>26.552103757177221</v>
      </c>
      <c r="CI423" s="17">
        <f t="shared" si="678"/>
        <v>1.340055453249705E-2</v>
      </c>
      <c r="CJ423" s="18">
        <f t="shared" si="735"/>
        <v>0.44691678588783301</v>
      </c>
      <c r="CK423" s="19">
        <f t="shared" si="736"/>
        <v>892.09868833982478</v>
      </c>
      <c r="CL423" s="15">
        <f t="shared" si="679"/>
        <v>5.2841973766796499E-6</v>
      </c>
      <c r="CM423" s="16">
        <f t="shared" si="680"/>
        <v>26.148134915907985</v>
      </c>
      <c r="CN423" s="17">
        <f t="shared" si="681"/>
        <v>1.3224726669581129E-2</v>
      </c>
      <c r="CO423" s="18">
        <f t="shared" si="737"/>
        <v>0.45382131107555651</v>
      </c>
      <c r="CP423" s="19">
        <f t="shared" si="738"/>
        <v>823.28905525395237</v>
      </c>
      <c r="CQ423" s="15">
        <f t="shared" si="682"/>
        <v>5.1465781105079051E-6</v>
      </c>
      <c r="CR423" s="16">
        <f t="shared" si="683"/>
        <v>25.356824135420453</v>
      </c>
      <c r="CS423" s="17">
        <f t="shared" si="684"/>
        <v>1.2880307820349338E-2</v>
      </c>
      <c r="CT423" s="18">
        <f t="shared" si="739"/>
        <v>0.46798371934684452</v>
      </c>
      <c r="CU423" s="19">
        <f t="shared" si="740"/>
        <v>698.73590417740252</v>
      </c>
      <c r="CV423" s="15">
        <f t="shared" si="685"/>
        <v>4.8974718083548055E-6</v>
      </c>
      <c r="CW423" s="16">
        <f t="shared" si="686"/>
        <v>24.123830441206877</v>
      </c>
      <c r="CX423" s="17">
        <f t="shared" si="687"/>
        <v>1.225687108572175E-2</v>
      </c>
      <c r="CY423" s="18">
        <f t="shared" si="741"/>
        <v>0.49190284679866253</v>
      </c>
      <c r="CZ423" s="20">
        <f t="shared" si="691"/>
        <v>503.60184236701792</v>
      </c>
      <c r="DA423" s="15">
        <f t="shared" si="688"/>
        <v>7.1609065585500189E-6</v>
      </c>
      <c r="DB423" s="16">
        <f t="shared" si="689"/>
        <v>38.890546571356481</v>
      </c>
      <c r="DC423" s="17">
        <f t="shared" si="690"/>
        <v>1.7921554626473983E-2</v>
      </c>
      <c r="DD423" s="18">
        <f t="shared" si="742"/>
        <v>0.30512764452783053</v>
      </c>
    </row>
    <row r="424" spans="2:108" x14ac:dyDescent="0.25">
      <c r="B424">
        <v>157</v>
      </c>
      <c r="C424">
        <f t="shared" si="743"/>
        <v>0.15348550261620447</v>
      </c>
      <c r="D424" s="19">
        <f t="shared" si="640"/>
        <v>1017.4242395610474</v>
      </c>
      <c r="E424" s="15">
        <f t="shared" si="692"/>
        <v>5.5348484791220957E-6</v>
      </c>
      <c r="F424" s="16">
        <f t="shared" si="641"/>
        <v>27.589378754952044</v>
      </c>
      <c r="G424" s="17">
        <f t="shared" si="638"/>
        <v>1.3852029565922484E-2</v>
      </c>
      <c r="H424" s="18">
        <f t="shared" si="693"/>
        <v>0.4301141020650186</v>
      </c>
      <c r="I424" s="19">
        <f t="shared" si="694"/>
        <v>1017.0996065425661</v>
      </c>
      <c r="J424" s="15">
        <f t="shared" si="695"/>
        <v>5.5341992130851326E-6</v>
      </c>
      <c r="K424" s="16">
        <f t="shared" si="642"/>
        <v>27.585645475239509</v>
      </c>
      <c r="L424" s="17">
        <f t="shared" si="696"/>
        <v>1.3850404652002239E-2</v>
      </c>
      <c r="M424" s="18">
        <f t="shared" si="697"/>
        <v>0.43017231118877303</v>
      </c>
      <c r="N424" s="19">
        <f t="shared" si="698"/>
        <v>1016.1935852407494</v>
      </c>
      <c r="O424" s="15">
        <f t="shared" si="699"/>
        <v>5.5323871704814997E-6</v>
      </c>
      <c r="P424" s="16">
        <f t="shared" si="700"/>
        <v>27.575226230268619</v>
      </c>
      <c r="Q424" s="17">
        <f t="shared" si="639"/>
        <v>1.3852029565922484E-2</v>
      </c>
      <c r="R424" s="18">
        <f t="shared" si="701"/>
        <v>0.43033485095009871</v>
      </c>
      <c r="S424" s="19">
        <f t="shared" si="702"/>
        <v>1014.6920098106731</v>
      </c>
      <c r="T424" s="15">
        <f t="shared" si="703"/>
        <v>5.5293840196213466E-6</v>
      </c>
      <c r="U424" s="16">
        <f t="shared" si="704"/>
        <v>27.557958112822739</v>
      </c>
      <c r="V424" s="17">
        <f t="shared" si="705"/>
        <v>1.3838353698398434E-2</v>
      </c>
      <c r="W424" s="18">
        <f t="shared" si="706"/>
        <v>0.43060450346632789</v>
      </c>
      <c r="X424" s="19">
        <f t="shared" si="707"/>
        <v>1012.592880731558</v>
      </c>
      <c r="Y424" s="15">
        <f t="shared" si="708"/>
        <v>5.5251857614631165E-6</v>
      </c>
      <c r="Z424" s="16">
        <f t="shared" si="709"/>
        <v>27.533818128412918</v>
      </c>
      <c r="AA424" s="17">
        <f t="shared" si="710"/>
        <v>1.3827846744802042E-2</v>
      </c>
      <c r="AB424" s="18">
        <f t="shared" si="711"/>
        <v>0.43098203141947977</v>
      </c>
      <c r="AC424" s="19">
        <f t="shared" si="712"/>
        <v>1009.8947365776407</v>
      </c>
      <c r="AD424" s="15">
        <f t="shared" si="643"/>
        <v>5.5197894731552818E-6</v>
      </c>
      <c r="AE424" s="16">
        <f t="shared" si="644"/>
        <v>27.502789470642867</v>
      </c>
      <c r="AF424" s="17">
        <f t="shared" si="645"/>
        <v>1.3814341488882513E-2</v>
      </c>
      <c r="AG424" s="18">
        <f t="shared" si="713"/>
        <v>0.4314682655148333</v>
      </c>
      <c r="AH424" s="19">
        <f t="shared" si="714"/>
        <v>1006.5972716615432</v>
      </c>
      <c r="AI424" s="15">
        <f t="shared" si="646"/>
        <v>5.5131945433230865E-6</v>
      </c>
      <c r="AJ424" s="16">
        <f t="shared" si="647"/>
        <v>27.464868624107744</v>
      </c>
      <c r="AK424" s="17">
        <f t="shared" si="648"/>
        <v>1.3797836400556185E-2</v>
      </c>
      <c r="AL424" s="18">
        <f t="shared" si="715"/>
        <v>0.43206399535812123</v>
      </c>
      <c r="AM424" s="19">
        <f t="shared" si="716"/>
        <v>1002.7003857760606</v>
      </c>
      <c r="AN424" s="15">
        <f t="shared" si="649"/>
        <v>5.5054007715521217E-6</v>
      </c>
      <c r="AO424" s="16">
        <f t="shared" si="650"/>
        <v>27.420054436424696</v>
      </c>
      <c r="AP424" s="17">
        <f t="shared" si="651"/>
        <v>1.3778330978247212E-2</v>
      </c>
      <c r="AQ424" s="18">
        <f t="shared" si="717"/>
        <v>0.43277014264254626</v>
      </c>
      <c r="AR424" s="19">
        <f t="shared" si="718"/>
        <v>998.20401751385623</v>
      </c>
      <c r="AS424" s="15">
        <f t="shared" si="652"/>
        <v>5.4964080350277124E-6</v>
      </c>
      <c r="AT424" s="16">
        <f t="shared" si="653"/>
        <v>27.368346201409345</v>
      </c>
      <c r="AU424" s="17">
        <f t="shared" si="654"/>
        <v>1.3755824914588098E-2</v>
      </c>
      <c r="AV424" s="18">
        <f t="shared" si="719"/>
        <v>0.43358779454152124</v>
      </c>
      <c r="AW424" s="19">
        <f t="shared" si="720"/>
        <v>993.10792533358904</v>
      </c>
      <c r="AX424" s="15">
        <f t="shared" si="655"/>
        <v>5.486215850667178E-6</v>
      </c>
      <c r="AY424" s="16">
        <f t="shared" si="656"/>
        <v>27.309741141336275</v>
      </c>
      <c r="AZ424" s="17">
        <f t="shared" si="657"/>
        <v>1.3730317000570938E-2</v>
      </c>
      <c r="BA424" s="18">
        <f t="shared" si="721"/>
        <v>0.4345182478407506</v>
      </c>
      <c r="BB424" s="19">
        <f t="shared" si="722"/>
        <v>987.41078332260759</v>
      </c>
      <c r="BC424" s="15">
        <f t="shared" si="658"/>
        <v>5.4748215666452157E-6</v>
      </c>
      <c r="BD424" s="16">
        <f t="shared" si="659"/>
        <v>27.244224008209986</v>
      </c>
      <c r="BE424" s="17">
        <f t="shared" si="660"/>
        <v>1.3701800599489661E-2</v>
      </c>
      <c r="BF424" s="18">
        <f t="shared" si="723"/>
        <v>0.43556318088347573</v>
      </c>
      <c r="BG424" s="19">
        <f t="shared" si="724"/>
        <v>981.10584195893966</v>
      </c>
      <c r="BH424" s="15">
        <f t="shared" si="661"/>
        <v>5.4622116839178797E-6</v>
      </c>
      <c r="BI424" s="16">
        <f t="shared" si="662"/>
        <v>27.171717182527807</v>
      </c>
      <c r="BJ424" s="17">
        <f t="shared" si="663"/>
        <v>1.3670241927374109E-2</v>
      </c>
      <c r="BK424" s="18">
        <f t="shared" si="725"/>
        <v>0.43672546677868596</v>
      </c>
      <c r="BL424" s="19">
        <f t="shared" si="726"/>
        <v>974.16189359639839</v>
      </c>
      <c r="BM424" s="15">
        <f t="shared" si="664"/>
        <v>5.4483237871927974E-6</v>
      </c>
      <c r="BN424" s="16">
        <f t="shared" si="665"/>
        <v>27.091861776358581</v>
      </c>
      <c r="BO424" s="17">
        <f t="shared" si="666"/>
        <v>1.36354847778749E-2</v>
      </c>
      <c r="BP424" s="18">
        <f t="shared" si="727"/>
        <v>0.43801274964694903</v>
      </c>
      <c r="BQ424" s="19">
        <f t="shared" si="728"/>
        <v>966.44922319956004</v>
      </c>
      <c r="BR424" s="15">
        <f t="shared" si="667"/>
        <v>5.43289844639912E-6</v>
      </c>
      <c r="BS424" s="16">
        <f t="shared" si="668"/>
        <v>27.00316606679494</v>
      </c>
      <c r="BT424" s="17">
        <f t="shared" si="669"/>
        <v>1.3596879877028121E-2</v>
      </c>
      <c r="BU424" s="18">
        <f t="shared" si="729"/>
        <v>0.43945146433439564</v>
      </c>
      <c r="BV424" s="19">
        <f t="shared" si="730"/>
        <v>957.48941496657585</v>
      </c>
      <c r="BW424" s="15">
        <f t="shared" si="670"/>
        <v>5.4149788299331525E-6</v>
      </c>
      <c r="BX424" s="16">
        <f t="shared" si="671"/>
        <v>26.900128272115623</v>
      </c>
      <c r="BY424" s="17">
        <f t="shared" si="672"/>
        <v>1.3552032568554749E-2</v>
      </c>
      <c r="BZ424" s="18">
        <f t="shared" si="731"/>
        <v>0.44113473176329293</v>
      </c>
      <c r="CA424" s="19">
        <f t="shared" si="732"/>
        <v>945.74276705169689</v>
      </c>
      <c r="CB424" s="15">
        <f t="shared" si="673"/>
        <v>5.3914855341033941E-6</v>
      </c>
      <c r="CC424" s="16">
        <f t="shared" si="674"/>
        <v>26.765041821094513</v>
      </c>
      <c r="CD424" s="17">
        <f t="shared" si="675"/>
        <v>1.3493236048711013E-2</v>
      </c>
      <c r="CE424" s="18">
        <f t="shared" si="733"/>
        <v>0.44336119289622816</v>
      </c>
      <c r="CF424" s="19">
        <f t="shared" si="734"/>
        <v>926.98106072392397</v>
      </c>
      <c r="CG424" s="15">
        <f t="shared" si="676"/>
        <v>5.3539621214478484E-6</v>
      </c>
      <c r="CH424" s="16">
        <f t="shared" si="677"/>
        <v>26.549282198325123</v>
      </c>
      <c r="CI424" s="17">
        <f t="shared" si="678"/>
        <v>1.3399326446039942E-2</v>
      </c>
      <c r="CJ424" s="18">
        <f t="shared" si="735"/>
        <v>0.44696428253968046</v>
      </c>
      <c r="CK424" s="19">
        <f t="shared" si="736"/>
        <v>891.60641197435064</v>
      </c>
      <c r="CL424" s="15">
        <f t="shared" si="679"/>
        <v>5.2832128239487016E-6</v>
      </c>
      <c r="CM424" s="16">
        <f t="shared" si="680"/>
        <v>26.142473737705032</v>
      </c>
      <c r="CN424" s="17">
        <f t="shared" si="681"/>
        <v>1.3222262635815843E-2</v>
      </c>
      <c r="CO424" s="18">
        <f t="shared" si="737"/>
        <v>0.45391958652339948</v>
      </c>
      <c r="CP424" s="19">
        <f t="shared" si="738"/>
        <v>822.4809805544968</v>
      </c>
      <c r="CQ424" s="15">
        <f t="shared" si="682"/>
        <v>5.1449619611089948E-6</v>
      </c>
      <c r="CR424" s="16">
        <f t="shared" si="683"/>
        <v>25.347531276376714</v>
      </c>
      <c r="CS424" s="17">
        <f t="shared" si="684"/>
        <v>1.2876263093679565E-2</v>
      </c>
      <c r="CT424" s="18">
        <f t="shared" si="739"/>
        <v>0.46815529056185701</v>
      </c>
      <c r="CU424" s="19">
        <f t="shared" si="740"/>
        <v>697.71876009980167</v>
      </c>
      <c r="CV424" s="15">
        <f t="shared" si="685"/>
        <v>4.8954375201996036E-6</v>
      </c>
      <c r="CW424" s="16">
        <f t="shared" si="686"/>
        <v>24.328072971989059</v>
      </c>
      <c r="CX424" s="17">
        <f t="shared" si="687"/>
        <v>1.2251779885885338E-2</v>
      </c>
      <c r="CY424" s="18">
        <f t="shared" si="741"/>
        <v>0.4877731534010476</v>
      </c>
      <c r="CZ424" s="20">
        <f t="shared" si="691"/>
        <v>502.80599517422826</v>
      </c>
      <c r="DA424" s="15">
        <f t="shared" si="688"/>
        <v>7.1728702606160027E-6</v>
      </c>
      <c r="DB424" s="16">
        <f t="shared" si="689"/>
        <v>38.913626139947375</v>
      </c>
      <c r="DC424" s="17">
        <f t="shared" si="690"/>
        <v>1.795149610641892E-2</v>
      </c>
      <c r="DD424" s="18">
        <f t="shared" si="742"/>
        <v>0.30494667413006982</v>
      </c>
    </row>
    <row r="425" spans="2:108" x14ac:dyDescent="0.25">
      <c r="B425">
        <v>158</v>
      </c>
      <c r="C425">
        <f t="shared" si="743"/>
        <v>0.15446311728254974</v>
      </c>
      <c r="D425" s="19">
        <f t="shared" si="640"/>
        <v>1017.407665439061</v>
      </c>
      <c r="E425" s="15">
        <f t="shared" si="692"/>
        <v>5.5348153308781227E-6</v>
      </c>
      <c r="F425" s="16">
        <f t="shared" si="641"/>
        <v>27.589188152549202</v>
      </c>
      <c r="G425" s="17">
        <f t="shared" si="638"/>
        <v>1.3851946606026237E-2</v>
      </c>
      <c r="H425" s="18">
        <f t="shared" si="693"/>
        <v>0.43011707354721285</v>
      </c>
      <c r="I425" s="19">
        <f t="shared" si="694"/>
        <v>1017.0830297041404</v>
      </c>
      <c r="J425" s="15">
        <f t="shared" si="695"/>
        <v>5.534166059408281E-6</v>
      </c>
      <c r="K425" s="16">
        <f t="shared" si="642"/>
        <v>27.585454841597613</v>
      </c>
      <c r="L425" s="17">
        <f t="shared" si="696"/>
        <v>1.3850321678509163E-2</v>
      </c>
      <c r="M425" s="18">
        <f t="shared" si="697"/>
        <v>0.43017528396246102</v>
      </c>
      <c r="N425" s="19">
        <f t="shared" si="698"/>
        <v>1016.1770001271938</v>
      </c>
      <c r="O425" s="15">
        <f t="shared" si="699"/>
        <v>5.5323540002543883E-6</v>
      </c>
      <c r="P425" s="16">
        <f t="shared" si="700"/>
        <v>27.575035501462729</v>
      </c>
      <c r="Q425" s="17">
        <f t="shared" si="639"/>
        <v>1.3851946606026237E-2</v>
      </c>
      <c r="R425" s="18">
        <f t="shared" si="701"/>
        <v>0.43033782745586785</v>
      </c>
      <c r="S425" s="19">
        <f t="shared" si="702"/>
        <v>1014.6754197349982</v>
      </c>
      <c r="T425" s="15">
        <f t="shared" si="703"/>
        <v>5.5293508394699974E-6</v>
      </c>
      <c r="U425" s="16">
        <f t="shared" si="704"/>
        <v>27.557767326952479</v>
      </c>
      <c r="V425" s="17">
        <f t="shared" si="705"/>
        <v>1.3838270658647801E-2</v>
      </c>
      <c r="W425" s="18">
        <f t="shared" si="706"/>
        <v>0.43060748459516746</v>
      </c>
      <c r="X425" s="19">
        <f t="shared" si="707"/>
        <v>1012.5762931531465</v>
      </c>
      <c r="Y425" s="15">
        <f t="shared" si="708"/>
        <v>5.5251525863062937E-6</v>
      </c>
      <c r="Z425" s="16">
        <f t="shared" si="709"/>
        <v>27.533627371261183</v>
      </c>
      <c r="AA425" s="17">
        <f t="shared" si="710"/>
        <v>1.3827763717551182E-2</v>
      </c>
      <c r="AB425" s="18">
        <f t="shared" si="711"/>
        <v>0.43098501732844319</v>
      </c>
      <c r="AC425" s="19">
        <f t="shared" si="712"/>
        <v>1009.878158725194</v>
      </c>
      <c r="AD425" s="15">
        <f t="shared" si="643"/>
        <v>5.5197563174503885E-6</v>
      </c>
      <c r="AE425" s="16">
        <f t="shared" si="644"/>
        <v>27.502598825339732</v>
      </c>
      <c r="AF425" s="17">
        <f t="shared" si="645"/>
        <v>1.3814258510313869E-2</v>
      </c>
      <c r="AG425" s="18">
        <f t="shared" si="713"/>
        <v>0.43147125641030448</v>
      </c>
      <c r="AH425" s="19">
        <f t="shared" si="714"/>
        <v>1006.5807090535001</v>
      </c>
      <c r="AI425" s="15">
        <f t="shared" si="646"/>
        <v>5.5131614181070002E-6</v>
      </c>
      <c r="AJ425" s="16">
        <f t="shared" si="647"/>
        <v>27.464678154115248</v>
      </c>
      <c r="AK425" s="17">
        <f t="shared" si="648"/>
        <v>1.379775349829168E-2</v>
      </c>
      <c r="AL425" s="18">
        <f t="shared" si="715"/>
        <v>0.43206699176046365</v>
      </c>
      <c r="AM425" s="19">
        <f t="shared" si="716"/>
        <v>1002.6838422623015</v>
      </c>
      <c r="AN425" s="15">
        <f t="shared" si="649"/>
        <v>5.5053676845246039E-6</v>
      </c>
      <c r="AO425" s="16">
        <f t="shared" si="650"/>
        <v>27.419864186016468</v>
      </c>
      <c r="AP425" s="17">
        <f t="shared" si="651"/>
        <v>1.3778248171556991E-2</v>
      </c>
      <c r="AQ425" s="18">
        <f t="shared" si="717"/>
        <v>0.43277314538157324</v>
      </c>
      <c r="AR425" s="19">
        <f t="shared" si="718"/>
        <v>998.18749391259428</v>
      </c>
      <c r="AS425" s="15">
        <f t="shared" si="652"/>
        <v>5.4963749878251893E-6</v>
      </c>
      <c r="AT425" s="16">
        <f t="shared" si="653"/>
        <v>27.368156179994834</v>
      </c>
      <c r="AU425" s="17">
        <f t="shared" si="654"/>
        <v>1.3755742207567636E-2</v>
      </c>
      <c r="AV425" s="18">
        <f t="shared" si="719"/>
        <v>0.43359080500980018</v>
      </c>
      <c r="AW425" s="19">
        <f t="shared" si="720"/>
        <v>993.09140917222373</v>
      </c>
      <c r="AX425" s="15">
        <f t="shared" si="655"/>
        <v>5.4861828183444487E-6</v>
      </c>
      <c r="AY425" s="16">
        <f t="shared" si="656"/>
        <v>27.309551205480574</v>
      </c>
      <c r="AZ425" s="17">
        <f t="shared" si="657"/>
        <v>1.373023433079004E-2</v>
      </c>
      <c r="BA425" s="18">
        <f t="shared" si="721"/>
        <v>0.4345212698821822</v>
      </c>
      <c r="BB425" s="19">
        <f t="shared" si="722"/>
        <v>987.39419852420951</v>
      </c>
      <c r="BC425" s="15">
        <f t="shared" si="658"/>
        <v>5.4747883970484188E-6</v>
      </c>
      <c r="BD425" s="16">
        <f t="shared" si="659"/>
        <v>27.244033283028408</v>
      </c>
      <c r="BE425" s="17">
        <f t="shared" si="660"/>
        <v>1.3701717586153841E-2</v>
      </c>
      <c r="BF425" s="18">
        <f t="shared" si="723"/>
        <v>0.43556623009670714</v>
      </c>
      <c r="BG425" s="19">
        <f t="shared" si="724"/>
        <v>981.08883498617104</v>
      </c>
      <c r="BH425" s="15">
        <f t="shared" si="661"/>
        <v>5.4621776699723432E-6</v>
      </c>
      <c r="BI425" s="16">
        <f t="shared" si="662"/>
        <v>27.171521602340967</v>
      </c>
      <c r="BJ425" s="17">
        <f t="shared" si="663"/>
        <v>1.3670156800892147E-2</v>
      </c>
      <c r="BK425" s="18">
        <f t="shared" si="725"/>
        <v>0.43672861032175436</v>
      </c>
      <c r="BL425" s="19">
        <f t="shared" si="726"/>
        <v>974.14303678412773</v>
      </c>
      <c r="BM425" s="15">
        <f t="shared" si="664"/>
        <v>5.4482860735682564E-6</v>
      </c>
      <c r="BN425" s="16">
        <f t="shared" si="665"/>
        <v>27.091644923017469</v>
      </c>
      <c r="BO425" s="17">
        <f t="shared" si="666"/>
        <v>1.3635390392230171E-2</v>
      </c>
      <c r="BP425" s="18">
        <f t="shared" si="727"/>
        <v>0.43801625569202235</v>
      </c>
      <c r="BQ425" s="19">
        <f t="shared" si="728"/>
        <v>966.42347430540963</v>
      </c>
      <c r="BR425" s="15">
        <f t="shared" si="667"/>
        <v>5.4328469486108195E-6</v>
      </c>
      <c r="BS425" s="16">
        <f t="shared" si="668"/>
        <v>27.00286995451221</v>
      </c>
      <c r="BT425" s="17">
        <f t="shared" si="669"/>
        <v>1.3596750993845719E-2</v>
      </c>
      <c r="BU425" s="18">
        <f t="shared" si="729"/>
        <v>0.4394562833398003</v>
      </c>
      <c r="BV425" s="19">
        <f t="shared" si="730"/>
        <v>957.44146798249676</v>
      </c>
      <c r="BW425" s="15">
        <f t="shared" si="670"/>
        <v>5.4148829359649942E-6</v>
      </c>
      <c r="BX425" s="16">
        <f t="shared" si="671"/>
        <v>26.899576881798712</v>
      </c>
      <c r="BY425" s="17">
        <f t="shared" si="672"/>
        <v>1.3551792575339554E-2</v>
      </c>
      <c r="BZ425" s="18">
        <f t="shared" si="731"/>
        <v>0.44114377418877854</v>
      </c>
      <c r="CA425" s="19">
        <f t="shared" si="732"/>
        <v>945.63391900556439</v>
      </c>
      <c r="CB425" s="15">
        <f t="shared" si="673"/>
        <v>5.3912678380111291E-6</v>
      </c>
      <c r="CC425" s="16">
        <f t="shared" si="674"/>
        <v>26.763790068563992</v>
      </c>
      <c r="CD425" s="17">
        <f t="shared" si="675"/>
        <v>1.3492691222105946E-2</v>
      </c>
      <c r="CE425" s="18">
        <f t="shared" si="733"/>
        <v>0.44338192906602031</v>
      </c>
      <c r="CF425" s="19">
        <f t="shared" si="734"/>
        <v>926.73408101144389</v>
      </c>
      <c r="CG425" s="15">
        <f t="shared" si="676"/>
        <v>5.3534681620228885E-6</v>
      </c>
      <c r="CH425" s="16">
        <f t="shared" si="677"/>
        <v>26.546441931631605</v>
      </c>
      <c r="CI425" s="17">
        <f t="shared" si="678"/>
        <v>1.3398090216975187E-2</v>
      </c>
      <c r="CJ425" s="18">
        <f t="shared" si="735"/>
        <v>0.44701210430683697</v>
      </c>
      <c r="CK425" s="19">
        <f t="shared" si="736"/>
        <v>891.11303648730564</v>
      </c>
      <c r="CL425" s="15">
        <f t="shared" si="679"/>
        <v>5.2822260729746119E-6</v>
      </c>
      <c r="CM425" s="16">
        <f t="shared" si="680"/>
        <v>26.136799919604016</v>
      </c>
      <c r="CN425" s="17">
        <f t="shared" si="681"/>
        <v>1.3219793100521633E-2</v>
      </c>
      <c r="CO425" s="18">
        <f t="shared" si="737"/>
        <v>0.45401812410926862</v>
      </c>
      <c r="CP425" s="19">
        <f t="shared" si="738"/>
        <v>821.67427497460858</v>
      </c>
      <c r="CQ425" s="15">
        <f t="shared" si="682"/>
        <v>5.1433485499492175E-6</v>
      </c>
      <c r="CR425" s="16">
        <f t="shared" si="683"/>
        <v>25.338254162207996</v>
      </c>
      <c r="CS425" s="17">
        <f t="shared" si="684"/>
        <v>1.2872225219983199E-2</v>
      </c>
      <c r="CT425" s="18">
        <f t="shared" si="739"/>
        <v>0.46832669661262233</v>
      </c>
      <c r="CU425" s="19">
        <f t="shared" si="740"/>
        <v>696.70747890235725</v>
      </c>
      <c r="CV425" s="15">
        <f t="shared" si="685"/>
        <v>4.8934149578047147E-6</v>
      </c>
      <c r="CW425" s="16">
        <f t="shared" si="686"/>
        <v>24.531138236435794</v>
      </c>
      <c r="CX425" s="17">
        <f t="shared" si="687"/>
        <v>1.2246718032033584E-2</v>
      </c>
      <c r="CY425" s="18">
        <f t="shared" si="741"/>
        <v>0.48373543678835962</v>
      </c>
      <c r="CZ425" s="20">
        <f t="shared" si="691"/>
        <v>502.06039943798766</v>
      </c>
      <c r="DA425" s="15">
        <f t="shared" si="688"/>
        <v>7.1840726067222585E-6</v>
      </c>
      <c r="DB425" s="16">
        <f t="shared" si="689"/>
        <v>38.935248416298357</v>
      </c>
      <c r="DC425" s="17">
        <f t="shared" si="690"/>
        <v>1.7979532145717354E-2</v>
      </c>
      <c r="DD425" s="18">
        <f t="shared" si="742"/>
        <v>0.3047773252359815</v>
      </c>
    </row>
    <row r="426" spans="2:108" x14ac:dyDescent="0.25">
      <c r="B426">
        <v>159</v>
      </c>
      <c r="C426">
        <f t="shared" si="743"/>
        <v>0.15544073194889499</v>
      </c>
      <c r="D426" s="19">
        <f t="shared" si="640"/>
        <v>1017.3910911783869</v>
      </c>
      <c r="E426" s="15">
        <f t="shared" si="692"/>
        <v>5.5347821823567744E-6</v>
      </c>
      <c r="F426" s="16">
        <f t="shared" si="641"/>
        <v>27.588997548551447</v>
      </c>
      <c r="G426" s="17">
        <f t="shared" si="638"/>
        <v>1.3851863645435803E-2</v>
      </c>
      <c r="H426" s="18">
        <f t="shared" si="693"/>
        <v>0.43012004509533003</v>
      </c>
      <c r="I426" s="19">
        <f t="shared" si="694"/>
        <v>1017.0664528118698</v>
      </c>
      <c r="J426" s="15">
        <f t="shared" si="695"/>
        <v>5.5341329056237402E-6</v>
      </c>
      <c r="K426" s="16">
        <f t="shared" si="642"/>
        <v>27.5852642073365</v>
      </c>
      <c r="L426" s="17">
        <f t="shared" si="696"/>
        <v>1.3850238704746571E-2</v>
      </c>
      <c r="M426" s="18">
        <f t="shared" si="697"/>
        <v>0.43017825678689331</v>
      </c>
      <c r="N426" s="19">
        <f t="shared" si="698"/>
        <v>1016.1604151130466</v>
      </c>
      <c r="O426" s="15">
        <f t="shared" si="699"/>
        <v>5.5323208302260933E-6</v>
      </c>
      <c r="P426" s="16">
        <f t="shared" si="700"/>
        <v>27.574844773800034</v>
      </c>
      <c r="Q426" s="17">
        <f t="shared" si="639"/>
        <v>1.3851863645435803E-2</v>
      </c>
      <c r="R426" s="18">
        <f t="shared" si="701"/>
        <v>0.4303408039849716</v>
      </c>
      <c r="S426" s="19">
        <f t="shared" si="702"/>
        <v>1014.6588298563186</v>
      </c>
      <c r="T426" s="15">
        <f t="shared" si="703"/>
        <v>5.5293176597126371E-6</v>
      </c>
      <c r="U426" s="16">
        <f t="shared" si="704"/>
        <v>27.557576543347665</v>
      </c>
      <c r="V426" s="17">
        <f t="shared" si="705"/>
        <v>1.3838187619883202E-2</v>
      </c>
      <c r="W426" s="18">
        <f t="shared" si="706"/>
        <v>0.43061046572988521</v>
      </c>
      <c r="X426" s="19">
        <f t="shared" si="707"/>
        <v>1012.5597057954469</v>
      </c>
      <c r="Y426" s="15">
        <f t="shared" si="708"/>
        <v>5.5251194115908936E-6</v>
      </c>
      <c r="Z426" s="16">
        <f t="shared" si="709"/>
        <v>27.533436616647638</v>
      </c>
      <c r="AA426" s="17">
        <f t="shared" si="710"/>
        <v>1.3827680691405064E-2</v>
      </c>
      <c r="AB426" s="18">
        <f t="shared" si="711"/>
        <v>0.43098800323904957</v>
      </c>
      <c r="AC426" s="19">
        <f t="shared" si="712"/>
        <v>1009.8615810831212</v>
      </c>
      <c r="AD426" s="15">
        <f t="shared" si="643"/>
        <v>5.5197231621662427E-6</v>
      </c>
      <c r="AE426" s="16">
        <f t="shared" si="644"/>
        <v>27.502408182455895</v>
      </c>
      <c r="AF426" s="17">
        <f t="shared" si="645"/>
        <v>1.3814175532798225E-2</v>
      </c>
      <c r="AG426" s="18">
        <f t="shared" si="713"/>
        <v>0.43147424730928574</v>
      </c>
      <c r="AH426" s="19">
        <f t="shared" si="714"/>
        <v>1006.5641466376558</v>
      </c>
      <c r="AI426" s="15">
        <f t="shared" si="646"/>
        <v>5.5131282932753118E-6</v>
      </c>
      <c r="AJ426" s="16">
        <f t="shared" si="647"/>
        <v>27.46448768633304</v>
      </c>
      <c r="AK426" s="17">
        <f t="shared" si="648"/>
        <v>1.3797670596989208E-2</v>
      </c>
      <c r="AL426" s="18">
        <f t="shared" si="715"/>
        <v>0.4320699881695948</v>
      </c>
      <c r="AM426" s="19">
        <f t="shared" si="716"/>
        <v>1002.6672988976736</v>
      </c>
      <c r="AN426" s="15">
        <f t="shared" si="649"/>
        <v>5.5053345977953475E-6</v>
      </c>
      <c r="AO426" s="16">
        <f t="shared" si="650"/>
        <v>27.419673937323246</v>
      </c>
      <c r="AP426" s="17">
        <f t="shared" si="651"/>
        <v>1.3778165365613229E-2</v>
      </c>
      <c r="AQ426" s="18">
        <f t="shared" si="717"/>
        <v>0.43277614813520038</v>
      </c>
      <c r="AR426" s="19">
        <f t="shared" si="718"/>
        <v>998.17097026234205</v>
      </c>
      <c r="AS426" s="15">
        <f t="shared" si="652"/>
        <v>5.4963419405246847E-6</v>
      </c>
      <c r="AT426" s="16">
        <f t="shared" si="653"/>
        <v>27.367966158016934</v>
      </c>
      <c r="AU426" s="17">
        <f t="shared" si="654"/>
        <v>1.3755659500301956E-2</v>
      </c>
      <c r="AV426" s="18">
        <f t="shared" si="719"/>
        <v>0.4335938155288096</v>
      </c>
      <c r="AW426" s="19">
        <f t="shared" si="720"/>
        <v>993.0748920169076</v>
      </c>
      <c r="AX426" s="15">
        <f t="shared" si="655"/>
        <v>5.4861497840338153E-6</v>
      </c>
      <c r="AY426" s="16">
        <f t="shared" si="656"/>
        <v>27.309361258194436</v>
      </c>
      <c r="AZ426" s="17">
        <f t="shared" si="657"/>
        <v>1.3730151656034025E-2</v>
      </c>
      <c r="BA426" s="18">
        <f t="shared" si="721"/>
        <v>0.43452429214752203</v>
      </c>
      <c r="BB426" s="19">
        <f t="shared" si="722"/>
        <v>987.37760863460755</v>
      </c>
      <c r="BC426" s="15">
        <f t="shared" si="658"/>
        <v>5.474755217269216E-6</v>
      </c>
      <c r="BD426" s="16">
        <f t="shared" si="659"/>
        <v>27.243842499297987</v>
      </c>
      <c r="BE426" s="17">
        <f t="shared" si="660"/>
        <v>1.3701634547334576E-2</v>
      </c>
      <c r="BF426" s="18">
        <f t="shared" si="723"/>
        <v>0.43556928028869912</v>
      </c>
      <c r="BG426" s="19">
        <f t="shared" si="724"/>
        <v>981.07180714011292</v>
      </c>
      <c r="BH426" s="15">
        <f t="shared" si="661"/>
        <v>5.4621436142802262E-6</v>
      </c>
      <c r="BI426" s="16">
        <f t="shared" si="662"/>
        <v>27.171325782111296</v>
      </c>
      <c r="BJ426" s="17">
        <f t="shared" si="663"/>
        <v>1.3670071569931287E-2</v>
      </c>
      <c r="BK426" s="18">
        <f t="shared" si="725"/>
        <v>0.43673175776834799</v>
      </c>
      <c r="BL426" s="19">
        <f t="shared" si="726"/>
        <v>974.12410618233298</v>
      </c>
      <c r="BM426" s="15">
        <f t="shared" si="664"/>
        <v>5.4482482123646661E-6</v>
      </c>
      <c r="BN426" s="16">
        <f t="shared" si="665"/>
        <v>27.091427221096829</v>
      </c>
      <c r="BO426" s="17">
        <f t="shared" si="666"/>
        <v>1.363529563724031E-2</v>
      </c>
      <c r="BP426" s="18">
        <f t="shared" si="727"/>
        <v>0.43801977551323212</v>
      </c>
      <c r="BQ426" s="19">
        <f t="shared" si="728"/>
        <v>966.39750163236033</v>
      </c>
      <c r="BR426" s="15">
        <f t="shared" si="667"/>
        <v>5.4327950032647212E-6</v>
      </c>
      <c r="BS426" s="16">
        <f t="shared" si="668"/>
        <v>27.002571268772144</v>
      </c>
      <c r="BT426" s="17">
        <f t="shared" si="669"/>
        <v>1.3596620990563302E-2</v>
      </c>
      <c r="BU426" s="18">
        <f t="shared" si="729"/>
        <v>0.4394611443333668</v>
      </c>
      <c r="BV426" s="19">
        <f t="shared" si="730"/>
        <v>957.39295487479546</v>
      </c>
      <c r="BW426" s="15">
        <f t="shared" si="670"/>
        <v>5.414785909749591E-6</v>
      </c>
      <c r="BX426" s="16">
        <f t="shared" si="671"/>
        <v>26.899018981060145</v>
      </c>
      <c r="BY426" s="17">
        <f t="shared" si="672"/>
        <v>1.3551549748456487E-2</v>
      </c>
      <c r="BZ426" s="18">
        <f t="shared" si="731"/>
        <v>0.44115292375804749</v>
      </c>
      <c r="CA426" s="19">
        <f t="shared" si="732"/>
        <v>945.52393640871139</v>
      </c>
      <c r="CB426" s="15">
        <f t="shared" si="673"/>
        <v>5.3910478728174238E-6</v>
      </c>
      <c r="CC426" s="16">
        <f t="shared" si="674"/>
        <v>26.76252526870018</v>
      </c>
      <c r="CD426" s="17">
        <f t="shared" si="675"/>
        <v>1.349214071663535E-2</v>
      </c>
      <c r="CE426" s="18">
        <f t="shared" si="733"/>
        <v>0.44340288334435796</v>
      </c>
      <c r="CF426" s="19">
        <f t="shared" si="734"/>
        <v>926.4854885331473</v>
      </c>
      <c r="CG426" s="15">
        <f t="shared" si="676"/>
        <v>5.352970977066295E-6</v>
      </c>
      <c r="CH426" s="16">
        <f t="shared" si="677"/>
        <v>26.543583118131195</v>
      </c>
      <c r="CI426" s="17">
        <f t="shared" si="678"/>
        <v>1.3396845915393229E-2</v>
      </c>
      <c r="CJ426" s="18">
        <f t="shared" si="735"/>
        <v>0.44706024868255867</v>
      </c>
      <c r="CK426" s="19">
        <f t="shared" si="736"/>
        <v>890.61858956614731</v>
      </c>
      <c r="CL426" s="15">
        <f t="shared" si="679"/>
        <v>5.2812371791322945E-6</v>
      </c>
      <c r="CM426" s="16">
        <f t="shared" si="680"/>
        <v>26.131113780010693</v>
      </c>
      <c r="CN426" s="17">
        <f t="shared" si="681"/>
        <v>1.3217318202284941E-2</v>
      </c>
      <c r="CO426" s="18">
        <f t="shared" si="737"/>
        <v>0.45411691861352582</v>
      </c>
      <c r="CP426" s="19">
        <f t="shared" si="738"/>
        <v>820.86896771394049</v>
      </c>
      <c r="CQ426" s="15">
        <f t="shared" si="682"/>
        <v>5.1417379354278816E-6</v>
      </c>
      <c r="CR426" s="16">
        <f t="shared" si="683"/>
        <v>25.328993128710316</v>
      </c>
      <c r="CS426" s="17">
        <f t="shared" si="684"/>
        <v>1.2868194345415808E-2</v>
      </c>
      <c r="CT426" s="18">
        <f t="shared" si="739"/>
        <v>0.4684979307869595</v>
      </c>
      <c r="CU426" s="19">
        <f t="shared" si="740"/>
        <v>695.70258648767913</v>
      </c>
      <c r="CV426" s="15">
        <f t="shared" si="685"/>
        <v>4.8914051729753593E-6</v>
      </c>
      <c r="CW426" s="16">
        <f t="shared" si="686"/>
        <v>24.732920633303081</v>
      </c>
      <c r="CX426" s="17">
        <f t="shared" si="687"/>
        <v>1.2241688156512621E-2</v>
      </c>
      <c r="CY426" s="18">
        <f t="shared" si="741"/>
        <v>0.47978890344795955</v>
      </c>
      <c r="CZ426" s="20">
        <f t="shared" si="691"/>
        <v>501.36215804575352</v>
      </c>
      <c r="DA426" s="15">
        <f t="shared" si="688"/>
        <v>7.1945583012887145E-6</v>
      </c>
      <c r="DB426" s="16">
        <f t="shared" si="689"/>
        <v>38.955497416673147</v>
      </c>
      <c r="DC426" s="17">
        <f t="shared" si="690"/>
        <v>1.8005774625832513E-2</v>
      </c>
      <c r="DD426" s="18">
        <f t="shared" si="742"/>
        <v>0.30461890250794083</v>
      </c>
    </row>
    <row r="427" spans="2:108" x14ac:dyDescent="0.25">
      <c r="B427">
        <v>160</v>
      </c>
      <c r="C427">
        <f t="shared" si="743"/>
        <v>0.15641834661524023</v>
      </c>
      <c r="D427" s="19">
        <f t="shared" si="640"/>
        <v>1017.3745167833567</v>
      </c>
      <c r="E427" s="15">
        <f t="shared" si="692"/>
        <v>5.5347490335667142E-6</v>
      </c>
      <c r="F427" s="16">
        <f t="shared" si="641"/>
        <v>27.588806943008599</v>
      </c>
      <c r="G427" s="17">
        <f t="shared" si="638"/>
        <v>1.3851780684172867E-2</v>
      </c>
      <c r="H427" s="18">
        <f t="shared" si="693"/>
        <v>0.43012301670859532</v>
      </c>
      <c r="I427" s="19">
        <f t="shared" si="694"/>
        <v>1017.0498758683536</v>
      </c>
      <c r="J427" s="15">
        <f t="shared" si="695"/>
        <v>5.5340997517367083E-6</v>
      </c>
      <c r="K427" s="16">
        <f t="shared" si="642"/>
        <v>27.585073572486067</v>
      </c>
      <c r="L427" s="17">
        <f t="shared" si="696"/>
        <v>1.3850155730727478E-2</v>
      </c>
      <c r="M427" s="18">
        <f t="shared" si="697"/>
        <v>0.43018122966160499</v>
      </c>
      <c r="N427" s="19">
        <f t="shared" si="698"/>
        <v>1016.1438301984058</v>
      </c>
      <c r="O427" s="15">
        <f t="shared" si="699"/>
        <v>5.5322876603968121E-6</v>
      </c>
      <c r="P427" s="16">
        <f t="shared" si="700"/>
        <v>27.574654047281665</v>
      </c>
      <c r="Q427" s="17">
        <f t="shared" si="639"/>
        <v>1.3851780684172867E-2</v>
      </c>
      <c r="R427" s="18">
        <f t="shared" si="701"/>
        <v>0.43034378053739236</v>
      </c>
      <c r="S427" s="19">
        <f t="shared" si="702"/>
        <v>1014.6422401738909</v>
      </c>
      <c r="T427" s="15">
        <f t="shared" si="703"/>
        <v>5.5292844803477817E-6</v>
      </c>
      <c r="U427" s="16">
        <f t="shared" si="704"/>
        <v>27.557385761999743</v>
      </c>
      <c r="V427" s="17">
        <f t="shared" si="705"/>
        <v>1.3838104582100925E-2</v>
      </c>
      <c r="W427" s="18">
        <f t="shared" si="706"/>
        <v>0.43061344687061426</v>
      </c>
      <c r="X427" s="19">
        <f t="shared" si="707"/>
        <v>1012.5431186580087</v>
      </c>
      <c r="Y427" s="15">
        <f t="shared" si="708"/>
        <v>5.5250862373160185E-6</v>
      </c>
      <c r="Z427" s="16">
        <f t="shared" si="709"/>
        <v>27.5332458645671</v>
      </c>
      <c r="AA427" s="17">
        <f t="shared" si="710"/>
        <v>1.3827597666361446E-2</v>
      </c>
      <c r="AB427" s="18">
        <f t="shared" si="711"/>
        <v>0.43099098915137934</v>
      </c>
      <c r="AC427" s="19">
        <f t="shared" si="712"/>
        <v>1009.8450036512719</v>
      </c>
      <c r="AD427" s="15">
        <f t="shared" si="643"/>
        <v>5.5196900073025438E-6</v>
      </c>
      <c r="AE427" s="16">
        <f t="shared" si="644"/>
        <v>27.502217541989626</v>
      </c>
      <c r="AF427" s="17">
        <f t="shared" si="645"/>
        <v>1.3814092556334834E-2</v>
      </c>
      <c r="AG427" s="18">
        <f t="shared" si="713"/>
        <v>0.4314772382118035</v>
      </c>
      <c r="AH427" s="19">
        <f t="shared" si="714"/>
        <v>1006.5475844135937</v>
      </c>
      <c r="AI427" s="15">
        <f t="shared" si="646"/>
        <v>5.5130951688271879E-6</v>
      </c>
      <c r="AJ427" s="16">
        <f t="shared" si="647"/>
        <v>27.464297220756325</v>
      </c>
      <c r="AK427" s="17">
        <f t="shared" si="648"/>
        <v>1.379758769664668E-2</v>
      </c>
      <c r="AL427" s="18">
        <f t="shared" si="715"/>
        <v>0.43207298458558957</v>
      </c>
      <c r="AM427" s="19">
        <f t="shared" si="716"/>
        <v>1002.6507556797982</v>
      </c>
      <c r="AN427" s="15">
        <f t="shared" si="649"/>
        <v>5.5053015113595974E-6</v>
      </c>
      <c r="AO427" s="16">
        <f t="shared" si="650"/>
        <v>27.419483690317676</v>
      </c>
      <c r="AP427" s="17">
        <f t="shared" si="651"/>
        <v>1.3778082560404022E-2</v>
      </c>
      <c r="AQ427" s="18">
        <f t="shared" si="717"/>
        <v>0.43277915090385916</v>
      </c>
      <c r="AR427" s="19">
        <f t="shared" si="718"/>
        <v>998.15444655182625</v>
      </c>
      <c r="AS427" s="15">
        <f t="shared" si="652"/>
        <v>5.4963088931036533E-6</v>
      </c>
      <c r="AT427" s="16">
        <f t="shared" si="653"/>
        <v>27.367776135345999</v>
      </c>
      <c r="AU427" s="17">
        <f t="shared" si="654"/>
        <v>1.3755576792734633E-2</v>
      </c>
      <c r="AV427" s="18">
        <f t="shared" si="719"/>
        <v>0.43359682610060468</v>
      </c>
      <c r="AW427" s="19">
        <f t="shared" si="720"/>
        <v>993.0583738204391</v>
      </c>
      <c r="AX427" s="15">
        <f t="shared" si="655"/>
        <v>5.4861167476408793E-6</v>
      </c>
      <c r="AY427" s="16">
        <f t="shared" si="656"/>
        <v>27.309171298935048</v>
      </c>
      <c r="AZ427" s="17">
        <f t="shared" si="657"/>
        <v>1.3730068976066647E-2</v>
      </c>
      <c r="BA427" s="18">
        <f t="shared" si="721"/>
        <v>0.43452731464541544</v>
      </c>
      <c r="BB427" s="19">
        <f t="shared" si="722"/>
        <v>987.36101347978979</v>
      </c>
      <c r="BC427" s="15">
        <f t="shared" si="658"/>
        <v>5.4747220269595803E-6</v>
      </c>
      <c r="BD427" s="16">
        <f t="shared" si="659"/>
        <v>27.24365165501758</v>
      </c>
      <c r="BE427" s="17">
        <f t="shared" si="660"/>
        <v>1.3701551482160866E-2</v>
      </c>
      <c r="BF427" s="18">
        <f t="shared" si="723"/>
        <v>0.43557233149148639</v>
      </c>
      <c r="BG427" s="19">
        <f t="shared" si="724"/>
        <v>981.05475786947181</v>
      </c>
      <c r="BH427" s="15">
        <f t="shared" si="661"/>
        <v>5.4621095157389444E-6</v>
      </c>
      <c r="BI427" s="16">
        <f t="shared" si="662"/>
        <v>27.171129715498925</v>
      </c>
      <c r="BJ427" s="17">
        <f t="shared" si="663"/>
        <v>1.3669986231732099E-2</v>
      </c>
      <c r="BK427" s="18">
        <f t="shared" si="725"/>
        <v>0.43673490922053848</v>
      </c>
      <c r="BL427" s="19">
        <f t="shared" si="726"/>
        <v>974.10510034952472</v>
      </c>
      <c r="BM427" s="15">
        <f t="shared" si="664"/>
        <v>5.4482102006990499E-6</v>
      </c>
      <c r="BN427" s="16">
        <f t="shared" si="665"/>
        <v>27.091208654019532</v>
      </c>
      <c r="BO427" s="17">
        <f t="shared" si="666"/>
        <v>1.3635200505690104E-2</v>
      </c>
      <c r="BP427" s="18">
        <f t="shared" si="727"/>
        <v>0.43802330937926792</v>
      </c>
      <c r="BQ427" s="19">
        <f t="shared" si="728"/>
        <v>966.37130230324942</v>
      </c>
      <c r="BR427" s="15">
        <f t="shared" si="667"/>
        <v>5.4327426046064998E-6</v>
      </c>
      <c r="BS427" s="16">
        <f t="shared" si="668"/>
        <v>27.002269976487369</v>
      </c>
      <c r="BT427" s="17">
        <f t="shared" si="669"/>
        <v>1.3596489852779559E-2</v>
      </c>
      <c r="BU427" s="18">
        <f t="shared" si="729"/>
        <v>0.43946604785638027</v>
      </c>
      <c r="BV427" s="19">
        <f t="shared" si="730"/>
        <v>957.34387214221431</v>
      </c>
      <c r="BW427" s="15">
        <f t="shared" si="670"/>
        <v>5.414687744284429E-6</v>
      </c>
      <c r="BX427" s="16">
        <f t="shared" si="671"/>
        <v>26.898454529635465</v>
      </c>
      <c r="BY427" s="17">
        <f t="shared" si="672"/>
        <v>1.35513040703804E-2</v>
      </c>
      <c r="BZ427" s="18">
        <f t="shared" si="731"/>
        <v>0.4411621811447885</v>
      </c>
      <c r="CA427" s="19">
        <f t="shared" si="732"/>
        <v>945.41282007495772</v>
      </c>
      <c r="CB427" s="15">
        <f t="shared" si="673"/>
        <v>5.3908256401499155E-6</v>
      </c>
      <c r="CC427" s="16">
        <f t="shared" si="674"/>
        <v>26.761247430862014</v>
      </c>
      <c r="CD427" s="17">
        <f t="shared" si="675"/>
        <v>1.3491584536372699E-2</v>
      </c>
      <c r="CE427" s="18">
        <f t="shared" si="733"/>
        <v>0.44342405563774051</v>
      </c>
      <c r="CF427" s="19">
        <f t="shared" si="734"/>
        <v>926.23529730861765</v>
      </c>
      <c r="CG427" s="15">
        <f t="shared" si="676"/>
        <v>5.3524705946172353E-6</v>
      </c>
      <c r="CH427" s="16">
        <f t="shared" si="677"/>
        <v>26.540705919049103</v>
      </c>
      <c r="CI427" s="17">
        <f t="shared" si="678"/>
        <v>1.3395593611467515E-2</v>
      </c>
      <c r="CJ427" s="18">
        <f t="shared" si="735"/>
        <v>0.44710871315600081</v>
      </c>
      <c r="CK427" s="19">
        <f t="shared" si="736"/>
        <v>890.12309873311676</v>
      </c>
      <c r="CL427" s="15">
        <f t="shared" si="679"/>
        <v>5.2802461974662337E-6</v>
      </c>
      <c r="CM427" s="16">
        <f t="shared" si="680"/>
        <v>26.125415635430841</v>
      </c>
      <c r="CN427" s="17">
        <f t="shared" si="681"/>
        <v>1.321483807886524E-2</v>
      </c>
      <c r="CO427" s="18">
        <f t="shared" si="737"/>
        <v>0.45421596484094379</v>
      </c>
      <c r="CP427" s="19">
        <f t="shared" si="738"/>
        <v>820.06509467252192</v>
      </c>
      <c r="CQ427" s="15">
        <f t="shared" si="682"/>
        <v>5.1401301893450442E-6</v>
      </c>
      <c r="CR427" s="16">
        <f t="shared" si="683"/>
        <v>25.319748588734001</v>
      </c>
      <c r="CS427" s="17">
        <f t="shared" si="684"/>
        <v>1.2864170649670936E-2</v>
      </c>
      <c r="CT427" s="18">
        <f t="shared" si="739"/>
        <v>0.46866898492814907</v>
      </c>
      <c r="CU427" s="19">
        <f t="shared" si="740"/>
        <v>694.70455684178671</v>
      </c>
      <c r="CV427" s="15">
        <f t="shared" si="685"/>
        <v>4.8894091136835739E-6</v>
      </c>
      <c r="CW427" s="16">
        <f t="shared" si="686"/>
        <v>24.933324986198187</v>
      </c>
      <c r="CX427" s="17">
        <f t="shared" si="687"/>
        <v>1.2236692631805948E-2</v>
      </c>
      <c r="CY427" s="18">
        <f t="shared" si="741"/>
        <v>0.47593254715472688</v>
      </c>
      <c r="CZ427" s="20">
        <f t="shared" si="691"/>
        <v>500.7085248196334</v>
      </c>
      <c r="DA427" s="15">
        <f t="shared" si="688"/>
        <v>7.204369610547144E-6</v>
      </c>
      <c r="DB427" s="16">
        <f t="shared" si="689"/>
        <v>38.974452780230628</v>
      </c>
      <c r="DC427" s="17">
        <f t="shared" si="690"/>
        <v>1.8030329326189865E-2</v>
      </c>
      <c r="DD427" s="18">
        <f t="shared" si="742"/>
        <v>0.30447075002261725</v>
      </c>
    </row>
    <row r="428" spans="2:108" x14ac:dyDescent="0.25">
      <c r="B428">
        <v>161</v>
      </c>
      <c r="C428">
        <f t="shared" si="743"/>
        <v>0.15739596128158548</v>
      </c>
      <c r="D428" s="19">
        <f t="shared" si="640"/>
        <v>1017.3579422582137</v>
      </c>
      <c r="E428" s="15">
        <f t="shared" si="692"/>
        <v>5.5347158845164277E-6</v>
      </c>
      <c r="F428" s="16">
        <f t="shared" si="641"/>
        <v>27.588616335969455</v>
      </c>
      <c r="G428" s="17">
        <f t="shared" si="638"/>
        <v>1.3851697722258662E-2</v>
      </c>
      <c r="H428" s="18">
        <f t="shared" si="693"/>
        <v>0.43012598838624977</v>
      </c>
      <c r="I428" s="19">
        <f t="shared" si="694"/>
        <v>1017.0332988761511</v>
      </c>
      <c r="J428" s="15">
        <f t="shared" si="695"/>
        <v>5.5340665977523033E-6</v>
      </c>
      <c r="K428" s="16">
        <f t="shared" si="642"/>
        <v>27.584882937075736</v>
      </c>
      <c r="L428" s="17">
        <f t="shared" si="696"/>
        <v>1.3850072756464687E-2</v>
      </c>
      <c r="M428" s="18">
        <f t="shared" si="697"/>
        <v>0.43018420258613832</v>
      </c>
      <c r="N428" s="19">
        <f t="shared" si="698"/>
        <v>1016.1272453833805</v>
      </c>
      <c r="O428" s="15">
        <f t="shared" si="699"/>
        <v>5.5322544907667607E-6</v>
      </c>
      <c r="P428" s="16">
        <f t="shared" si="700"/>
        <v>27.574463321908873</v>
      </c>
      <c r="Q428" s="17">
        <f t="shared" si="639"/>
        <v>1.3851697722258662E-2</v>
      </c>
      <c r="R428" s="18">
        <f t="shared" si="701"/>
        <v>0.43034675711311077</v>
      </c>
      <c r="S428" s="19">
        <f t="shared" si="702"/>
        <v>1014.6256506869858</v>
      </c>
      <c r="T428" s="15">
        <f t="shared" si="703"/>
        <v>5.5292513013739718E-6</v>
      </c>
      <c r="U428" s="16">
        <f t="shared" si="704"/>
        <v>27.557194982900334</v>
      </c>
      <c r="V428" s="17">
        <f t="shared" si="705"/>
        <v>1.3838021545297311E-2</v>
      </c>
      <c r="W428" s="18">
        <f t="shared" si="706"/>
        <v>0.4306164280174849</v>
      </c>
      <c r="X428" s="19">
        <f t="shared" si="707"/>
        <v>1012.526531740382</v>
      </c>
      <c r="Y428" s="15">
        <f t="shared" si="708"/>
        <v>5.5250530634807644E-6</v>
      </c>
      <c r="Z428" s="16">
        <f t="shared" si="709"/>
        <v>27.533055115014392</v>
      </c>
      <c r="AA428" s="17">
        <f t="shared" si="710"/>
        <v>1.3827514642418064E-2</v>
      </c>
      <c r="AB428" s="18">
        <f t="shared" si="711"/>
        <v>0.43099397506551268</v>
      </c>
      <c r="AC428" s="19">
        <f t="shared" si="712"/>
        <v>1009.8284264294879</v>
      </c>
      <c r="AD428" s="15">
        <f t="shared" si="643"/>
        <v>5.5196568528589766E-6</v>
      </c>
      <c r="AE428" s="16">
        <f t="shared" si="644"/>
        <v>27.502026903939111</v>
      </c>
      <c r="AF428" s="17">
        <f t="shared" si="645"/>
        <v>1.3814009580922902E-2</v>
      </c>
      <c r="AG428" s="18">
        <f t="shared" si="713"/>
        <v>0.43148022911788547</v>
      </c>
      <c r="AH428" s="19">
        <f t="shared" si="714"/>
        <v>1006.5310223808709</v>
      </c>
      <c r="AI428" s="15">
        <f t="shared" si="646"/>
        <v>5.5130620447617424E-6</v>
      </c>
      <c r="AJ428" s="16">
        <f t="shared" si="647"/>
        <v>27.464106757380016</v>
      </c>
      <c r="AK428" s="17">
        <f t="shared" si="648"/>
        <v>1.3797504797261877E-2</v>
      </c>
      <c r="AL428" s="18">
        <f t="shared" si="715"/>
        <v>0.43207598100852745</v>
      </c>
      <c r="AM428" s="19">
        <f t="shared" si="716"/>
        <v>1002.63421260619</v>
      </c>
      <c r="AN428" s="15">
        <f t="shared" si="649"/>
        <v>5.5052684252123806E-6</v>
      </c>
      <c r="AO428" s="16">
        <f t="shared" si="650"/>
        <v>27.419293444971181</v>
      </c>
      <c r="AP428" s="17">
        <f t="shared" si="651"/>
        <v>1.3777999755916927E-2</v>
      </c>
      <c r="AQ428" s="18">
        <f t="shared" si="717"/>
        <v>0.43278215368800038</v>
      </c>
      <c r="AR428" s="19">
        <f t="shared" si="718"/>
        <v>998.13792276936249</v>
      </c>
      <c r="AS428" s="15">
        <f t="shared" si="652"/>
        <v>5.4962758455387254E-6</v>
      </c>
      <c r="AT428" s="16">
        <f t="shared" si="653"/>
        <v>27.367586111847668</v>
      </c>
      <c r="AU428" s="17">
        <f t="shared" si="654"/>
        <v>1.3755494084807184E-2</v>
      </c>
      <c r="AV428" s="18">
        <f t="shared" si="719"/>
        <v>0.43359983672731556</v>
      </c>
      <c r="AW428" s="19">
        <f t="shared" si="720"/>
        <v>993.0418545342435</v>
      </c>
      <c r="AX428" s="15">
        <f t="shared" si="655"/>
        <v>5.4860837090684868E-6</v>
      </c>
      <c r="AY428" s="16">
        <f t="shared" si="656"/>
        <v>27.308981327143798</v>
      </c>
      <c r="AZ428" s="17">
        <f t="shared" si="657"/>
        <v>1.3729986290644756E-2</v>
      </c>
      <c r="BA428" s="18">
        <f t="shared" si="721"/>
        <v>0.43453033738475977</v>
      </c>
      <c r="BB428" s="19">
        <f t="shared" si="722"/>
        <v>987.34441288196251</v>
      </c>
      <c r="BC428" s="15">
        <f t="shared" si="658"/>
        <v>5.4746888257639253E-6</v>
      </c>
      <c r="BD428" s="16">
        <f t="shared" si="659"/>
        <v>27.243460748142567</v>
      </c>
      <c r="BE428" s="17">
        <f t="shared" si="660"/>
        <v>1.3701468389742786E-2</v>
      </c>
      <c r="BF428" s="18">
        <f t="shared" si="723"/>
        <v>0.4355753837378003</v>
      </c>
      <c r="BG428" s="19">
        <f t="shared" si="724"/>
        <v>981.03768661514823</v>
      </c>
      <c r="BH428" s="15">
        <f t="shared" si="661"/>
        <v>5.4620753732302974E-6</v>
      </c>
      <c r="BI428" s="16">
        <f t="shared" si="662"/>
        <v>27.170933396074204</v>
      </c>
      <c r="BJ428" s="17">
        <f t="shared" si="663"/>
        <v>1.3669900783496069E-2</v>
      </c>
      <c r="BK428" s="18">
        <f t="shared" si="725"/>
        <v>0.43673806478184674</v>
      </c>
      <c r="BL428" s="19">
        <f t="shared" si="726"/>
        <v>974.08601783546499</v>
      </c>
      <c r="BM428" s="15">
        <f t="shared" si="664"/>
        <v>5.4481720356709306E-6</v>
      </c>
      <c r="BN428" s="16">
        <f t="shared" si="665"/>
        <v>27.090989205107846</v>
      </c>
      <c r="BO428" s="17">
        <f t="shared" si="666"/>
        <v>1.3635104990320553E-2</v>
      </c>
      <c r="BP428" s="18">
        <f t="shared" si="727"/>
        <v>0.43802685756046605</v>
      </c>
      <c r="BQ428" s="19">
        <f t="shared" si="728"/>
        <v>966.34487345099296</v>
      </c>
      <c r="BR428" s="15">
        <f t="shared" si="667"/>
        <v>5.4326897469019863E-6</v>
      </c>
      <c r="BS428" s="16">
        <f t="shared" si="668"/>
        <v>27.001966044686419</v>
      </c>
      <c r="BT428" s="17">
        <f t="shared" si="669"/>
        <v>1.3596357566143625E-2</v>
      </c>
      <c r="BU428" s="18">
        <f t="shared" si="729"/>
        <v>0.43947099444831217</v>
      </c>
      <c r="BV428" s="19">
        <f t="shared" si="730"/>
        <v>957.29421635273968</v>
      </c>
      <c r="BW428" s="15">
        <f t="shared" si="670"/>
        <v>5.4145884327054795E-6</v>
      </c>
      <c r="BX428" s="16">
        <f t="shared" si="671"/>
        <v>26.897883488056507</v>
      </c>
      <c r="BY428" s="17">
        <f t="shared" si="672"/>
        <v>1.3551055523932737E-2</v>
      </c>
      <c r="BZ428" s="18">
        <f t="shared" si="731"/>
        <v>0.44117154700989869</v>
      </c>
      <c r="CA428" s="19">
        <f t="shared" si="732"/>
        <v>945.30057094733388</v>
      </c>
      <c r="CB428" s="15">
        <f t="shared" si="673"/>
        <v>5.3906011418946687E-6</v>
      </c>
      <c r="CC428" s="16">
        <f t="shared" si="674"/>
        <v>26.759956565894338</v>
      </c>
      <c r="CD428" s="17">
        <f t="shared" si="675"/>
        <v>1.349102268603824E-2</v>
      </c>
      <c r="CE428" s="18">
        <f t="shared" si="733"/>
        <v>0.4434454458286341</v>
      </c>
      <c r="CF428" s="19">
        <f t="shared" si="734"/>
        <v>925.9835213729416</v>
      </c>
      <c r="CG428" s="15">
        <f t="shared" si="676"/>
        <v>5.3519670427458839E-6</v>
      </c>
      <c r="CH428" s="16">
        <f t="shared" si="677"/>
        <v>26.537810495788825</v>
      </c>
      <c r="CI428" s="17">
        <f t="shared" si="678"/>
        <v>1.3394333375449086E-2</v>
      </c>
      <c r="CJ428" s="18">
        <f t="shared" si="735"/>
        <v>0.44715749521238601</v>
      </c>
      <c r="CK428" s="19">
        <f t="shared" si="736"/>
        <v>889.62659144220288</v>
      </c>
      <c r="CL428" s="15">
        <f t="shared" si="679"/>
        <v>5.2792531828844068E-6</v>
      </c>
      <c r="CM428" s="16">
        <f t="shared" si="680"/>
        <v>26.119705801585333</v>
      </c>
      <c r="CN428" s="17">
        <f t="shared" si="681"/>
        <v>1.3212352867680374E-2</v>
      </c>
      <c r="CO428" s="18">
        <f t="shared" si="737"/>
        <v>0.45431525760131869</v>
      </c>
      <c r="CP428" s="19">
        <f t="shared" si="738"/>
        <v>819.26269756153079</v>
      </c>
      <c r="CQ428" s="15">
        <f t="shared" si="682"/>
        <v>5.1385253951230619E-6</v>
      </c>
      <c r="CR428" s="16">
        <f t="shared" si="683"/>
        <v>25.310521021957605</v>
      </c>
      <c r="CS428" s="17">
        <f t="shared" si="684"/>
        <v>1.2860154341529173E-2</v>
      </c>
      <c r="CT428" s="18">
        <f t="shared" si="739"/>
        <v>0.46883984961918795</v>
      </c>
      <c r="CU428" s="19">
        <f t="shared" si="740"/>
        <v>693.71381550953879</v>
      </c>
      <c r="CV428" s="15">
        <f t="shared" si="685"/>
        <v>4.8874276310190785E-6</v>
      </c>
      <c r="CW428" s="16">
        <f t="shared" si="686"/>
        <v>25.132265845713476</v>
      </c>
      <c r="CX428" s="17">
        <f t="shared" si="687"/>
        <v>1.2231733587930315E-2</v>
      </c>
      <c r="CY428" s="18">
        <f t="shared" si="741"/>
        <v>0.47216518170572536</v>
      </c>
      <c r="CZ428" s="20">
        <f t="shared" si="691"/>
        <v>500.09689789815724</v>
      </c>
      <c r="DA428" s="15">
        <f t="shared" si="688"/>
        <v>7.2135464845634295E-6</v>
      </c>
      <c r="DB428" s="16">
        <f t="shared" si="689"/>
        <v>38.992189960953439</v>
      </c>
      <c r="DC428" s="17">
        <f t="shared" si="690"/>
        <v>1.8053296229561443E-2</v>
      </c>
      <c r="DD428" s="18">
        <f t="shared" si="742"/>
        <v>0.30433224914017465</v>
      </c>
    </row>
    <row r="429" spans="2:108" x14ac:dyDescent="0.25">
      <c r="B429">
        <v>162</v>
      </c>
      <c r="C429">
        <f t="shared" si="743"/>
        <v>0.15837357594793072</v>
      </c>
      <c r="D429" s="19">
        <f t="shared" si="640"/>
        <v>1017.3413676071151</v>
      </c>
      <c r="E429" s="15">
        <f t="shared" si="692"/>
        <v>5.5346827352142302E-6</v>
      </c>
      <c r="F429" s="16">
        <f t="shared" si="641"/>
        <v>27.588425727481823</v>
      </c>
      <c r="G429" s="17">
        <f t="shared" si="638"/>
        <v>1.3851614759714003E-2</v>
      </c>
      <c r="H429" s="18">
        <f t="shared" si="693"/>
        <v>0.43012896012754981</v>
      </c>
      <c r="I429" s="19">
        <f t="shared" si="694"/>
        <v>1017.016721837782</v>
      </c>
      <c r="J429" s="15">
        <f t="shared" si="695"/>
        <v>5.5340334436755648E-6</v>
      </c>
      <c r="K429" s="16">
        <f t="shared" si="642"/>
        <v>27.584692301134492</v>
      </c>
      <c r="L429" s="17">
        <f t="shared" si="696"/>
        <v>1.3849989781970816E-2</v>
      </c>
      <c r="M429" s="18">
        <f t="shared" si="697"/>
        <v>0.4301871755600426</v>
      </c>
      <c r="N429" s="19">
        <f t="shared" si="698"/>
        <v>1016.1106606680909</v>
      </c>
      <c r="O429" s="15">
        <f t="shared" si="699"/>
        <v>5.5322213213361822E-6</v>
      </c>
      <c r="P429" s="16">
        <f t="shared" si="700"/>
        <v>27.574272597683045</v>
      </c>
      <c r="Q429" s="17">
        <f t="shared" si="639"/>
        <v>1.3851614759714003E-2</v>
      </c>
      <c r="R429" s="18">
        <f t="shared" si="701"/>
        <v>0.43034973371210522</v>
      </c>
      <c r="S429" s="19">
        <f t="shared" si="702"/>
        <v>1014.6090613948885</v>
      </c>
      <c r="T429" s="15">
        <f t="shared" si="703"/>
        <v>5.5292181227897776E-6</v>
      </c>
      <c r="U429" s="16">
        <f t="shared" si="704"/>
        <v>27.557004206041217</v>
      </c>
      <c r="V429" s="17">
        <f t="shared" si="705"/>
        <v>1.3837938509468789E-2</v>
      </c>
      <c r="W429" s="18">
        <f t="shared" si="706"/>
        <v>0.43061940917062508</v>
      </c>
      <c r="X429" s="19">
        <f t="shared" si="707"/>
        <v>1012.5099450421185</v>
      </c>
      <c r="Y429" s="15">
        <f t="shared" si="708"/>
        <v>5.525019890084237E-6</v>
      </c>
      <c r="Z429" s="16">
        <f t="shared" si="709"/>
        <v>27.532864367984359</v>
      </c>
      <c r="AA429" s="17">
        <f t="shared" si="710"/>
        <v>1.3827431619572682E-2</v>
      </c>
      <c r="AB429" s="18">
        <f t="shared" si="711"/>
        <v>0.43099696098152951</v>
      </c>
      <c r="AC429" s="19">
        <f t="shared" si="712"/>
        <v>1009.811849417603</v>
      </c>
      <c r="AD429" s="15">
        <f t="shared" si="643"/>
        <v>5.5196236988352065E-6</v>
      </c>
      <c r="AE429" s="16">
        <f t="shared" si="644"/>
        <v>27.501836268302434</v>
      </c>
      <c r="AF429" s="17">
        <f t="shared" si="645"/>
        <v>1.3813926606561593E-2</v>
      </c>
      <c r="AG429" s="18">
        <f t="shared" si="713"/>
        <v>0.43148322002756107</v>
      </c>
      <c r="AH429" s="19">
        <f t="shared" si="714"/>
        <v>1006.5144605390179</v>
      </c>
      <c r="AI429" s="15">
        <f t="shared" si="646"/>
        <v>5.5130289210780361E-6</v>
      </c>
      <c r="AJ429" s="16">
        <f t="shared" si="647"/>
        <v>27.463916296198704</v>
      </c>
      <c r="AK429" s="17">
        <f t="shared" si="648"/>
        <v>1.379742189883245E-2</v>
      </c>
      <c r="AL429" s="18">
        <f t="shared" si="715"/>
        <v>0.43207897743849294</v>
      </c>
      <c r="AM429" s="19">
        <f t="shared" si="716"/>
        <v>1002.6176696742541</v>
      </c>
      <c r="AN429" s="15">
        <f t="shared" si="649"/>
        <v>5.505235339348509E-6</v>
      </c>
      <c r="AO429" s="16">
        <f t="shared" si="650"/>
        <v>27.419103201253922</v>
      </c>
      <c r="AP429" s="17">
        <f t="shared" si="651"/>
        <v>1.3777916952138954E-2</v>
      </c>
      <c r="AQ429" s="18">
        <f t="shared" si="717"/>
        <v>0.43278515648809474</v>
      </c>
      <c r="AR429" s="19">
        <f t="shared" si="718"/>
        <v>998.1213989028455</v>
      </c>
      <c r="AS429" s="15">
        <f t="shared" si="652"/>
        <v>5.4962427978056911E-6</v>
      </c>
      <c r="AT429" s="16">
        <f t="shared" si="653"/>
        <v>27.367396087382723</v>
      </c>
      <c r="AU429" s="17">
        <f t="shared" si="654"/>
        <v>1.3755411376459014E-2</v>
      </c>
      <c r="AV429" s="18">
        <f t="shared" si="719"/>
        <v>0.43360284741114941</v>
      </c>
      <c r="AW429" s="19">
        <f t="shared" si="720"/>
        <v>993.02533410834974</v>
      </c>
      <c r="AX429" s="15">
        <f t="shared" si="655"/>
        <v>5.4860506682166999E-6</v>
      </c>
      <c r="AY429" s="16">
        <f t="shared" si="656"/>
        <v>27.308791342246021</v>
      </c>
      <c r="AZ429" s="17">
        <f t="shared" si="657"/>
        <v>1.3729903599518241E-2</v>
      </c>
      <c r="BA429" s="18">
        <f t="shared" si="721"/>
        <v>0.43453336037470808</v>
      </c>
      <c r="BB429" s="19">
        <f t="shared" si="722"/>
        <v>987.32780665952419</v>
      </c>
      <c r="BC429" s="15">
        <f t="shared" si="658"/>
        <v>5.4746556133190486E-6</v>
      </c>
      <c r="BD429" s="16">
        <f t="shared" si="659"/>
        <v>27.243269776584526</v>
      </c>
      <c r="BE429" s="17">
        <f t="shared" si="660"/>
        <v>1.3701385269171352E-2</v>
      </c>
      <c r="BF429" s="18">
        <f t="shared" si="723"/>
        <v>0.43557843706107457</v>
      </c>
      <c r="BG429" s="19">
        <f t="shared" si="724"/>
        <v>981.02059281027641</v>
      </c>
      <c r="BH429" s="15">
        <f t="shared" si="661"/>
        <v>5.4620411856205535E-6</v>
      </c>
      <c r="BI429" s="16">
        <f t="shared" si="662"/>
        <v>27.170736817318179</v>
      </c>
      <c r="BJ429" s="17">
        <f t="shared" si="663"/>
        <v>1.3669815222385815E-2</v>
      </c>
      <c r="BK429" s="18">
        <f t="shared" si="725"/>
        <v>0.43674122455723524</v>
      </c>
      <c r="BL429" s="19">
        <f t="shared" si="726"/>
        <v>974.06685718144786</v>
      </c>
      <c r="BM429" s="15">
        <f t="shared" si="664"/>
        <v>5.4481337143628957E-6</v>
      </c>
      <c r="BN429" s="16">
        <f t="shared" si="665"/>
        <v>27.090768857586649</v>
      </c>
      <c r="BO429" s="17">
        <f t="shared" si="666"/>
        <v>1.3635009083830266E-2</v>
      </c>
      <c r="BP429" s="18">
        <f t="shared" si="727"/>
        <v>0.43803042032875766</v>
      </c>
      <c r="BQ429" s="19">
        <f t="shared" si="728"/>
        <v>966.31821221917778</v>
      </c>
      <c r="BR429" s="15">
        <f t="shared" si="667"/>
        <v>5.4326364244383559E-6</v>
      </c>
      <c r="BS429" s="16">
        <f t="shared" si="668"/>
        <v>27.001659440520541</v>
      </c>
      <c r="BT429" s="17">
        <f t="shared" si="669"/>
        <v>1.3596224116358049E-2</v>
      </c>
      <c r="BU429" s="18">
        <f t="shared" si="729"/>
        <v>0.43947598464671006</v>
      </c>
      <c r="BV429" s="19">
        <f t="shared" si="730"/>
        <v>957.24398414367192</v>
      </c>
      <c r="BW429" s="15">
        <f t="shared" si="670"/>
        <v>5.4144879682873449E-6</v>
      </c>
      <c r="BX429" s="16">
        <f t="shared" si="671"/>
        <v>26.897305817652224</v>
      </c>
      <c r="BY429" s="17">
        <f t="shared" si="672"/>
        <v>1.3550804092281885E-2</v>
      </c>
      <c r="BZ429" s="18">
        <f t="shared" si="731"/>
        <v>0.44118102200147019</v>
      </c>
      <c r="CA429" s="19">
        <f t="shared" si="732"/>
        <v>945.18719009569588</v>
      </c>
      <c r="CB429" s="15">
        <f t="shared" si="673"/>
        <v>5.3903743801913921E-6</v>
      </c>
      <c r="CC429" s="16">
        <f t="shared" si="674"/>
        <v>26.758652686100504</v>
      </c>
      <c r="CD429" s="17">
        <f t="shared" si="675"/>
        <v>1.3490455170987006E-2</v>
      </c>
      <c r="CE429" s="18">
        <f t="shared" si="733"/>
        <v>0.44346705377591256</v>
      </c>
      <c r="CF429" s="19">
        <f t="shared" si="734"/>
        <v>925.73017477697829</v>
      </c>
      <c r="CG429" s="15">
        <f t="shared" si="676"/>
        <v>5.3514603495539574E-6</v>
      </c>
      <c r="CH429" s="16">
        <f t="shared" si="677"/>
        <v>26.53489700993525</v>
      </c>
      <c r="CI429" s="17">
        <f t="shared" si="678"/>
        <v>1.3393065277667929E-2</v>
      </c>
      <c r="CJ429" s="18">
        <f t="shared" si="735"/>
        <v>0.44720659233291121</v>
      </c>
      <c r="CK429" s="19">
        <f t="shared" si="736"/>
        <v>889.129095161191</v>
      </c>
      <c r="CL429" s="15">
        <f t="shared" si="679"/>
        <v>5.2782581903223825E-6</v>
      </c>
      <c r="CM429" s="16">
        <f t="shared" si="680"/>
        <v>26.113984594353695</v>
      </c>
      <c r="CN429" s="17">
        <f t="shared" si="681"/>
        <v>1.3209862706217233E-2</v>
      </c>
      <c r="CO429" s="18">
        <f t="shared" si="737"/>
        <v>0.45441479169301735</v>
      </c>
      <c r="CP429" s="19">
        <f t="shared" si="738"/>
        <v>818.46182308677498</v>
      </c>
      <c r="CQ429" s="15">
        <f t="shared" si="682"/>
        <v>5.1369236461735506E-6</v>
      </c>
      <c r="CR429" s="16">
        <f t="shared" si="683"/>
        <v>25.301310965497912</v>
      </c>
      <c r="CS429" s="17">
        <f t="shared" si="684"/>
        <v>1.2856145654771169E-2</v>
      </c>
      <c r="CT429" s="18">
        <f t="shared" si="739"/>
        <v>0.46901051435238833</v>
      </c>
      <c r="CU429" s="19">
        <f t="shared" si="740"/>
        <v>692.73074287709801</v>
      </c>
      <c r="CV429" s="15">
        <f t="shared" si="685"/>
        <v>4.8854614857541964E-6</v>
      </c>
      <c r="CW429" s="16">
        <f t="shared" si="686"/>
        <v>25.329666830307502</v>
      </c>
      <c r="CX429" s="17">
        <f t="shared" si="687"/>
        <v>1.2226812928865703E-2</v>
      </c>
      <c r="CY429" s="18">
        <f t="shared" si="741"/>
        <v>0.46848546999123075</v>
      </c>
      <c r="CZ429" s="20">
        <f t="shared" si="691"/>
        <v>499.52481324286418</v>
      </c>
      <c r="DA429" s="15">
        <f t="shared" si="688"/>
        <v>7.2221266744892029E-6</v>
      </c>
      <c r="DB429" s="16">
        <f t="shared" si="689"/>
        <v>39.008780415956934</v>
      </c>
      <c r="DC429" s="17">
        <f t="shared" si="690"/>
        <v>1.8074769815510792E-2</v>
      </c>
      <c r="DD429" s="18">
        <f t="shared" si="742"/>
        <v>0.30420281647317932</v>
      </c>
    </row>
    <row r="430" spans="2:108" x14ac:dyDescent="0.25">
      <c r="B430">
        <v>163</v>
      </c>
      <c r="C430">
        <f t="shared" si="743"/>
        <v>0.15935119061427599</v>
      </c>
      <c r="D430" s="19">
        <f t="shared" si="640"/>
        <v>1017.3247928341345</v>
      </c>
      <c r="E430" s="15">
        <f t="shared" si="692"/>
        <v>5.5346495856682693E-6</v>
      </c>
      <c r="F430" s="16">
        <f t="shared" si="641"/>
        <v>27.588235117592546</v>
      </c>
      <c r="G430" s="17">
        <f t="shared" si="638"/>
        <v>1.3851531796559281E-2</v>
      </c>
      <c r="H430" s="18">
        <f t="shared" si="693"/>
        <v>0.43013193193176691</v>
      </c>
      <c r="I430" s="19">
        <f t="shared" si="694"/>
        <v>1017.0001447557279</v>
      </c>
      <c r="J430" s="15">
        <f t="shared" si="695"/>
        <v>5.5340002895114567E-6</v>
      </c>
      <c r="K430" s="16">
        <f t="shared" si="642"/>
        <v>27.584501664690869</v>
      </c>
      <c r="L430" s="17">
        <f t="shared" si="696"/>
        <v>1.3849906807258285E-2</v>
      </c>
      <c r="M430" s="18">
        <f t="shared" si="697"/>
        <v>0.43019014858287397</v>
      </c>
      <c r="N430" s="19">
        <f t="shared" si="698"/>
        <v>1016.0940760526677</v>
      </c>
      <c r="O430" s="15">
        <f t="shared" si="699"/>
        <v>5.5321881521053357E-6</v>
      </c>
      <c r="P430" s="16">
        <f t="shared" si="700"/>
        <v>27.574081874605678</v>
      </c>
      <c r="Q430" s="17">
        <f t="shared" si="639"/>
        <v>1.3851531796559281E-2</v>
      </c>
      <c r="R430" s="18">
        <f t="shared" si="701"/>
        <v>0.43035271033435257</v>
      </c>
      <c r="S430" s="19">
        <f t="shared" si="702"/>
        <v>1014.592472296898</v>
      </c>
      <c r="T430" s="15">
        <f t="shared" si="703"/>
        <v>5.5291849445937963E-6</v>
      </c>
      <c r="U430" s="16">
        <f t="shared" si="704"/>
        <v>27.556813431414326</v>
      </c>
      <c r="V430" s="17">
        <f t="shared" si="705"/>
        <v>1.3837855474611844E-2</v>
      </c>
      <c r="W430" s="18">
        <f t="shared" si="706"/>
        <v>0.43062239033016009</v>
      </c>
      <c r="X430" s="19">
        <f t="shared" si="707"/>
        <v>1012.4933585627709</v>
      </c>
      <c r="Y430" s="15">
        <f t="shared" si="708"/>
        <v>5.5249867171255417E-6</v>
      </c>
      <c r="Z430" s="16">
        <f t="shared" si="709"/>
        <v>27.532673623471865</v>
      </c>
      <c r="AA430" s="17">
        <f t="shared" si="710"/>
        <v>1.3827348597823058E-2</v>
      </c>
      <c r="AB430" s="18">
        <f t="shared" si="711"/>
        <v>0.43099994689950943</v>
      </c>
      <c r="AC430" s="19">
        <f t="shared" si="712"/>
        <v>1009.7952726154429</v>
      </c>
      <c r="AD430" s="15">
        <f t="shared" si="643"/>
        <v>5.5195905452308863E-6</v>
      </c>
      <c r="AE430" s="16">
        <f t="shared" si="644"/>
        <v>27.501645635077594</v>
      </c>
      <c r="AF430" s="17">
        <f t="shared" si="645"/>
        <v>1.381384363325004E-2</v>
      </c>
      <c r="AG430" s="18">
        <f t="shared" si="713"/>
        <v>0.43148621094086093</v>
      </c>
      <c r="AH430" s="19">
        <f t="shared" si="714"/>
        <v>1006.4978988875371</v>
      </c>
      <c r="AI430" s="15">
        <f t="shared" si="646"/>
        <v>5.5129957977750753E-6</v>
      </c>
      <c r="AJ430" s="16">
        <f t="shared" si="647"/>
        <v>27.463725837206674</v>
      </c>
      <c r="AK430" s="17">
        <f t="shared" si="648"/>
        <v>1.3797339001355912E-2</v>
      </c>
      <c r="AL430" s="18">
        <f t="shared" si="715"/>
        <v>0.4320819738755754</v>
      </c>
      <c r="AM430" s="19">
        <f t="shared" si="716"/>
        <v>1002.6011268812824</v>
      </c>
      <c r="AN430" s="15">
        <f t="shared" si="649"/>
        <v>5.5052022537625658E-6</v>
      </c>
      <c r="AO430" s="16">
        <f t="shared" si="650"/>
        <v>27.418912959134747</v>
      </c>
      <c r="AP430" s="17">
        <f t="shared" si="651"/>
        <v>1.3777834149056556E-2</v>
      </c>
      <c r="AQ430" s="18">
        <f t="shared" si="717"/>
        <v>0.43278815930463382</v>
      </c>
      <c r="AR430" s="19">
        <f t="shared" si="718"/>
        <v>998.10487493973869</v>
      </c>
      <c r="AS430" s="15">
        <f t="shared" si="652"/>
        <v>5.4962097498794774E-6</v>
      </c>
      <c r="AT430" s="16">
        <f t="shared" si="653"/>
        <v>27.367206061806996</v>
      </c>
      <c r="AU430" s="17">
        <f t="shared" si="654"/>
        <v>1.3755328667627374E-2</v>
      </c>
      <c r="AV430" s="18">
        <f t="shared" si="719"/>
        <v>0.4336058581543919</v>
      </c>
      <c r="AW430" s="19">
        <f t="shared" si="720"/>
        <v>993.00881249136864</v>
      </c>
      <c r="AX430" s="15">
        <f t="shared" si="655"/>
        <v>5.4860176249827378E-6</v>
      </c>
      <c r="AY430" s="16">
        <f t="shared" si="656"/>
        <v>27.308601343650739</v>
      </c>
      <c r="AZ430" s="17">
        <f t="shared" si="657"/>
        <v>1.3729820902429871E-2</v>
      </c>
      <c r="BA430" s="18">
        <f t="shared" si="721"/>
        <v>0.43453638362467373</v>
      </c>
      <c r="BB430" s="19">
        <f t="shared" si="722"/>
        <v>987.31119462703964</v>
      </c>
      <c r="BC430" s="15">
        <f t="shared" si="658"/>
        <v>5.4746223892540801E-6</v>
      </c>
      <c r="BD430" s="16">
        <f t="shared" si="659"/>
        <v>27.243078738210954</v>
      </c>
      <c r="BE430" s="17">
        <f t="shared" si="660"/>
        <v>1.3701302119518389E-2</v>
      </c>
      <c r="BF430" s="18">
        <f t="shared" si="723"/>
        <v>0.43558149149544961</v>
      </c>
      <c r="BG430" s="19">
        <f t="shared" si="724"/>
        <v>981.00347588026614</v>
      </c>
      <c r="BH430" s="15">
        <f t="shared" si="661"/>
        <v>5.462006951760533E-6</v>
      </c>
      <c r="BI430" s="16">
        <f t="shared" si="662"/>
        <v>27.170539972623061</v>
      </c>
      <c r="BJ430" s="17">
        <f t="shared" si="663"/>
        <v>1.3669729545525292E-2</v>
      </c>
      <c r="BK430" s="18">
        <f t="shared" si="725"/>
        <v>0.43674438865310083</v>
      </c>
      <c r="BL430" s="19">
        <f t="shared" si="726"/>
        <v>974.04761692058173</v>
      </c>
      <c r="BM430" s="15">
        <f t="shared" si="664"/>
        <v>5.4480952338411642E-6</v>
      </c>
      <c r="BN430" s="16">
        <f t="shared" si="665"/>
        <v>27.090547594586688</v>
      </c>
      <c r="BO430" s="17">
        <f t="shared" si="666"/>
        <v>1.3634912778876887E-2</v>
      </c>
      <c r="BP430" s="18">
        <f t="shared" si="727"/>
        <v>0.43803399795761649</v>
      </c>
      <c r="BQ430" s="19">
        <f t="shared" si="728"/>
        <v>966.29131576264149</v>
      </c>
      <c r="BR430" s="15">
        <f t="shared" si="667"/>
        <v>5.4325826315252829E-6</v>
      </c>
      <c r="BS430" s="16">
        <f t="shared" si="668"/>
        <v>27.001350131270378</v>
      </c>
      <c r="BT430" s="17">
        <f t="shared" si="669"/>
        <v>1.359608948918169E-2</v>
      </c>
      <c r="BU430" s="18">
        <f t="shared" si="729"/>
        <v>0.43948101898708986</v>
      </c>
      <c r="BV430" s="19">
        <f t="shared" si="730"/>
        <v>957.19317222166751</v>
      </c>
      <c r="BW430" s="15">
        <f t="shared" si="670"/>
        <v>5.4143863444433351E-6</v>
      </c>
      <c r="BX430" s="16">
        <f t="shared" si="671"/>
        <v>26.896721480549175</v>
      </c>
      <c r="BY430" s="17">
        <f t="shared" si="672"/>
        <v>1.3550549758943377E-2</v>
      </c>
      <c r="BZ430" s="18">
        <f t="shared" si="731"/>
        <v>0.44119060675478311</v>
      </c>
      <c r="CA430" s="19">
        <f t="shared" si="732"/>
        <v>945.07267871440888</v>
      </c>
      <c r="CB430" s="15">
        <f t="shared" si="673"/>
        <v>5.3901453574288184E-6</v>
      </c>
      <c r="CC430" s="16">
        <f t="shared" si="674"/>
        <v>26.757335805215703</v>
      </c>
      <c r="CD430" s="17">
        <f t="shared" si="675"/>
        <v>1.3489881997197261E-2</v>
      </c>
      <c r="CE430" s="18">
        <f t="shared" si="733"/>
        <v>0.44348887931528641</v>
      </c>
      <c r="CF430" s="19">
        <f t="shared" si="734"/>
        <v>925.47527158873174</v>
      </c>
      <c r="CG430" s="15">
        <f t="shared" si="676"/>
        <v>5.3509505431774644E-6</v>
      </c>
      <c r="CH430" s="16">
        <f t="shared" si="677"/>
        <v>26.531965623270416</v>
      </c>
      <c r="CI430" s="17">
        <f t="shared" si="678"/>
        <v>1.3391789388539849E-2</v>
      </c>
      <c r="CJ430" s="18">
        <f t="shared" si="735"/>
        <v>0.44725600199444193</v>
      </c>
      <c r="CK430" s="19">
        <f t="shared" si="736"/>
        <v>888.63063744022463</v>
      </c>
      <c r="CL430" s="15">
        <f t="shared" si="679"/>
        <v>5.2772612748804503E-6</v>
      </c>
      <c r="CM430" s="16">
        <f t="shared" si="680"/>
        <v>26.108252330562582</v>
      </c>
      <c r="CN430" s="17">
        <f t="shared" si="681"/>
        <v>1.3207367732374957E-2</v>
      </c>
      <c r="CO430" s="18">
        <f t="shared" si="737"/>
        <v>0.45451456188918321</v>
      </c>
      <c r="CP430" s="19">
        <f t="shared" si="738"/>
        <v>817.66252220008073</v>
      </c>
      <c r="CQ430" s="15">
        <f t="shared" si="682"/>
        <v>5.1353250444001616E-6</v>
      </c>
      <c r="CR430" s="16">
        <f t="shared" si="683"/>
        <v>25.292119005300925</v>
      </c>
      <c r="CS430" s="17">
        <f t="shared" si="684"/>
        <v>1.2852144844430535E-2</v>
      </c>
      <c r="CT430" s="18">
        <f t="shared" si="739"/>
        <v>0.46918096768526218</v>
      </c>
      <c r="CU430" s="19">
        <f t="shared" si="740"/>
        <v>691.7556772692858</v>
      </c>
      <c r="CV430" s="15">
        <f t="shared" si="685"/>
        <v>4.8835113545385726E-6</v>
      </c>
      <c r="CW430" s="16">
        <f t="shared" si="686"/>
        <v>25.52546000435612</v>
      </c>
      <c r="CX430" s="17">
        <f t="shared" si="687"/>
        <v>1.2221932348058812E-2</v>
      </c>
      <c r="CY430" s="18">
        <f t="shared" si="741"/>
        <v>0.46489194975106318</v>
      </c>
      <c r="CZ430" s="20">
        <f t="shared" si="691"/>
        <v>498.98993829445919</v>
      </c>
      <c r="DA430" s="15">
        <f t="shared" si="688"/>
        <v>7.2301458450384381E-6</v>
      </c>
      <c r="DB430" s="16">
        <f t="shared" si="689"/>
        <v>39.024291789460676</v>
      </c>
      <c r="DC430" s="17">
        <f t="shared" si="690"/>
        <v>1.8094839341887384E-2</v>
      </c>
      <c r="DD430" s="18">
        <f t="shared" si="742"/>
        <v>0.30408190195325252</v>
      </c>
    </row>
    <row r="431" spans="2:108" x14ac:dyDescent="0.25">
      <c r="B431">
        <v>164</v>
      </c>
      <c r="C431">
        <f t="shared" si="743"/>
        <v>0.16032880528062124</v>
      </c>
      <c r="D431" s="19">
        <f t="shared" si="640"/>
        <v>1017.3082179432644</v>
      </c>
      <c r="E431" s="15">
        <f t="shared" si="692"/>
        <v>5.5346164358865292E-6</v>
      </c>
      <c r="F431" s="16">
        <f t="shared" si="641"/>
        <v>27.58804450634754</v>
      </c>
      <c r="G431" s="17">
        <f t="shared" si="638"/>
        <v>1.3851448832814474E-2</v>
      </c>
      <c r="H431" s="18">
        <f t="shared" si="693"/>
        <v>0.43013490379818692</v>
      </c>
      <c r="I431" s="19">
        <f t="shared" si="694"/>
        <v>1016.983567632432</v>
      </c>
      <c r="J431" s="15">
        <f t="shared" si="695"/>
        <v>5.5339671352648644E-6</v>
      </c>
      <c r="K431" s="16">
        <f t="shared" si="642"/>
        <v>27.584311027772969</v>
      </c>
      <c r="L431" s="17">
        <f t="shared" si="696"/>
        <v>1.384982383233932E-2</v>
      </c>
      <c r="M431" s="18">
        <f t="shared" si="697"/>
        <v>0.43019312165419532</v>
      </c>
      <c r="N431" s="19">
        <f t="shared" si="698"/>
        <v>1016.0774915372515</v>
      </c>
      <c r="O431" s="15">
        <f t="shared" si="699"/>
        <v>5.5321549830745042E-6</v>
      </c>
      <c r="P431" s="16">
        <f t="shared" si="700"/>
        <v>27.573891152678392</v>
      </c>
      <c r="Q431" s="17">
        <f t="shared" si="639"/>
        <v>1.3851448832814474E-2</v>
      </c>
      <c r="R431" s="18">
        <f t="shared" si="701"/>
        <v>0.43035568697982757</v>
      </c>
      <c r="S431" s="19">
        <f t="shared" si="702"/>
        <v>1014.5758833923269</v>
      </c>
      <c r="T431" s="15">
        <f t="shared" si="703"/>
        <v>5.5291517667846541E-6</v>
      </c>
      <c r="U431" s="16">
        <f t="shared" si="704"/>
        <v>27.556622659011758</v>
      </c>
      <c r="V431" s="17">
        <f t="shared" si="705"/>
        <v>1.383777244072304E-2</v>
      </c>
      <c r="W431" s="18">
        <f t="shared" si="706"/>
        <v>0.43062537149621299</v>
      </c>
      <c r="X431" s="19">
        <f t="shared" si="707"/>
        <v>1012.4767723018932</v>
      </c>
      <c r="Y431" s="15">
        <f t="shared" si="708"/>
        <v>5.5249535446037868E-6</v>
      </c>
      <c r="Z431" s="16">
        <f t="shared" si="709"/>
        <v>27.532482881471772</v>
      </c>
      <c r="AA431" s="17">
        <f t="shared" si="710"/>
        <v>1.3827265577166964E-2</v>
      </c>
      <c r="AB431" s="18">
        <f t="shared" si="711"/>
        <v>0.43100293281953223</v>
      </c>
      <c r="AC431" s="19">
        <f t="shared" si="712"/>
        <v>1009.778696022825</v>
      </c>
      <c r="AD431" s="15">
        <f t="shared" si="643"/>
        <v>5.5195573920456501E-6</v>
      </c>
      <c r="AE431" s="16">
        <f t="shared" si="644"/>
        <v>27.501455004262489</v>
      </c>
      <c r="AF431" s="17">
        <f t="shared" si="645"/>
        <v>1.3813760660987327E-2</v>
      </c>
      <c r="AG431" s="18">
        <f t="shared" si="713"/>
        <v>0.43148920185781736</v>
      </c>
      <c r="AH431" s="19">
        <f t="shared" si="714"/>
        <v>1006.4813374259016</v>
      </c>
      <c r="AI431" s="15">
        <f t="shared" si="646"/>
        <v>5.5129626748518038E-6</v>
      </c>
      <c r="AJ431" s="16">
        <f t="shared" si="647"/>
        <v>27.463535380397868</v>
      </c>
      <c r="AK431" s="17">
        <f t="shared" si="648"/>
        <v>1.3797256104829621E-2</v>
      </c>
      <c r="AL431" s="18">
        <f t="shared" si="715"/>
        <v>0.43208497031986948</v>
      </c>
      <c r="AM431" s="19">
        <f t="shared" si="716"/>
        <v>1002.5845842244497</v>
      </c>
      <c r="AN431" s="15">
        <f t="shared" si="649"/>
        <v>5.5051691684488997E-6</v>
      </c>
      <c r="AO431" s="16">
        <f t="shared" si="650"/>
        <v>27.418722718581172</v>
      </c>
      <c r="AP431" s="17">
        <f t="shared" si="651"/>
        <v>1.3777751346655582E-2</v>
      </c>
      <c r="AQ431" s="18">
        <f t="shared" si="717"/>
        <v>0.43279116213813024</v>
      </c>
      <c r="AR431" s="19">
        <f t="shared" si="718"/>
        <v>998.08835086706404</v>
      </c>
      <c r="AS431" s="15">
        <f t="shared" si="652"/>
        <v>5.4961767017341286E-6</v>
      </c>
      <c r="AT431" s="16">
        <f t="shared" si="653"/>
        <v>27.367016034971236</v>
      </c>
      <c r="AU431" s="17">
        <f t="shared" si="654"/>
        <v>1.3755245958247307E-2</v>
      </c>
      <c r="AV431" s="18">
        <f t="shared" si="719"/>
        <v>0.43360886895940942</v>
      </c>
      <c r="AW431" s="19">
        <f t="shared" si="720"/>
        <v>992.9922896304704</v>
      </c>
      <c r="AX431" s="15">
        <f t="shared" si="655"/>
        <v>5.4859845792609409E-6</v>
      </c>
      <c r="AY431" s="16">
        <f t="shared" si="656"/>
        <v>27.30841133075041</v>
      </c>
      <c r="AZ431" s="17">
        <f t="shared" si="657"/>
        <v>1.372973819911521E-2</v>
      </c>
      <c r="BA431" s="18">
        <f t="shared" si="721"/>
        <v>0.43453940714433409</v>
      </c>
      <c r="BB431" s="19">
        <f t="shared" si="722"/>
        <v>987.29457659521552</v>
      </c>
      <c r="BC431" s="15">
        <f t="shared" si="658"/>
        <v>5.4745891531904316E-6</v>
      </c>
      <c r="BD431" s="16">
        <f t="shared" si="659"/>
        <v>27.242887630844976</v>
      </c>
      <c r="BE431" s="17">
        <f t="shared" si="660"/>
        <v>1.3701218939836406E-2</v>
      </c>
      <c r="BF431" s="18">
        <f t="shared" si="723"/>
        <v>0.4355845470757771</v>
      </c>
      <c r="BG431" s="19">
        <f t="shared" si="724"/>
        <v>980.98633524284708</v>
      </c>
      <c r="BH431" s="15">
        <f t="shared" si="661"/>
        <v>5.4619726704856943E-6</v>
      </c>
      <c r="BI431" s="16">
        <f t="shared" si="662"/>
        <v>27.170342855292741</v>
      </c>
      <c r="BJ431" s="17">
        <f t="shared" si="663"/>
        <v>1.366964375000001E-2</v>
      </c>
      <c r="BK431" s="18">
        <f t="shared" si="725"/>
        <v>0.43674755717726643</v>
      </c>
      <c r="BL431" s="19">
        <f t="shared" si="726"/>
        <v>974.0282955780724</v>
      </c>
      <c r="BM431" s="15">
        <f t="shared" si="664"/>
        <v>5.4480565911561456E-6</v>
      </c>
      <c r="BN431" s="16">
        <f t="shared" si="665"/>
        <v>27.090325399147829</v>
      </c>
      <c r="BO431" s="17">
        <f t="shared" si="666"/>
        <v>1.3634816068078497E-2</v>
      </c>
      <c r="BP431" s="18">
        <f t="shared" si="727"/>
        <v>0.43803759072200665</v>
      </c>
      <c r="BQ431" s="19">
        <f t="shared" si="728"/>
        <v>966.26418124804115</v>
      </c>
      <c r="BR431" s="15">
        <f t="shared" si="667"/>
        <v>5.4325283624960829E-6</v>
      </c>
      <c r="BS431" s="16">
        <f t="shared" si="668"/>
        <v>27.001038084352473</v>
      </c>
      <c r="BT431" s="17">
        <f t="shared" si="669"/>
        <v>1.3595953670432571E-2</v>
      </c>
      <c r="BU431" s="18">
        <f t="shared" si="729"/>
        <v>0.43948609800283084</v>
      </c>
      <c r="BV431" s="19">
        <f t="shared" si="730"/>
        <v>957.14177736275519</v>
      </c>
      <c r="BW431" s="15">
        <f t="shared" si="670"/>
        <v>5.4142835547255111E-6</v>
      </c>
      <c r="BX431" s="16">
        <f t="shared" si="671"/>
        <v>26.896130439671683</v>
      </c>
      <c r="BY431" s="17">
        <f t="shared" si="672"/>
        <v>1.3550292507779999E-2</v>
      </c>
      <c r="BZ431" s="18">
        <f t="shared" si="731"/>
        <v>0.44120030189230269</v>
      </c>
      <c r="CA431" s="19">
        <f t="shared" si="732"/>
        <v>944.95703812011357</v>
      </c>
      <c r="CB431" s="15">
        <f t="shared" si="673"/>
        <v>5.3899140762402275E-6</v>
      </c>
      <c r="CC431" s="16">
        <f t="shared" si="674"/>
        <v>26.756005938381307</v>
      </c>
      <c r="CD431" s="17">
        <f t="shared" si="675"/>
        <v>1.34893031712593E-2</v>
      </c>
      <c r="CE431" s="18">
        <f t="shared" si="733"/>
        <v>0.44351092225971478</v>
      </c>
      <c r="CF431" s="19">
        <f t="shared" si="734"/>
        <v>925.2188258956088</v>
      </c>
      <c r="CG431" s="15">
        <f t="shared" si="676"/>
        <v>5.3504376517912177E-6</v>
      </c>
      <c r="CH431" s="16">
        <f t="shared" si="677"/>
        <v>26.5290164977995</v>
      </c>
      <c r="CI431" s="17">
        <f t="shared" si="678"/>
        <v>1.339050577857777E-2</v>
      </c>
      <c r="CJ431" s="18">
        <f t="shared" si="735"/>
        <v>0.44730572166903343</v>
      </c>
      <c r="CK431" s="19">
        <f t="shared" si="736"/>
        <v>888.13124596819682</v>
      </c>
      <c r="CL431" s="15">
        <f t="shared" si="679"/>
        <v>5.2762624919363943E-6</v>
      </c>
      <c r="CM431" s="16">
        <f t="shared" si="680"/>
        <v>26.102509328634262</v>
      </c>
      <c r="CN431" s="17">
        <f t="shared" si="681"/>
        <v>1.3204868084747169E-2</v>
      </c>
      <c r="CO431" s="18">
        <f t="shared" si="737"/>
        <v>0.45461456292634461</v>
      </c>
      <c r="CP431" s="19">
        <f t="shared" si="738"/>
        <v>816.86484941404296</v>
      </c>
      <c r="CQ431" s="15">
        <f t="shared" si="682"/>
        <v>5.1337296988280861E-6</v>
      </c>
      <c r="CR431" s="16">
        <f t="shared" si="683"/>
        <v>25.282945768261492</v>
      </c>
      <c r="CS431" s="17">
        <f t="shared" si="684"/>
        <v>1.2848152183363909E-2</v>
      </c>
      <c r="CT431" s="18">
        <f t="shared" si="739"/>
        <v>0.46935119738358994</v>
      </c>
      <c r="CU431" s="19">
        <f t="shared" si="740"/>
        <v>690.78891786972599</v>
      </c>
      <c r="CV431" s="15">
        <f t="shared" si="685"/>
        <v>4.8815778357394523E-6</v>
      </c>
      <c r="CW431" s="16">
        <f t="shared" si="686"/>
        <v>25.719585291787638</v>
      </c>
      <c r="CX431" s="17">
        <f t="shared" si="687"/>
        <v>1.2217093343039487E-2</v>
      </c>
      <c r="CY431" s="18">
        <f t="shared" si="741"/>
        <v>0.46138305633982923</v>
      </c>
      <c r="CZ431" s="20">
        <f t="shared" si="691"/>
        <v>498.49006579798601</v>
      </c>
      <c r="DA431" s="15">
        <f t="shared" si="688"/>
        <v>7.237637682217818E-6</v>
      </c>
      <c r="DB431" s="16">
        <f t="shared" si="689"/>
        <v>39.0387880918584</v>
      </c>
      <c r="DC431" s="17">
        <f t="shared" si="690"/>
        <v>1.8113589114442729E-2</v>
      </c>
      <c r="DD431" s="18">
        <f t="shared" si="742"/>
        <v>0.30396898699303354</v>
      </c>
    </row>
    <row r="432" spans="2:108" x14ac:dyDescent="0.25">
      <c r="B432">
        <v>165</v>
      </c>
      <c r="C432">
        <f t="shared" si="743"/>
        <v>0.16130641994696648</v>
      </c>
      <c r="D432" s="19">
        <f t="shared" si="640"/>
        <v>1017.2916429384178</v>
      </c>
      <c r="E432" s="15">
        <f t="shared" si="692"/>
        <v>5.5345832858768355E-6</v>
      </c>
      <c r="F432" s="16">
        <f t="shared" si="641"/>
        <v>27.587853893791802</v>
      </c>
      <c r="G432" s="17">
        <f t="shared" si="638"/>
        <v>1.3851365868499169E-2</v>
      </c>
      <c r="H432" s="18">
        <f t="shared" si="693"/>
        <v>0.43013787572611001</v>
      </c>
      <c r="I432" s="19">
        <f t="shared" si="694"/>
        <v>1016.9669904703007</v>
      </c>
      <c r="J432" s="15">
        <f t="shared" si="695"/>
        <v>5.5339339809406018E-6</v>
      </c>
      <c r="K432" s="16">
        <f t="shared" si="642"/>
        <v>27.584120390408458</v>
      </c>
      <c r="L432" s="17">
        <f t="shared" si="696"/>
        <v>1.3849740857225972E-2</v>
      </c>
      <c r="M432" s="18">
        <f t="shared" si="697"/>
        <v>0.4301960947735764</v>
      </c>
      <c r="N432" s="19">
        <f t="shared" si="698"/>
        <v>1016.0609071219925</v>
      </c>
      <c r="O432" s="15">
        <f t="shared" si="699"/>
        <v>5.5321218142439858E-6</v>
      </c>
      <c r="P432" s="16">
        <f t="shared" si="700"/>
        <v>27.573700431902914</v>
      </c>
      <c r="Q432" s="17">
        <f t="shared" si="639"/>
        <v>1.3851365868499169E-2</v>
      </c>
      <c r="R432" s="18">
        <f t="shared" si="701"/>
        <v>0.43035866364850339</v>
      </c>
      <c r="S432" s="19">
        <f t="shared" si="702"/>
        <v>1014.5592946805014</v>
      </c>
      <c r="T432" s="15">
        <f t="shared" si="703"/>
        <v>5.5291185893610034E-6</v>
      </c>
      <c r="U432" s="16">
        <f t="shared" si="704"/>
        <v>27.556431888825763</v>
      </c>
      <c r="V432" s="17">
        <f t="shared" si="705"/>
        <v>1.3837689407799E-2</v>
      </c>
      <c r="W432" s="18">
        <f t="shared" si="706"/>
        <v>0.4306283526689042</v>
      </c>
      <c r="X432" s="19">
        <f t="shared" si="707"/>
        <v>1012.4601862590405</v>
      </c>
      <c r="Y432" s="15">
        <f t="shared" si="708"/>
        <v>5.5249203725180818E-6</v>
      </c>
      <c r="Z432" s="16">
        <f t="shared" si="709"/>
        <v>27.532292141978964</v>
      </c>
      <c r="AA432" s="17">
        <f t="shared" si="710"/>
        <v>1.3827182557602168E-2</v>
      </c>
      <c r="AB432" s="18">
        <f t="shared" si="711"/>
        <v>0.43100591874167704</v>
      </c>
      <c r="AC432" s="19">
        <f t="shared" si="712"/>
        <v>1009.7621196395583</v>
      </c>
      <c r="AD432" s="15">
        <f t="shared" si="643"/>
        <v>5.5195242392791166E-6</v>
      </c>
      <c r="AE432" s="16">
        <f t="shared" si="644"/>
        <v>27.50126437585492</v>
      </c>
      <c r="AF432" s="17">
        <f t="shared" si="645"/>
        <v>1.3813677689772496E-2</v>
      </c>
      <c r="AG432" s="18">
        <f t="shared" si="713"/>
        <v>0.43149219277846412</v>
      </c>
      <c r="AH432" s="19">
        <f t="shared" si="714"/>
        <v>1006.4647761535551</v>
      </c>
      <c r="AI432" s="15">
        <f t="shared" si="646"/>
        <v>5.5129295523071111E-6</v>
      </c>
      <c r="AJ432" s="16">
        <f t="shared" si="647"/>
        <v>27.463344925765881</v>
      </c>
      <c r="AK432" s="17">
        <f t="shared" si="648"/>
        <v>1.3797173209250798E-2</v>
      </c>
      <c r="AL432" s="18">
        <f t="shared" si="715"/>
        <v>0.43208796677147548</v>
      </c>
      <c r="AM432" s="19">
        <f t="shared" si="716"/>
        <v>1002.5680417008102</v>
      </c>
      <c r="AN432" s="15">
        <f t="shared" si="649"/>
        <v>5.5051360834016213E-6</v>
      </c>
      <c r="AO432" s="16">
        <f t="shared" si="650"/>
        <v>27.418532479559317</v>
      </c>
      <c r="AP432" s="17">
        <f t="shared" si="651"/>
        <v>1.3777668544921292E-2</v>
      </c>
      <c r="AQ432" s="18">
        <f t="shared" si="717"/>
        <v>0.43279416498911844</v>
      </c>
      <c r="AR432" s="19">
        <f t="shared" si="718"/>
        <v>998.07182667139148</v>
      </c>
      <c r="AS432" s="15">
        <f t="shared" si="652"/>
        <v>5.4961436533427828E-6</v>
      </c>
      <c r="AT432" s="16">
        <f t="shared" si="653"/>
        <v>27.366826006720999</v>
      </c>
      <c r="AU432" s="17">
        <f t="shared" si="654"/>
        <v>1.3755163248251587E-2</v>
      </c>
      <c r="AV432" s="18">
        <f t="shared" si="719"/>
        <v>0.43361187982865068</v>
      </c>
      <c r="AW432" s="19">
        <f t="shared" si="720"/>
        <v>992.97576547136259</v>
      </c>
      <c r="AX432" s="15">
        <f t="shared" si="655"/>
        <v>5.4859515309427263E-6</v>
      </c>
      <c r="AY432" s="16">
        <f t="shared" si="656"/>
        <v>27.308221302920671</v>
      </c>
      <c r="AZ432" s="17">
        <f t="shared" si="657"/>
        <v>1.3729655489302514E-2</v>
      </c>
      <c r="BA432" s="18">
        <f t="shared" si="721"/>
        <v>0.43454243094363465</v>
      </c>
      <c r="BB432" s="19">
        <f t="shared" si="722"/>
        <v>987.27795237087696</v>
      </c>
      <c r="BC432" s="15">
        <f t="shared" si="658"/>
        <v>5.4745559047417537E-6</v>
      </c>
      <c r="BD432" s="16">
        <f t="shared" si="659"/>
        <v>27.242696452265086</v>
      </c>
      <c r="BE432" s="17">
        <f t="shared" si="660"/>
        <v>1.3701135729158492E-2</v>
      </c>
      <c r="BF432" s="18">
        <f t="shared" si="723"/>
        <v>0.43558760383762435</v>
      </c>
      <c r="BG432" s="19">
        <f t="shared" si="724"/>
        <v>980.96917030811596</v>
      </c>
      <c r="BH432" s="15">
        <f t="shared" si="661"/>
        <v>5.4619383406162316E-6</v>
      </c>
      <c r="BI432" s="16">
        <f t="shared" si="662"/>
        <v>27.170145458543331</v>
      </c>
      <c r="BJ432" s="17">
        <f t="shared" si="663"/>
        <v>1.3669557832857277E-2</v>
      </c>
      <c r="BK432" s="18">
        <f t="shared" si="725"/>
        <v>0.43675073023897237</v>
      </c>
      <c r="BL432" s="19">
        <f t="shared" si="726"/>
        <v>974.0088916715074</v>
      </c>
      <c r="BM432" s="15">
        <f t="shared" si="664"/>
        <v>5.4480177833430153E-6</v>
      </c>
      <c r="BN432" s="16">
        <f t="shared" si="665"/>
        <v>27.090102254222334</v>
      </c>
      <c r="BO432" s="17">
        <f t="shared" si="666"/>
        <v>1.3634718944015049E-2</v>
      </c>
      <c r="BP432" s="18">
        <f t="shared" si="727"/>
        <v>0.43804119889832982</v>
      </c>
      <c r="BQ432" s="19">
        <f t="shared" si="728"/>
        <v>966.23680585441036</v>
      </c>
      <c r="BR432" s="15">
        <f t="shared" si="667"/>
        <v>5.4324736117088211E-6</v>
      </c>
      <c r="BS432" s="16">
        <f t="shared" si="668"/>
        <v>27.000723267325718</v>
      </c>
      <c r="BT432" s="17">
        <f t="shared" si="669"/>
        <v>1.3595816645990662E-2</v>
      </c>
      <c r="BU432" s="18">
        <f t="shared" si="729"/>
        <v>0.43949122222507125</v>
      </c>
      <c r="BV432" s="19">
        <f t="shared" si="730"/>
        <v>957.08979641232747</v>
      </c>
      <c r="BW432" s="15">
        <f t="shared" si="670"/>
        <v>5.4141795928246555E-6</v>
      </c>
      <c r="BX432" s="16">
        <f t="shared" si="671"/>
        <v>26.895532658741764</v>
      </c>
      <c r="BY432" s="17">
        <f t="shared" si="672"/>
        <v>1.3550032323001716E-2</v>
      </c>
      <c r="BZ432" s="18">
        <f t="shared" si="731"/>
        <v>0.44121010802368116</v>
      </c>
      <c r="CA432" s="19">
        <f t="shared" si="732"/>
        <v>944.84026974958419</v>
      </c>
      <c r="CB432" s="15">
        <f t="shared" si="673"/>
        <v>5.3896805394991684E-6</v>
      </c>
      <c r="CC432" s="16">
        <f t="shared" si="674"/>
        <v>26.754663102120219</v>
      </c>
      <c r="CD432" s="17">
        <f t="shared" si="675"/>
        <v>1.3488718700364733E-2</v>
      </c>
      <c r="CE432" s="18">
        <f t="shared" si="733"/>
        <v>0.4435331823998005</v>
      </c>
      <c r="CF432" s="19">
        <f t="shared" si="734"/>
        <v>924.96085180737066</v>
      </c>
      <c r="CG432" s="15">
        <f t="shared" si="676"/>
        <v>5.3499217036147416E-6</v>
      </c>
      <c r="CH432" s="16">
        <f t="shared" si="677"/>
        <v>26.526049795784761</v>
      </c>
      <c r="CI432" s="17">
        <f t="shared" si="678"/>
        <v>1.3389214518406514E-2</v>
      </c>
      <c r="CJ432" s="18">
        <f t="shared" si="735"/>
        <v>0.44735574882331747</v>
      </c>
      <c r="CK432" s="19">
        <f t="shared" si="736"/>
        <v>887.63094861818922</v>
      </c>
      <c r="CL432" s="15">
        <f t="shared" si="679"/>
        <v>5.2752618972363784E-6</v>
      </c>
      <c r="CM432" s="16">
        <f t="shared" si="680"/>
        <v>26.096755909109177</v>
      </c>
      <c r="CN432" s="17">
        <f t="shared" si="681"/>
        <v>1.3202363902849434E-2</v>
      </c>
      <c r="CO432" s="18">
        <f t="shared" si="737"/>
        <v>0.45471478949518856</v>
      </c>
      <c r="CP432" s="19">
        <f t="shared" si="738"/>
        <v>816.06886217584042</v>
      </c>
      <c r="CQ432" s="15">
        <f t="shared" si="682"/>
        <v>5.1321377243516809E-6</v>
      </c>
      <c r="CR432" s="16">
        <f t="shared" si="683"/>
        <v>25.273791915022166</v>
      </c>
      <c r="CS432" s="17">
        <f t="shared" si="684"/>
        <v>1.2844167959116663E-2</v>
      </c>
      <c r="CT432" s="18">
        <f t="shared" si="739"/>
        <v>0.46952119055252145</v>
      </c>
      <c r="CU432" s="19">
        <f t="shared" si="740"/>
        <v>689.83072747165716</v>
      </c>
      <c r="CV432" s="15">
        <f t="shared" si="685"/>
        <v>4.8796614549433145E-6</v>
      </c>
      <c r="CW432" s="16">
        <f t="shared" si="686"/>
        <v>25.911989923719801</v>
      </c>
      <c r="CX432" s="17">
        <f t="shared" si="687"/>
        <v>1.2212297229189614E-2</v>
      </c>
      <c r="CY432" s="18">
        <f t="shared" si="741"/>
        <v>0.45795714279956734</v>
      </c>
      <c r="CZ432" s="20">
        <f t="shared" si="691"/>
        <v>498.0231078119005</v>
      </c>
      <c r="DA432" s="15">
        <f t="shared" si="688"/>
        <v>7.2446339963676328E-6</v>
      </c>
      <c r="DB432" s="16">
        <f t="shared" si="689"/>
        <v>39.05232987345488</v>
      </c>
      <c r="DC432" s="17">
        <f t="shared" si="690"/>
        <v>1.8131098744710167E-2</v>
      </c>
      <c r="DD432" s="18">
        <f t="shared" si="742"/>
        <v>0.30386358274065473</v>
      </c>
    </row>
    <row r="433" spans="2:108" x14ac:dyDescent="0.25">
      <c r="B433">
        <v>166</v>
      </c>
      <c r="C433">
        <f t="shared" si="743"/>
        <v>0.16228403461331176</v>
      </c>
      <c r="D433" s="19">
        <f t="shared" si="640"/>
        <v>1017.2750678234312</v>
      </c>
      <c r="E433" s="15">
        <f t="shared" si="692"/>
        <v>5.5345501356468625E-6</v>
      </c>
      <c r="F433" s="16">
        <f t="shared" si="641"/>
        <v>27.587663279969458</v>
      </c>
      <c r="G433" s="17">
        <f t="shared" si="638"/>
        <v>1.3851282903632573E-2</v>
      </c>
      <c r="H433" s="18">
        <f t="shared" si="693"/>
        <v>0.43014084771484989</v>
      </c>
      <c r="I433" s="19">
        <f t="shared" si="694"/>
        <v>1016.9504132717038</v>
      </c>
      <c r="J433" s="15">
        <f t="shared" si="695"/>
        <v>5.5339008265434088E-6</v>
      </c>
      <c r="K433" s="16">
        <f t="shared" si="642"/>
        <v>27.583929752624591</v>
      </c>
      <c r="L433" s="17">
        <f t="shared" si="696"/>
        <v>1.38496578819301E-2</v>
      </c>
      <c r="M433" s="18">
        <f t="shared" si="697"/>
        <v>0.43019906794059326</v>
      </c>
      <c r="N433" s="19">
        <f t="shared" si="698"/>
        <v>1016.0443228070501</v>
      </c>
      <c r="O433" s="15">
        <f t="shared" si="699"/>
        <v>5.5320886456141007E-6</v>
      </c>
      <c r="P433" s="16">
        <f t="shared" si="700"/>
        <v>27.573509712281073</v>
      </c>
      <c r="Q433" s="17">
        <f t="shared" si="639"/>
        <v>1.3851282903632573E-2</v>
      </c>
      <c r="R433" s="18">
        <f t="shared" si="701"/>
        <v>0.43036164034035157</v>
      </c>
      <c r="S433" s="19">
        <f t="shared" si="702"/>
        <v>1014.5427061607608</v>
      </c>
      <c r="T433" s="15">
        <f t="shared" si="703"/>
        <v>5.529085412321522E-6</v>
      </c>
      <c r="U433" s="16">
        <f t="shared" si="704"/>
        <v>27.556241120848746</v>
      </c>
      <c r="V433" s="17">
        <f t="shared" si="705"/>
        <v>1.3837606375836422E-2</v>
      </c>
      <c r="W433" s="18">
        <f t="shared" si="706"/>
        <v>0.43063133384835189</v>
      </c>
      <c r="X433" s="19">
        <f t="shared" si="707"/>
        <v>1012.4436004337691</v>
      </c>
      <c r="Y433" s="15">
        <f t="shared" si="708"/>
        <v>5.5248872008675383E-6</v>
      </c>
      <c r="Z433" s="16">
        <f t="shared" si="709"/>
        <v>27.532101404988346</v>
      </c>
      <c r="AA433" s="17">
        <f t="shared" si="710"/>
        <v>1.3827099539126447E-2</v>
      </c>
      <c r="AB433" s="18">
        <f t="shared" si="711"/>
        <v>0.43100890466602293</v>
      </c>
      <c r="AC433" s="19">
        <f t="shared" si="712"/>
        <v>1009.7455434654428</v>
      </c>
      <c r="AD433" s="15">
        <f t="shared" si="643"/>
        <v>5.5194910869308861E-6</v>
      </c>
      <c r="AE433" s="16">
        <f t="shared" si="644"/>
        <v>27.501073749852591</v>
      </c>
      <c r="AF433" s="17">
        <f t="shared" si="645"/>
        <v>1.381359471960455E-2</v>
      </c>
      <c r="AG433" s="18">
        <f t="shared" si="713"/>
        <v>0.43149518370283652</v>
      </c>
      <c r="AH433" s="19">
        <f t="shared" si="714"/>
        <v>1006.4482150699097</v>
      </c>
      <c r="AI433" s="15">
        <f t="shared" si="646"/>
        <v>5.5128964301398199E-6</v>
      </c>
      <c r="AJ433" s="16">
        <f t="shared" si="647"/>
        <v>27.463154473303959</v>
      </c>
      <c r="AK433" s="17">
        <f t="shared" si="648"/>
        <v>1.3797090314616494E-2</v>
      </c>
      <c r="AL433" s="18">
        <f t="shared" si="715"/>
        <v>0.43209096323049911</v>
      </c>
      <c r="AM433" s="19">
        <f t="shared" si="716"/>
        <v>1002.5514993072941</v>
      </c>
      <c r="AN433" s="15">
        <f t="shared" si="649"/>
        <v>5.5051029986145886E-6</v>
      </c>
      <c r="AO433" s="16">
        <f t="shared" si="650"/>
        <v>27.41834224203388</v>
      </c>
      <c r="AP433" s="17">
        <f t="shared" si="651"/>
        <v>1.3777585743838321E-2</v>
      </c>
      <c r="AQ433" s="18">
        <f t="shared" si="717"/>
        <v>0.4327971678581557</v>
      </c>
      <c r="AR433" s="19">
        <f t="shared" si="718"/>
        <v>998.05530233882837</v>
      </c>
      <c r="AS433" s="15">
        <f t="shared" si="652"/>
        <v>5.4961106046776574E-6</v>
      </c>
      <c r="AT433" s="16">
        <f t="shared" si="653"/>
        <v>27.366635976896525</v>
      </c>
      <c r="AU433" s="17">
        <f t="shared" si="654"/>
        <v>1.3755080537570677E-2</v>
      </c>
      <c r="AV433" s="18">
        <f t="shared" si="719"/>
        <v>0.43361489076464893</v>
      </c>
      <c r="AW433" s="19">
        <f t="shared" si="720"/>
        <v>992.95923995826843</v>
      </c>
      <c r="AX433" s="15">
        <f t="shared" si="655"/>
        <v>5.485918479916538E-6</v>
      </c>
      <c r="AY433" s="16">
        <f t="shared" si="656"/>
        <v>27.308031259520085</v>
      </c>
      <c r="AZ433" s="17">
        <f t="shared" si="657"/>
        <v>1.3729572772712591E-2</v>
      </c>
      <c r="BA433" s="18">
        <f t="shared" si="721"/>
        <v>0.43454545503279329</v>
      </c>
      <c r="BB433" s="19">
        <f t="shared" si="722"/>
        <v>987.26132175694522</v>
      </c>
      <c r="BC433" s="15">
        <f t="shared" si="658"/>
        <v>5.4745226435138906E-6</v>
      </c>
      <c r="BD433" s="16">
        <f t="shared" si="659"/>
        <v>27.242505200204867</v>
      </c>
      <c r="BE433" s="17">
        <f t="shared" si="660"/>
        <v>1.3701052486498191E-2</v>
      </c>
      <c r="BF433" s="18">
        <f t="shared" si="723"/>
        <v>0.43559066181727885</v>
      </c>
      <c r="BG433" s="19">
        <f t="shared" si="724"/>
        <v>980.95198047858617</v>
      </c>
      <c r="BH433" s="15">
        <f t="shared" si="661"/>
        <v>5.4619039609571728E-6</v>
      </c>
      <c r="BI433" s="16">
        <f t="shared" si="662"/>
        <v>27.16994777550374</v>
      </c>
      <c r="BJ433" s="17">
        <f t="shared" si="663"/>
        <v>1.3669471791106442E-2</v>
      </c>
      <c r="BK433" s="18">
        <f t="shared" si="725"/>
        <v>0.43675390794886754</v>
      </c>
      <c r="BL433" s="19">
        <f t="shared" si="726"/>
        <v>973.98940371114077</v>
      </c>
      <c r="BM433" s="15">
        <f t="shared" si="664"/>
        <v>5.4479788074222824E-6</v>
      </c>
      <c r="BN433" s="16">
        <f t="shared" si="665"/>
        <v>27.089878142678117</v>
      </c>
      <c r="BO433" s="17">
        <f t="shared" si="666"/>
        <v>1.3634621399229786E-2</v>
      </c>
      <c r="BP433" s="18">
        <f t="shared" si="727"/>
        <v>0.43804482276437301</v>
      </c>
      <c r="BQ433" s="19">
        <f t="shared" si="728"/>
        <v>966.2091867737048</v>
      </c>
      <c r="BR433" s="15">
        <f t="shared" si="667"/>
        <v>5.4324183735474098E-6</v>
      </c>
      <c r="BS433" s="16">
        <f t="shared" si="668"/>
        <v>27.000405647897605</v>
      </c>
      <c r="BT433" s="17">
        <f t="shared" si="669"/>
        <v>1.3595678401800612E-2</v>
      </c>
      <c r="BU433" s="18">
        <f t="shared" si="729"/>
        <v>0.43949639218260761</v>
      </c>
      <c r="BV433" s="19">
        <f t="shared" si="730"/>
        <v>957.03722628510957</v>
      </c>
      <c r="BW433" s="15">
        <f t="shared" si="670"/>
        <v>5.4140744525702197E-6</v>
      </c>
      <c r="BX433" s="16">
        <f t="shared" si="671"/>
        <v>26.894928102278762</v>
      </c>
      <c r="BY433" s="17">
        <f t="shared" si="672"/>
        <v>1.354976918916553E-2</v>
      </c>
      <c r="BZ433" s="18">
        <f t="shared" si="731"/>
        <v>0.44122002574576369</v>
      </c>
      <c r="CA433" s="19">
        <f t="shared" si="732"/>
        <v>944.72237515768597</v>
      </c>
      <c r="CB433" s="15">
        <f t="shared" si="673"/>
        <v>5.3894447503153727E-6</v>
      </c>
      <c r="CC433" s="16">
        <f t="shared" si="674"/>
        <v>26.753307314313389</v>
      </c>
      <c r="CD433" s="17">
        <f t="shared" si="675"/>
        <v>1.3488128592296268E-2</v>
      </c>
      <c r="CE433" s="18">
        <f t="shared" si="733"/>
        <v>0.44355565950416581</v>
      </c>
      <c r="CF433" s="19">
        <f t="shared" si="734"/>
        <v>924.7013634596085</v>
      </c>
      <c r="CG433" s="15">
        <f t="shared" si="676"/>
        <v>5.3494027269192179E-6</v>
      </c>
      <c r="CH433" s="16">
        <f t="shared" si="677"/>
        <v>26.523065679785496</v>
      </c>
      <c r="CI433" s="17">
        <f t="shared" si="678"/>
        <v>1.3387915678780183E-2</v>
      </c>
      <c r="CJ433" s="18">
        <f t="shared" si="735"/>
        <v>0.44740608091778739</v>
      </c>
      <c r="CK433" s="19">
        <f t="shared" si="736"/>
        <v>887.12977348308107</v>
      </c>
      <c r="CL433" s="15">
        <f t="shared" si="679"/>
        <v>5.2742595469661623E-6</v>
      </c>
      <c r="CM433" s="16">
        <f t="shared" si="680"/>
        <v>26.09099239505543</v>
      </c>
      <c r="CN433" s="17">
        <f t="shared" si="681"/>
        <v>1.3199855327297489E-2</v>
      </c>
      <c r="CO433" s="18">
        <f t="shared" si="737"/>
        <v>0.45481523623328196</v>
      </c>
      <c r="CP433" s="19">
        <f t="shared" si="738"/>
        <v>815.2746202960592</v>
      </c>
      <c r="CQ433" s="15">
        <f t="shared" si="682"/>
        <v>5.1305492405921194E-6</v>
      </c>
      <c r="CR433" s="16">
        <f t="shared" si="683"/>
        <v>25.26465813340468</v>
      </c>
      <c r="CS433" s="17">
        <f t="shared" si="684"/>
        <v>1.2840192471063929E-2</v>
      </c>
      <c r="CT433" s="18">
        <f t="shared" si="739"/>
        <v>0.46969093375651194</v>
      </c>
      <c r="CU433" s="19">
        <f t="shared" si="740"/>
        <v>688.88133506721385</v>
      </c>
      <c r="CV433" s="15">
        <f t="shared" si="685"/>
        <v>4.877762670134428E-6</v>
      </c>
      <c r="CW433" s="16">
        <f t="shared" si="686"/>
        <v>26.102627918531937</v>
      </c>
      <c r="CX433" s="17">
        <f t="shared" si="687"/>
        <v>1.2207545152703466E-2</v>
      </c>
      <c r="CY433" s="18">
        <f t="shared" si="741"/>
        <v>0.45461249751382499</v>
      </c>
      <c r="CZ433" s="20">
        <f t="shared" si="691"/>
        <v>497.58708991202565</v>
      </c>
      <c r="DA433" s="15">
        <f t="shared" si="688"/>
        <v>7.2511648205930035E-6</v>
      </c>
      <c r="DB433" s="16">
        <f t="shared" si="689"/>
        <v>39.06497439255125</v>
      </c>
      <c r="DC433" s="17">
        <f t="shared" si="690"/>
        <v>1.8147443396348044E-2</v>
      </c>
      <c r="DD433" s="18">
        <f t="shared" si="742"/>
        <v>0.30376522842366355</v>
      </c>
    </row>
    <row r="434" spans="2:108" x14ac:dyDescent="0.25">
      <c r="B434">
        <v>167</v>
      </c>
      <c r="C434">
        <f t="shared" si="743"/>
        <v>0.163261649279657</v>
      </c>
      <c r="D434" s="19">
        <f t="shared" si="640"/>
        <v>1017.258492602066</v>
      </c>
      <c r="E434" s="15">
        <f t="shared" si="692"/>
        <v>5.5345169852041326E-6</v>
      </c>
      <c r="F434" s="16">
        <f t="shared" si="641"/>
        <v>27.587472664923759</v>
      </c>
      <c r="G434" s="17">
        <f t="shared" si="638"/>
        <v>1.385119993823351E-2</v>
      </c>
      <c r="H434" s="18">
        <f t="shared" si="693"/>
        <v>0.43014381976373378</v>
      </c>
      <c r="I434" s="19">
        <f t="shared" si="694"/>
        <v>1016.9338360389752</v>
      </c>
      <c r="J434" s="15">
        <f t="shared" si="695"/>
        <v>5.5338676720779509E-6</v>
      </c>
      <c r="K434" s="16">
        <f t="shared" si="642"/>
        <v>27.583739114448214</v>
      </c>
      <c r="L434" s="17">
        <f t="shared" si="696"/>
        <v>1.3849574906463383E-2</v>
      </c>
      <c r="M434" s="18">
        <f t="shared" si="697"/>
        <v>0.43020204115482835</v>
      </c>
      <c r="N434" s="19">
        <f t="shared" si="698"/>
        <v>1016.0277385925923</v>
      </c>
      <c r="O434" s="15">
        <f t="shared" si="699"/>
        <v>5.5320554771851852E-6</v>
      </c>
      <c r="P434" s="16">
        <f t="shared" si="700"/>
        <v>27.573318993814809</v>
      </c>
      <c r="Q434" s="17">
        <f t="shared" si="639"/>
        <v>1.385119993823351E-2</v>
      </c>
      <c r="R434" s="18">
        <f t="shared" si="701"/>
        <v>0.43036461705534201</v>
      </c>
      <c r="S434" s="19">
        <f t="shared" si="702"/>
        <v>1014.5261178324573</v>
      </c>
      <c r="T434" s="15">
        <f t="shared" si="703"/>
        <v>5.5290522356649147E-6</v>
      </c>
      <c r="U434" s="16">
        <f t="shared" si="704"/>
        <v>27.556050355073261</v>
      </c>
      <c r="V434" s="17">
        <f t="shared" si="705"/>
        <v>1.3837523344832056E-2</v>
      </c>
      <c r="W434" s="18">
        <f t="shared" si="706"/>
        <v>0.43063431503467181</v>
      </c>
      <c r="X434" s="19">
        <f t="shared" si="707"/>
        <v>1012.4270148256365</v>
      </c>
      <c r="Y434" s="15">
        <f t="shared" si="708"/>
        <v>5.5248540296512737E-6</v>
      </c>
      <c r="Z434" s="16">
        <f t="shared" si="709"/>
        <v>27.531910670494817</v>
      </c>
      <c r="AA434" s="17">
        <f t="shared" si="710"/>
        <v>1.3827016521737593E-2</v>
      </c>
      <c r="AB434" s="18">
        <f t="shared" si="711"/>
        <v>0.43101189059264905</v>
      </c>
      <c r="AC434" s="19">
        <f t="shared" si="712"/>
        <v>1009.7289675002697</v>
      </c>
      <c r="AD434" s="15">
        <f t="shared" si="643"/>
        <v>5.5194579350005402E-6</v>
      </c>
      <c r="AE434" s="16">
        <f t="shared" si="644"/>
        <v>27.5008831262531</v>
      </c>
      <c r="AF434" s="17">
        <f t="shared" si="645"/>
        <v>1.3813511750482441E-2</v>
      </c>
      <c r="AG434" s="18">
        <f t="shared" si="713"/>
        <v>0.43149817463097151</v>
      </c>
      <c r="AH434" s="19">
        <f t="shared" si="714"/>
        <v>1006.4316541743453</v>
      </c>
      <c r="AI434" s="15">
        <f t="shared" si="646"/>
        <v>5.5128633083486909E-6</v>
      </c>
      <c r="AJ434" s="16">
        <f t="shared" si="647"/>
        <v>27.462964023004972</v>
      </c>
      <c r="AK434" s="17">
        <f t="shared" si="648"/>
        <v>1.3797007420923608E-2</v>
      </c>
      <c r="AL434" s="18">
        <f t="shared" si="715"/>
        <v>0.432093959697052</v>
      </c>
      <c r="AM434" s="19">
        <f t="shared" si="716"/>
        <v>1002.534957040703</v>
      </c>
      <c r="AN434" s="15">
        <f t="shared" si="649"/>
        <v>5.5050699140814066E-6</v>
      </c>
      <c r="AO434" s="16">
        <f t="shared" si="650"/>
        <v>27.418152005968082</v>
      </c>
      <c r="AP434" s="17">
        <f t="shared" si="651"/>
        <v>1.3777502943390658E-2</v>
      </c>
      <c r="AQ434" s="18">
        <f t="shared" si="717"/>
        <v>0.43280017074582239</v>
      </c>
      <c r="AR434" s="19">
        <f t="shared" si="718"/>
        <v>998.03877785500913</v>
      </c>
      <c r="AS434" s="15">
        <f t="shared" si="652"/>
        <v>5.4960775557100192E-6</v>
      </c>
      <c r="AT434" s="16">
        <f t="shared" si="653"/>
        <v>27.366445945332604</v>
      </c>
      <c r="AU434" s="17">
        <f t="shared" si="654"/>
        <v>1.3754997826132672E-2</v>
      </c>
      <c r="AV434" s="18">
        <f t="shared" si="719"/>
        <v>0.43361790177002379</v>
      </c>
      <c r="AW434" s="19">
        <f t="shared" si="720"/>
        <v>992.9427130339044</v>
      </c>
      <c r="AX434" s="15">
        <f t="shared" si="655"/>
        <v>5.4858854260678089E-6</v>
      </c>
      <c r="AY434" s="16">
        <f t="shared" si="656"/>
        <v>27.3078411998899</v>
      </c>
      <c r="AZ434" s="17">
        <f t="shared" si="657"/>
        <v>1.3729490049058709E-2</v>
      </c>
      <c r="BA434" s="18">
        <f t="shared" si="721"/>
        <v>0.4345484794223039</v>
      </c>
      <c r="BB434" s="19">
        <f t="shared" si="722"/>
        <v>987.24468455241617</v>
      </c>
      <c r="BC434" s="15">
        <f t="shared" si="658"/>
        <v>5.4744893691048336E-6</v>
      </c>
      <c r="BD434" s="16">
        <f t="shared" si="659"/>
        <v>27.242313872352785</v>
      </c>
      <c r="BE434" s="17">
        <f t="shared" si="660"/>
        <v>1.3700969210849401E-2</v>
      </c>
      <c r="BF434" s="18">
        <f t="shared" si="723"/>
        <v>0.43559372105175148</v>
      </c>
      <c r="BG434" s="19">
        <f t="shared" si="724"/>
        <v>980.93476514923941</v>
      </c>
      <c r="BH434" s="15">
        <f t="shared" si="661"/>
        <v>5.4618695302984796E-6</v>
      </c>
      <c r="BI434" s="16">
        <f t="shared" si="662"/>
        <v>27.169749799216252</v>
      </c>
      <c r="BJ434" s="17">
        <f t="shared" si="663"/>
        <v>1.3669385621719151E-2</v>
      </c>
      <c r="BK434" s="18">
        <f t="shared" si="725"/>
        <v>0.43675709041899996</v>
      </c>
      <c r="BL434" s="19">
        <f t="shared" si="726"/>
        <v>973.96983020017842</v>
      </c>
      <c r="BM434" s="15">
        <f t="shared" si="664"/>
        <v>5.4479396604003572E-6</v>
      </c>
      <c r="BN434" s="16">
        <f t="shared" si="665"/>
        <v>27.08965304730205</v>
      </c>
      <c r="BO434" s="17">
        <f t="shared" si="666"/>
        <v>1.3634523426230675E-2</v>
      </c>
      <c r="BP434" s="18">
        <f t="shared" si="727"/>
        <v>0.43804846259925545</v>
      </c>
      <c r="BQ434" s="19">
        <f t="shared" si="728"/>
        <v>966.18132121133624</v>
      </c>
      <c r="BR434" s="15">
        <f t="shared" si="667"/>
        <v>5.4323626424226733E-6</v>
      </c>
      <c r="BS434" s="16">
        <f t="shared" si="668"/>
        <v>27.000085193930367</v>
      </c>
      <c r="BT434" s="17">
        <f t="shared" si="669"/>
        <v>1.3595538923874433E-2</v>
      </c>
      <c r="BU434" s="18">
        <f t="shared" si="729"/>
        <v>0.43950160840179542</v>
      </c>
      <c r="BV434" s="19">
        <f t="shared" si="730"/>
        <v>956.98406396510745</v>
      </c>
      <c r="BW434" s="15">
        <f t="shared" si="670"/>
        <v>5.4139681279302152E-6</v>
      </c>
      <c r="BX434" s="16">
        <f t="shared" si="671"/>
        <v>26.894316735598736</v>
      </c>
      <c r="BY434" s="17">
        <f t="shared" si="672"/>
        <v>1.3549503091175226E-2</v>
      </c>
      <c r="BZ434" s="18">
        <f t="shared" si="731"/>
        <v>0.44123005564259854</v>
      </c>
      <c r="CA434" s="19">
        <f t="shared" si="732"/>
        <v>944.60335601543579</v>
      </c>
      <c r="CB434" s="15">
        <f t="shared" si="673"/>
        <v>5.3892067120308724E-6</v>
      </c>
      <c r="CC434" s="16">
        <f t="shared" si="674"/>
        <v>26.75193859417751</v>
      </c>
      <c r="CD434" s="17">
        <f t="shared" si="675"/>
        <v>1.3487532855417986E-2</v>
      </c>
      <c r="CE434" s="18">
        <f t="shared" si="733"/>
        <v>0.44357835331980872</v>
      </c>
      <c r="CF434" s="19">
        <f t="shared" si="734"/>
        <v>924.44037501759271</v>
      </c>
      <c r="CG434" s="15">
        <f t="shared" si="676"/>
        <v>5.3488807500351853E-6</v>
      </c>
      <c r="CH434" s="16">
        <f t="shared" si="677"/>
        <v>26.520064312702317</v>
      </c>
      <c r="CI434" s="17">
        <f t="shared" si="678"/>
        <v>1.3386609330601436E-2</v>
      </c>
      <c r="CJ434" s="18">
        <f t="shared" si="735"/>
        <v>0.44745671540600906</v>
      </c>
      <c r="CK434" s="19">
        <f t="shared" si="736"/>
        <v>886.62774890236085</v>
      </c>
      <c r="CL434" s="15">
        <f t="shared" si="679"/>
        <v>5.2732554978047218E-6</v>
      </c>
      <c r="CM434" s="16">
        <f t="shared" si="680"/>
        <v>26.08521911237715</v>
      </c>
      <c r="CN434" s="17">
        <f t="shared" si="681"/>
        <v>1.3197342499941441E-2</v>
      </c>
      <c r="CO434" s="18">
        <f t="shared" si="737"/>
        <v>0.45491589771953789</v>
      </c>
      <c r="CP434" s="19">
        <f t="shared" si="738"/>
        <v>814.48218542870029</v>
      </c>
      <c r="CQ434" s="15">
        <f t="shared" si="682"/>
        <v>5.1289643708574011E-6</v>
      </c>
      <c r="CR434" s="16">
        <f t="shared" si="683"/>
        <v>25.255545132430051</v>
      </c>
      <c r="CS434" s="17">
        <f t="shared" si="684"/>
        <v>1.2836226027807849E-2</v>
      </c>
      <c r="CT434" s="18">
        <f t="shared" si="739"/>
        <v>0.46986041312884991</v>
      </c>
      <c r="CU434" s="19">
        <f t="shared" si="740"/>
        <v>687.94093828285588</v>
      </c>
      <c r="CV434" s="15">
        <f t="shared" si="685"/>
        <v>4.8758818765657122E-6</v>
      </c>
      <c r="CW434" s="16">
        <f t="shared" si="686"/>
        <v>26.291459592830932</v>
      </c>
      <c r="CX434" s="17">
        <f t="shared" si="687"/>
        <v>1.2202838102777976E-2</v>
      </c>
      <c r="CY434" s="18">
        <f t="shared" si="741"/>
        <v>0.45134735969370215</v>
      </c>
      <c r="CZ434" s="20">
        <f t="shared" si="691"/>
        <v>497.18014559804743</v>
      </c>
      <c r="DA434" s="15">
        <f t="shared" si="688"/>
        <v>7.2572585046841106E-6</v>
      </c>
      <c r="DB434" s="16">
        <f t="shared" si="689"/>
        <v>39.076775777656621</v>
      </c>
      <c r="DC434" s="17">
        <f t="shared" si="690"/>
        <v>1.8162694020193267E-2</v>
      </c>
      <c r="DD434" s="18">
        <f t="shared" si="742"/>
        <v>0.30367348977913861</v>
      </c>
    </row>
    <row r="435" spans="2:108" x14ac:dyDescent="0.25">
      <c r="B435">
        <v>168</v>
      </c>
      <c r="C435">
        <f t="shared" si="743"/>
        <v>0.16423926394600225</v>
      </c>
      <c r="D435" s="19">
        <f t="shared" si="640"/>
        <v>1017.2419172780106</v>
      </c>
      <c r="E435" s="15">
        <f t="shared" si="692"/>
        <v>5.5344838345560209E-6</v>
      </c>
      <c r="F435" s="16">
        <f t="shared" si="641"/>
        <v>27.587282048697119</v>
      </c>
      <c r="G435" s="17">
        <f t="shared" si="638"/>
        <v>1.385111697232044E-2</v>
      </c>
      <c r="H435" s="18">
        <f t="shared" si="693"/>
        <v>0.43014679187210209</v>
      </c>
      <c r="I435" s="19">
        <f t="shared" si="694"/>
        <v>1016.9172587744135</v>
      </c>
      <c r="J435" s="15">
        <f t="shared" si="695"/>
        <v>5.5338345175488274E-6</v>
      </c>
      <c r="K435" s="16">
        <f t="shared" si="642"/>
        <v>27.583548475905754</v>
      </c>
      <c r="L435" s="17">
        <f t="shared" si="696"/>
        <v>1.3849491930837331E-2</v>
      </c>
      <c r="M435" s="18">
        <f t="shared" si="697"/>
        <v>0.4302050144158705</v>
      </c>
      <c r="N435" s="19">
        <f t="shared" si="698"/>
        <v>1016.0111544787957</v>
      </c>
      <c r="O435" s="15">
        <f t="shared" si="699"/>
        <v>5.5320223089575917E-6</v>
      </c>
      <c r="P435" s="16">
        <f t="shared" si="700"/>
        <v>27.57312827650615</v>
      </c>
      <c r="Q435" s="17">
        <f t="shared" si="639"/>
        <v>1.385111697232044E-2</v>
      </c>
      <c r="R435" s="18">
        <f t="shared" si="701"/>
        <v>0.43036759379344308</v>
      </c>
      <c r="S435" s="19">
        <f t="shared" si="702"/>
        <v>1014.5095296949561</v>
      </c>
      <c r="T435" s="15">
        <f t="shared" si="703"/>
        <v>5.5290190593899127E-6</v>
      </c>
      <c r="U435" s="16">
        <f t="shared" si="704"/>
        <v>27.555859591491995</v>
      </c>
      <c r="V435" s="17">
        <f t="shared" si="705"/>
        <v>1.3837440314782734E-2</v>
      </c>
      <c r="W435" s="18">
        <f t="shared" si="706"/>
        <v>0.4306372962279777</v>
      </c>
      <c r="X435" s="19">
        <f t="shared" si="707"/>
        <v>1012.4104294342014</v>
      </c>
      <c r="Y435" s="15">
        <f t="shared" si="708"/>
        <v>5.5248208588684028E-6</v>
      </c>
      <c r="Z435" s="16">
        <f t="shared" si="709"/>
        <v>27.531719938493318</v>
      </c>
      <c r="AA435" s="17">
        <f t="shared" si="710"/>
        <v>1.3826933505433393E-2</v>
      </c>
      <c r="AB435" s="18">
        <f t="shared" si="711"/>
        <v>0.43101487652163373</v>
      </c>
      <c r="AC435" s="19">
        <f t="shared" si="712"/>
        <v>1009.7123917438213</v>
      </c>
      <c r="AD435" s="15">
        <f t="shared" si="643"/>
        <v>5.5194247834876435E-6</v>
      </c>
      <c r="AE435" s="16">
        <f t="shared" si="644"/>
        <v>27.500692505053944</v>
      </c>
      <c r="AF435" s="17">
        <f t="shared" si="645"/>
        <v>1.3813428782405079E-2</v>
      </c>
      <c r="AG435" s="18">
        <f t="shared" si="713"/>
        <v>0.43150116556290774</v>
      </c>
      <c r="AH435" s="19">
        <f t="shared" si="714"/>
        <v>1006.4150934662089</v>
      </c>
      <c r="AI435" s="15">
        <f t="shared" si="646"/>
        <v>5.5128301869324189E-6</v>
      </c>
      <c r="AJ435" s="16">
        <f t="shared" si="647"/>
        <v>27.462773574861401</v>
      </c>
      <c r="AK435" s="17">
        <f t="shared" si="648"/>
        <v>1.3796924528168875E-2</v>
      </c>
      <c r="AL435" s="18">
        <f t="shared" si="715"/>
        <v>0.43209695617125177</v>
      </c>
      <c r="AM435" s="19">
        <f t="shared" si="716"/>
        <v>1002.5184148977069</v>
      </c>
      <c r="AN435" s="15">
        <f t="shared" si="649"/>
        <v>5.5050368297954142E-6</v>
      </c>
      <c r="AO435" s="16">
        <f t="shared" si="650"/>
        <v>27.417961771323625</v>
      </c>
      <c r="AP435" s="17">
        <f t="shared" si="651"/>
        <v>1.3777420143561637E-2</v>
      </c>
      <c r="AQ435" s="18">
        <f t="shared" si="717"/>
        <v>0.43280317365272297</v>
      </c>
      <c r="AR435" s="19">
        <f t="shared" si="718"/>
        <v>998.02225320508444</v>
      </c>
      <c r="AS435" s="15">
        <f t="shared" si="652"/>
        <v>5.4960445064101696E-6</v>
      </c>
      <c r="AT435" s="16">
        <f t="shared" si="653"/>
        <v>27.36625591185847</v>
      </c>
      <c r="AU435" s="17">
        <f t="shared" si="654"/>
        <v>1.3754915113863245E-2</v>
      </c>
      <c r="AV435" s="18">
        <f t="shared" si="719"/>
        <v>0.433620912847483</v>
      </c>
      <c r="AW435" s="19">
        <f t="shared" si="720"/>
        <v>992.92618463945928</v>
      </c>
      <c r="AX435" s="15">
        <f t="shared" si="655"/>
        <v>5.4858523692789192E-6</v>
      </c>
      <c r="AY435" s="16">
        <f t="shared" si="656"/>
        <v>27.307651123353779</v>
      </c>
      <c r="AZ435" s="17">
        <f t="shared" si="657"/>
        <v>1.3729407318046508E-2</v>
      </c>
      <c r="BA435" s="18">
        <f t="shared" si="721"/>
        <v>0.4345515041229408</v>
      </c>
      <c r="BB435" s="19">
        <f t="shared" si="722"/>
        <v>987.22804055233996</v>
      </c>
      <c r="BC435" s="15">
        <f t="shared" si="658"/>
        <v>5.4744560811046807E-6</v>
      </c>
      <c r="BD435" s="16">
        <f t="shared" si="659"/>
        <v>27.242122466351908</v>
      </c>
      <c r="BE435" s="17">
        <f t="shared" si="660"/>
        <v>1.3700885901186266E-2</v>
      </c>
      <c r="BF435" s="18">
        <f t="shared" si="723"/>
        <v>0.43559678157878112</v>
      </c>
      <c r="BG435" s="19">
        <f t="shared" si="724"/>
        <v>980.91752370758013</v>
      </c>
      <c r="BH435" s="15">
        <f t="shared" si="661"/>
        <v>5.4618350474151602E-6</v>
      </c>
      <c r="BI435" s="16">
        <f t="shared" si="662"/>
        <v>27.169551522637171</v>
      </c>
      <c r="BJ435" s="17">
        <f t="shared" si="663"/>
        <v>1.3669299321629625E-2</v>
      </c>
      <c r="BK435" s="18">
        <f t="shared" si="725"/>
        <v>0.43676027776280668</v>
      </c>
      <c r="BL435" s="19">
        <f t="shared" si="726"/>
        <v>973.95016963506464</v>
      </c>
      <c r="BM435" s="15">
        <f t="shared" si="664"/>
        <v>5.4479003392701303E-6</v>
      </c>
      <c r="BN435" s="16">
        <f t="shared" si="665"/>
        <v>27.089426950803244</v>
      </c>
      <c r="BO435" s="17">
        <f t="shared" si="666"/>
        <v>1.3634425017491842E-2</v>
      </c>
      <c r="BP435" s="18">
        <f t="shared" si="727"/>
        <v>0.43805211868337568</v>
      </c>
      <c r="BQ435" s="19">
        <f t="shared" si="728"/>
        <v>966.15320638669482</v>
      </c>
      <c r="BR435" s="15">
        <f t="shared" si="667"/>
        <v>5.4323064127733898E-6</v>
      </c>
      <c r="BS435" s="16">
        <f t="shared" si="668"/>
        <v>26.999761873446989</v>
      </c>
      <c r="BT435" s="17">
        <f t="shared" si="669"/>
        <v>1.3595398198294084E-2</v>
      </c>
      <c r="BU435" s="18">
        <f t="shared" si="729"/>
        <v>0.43950687140645228</v>
      </c>
      <c r="BV435" s="19">
        <f t="shared" si="730"/>
        <v>956.93030650553715</v>
      </c>
      <c r="BW435" s="15">
        <f t="shared" si="670"/>
        <v>5.4138606130110751E-6</v>
      </c>
      <c r="BX435" s="16">
        <f t="shared" si="671"/>
        <v>26.893698524813676</v>
      </c>
      <c r="BY435" s="17">
        <f t="shared" si="672"/>
        <v>1.3549234014281012E-2</v>
      </c>
      <c r="BZ435" s="18">
        <f t="shared" si="731"/>
        <v>0.44124019828544991</v>
      </c>
      <c r="CA435" s="19">
        <f t="shared" si="732"/>
        <v>944.48321410816845</v>
      </c>
      <c r="CB435" s="15">
        <f t="shared" si="673"/>
        <v>5.3889664282163375E-6</v>
      </c>
      <c r="CC435" s="16">
        <f t="shared" si="674"/>
        <v>26.750556962243934</v>
      </c>
      <c r="CD435" s="17">
        <f t="shared" si="675"/>
        <v>1.3486931498666178E-2</v>
      </c>
      <c r="CE435" s="18">
        <f t="shared" si="733"/>
        <v>0.4436012635724384</v>
      </c>
      <c r="CF435" s="19">
        <f t="shared" si="734"/>
        <v>924.1779006803647</v>
      </c>
      <c r="CG435" s="15">
        <f t="shared" si="676"/>
        <v>5.3483558013607297E-6</v>
      </c>
      <c r="CH435" s="16">
        <f t="shared" si="677"/>
        <v>26.517045857824193</v>
      </c>
      <c r="CI435" s="17">
        <f t="shared" si="678"/>
        <v>1.3385295544941977E-2</v>
      </c>
      <c r="CJ435" s="18">
        <f t="shared" si="735"/>
        <v>0.44750764973378482</v>
      </c>
      <c r="CK435" s="19">
        <f t="shared" si="736"/>
        <v>886.12490348109134</v>
      </c>
      <c r="CL435" s="15">
        <f t="shared" si="679"/>
        <v>5.2722498069621826E-6</v>
      </c>
      <c r="CM435" s="16">
        <f t="shared" si="680"/>
        <v>26.079436390032548</v>
      </c>
      <c r="CN435" s="17">
        <f t="shared" si="681"/>
        <v>1.3194825563960705E-2</v>
      </c>
      <c r="CO435" s="18">
        <f t="shared" si="737"/>
        <v>0.45501676847024408</v>
      </c>
      <c r="CP435" s="19">
        <f t="shared" si="738"/>
        <v>813.69162059876942</v>
      </c>
      <c r="CQ435" s="15">
        <f t="shared" si="682"/>
        <v>5.127383241197539E-6</v>
      </c>
      <c r="CR435" s="16">
        <f t="shared" si="683"/>
        <v>25.246453636885846</v>
      </c>
      <c r="CS435" s="17">
        <f t="shared" si="684"/>
        <v>1.2832268944812968E-2</v>
      </c>
      <c r="CT435" s="18">
        <f t="shared" si="739"/>
        <v>0.47002961447149388</v>
      </c>
      <c r="CU435" s="19">
        <f t="shared" si="740"/>
        <v>687.00970566846399</v>
      </c>
      <c r="CV435" s="15">
        <f t="shared" si="685"/>
        <v>4.874019411336929E-6</v>
      </c>
      <c r="CW435" s="16">
        <f t="shared" si="686"/>
        <v>26.478451101800744</v>
      </c>
      <c r="CX435" s="17">
        <f t="shared" si="687"/>
        <v>1.2198176923070542E-2</v>
      </c>
      <c r="CY435" s="18">
        <f t="shared" si="741"/>
        <v>0.44815993292413081</v>
      </c>
      <c r="CZ435" s="20">
        <f t="shared" si="691"/>
        <v>496.80051090740534</v>
      </c>
      <c r="DA435" s="15">
        <f t="shared" si="688"/>
        <v>7.2629418046390813E-6</v>
      </c>
      <c r="DB435" s="16">
        <f t="shared" si="689"/>
        <v>39.087785183685241</v>
      </c>
      <c r="DC435" s="17">
        <f t="shared" si="690"/>
        <v>1.8176917578309665E-2</v>
      </c>
      <c r="DD435" s="18">
        <f t="shared" si="742"/>
        <v>0.30358795756662271</v>
      </c>
    </row>
    <row r="436" spans="2:108" x14ac:dyDescent="0.25">
      <c r="B436">
        <v>169</v>
      </c>
      <c r="C436">
        <f t="shared" si="743"/>
        <v>0.16521687861234749</v>
      </c>
      <c r="D436" s="19">
        <f t="shared" si="640"/>
        <v>1017.2253418548829</v>
      </c>
      <c r="E436" s="15">
        <f t="shared" si="692"/>
        <v>5.5344506837097662E-6</v>
      </c>
      <c r="F436" s="16">
        <f t="shared" si="641"/>
        <v>27.587091431331153</v>
      </c>
      <c r="G436" s="17">
        <f t="shared" si="638"/>
        <v>1.385103400591148E-2</v>
      </c>
      <c r="H436" s="18">
        <f t="shared" si="693"/>
        <v>0.43014976403930755</v>
      </c>
      <c r="I436" s="19">
        <f t="shared" si="694"/>
        <v>1016.9006814802831</v>
      </c>
      <c r="J436" s="15">
        <f t="shared" si="695"/>
        <v>5.5338013629605666E-6</v>
      </c>
      <c r="K436" s="16">
        <f t="shared" si="642"/>
        <v>27.583357837023254</v>
      </c>
      <c r="L436" s="17">
        <f t="shared" si="696"/>
        <v>1.3849408955063276E-2</v>
      </c>
      <c r="M436" s="18">
        <f t="shared" si="697"/>
        <v>0.43020798772331476</v>
      </c>
      <c r="N436" s="19">
        <f t="shared" si="698"/>
        <v>1015.9945704658446</v>
      </c>
      <c r="O436" s="15">
        <f t="shared" si="699"/>
        <v>5.5319891409316894E-6</v>
      </c>
      <c r="P436" s="16">
        <f t="shared" si="700"/>
        <v>27.572937560357211</v>
      </c>
      <c r="Q436" s="17">
        <f t="shared" si="639"/>
        <v>1.385103400591148E-2</v>
      </c>
      <c r="R436" s="18">
        <f t="shared" si="701"/>
        <v>0.43037057055462197</v>
      </c>
      <c r="S436" s="19">
        <f t="shared" si="702"/>
        <v>1014.4929417476345</v>
      </c>
      <c r="T436" s="15">
        <f t="shared" si="703"/>
        <v>5.5289858834952691E-6</v>
      </c>
      <c r="U436" s="16">
        <f t="shared" si="704"/>
        <v>27.555668830097794</v>
      </c>
      <c r="V436" s="17">
        <f t="shared" si="705"/>
        <v>1.3837357285685331E-2</v>
      </c>
      <c r="W436" s="18">
        <f t="shared" si="706"/>
        <v>0.43064027742838079</v>
      </c>
      <c r="X436" s="19">
        <f t="shared" si="707"/>
        <v>1012.3938442590236</v>
      </c>
      <c r="Y436" s="15">
        <f t="shared" si="708"/>
        <v>5.5247876885180473E-6</v>
      </c>
      <c r="Z436" s="16">
        <f t="shared" si="709"/>
        <v>27.531529208978771</v>
      </c>
      <c r="AA436" s="17">
        <f t="shared" si="710"/>
        <v>1.3826850490211645E-2</v>
      </c>
      <c r="AB436" s="18">
        <f t="shared" si="711"/>
        <v>0.43101786245305573</v>
      </c>
      <c r="AC436" s="19">
        <f t="shared" si="712"/>
        <v>1009.6958161958702</v>
      </c>
      <c r="AD436" s="15">
        <f t="shared" si="643"/>
        <v>5.5193916323917411E-6</v>
      </c>
      <c r="AE436" s="16">
        <f t="shared" si="644"/>
        <v>27.500501886252508</v>
      </c>
      <c r="AF436" s="17">
        <f t="shared" si="645"/>
        <v>1.3813345815371327E-2</v>
      </c>
      <c r="AG436" s="18">
        <f t="shared" si="713"/>
        <v>0.43150415649868551</v>
      </c>
      <c r="AH436" s="19">
        <f t="shared" si="714"/>
        <v>1006.3985329448122</v>
      </c>
      <c r="AI436" s="15">
        <f t="shared" si="646"/>
        <v>5.512797065889625E-6</v>
      </c>
      <c r="AJ436" s="16">
        <f t="shared" si="647"/>
        <v>27.46258312886534</v>
      </c>
      <c r="AK436" s="17">
        <f t="shared" si="648"/>
        <v>1.3796841636348842E-2</v>
      </c>
      <c r="AL436" s="18">
        <f t="shared" si="715"/>
        <v>0.43209995265322243</v>
      </c>
      <c r="AM436" s="19">
        <f t="shared" si="716"/>
        <v>1002.5018728748396</v>
      </c>
      <c r="AN436" s="15">
        <f t="shared" si="649"/>
        <v>5.5050037457496802E-6</v>
      </c>
      <c r="AO436" s="16">
        <f t="shared" si="650"/>
        <v>27.417771538060656</v>
      </c>
      <c r="AP436" s="17">
        <f t="shared" si="651"/>
        <v>1.3777337344333907E-2</v>
      </c>
      <c r="AQ436" s="18">
        <f t="shared" si="717"/>
        <v>0.43280617657948645</v>
      </c>
      <c r="AR436" s="19">
        <f t="shared" si="718"/>
        <v>998.00572837371033</v>
      </c>
      <c r="AS436" s="15">
        <f t="shared" si="652"/>
        <v>5.4960114567474215E-6</v>
      </c>
      <c r="AT436" s="16">
        <f t="shared" si="653"/>
        <v>27.366065876297668</v>
      </c>
      <c r="AU436" s="17">
        <f t="shared" si="654"/>
        <v>1.3754832400685592E-2</v>
      </c>
      <c r="AV436" s="18">
        <f t="shared" si="719"/>
        <v>0.4336239239998248</v>
      </c>
      <c r="AW436" s="19">
        <f t="shared" si="720"/>
        <v>992.90965471457218</v>
      </c>
      <c r="AX436" s="15">
        <f t="shared" si="655"/>
        <v>5.4858193094291447E-6</v>
      </c>
      <c r="AY436" s="16">
        <f t="shared" si="656"/>
        <v>27.307461029217578</v>
      </c>
      <c r="AZ436" s="17">
        <f t="shared" si="657"/>
        <v>1.3729324579373852E-2</v>
      </c>
      <c r="BA436" s="18">
        <f t="shared" si="721"/>
        <v>0.43455452914576231</v>
      </c>
      <c r="BB436" s="19">
        <f t="shared" si="722"/>
        <v>987.2113895478019</v>
      </c>
      <c r="BC436" s="15">
        <f t="shared" si="658"/>
        <v>5.474422779095604E-6</v>
      </c>
      <c r="BD436" s="16">
        <f t="shared" si="659"/>
        <v>27.241930979799719</v>
      </c>
      <c r="BE436" s="17">
        <f t="shared" si="660"/>
        <v>1.3700802556463085E-2</v>
      </c>
      <c r="BF436" s="18">
        <f t="shared" si="723"/>
        <v>0.43559984343683777</v>
      </c>
      <c r="BG436" s="19">
        <f t="shared" si="724"/>
        <v>980.90025553369242</v>
      </c>
      <c r="BH436" s="15">
        <f t="shared" si="661"/>
        <v>5.4618005110673855E-6</v>
      </c>
      <c r="BI436" s="16">
        <f t="shared" si="662"/>
        <v>27.169352938637463</v>
      </c>
      <c r="BJ436" s="17">
        <f t="shared" si="663"/>
        <v>1.3669212887734953E-2</v>
      </c>
      <c r="BK436" s="18">
        <f t="shared" si="725"/>
        <v>0.43676347009510358</v>
      </c>
      <c r="BL436" s="19">
        <f t="shared" si="726"/>
        <v>973.93042050576787</v>
      </c>
      <c r="BM436" s="15">
        <f t="shared" si="664"/>
        <v>5.4478608410115363E-6</v>
      </c>
      <c r="BN436" s="16">
        <f t="shared" si="665"/>
        <v>27.089199835816331</v>
      </c>
      <c r="BO436" s="17">
        <f t="shared" si="666"/>
        <v>1.3634326165454985E-2</v>
      </c>
      <c r="BP436" s="18">
        <f t="shared" si="727"/>
        <v>0.43805579129835898</v>
      </c>
      <c r="BQ436" s="19">
        <f t="shared" si="728"/>
        <v>966.12483953365984</v>
      </c>
      <c r="BR436" s="15">
        <f t="shared" si="667"/>
        <v>5.4322496790673202E-6</v>
      </c>
      <c r="BS436" s="16">
        <f t="shared" si="668"/>
        <v>26.999435654637089</v>
      </c>
      <c r="BT436" s="17">
        <f t="shared" si="669"/>
        <v>1.3595256211214072E-2</v>
      </c>
      <c r="BU436" s="18">
        <f t="shared" si="729"/>
        <v>0.43951218171776274</v>
      </c>
      <c r="BV436" s="19">
        <f t="shared" si="730"/>
        <v>956.87595102873638</v>
      </c>
      <c r="BW436" s="15">
        <f t="shared" si="670"/>
        <v>5.4137519020574728E-6</v>
      </c>
      <c r="BX436" s="16">
        <f t="shared" si="671"/>
        <v>26.89307343683047</v>
      </c>
      <c r="BY436" s="17">
        <f t="shared" si="672"/>
        <v>1.354896194407907E-2</v>
      </c>
      <c r="BZ436" s="18">
        <f t="shared" si="731"/>
        <v>0.44125045423281511</v>
      </c>
      <c r="CA436" s="19">
        <f t="shared" si="732"/>
        <v>944.36195133380886</v>
      </c>
      <c r="CB436" s="15">
        <f t="shared" si="673"/>
        <v>5.3887239026676181E-6</v>
      </c>
      <c r="CC436" s="16">
        <f t="shared" si="674"/>
        <v>26.7491624403388</v>
      </c>
      <c r="CD436" s="17">
        <f t="shared" si="675"/>
        <v>1.3486324531540698E-2</v>
      </c>
      <c r="CE436" s="18">
        <f t="shared" si="733"/>
        <v>0.44362438996679099</v>
      </c>
      <c r="CF436" s="19">
        <f t="shared" si="734"/>
        <v>923.91395468495739</v>
      </c>
      <c r="CG436" s="15">
        <f t="shared" si="676"/>
        <v>5.3478279093699147E-6</v>
      </c>
      <c r="CH436" s="16">
        <f t="shared" si="677"/>
        <v>26.514010478877012</v>
      </c>
      <c r="CI436" s="17">
        <f t="shared" si="678"/>
        <v>1.3383974393063661E-2</v>
      </c>
      <c r="CJ436" s="18">
        <f t="shared" si="735"/>
        <v>0.44755888133829019</v>
      </c>
      <c r="CK436" s="19">
        <f t="shared" si="736"/>
        <v>885.62126610190091</v>
      </c>
      <c r="CL436" s="15">
        <f t="shared" si="679"/>
        <v>5.2712425322038022E-6</v>
      </c>
      <c r="CM436" s="16">
        <f t="shared" si="680"/>
        <v>26.073644560171857</v>
      </c>
      <c r="CN436" s="17">
        <f t="shared" si="681"/>
        <v>1.3192304663924015E-2</v>
      </c>
      <c r="CO436" s="18">
        <f t="shared" si="737"/>
        <v>0.45511784293647989</v>
      </c>
      <c r="CP436" s="19">
        <f t="shared" si="738"/>
        <v>812.90298977405905</v>
      </c>
      <c r="CQ436" s="15">
        <f t="shared" si="682"/>
        <v>5.1258059795481191E-6</v>
      </c>
      <c r="CR436" s="16">
        <f t="shared" si="683"/>
        <v>25.237384382401679</v>
      </c>
      <c r="CS436" s="17">
        <f t="shared" si="684"/>
        <v>1.2828321542262858E-2</v>
      </c>
      <c r="CT436" s="18">
        <f t="shared" si="739"/>
        <v>0.47019852334589013</v>
      </c>
      <c r="CU436" s="19">
        <f t="shared" si="740"/>
        <v>686.08777884743176</v>
      </c>
      <c r="CV436" s="15">
        <f t="shared" si="685"/>
        <v>4.8721755576948642E-6</v>
      </c>
      <c r="CW436" s="16">
        <f t="shared" si="686"/>
        <v>26.66357400746395</v>
      </c>
      <c r="CX436" s="17">
        <f t="shared" si="687"/>
        <v>1.2193562322461066E-2</v>
      </c>
      <c r="CY436" s="18">
        <f t="shared" si="741"/>
        <v>0.4450483969776925</v>
      </c>
      <c r="CZ436" s="20">
        <f t="shared" si="691"/>
        <v>496.44651923906503</v>
      </c>
      <c r="DA436" s="15">
        <f t="shared" si="688"/>
        <v>7.2682399679150886E-6</v>
      </c>
      <c r="DB436" s="16">
        <f t="shared" si="689"/>
        <v>39.098050942067111</v>
      </c>
      <c r="DC436" s="17">
        <f t="shared" si="690"/>
        <v>1.8190177257345359E-2</v>
      </c>
      <c r="DD436" s="18">
        <f t="shared" si="742"/>
        <v>0.30350824616042904</v>
      </c>
    </row>
    <row r="437" spans="2:108" x14ac:dyDescent="0.25">
      <c r="B437">
        <v>170</v>
      </c>
      <c r="C437">
        <f t="shared" si="743"/>
        <v>0.16619449327869273</v>
      </c>
      <c r="D437" s="19">
        <f t="shared" si="640"/>
        <v>1017.2087663362312</v>
      </c>
      <c r="E437" s="15">
        <f t="shared" si="692"/>
        <v>5.5344175326724632E-6</v>
      </c>
      <c r="F437" s="16">
        <f t="shared" si="641"/>
        <v>27.586900812866659</v>
      </c>
      <c r="G437" s="17">
        <f t="shared" si="638"/>
        <v>1.3850951039024383E-2</v>
      </c>
      <c r="H437" s="18">
        <f t="shared" si="693"/>
        <v>0.43015273626471551</v>
      </c>
      <c r="I437" s="19">
        <f t="shared" si="694"/>
        <v>1016.8841041588141</v>
      </c>
      <c r="J437" s="15">
        <f t="shared" si="695"/>
        <v>5.5337682083176282E-6</v>
      </c>
      <c r="K437" s="16">
        <f t="shared" si="642"/>
        <v>27.583167197826363</v>
      </c>
      <c r="L437" s="17">
        <f t="shared" si="696"/>
        <v>1.384932597915238E-2</v>
      </c>
      <c r="M437" s="18">
        <f t="shared" si="697"/>
        <v>0.4302109610767621</v>
      </c>
      <c r="N437" s="19">
        <f t="shared" si="698"/>
        <v>1015.9779865539311</v>
      </c>
      <c r="O437" s="15">
        <f t="shared" si="699"/>
        <v>5.5319559731078629E-6</v>
      </c>
      <c r="P437" s="16">
        <f t="shared" si="700"/>
        <v>27.572746845370208</v>
      </c>
      <c r="Q437" s="17">
        <f t="shared" si="639"/>
        <v>1.3850951039024383E-2</v>
      </c>
      <c r="R437" s="18">
        <f t="shared" si="701"/>
        <v>0.43037354733884409</v>
      </c>
      <c r="S437" s="19">
        <f t="shared" si="702"/>
        <v>1014.4763539898825</v>
      </c>
      <c r="T437" s="15">
        <f t="shared" si="703"/>
        <v>5.5289527079797651E-6</v>
      </c>
      <c r="U437" s="16">
        <f t="shared" si="704"/>
        <v>27.555478070883648</v>
      </c>
      <c r="V437" s="17">
        <f t="shared" si="705"/>
        <v>1.3837274257536799E-2</v>
      </c>
      <c r="W437" s="18">
        <f t="shared" si="706"/>
        <v>0.43064325863599001</v>
      </c>
      <c r="X437" s="19">
        <f t="shared" si="707"/>
        <v>1012.3772592996639</v>
      </c>
      <c r="Y437" s="15">
        <f t="shared" si="708"/>
        <v>5.5247545185993287E-6</v>
      </c>
      <c r="Z437" s="16">
        <f t="shared" si="709"/>
        <v>27.531338481946136</v>
      </c>
      <c r="AA437" s="17">
        <f t="shared" si="710"/>
        <v>1.3826767476070152E-2</v>
      </c>
      <c r="AB437" s="18">
        <f t="shared" si="711"/>
        <v>0.43102084838699323</v>
      </c>
      <c r="AC437" s="19">
        <f t="shared" si="712"/>
        <v>1009.6792408561794</v>
      </c>
      <c r="AD437" s="15">
        <f t="shared" si="643"/>
        <v>5.5193584817123595E-6</v>
      </c>
      <c r="AE437" s="16">
        <f t="shared" si="644"/>
        <v>27.500311269846062</v>
      </c>
      <c r="AF437" s="17">
        <f t="shared" si="645"/>
        <v>1.3813262849379998E-2</v>
      </c>
      <c r="AG437" s="18">
        <f t="shared" si="713"/>
        <v>0.43150714743834695</v>
      </c>
      <c r="AH437" s="19">
        <f t="shared" si="714"/>
        <v>1006.381972609432</v>
      </c>
      <c r="AI437" s="15">
        <f t="shared" si="646"/>
        <v>5.5127639452188639E-6</v>
      </c>
      <c r="AJ437" s="16">
        <f t="shared" si="647"/>
        <v>27.462392685008467</v>
      </c>
      <c r="AK437" s="17">
        <f t="shared" si="648"/>
        <v>1.3796758745459896E-2</v>
      </c>
      <c r="AL437" s="18">
        <f t="shared" si="715"/>
        <v>0.43210294914309427</v>
      </c>
      <c r="AM437" s="19">
        <f t="shared" si="716"/>
        <v>1002.4853309684952</v>
      </c>
      <c r="AN437" s="15">
        <f t="shared" si="649"/>
        <v>5.5049706619369904E-6</v>
      </c>
      <c r="AO437" s="16">
        <f t="shared" si="650"/>
        <v>27.417581306137691</v>
      </c>
      <c r="AP437" s="17">
        <f t="shared" si="651"/>
        <v>1.3777254545689418E-2</v>
      </c>
      <c r="AQ437" s="18">
        <f t="shared" si="717"/>
        <v>0.43280917952676773</v>
      </c>
      <c r="AR437" s="19">
        <f t="shared" si="718"/>
        <v>997.98920334503782</v>
      </c>
      <c r="AS437" s="15">
        <f t="shared" si="652"/>
        <v>5.4959784066900763E-6</v>
      </c>
      <c r="AT437" s="16">
        <f t="shared" si="653"/>
        <v>27.365875838467936</v>
      </c>
      <c r="AU437" s="17">
        <f t="shared" si="654"/>
        <v>1.3754749686520386E-2</v>
      </c>
      <c r="AV437" s="18">
        <f t="shared" si="719"/>
        <v>0.43362693522993939</v>
      </c>
      <c r="AW437" s="19">
        <f t="shared" si="720"/>
        <v>992.8931231973113</v>
      </c>
      <c r="AX437" s="15">
        <f t="shared" si="655"/>
        <v>5.4857862463946237E-6</v>
      </c>
      <c r="AY437" s="16">
        <f t="shared" si="656"/>
        <v>27.307270916769077</v>
      </c>
      <c r="AZ437" s="17">
        <f t="shared" si="657"/>
        <v>1.372924183273075E-2</v>
      </c>
      <c r="BA437" s="18">
        <f t="shared" si="721"/>
        <v>0.43455755450211503</v>
      </c>
      <c r="BB437" s="19">
        <f t="shared" si="722"/>
        <v>987.19473132590406</v>
      </c>
      <c r="BC437" s="15">
        <f t="shared" si="658"/>
        <v>5.4743894626518085E-6</v>
      </c>
      <c r="BD437" s="16">
        <f t="shared" si="659"/>
        <v>27.241739410247895</v>
      </c>
      <c r="BE437" s="17">
        <f t="shared" si="660"/>
        <v>1.3700719175614228E-2</v>
      </c>
      <c r="BF437" s="18">
        <f t="shared" si="723"/>
        <v>0.43560290666512602</v>
      </c>
      <c r="BG437" s="19">
        <f t="shared" si="724"/>
        <v>980.88296000029845</v>
      </c>
      <c r="BH437" s="15">
        <f t="shared" si="661"/>
        <v>5.4617659200005972E-6</v>
      </c>
      <c r="BI437" s="16">
        <f t="shared" si="662"/>
        <v>27.169154040003431</v>
      </c>
      <c r="BJ437" s="17">
        <f t="shared" si="663"/>
        <v>1.3669126316895357E-2</v>
      </c>
      <c r="BK437" s="18">
        <f t="shared" si="725"/>
        <v>0.43676666753207455</v>
      </c>
      <c r="BL437" s="19">
        <f t="shared" si="726"/>
        <v>973.91058129606756</v>
      </c>
      <c r="BM437" s="15">
        <f t="shared" si="664"/>
        <v>5.4478211625921354E-6</v>
      </c>
      <c r="BN437" s="16">
        <f t="shared" si="665"/>
        <v>27.088971684904777</v>
      </c>
      <c r="BO437" s="17">
        <f t="shared" si="666"/>
        <v>1.3634226862530841E-2</v>
      </c>
      <c r="BP437" s="18">
        <f t="shared" si="727"/>
        <v>0.4380594807270039</v>
      </c>
      <c r="BQ437" s="19">
        <f t="shared" si="728"/>
        <v>966.09621790109929</v>
      </c>
      <c r="BR437" s="15">
        <f t="shared" si="667"/>
        <v>5.4321924358021995E-6</v>
      </c>
      <c r="BS437" s="16">
        <f t="shared" si="668"/>
        <v>26.999106505862642</v>
      </c>
      <c r="BT437" s="17">
        <f t="shared" si="669"/>
        <v>1.3595112948863912E-2</v>
      </c>
      <c r="BU437" s="18">
        <f t="shared" si="729"/>
        <v>0.43951753985418607</v>
      </c>
      <c r="BV437" s="19">
        <f t="shared" si="730"/>
        <v>956.8209947260616</v>
      </c>
      <c r="BW437" s="15">
        <f t="shared" si="670"/>
        <v>5.413641989452124E-6</v>
      </c>
      <c r="BX437" s="16">
        <f t="shared" si="671"/>
        <v>26.89244143934971</v>
      </c>
      <c r="BY437" s="17">
        <f t="shared" si="672"/>
        <v>1.3548686866511055E-2</v>
      </c>
      <c r="BZ437" s="18">
        <f t="shared" si="731"/>
        <v>0.44126082403044348</v>
      </c>
      <c r="CA437" s="19">
        <f t="shared" si="732"/>
        <v>944.23956970124834</v>
      </c>
      <c r="CB437" s="15">
        <f t="shared" si="673"/>
        <v>5.3884791394024965E-6</v>
      </c>
      <c r="CC437" s="16">
        <f t="shared" si="674"/>
        <v>26.747755051564354</v>
      </c>
      <c r="CD437" s="17">
        <f t="shared" si="675"/>
        <v>1.3485711964096815E-2</v>
      </c>
      <c r="CE437" s="18">
        <f t="shared" si="733"/>
        <v>0.44364773218692521</v>
      </c>
      <c r="CF437" s="19">
        <f t="shared" si="734"/>
        <v>923.64855131064428</v>
      </c>
      <c r="CG437" s="15">
        <f t="shared" si="676"/>
        <v>5.3472971026212888E-6</v>
      </c>
      <c r="CH437" s="16">
        <f t="shared" si="677"/>
        <v>26.510958340072406</v>
      </c>
      <c r="CI437" s="17">
        <f t="shared" si="678"/>
        <v>1.3382645946439784E-2</v>
      </c>
      <c r="CJ437" s="18">
        <f t="shared" si="735"/>
        <v>0.44761040764720572</v>
      </c>
      <c r="CK437" s="19">
        <f t="shared" si="736"/>
        <v>885.11686593080333</v>
      </c>
      <c r="CL437" s="15">
        <f t="shared" si="679"/>
        <v>5.2702337318616074E-6</v>
      </c>
      <c r="CM437" s="16">
        <f t="shared" si="680"/>
        <v>26.067843958204236</v>
      </c>
      <c r="CN437" s="17">
        <f t="shared" si="681"/>
        <v>1.3189779945818559E-2</v>
      </c>
      <c r="CO437" s="18">
        <f t="shared" si="737"/>
        <v>0.45521911550276767</v>
      </c>
      <c r="CP437" s="19">
        <f t="shared" si="738"/>
        <v>812.1163574779381</v>
      </c>
      <c r="CQ437" s="15">
        <f t="shared" si="682"/>
        <v>5.1242327149558766E-6</v>
      </c>
      <c r="CR437" s="16">
        <f t="shared" si="683"/>
        <v>25.228338110996287</v>
      </c>
      <c r="CS437" s="17">
        <f t="shared" si="684"/>
        <v>1.2824384143121949E-2</v>
      </c>
      <c r="CT437" s="18">
        <f t="shared" si="739"/>
        <v>0.47036712515540635</v>
      </c>
      <c r="CU437" s="19">
        <f t="shared" si="740"/>
        <v>685.17527453487116</v>
      </c>
      <c r="CV437" s="15">
        <f t="shared" si="685"/>
        <v>4.8703505490697431E-6</v>
      </c>
      <c r="CW437" s="16">
        <f t="shared" si="686"/>
        <v>26.846804873426038</v>
      </c>
      <c r="CX437" s="17">
        <f t="shared" si="687"/>
        <v>1.2188994885153867E-2</v>
      </c>
      <c r="CY437" s="18">
        <f t="shared" si="741"/>
        <v>0.44201091808373366</v>
      </c>
      <c r="CZ437" s="20">
        <f t="shared" si="691"/>
        <v>496.11659638769385</v>
      </c>
      <c r="DA437" s="15">
        <f t="shared" si="688"/>
        <v>7.2731768145420732E-6</v>
      </c>
      <c r="DB437" s="16">
        <f t="shared" si="689"/>
        <v>39.107618704756874</v>
      </c>
      <c r="DC437" s="17">
        <f t="shared" si="690"/>
        <v>1.8202532671535532E-2</v>
      </c>
      <c r="DD437" s="18">
        <f t="shared" si="742"/>
        <v>0.30343399221785144</v>
      </c>
    </row>
    <row r="438" spans="2:108" x14ac:dyDescent="0.25">
      <c r="B438">
        <v>171</v>
      </c>
      <c r="C438">
        <f t="shared" si="743"/>
        <v>0.16717210794503801</v>
      </c>
      <c r="D438" s="19">
        <f t="shared" si="640"/>
        <v>1017.1921907255368</v>
      </c>
      <c r="E438" s="15">
        <f t="shared" si="692"/>
        <v>5.5343843814510737E-6</v>
      </c>
      <c r="F438" s="16">
        <f t="shared" si="641"/>
        <v>27.58671019334367</v>
      </c>
      <c r="G438" s="17">
        <f t="shared" si="638"/>
        <v>1.3850868071676577E-2</v>
      </c>
      <c r="H438" s="18">
        <f t="shared" si="693"/>
        <v>0.43015570854770341</v>
      </c>
      <c r="I438" s="19">
        <f t="shared" si="694"/>
        <v>1016.8675268122038</v>
      </c>
      <c r="J438" s="15">
        <f t="shared" si="695"/>
        <v>5.5337350536244082E-6</v>
      </c>
      <c r="K438" s="16">
        <f t="shared" si="642"/>
        <v>27.582976558340341</v>
      </c>
      <c r="L438" s="17">
        <f t="shared" si="696"/>
        <v>1.3849243003115642E-2</v>
      </c>
      <c r="M438" s="18">
        <f t="shared" si="697"/>
        <v>0.43021393447581957</v>
      </c>
      <c r="N438" s="19">
        <f t="shared" si="698"/>
        <v>1015.9614027432546</v>
      </c>
      <c r="O438" s="15">
        <f t="shared" si="699"/>
        <v>5.5319228054865094E-6</v>
      </c>
      <c r="P438" s="16">
        <f t="shared" si="700"/>
        <v>27.572556131547426</v>
      </c>
      <c r="Q438" s="17">
        <f t="shared" si="639"/>
        <v>1.3850868071676577E-2</v>
      </c>
      <c r="R438" s="18">
        <f t="shared" si="701"/>
        <v>0.43037652414607391</v>
      </c>
      <c r="S438" s="19">
        <f t="shared" si="702"/>
        <v>1014.4597664211016</v>
      </c>
      <c r="T438" s="15">
        <f t="shared" si="703"/>
        <v>5.5289195328422038E-6</v>
      </c>
      <c r="U438" s="16">
        <f t="shared" si="704"/>
        <v>27.555287313842669</v>
      </c>
      <c r="V438" s="17">
        <f t="shared" si="705"/>
        <v>1.3837191230334143E-2</v>
      </c>
      <c r="W438" s="18">
        <f t="shared" si="706"/>
        <v>0.43064623985091255</v>
      </c>
      <c r="X438" s="19">
        <f t="shared" si="707"/>
        <v>1012.3606745556846</v>
      </c>
      <c r="Y438" s="15">
        <f t="shared" si="708"/>
        <v>5.5247213491113697E-6</v>
      </c>
      <c r="Z438" s="16">
        <f t="shared" si="709"/>
        <v>27.531147757390372</v>
      </c>
      <c r="AA438" s="17">
        <f t="shared" si="710"/>
        <v>1.3826684463006717E-2</v>
      </c>
      <c r="AB438" s="18">
        <f t="shared" si="711"/>
        <v>0.43102383432352442</v>
      </c>
      <c r="AC438" s="19">
        <f t="shared" si="712"/>
        <v>1009.6626657245021</v>
      </c>
      <c r="AD438" s="15">
        <f t="shared" si="643"/>
        <v>5.519325331449004E-6</v>
      </c>
      <c r="AE438" s="16">
        <f t="shared" si="644"/>
        <v>27.500120655831772</v>
      </c>
      <c r="AF438" s="17">
        <f t="shared" si="645"/>
        <v>1.3813179884429856E-2</v>
      </c>
      <c r="AG438" s="18">
        <f t="shared" si="713"/>
        <v>0.4315101383819358</v>
      </c>
      <c r="AH438" s="19">
        <f t="shared" si="714"/>
        <v>1006.3654124593075</v>
      </c>
      <c r="AI438" s="15">
        <f t="shared" si="646"/>
        <v>5.5127308249186155E-6</v>
      </c>
      <c r="AJ438" s="16">
        <f t="shared" si="647"/>
        <v>27.462202243282036</v>
      </c>
      <c r="AK438" s="17">
        <f t="shared" si="648"/>
        <v>1.3796675855498227E-2</v>
      </c>
      <c r="AL438" s="18">
        <f t="shared" si="715"/>
        <v>0.43210594564100446</v>
      </c>
      <c r="AM438" s="19">
        <f t="shared" si="716"/>
        <v>1002.4687891749237</v>
      </c>
      <c r="AN438" s="15">
        <f t="shared" si="649"/>
        <v>5.5049375783498476E-6</v>
      </c>
      <c r="AO438" s="16">
        <f t="shared" si="650"/>
        <v>27.417391075511624</v>
      </c>
      <c r="AP438" s="17">
        <f t="shared" si="651"/>
        <v>1.3777171747609403E-2</v>
      </c>
      <c r="AQ438" s="18">
        <f t="shared" si="717"/>
        <v>0.43281218249524717</v>
      </c>
      <c r="AR438" s="19">
        <f t="shared" si="718"/>
        <v>997.97267810270171</v>
      </c>
      <c r="AS438" s="15">
        <f t="shared" si="652"/>
        <v>5.4959453562054038E-6</v>
      </c>
      <c r="AT438" s="16">
        <f t="shared" si="653"/>
        <v>27.365685798181069</v>
      </c>
      <c r="AU438" s="17">
        <f t="shared" si="654"/>
        <v>1.3754666971285709E-2</v>
      </c>
      <c r="AV438" s="18">
        <f t="shared" si="719"/>
        <v>0.43362994654081138</v>
      </c>
      <c r="AW438" s="19">
        <f t="shared" si="720"/>
        <v>992.87659002415285</v>
      </c>
      <c r="AX438" s="15">
        <f t="shared" si="655"/>
        <v>5.4857531800483063E-6</v>
      </c>
      <c r="AY438" s="16">
        <f t="shared" si="656"/>
        <v>27.307080785277755</v>
      </c>
      <c r="AZ438" s="17">
        <f t="shared" si="657"/>
        <v>1.3729159077799237E-2</v>
      </c>
      <c r="BA438" s="18">
        <f t="shared" si="721"/>
        <v>0.43456058020363736</v>
      </c>
      <c r="BB438" s="19">
        <f t="shared" si="722"/>
        <v>987.17806566974821</v>
      </c>
      <c r="BC438" s="15">
        <f t="shared" si="658"/>
        <v>5.4743561313394974E-6</v>
      </c>
      <c r="BD438" s="16">
        <f t="shared" si="659"/>
        <v>27.241547755202106</v>
      </c>
      <c r="BE438" s="17">
        <f t="shared" si="660"/>
        <v>1.3700635757554033E-2</v>
      </c>
      <c r="BF438" s="18">
        <f t="shared" si="723"/>
        <v>0.4356059713035883</v>
      </c>
      <c r="BG438" s="19">
        <f t="shared" si="724"/>
        <v>980.86563647282026</v>
      </c>
      <c r="BH438" s="15">
        <f t="shared" si="661"/>
        <v>5.4617312729456417E-6</v>
      </c>
      <c r="BI438" s="16">
        <f t="shared" si="662"/>
        <v>27.168954819437431</v>
      </c>
      <c r="BJ438" s="17">
        <f t="shared" si="663"/>
        <v>1.3669039605934538E-2</v>
      </c>
      <c r="BK438" s="18">
        <f t="shared" si="725"/>
        <v>0.43676987019126012</v>
      </c>
      <c r="BL438" s="19">
        <f t="shared" si="726"/>
        <v>973.89065048384077</v>
      </c>
      <c r="BM438" s="15">
        <f t="shared" si="664"/>
        <v>5.4477813009676819E-6</v>
      </c>
      <c r="BN438" s="16">
        <f t="shared" si="665"/>
        <v>27.088742480564168</v>
      </c>
      <c r="BO438" s="17">
        <f t="shared" si="666"/>
        <v>1.3634127101100594E-2</v>
      </c>
      <c r="BP438" s="18">
        <f t="shared" si="727"/>
        <v>0.43806318725322968</v>
      </c>
      <c r="BQ438" s="19">
        <f t="shared" si="728"/>
        <v>966.06733875335783</v>
      </c>
      <c r="BR438" s="15">
        <f t="shared" si="667"/>
        <v>5.4321346775067167E-6</v>
      </c>
      <c r="BS438" s="16">
        <f t="shared" si="668"/>
        <v>26.998774395663617</v>
      </c>
      <c r="BT438" s="17">
        <f t="shared" si="669"/>
        <v>1.3594968397550589E-2</v>
      </c>
      <c r="BU438" s="18">
        <f t="shared" si="729"/>
        <v>0.43952294633136529</v>
      </c>
      <c r="BV438" s="19">
        <f t="shared" si="730"/>
        <v>956.76543485777108</v>
      </c>
      <c r="BW438" s="15">
        <f t="shared" si="670"/>
        <v>5.4135308697155421E-6</v>
      </c>
      <c r="BX438" s="16">
        <f t="shared" si="671"/>
        <v>26.891802500864365</v>
      </c>
      <c r="BY438" s="17">
        <f t="shared" si="672"/>
        <v>1.3548408767863496E-2</v>
      </c>
      <c r="BZ438" s="18">
        <f t="shared" si="731"/>
        <v>0.4412713082113584</v>
      </c>
      <c r="CA438" s="19">
        <f t="shared" si="732"/>
        <v>944.11607132882352</v>
      </c>
      <c r="CB438" s="15">
        <f t="shared" si="673"/>
        <v>5.3882321426576477E-6</v>
      </c>
      <c r="CC438" s="16">
        <f t="shared" si="674"/>
        <v>26.746334820281469</v>
      </c>
      <c r="CD438" s="17">
        <f t="shared" si="675"/>
        <v>1.348509380693764E-2</v>
      </c>
      <c r="CE438" s="18">
        <f t="shared" si="733"/>
        <v>0.44367128989649801</v>
      </c>
      <c r="CF438" s="19">
        <f t="shared" si="734"/>
        <v>923.38170488313335</v>
      </c>
      <c r="CG438" s="15">
        <f t="shared" si="676"/>
        <v>5.3467634097662666E-6</v>
      </c>
      <c r="CH438" s="16">
        <f t="shared" si="677"/>
        <v>26.507889606156034</v>
      </c>
      <c r="CI438" s="17">
        <f t="shared" si="678"/>
        <v>1.3381310276776057E-2</v>
      </c>
      <c r="CJ438" s="18">
        <f t="shared" si="735"/>
        <v>0.447662226077857</v>
      </c>
      <c r="CK438" s="19">
        <f t="shared" si="736"/>
        <v>884.61173241757831</v>
      </c>
      <c r="CL438" s="15">
        <f t="shared" si="679"/>
        <v>5.2692234648351574E-6</v>
      </c>
      <c r="CM438" s="16">
        <f t="shared" si="680"/>
        <v>26.062034922802148</v>
      </c>
      <c r="CN438" s="17">
        <f t="shared" si="681"/>
        <v>1.3187251557051884E-2</v>
      </c>
      <c r="CO438" s="18">
        <f t="shared" si="737"/>
        <v>0.45532058048681423</v>
      </c>
      <c r="CP438" s="19">
        <f t="shared" si="738"/>
        <v>811.33178844015788</v>
      </c>
      <c r="CQ438" s="15">
        <f t="shared" si="682"/>
        <v>5.1226635768803164E-6</v>
      </c>
      <c r="CR438" s="16">
        <f t="shared" si="683"/>
        <v>25.219315567061813</v>
      </c>
      <c r="CS438" s="17">
        <f t="shared" si="684"/>
        <v>1.2820457071387707E-2</v>
      </c>
      <c r="CT438" s="18">
        <f t="shared" si="739"/>
        <v>0.47053540521997678</v>
      </c>
      <c r="CU438" s="19">
        <f t="shared" si="740"/>
        <v>684.27228643082049</v>
      </c>
      <c r="CV438" s="15">
        <f t="shared" si="685"/>
        <v>4.8685445728616413E-6</v>
      </c>
      <c r="CW438" s="16">
        <f t="shared" si="686"/>
        <v>27.028124884719318</v>
      </c>
      <c r="CX438" s="17">
        <f t="shared" si="687"/>
        <v>1.2184475080153901E-2</v>
      </c>
      <c r="CY438" s="18">
        <f t="shared" si="741"/>
        <v>0.43904565782241206</v>
      </c>
      <c r="CZ438" s="20">
        <f t="shared" si="691"/>
        <v>495.80925578712413</v>
      </c>
      <c r="DA438" s="15">
        <f t="shared" si="688"/>
        <v>7.2777748142400258E-6</v>
      </c>
      <c r="DB438" s="16">
        <f t="shared" si="689"/>
        <v>39.116531582173394</v>
      </c>
      <c r="DC438" s="17">
        <f t="shared" si="690"/>
        <v>1.8214040055703391E-2</v>
      </c>
      <c r="DD438" s="18">
        <f t="shared" si="742"/>
        <v>0.30336485341982272</v>
      </c>
    </row>
    <row r="439" spans="2:108" x14ac:dyDescent="0.25">
      <c r="B439">
        <v>172</v>
      </c>
      <c r="C439">
        <f t="shared" si="743"/>
        <v>0.16814972261138325</v>
      </c>
      <c r="D439" s="19">
        <f t="shared" si="640"/>
        <v>1017.1756150262153</v>
      </c>
      <c r="E439" s="15">
        <f t="shared" si="692"/>
        <v>5.5343512300524307E-6</v>
      </c>
      <c r="F439" s="16">
        <f t="shared" si="641"/>
        <v>27.586519572801475</v>
      </c>
      <c r="G439" s="17">
        <f t="shared" si="638"/>
        <v>1.3850785103885157E-2</v>
      </c>
      <c r="H439" s="18">
        <f t="shared" si="693"/>
        <v>0.43015868088766007</v>
      </c>
      <c r="I439" s="19">
        <f t="shared" si="694"/>
        <v>1016.8509494426163</v>
      </c>
      <c r="J439" s="15">
        <f t="shared" si="695"/>
        <v>5.5337018988852332E-6</v>
      </c>
      <c r="K439" s="16">
        <f t="shared" si="642"/>
        <v>27.582785918590087</v>
      </c>
      <c r="L439" s="17">
        <f t="shared" si="696"/>
        <v>1.3849160026963894E-2</v>
      </c>
      <c r="M439" s="18">
        <f t="shared" si="697"/>
        <v>0.43021690792009987</v>
      </c>
      <c r="N439" s="19">
        <f t="shared" si="698"/>
        <v>1015.9448190340212</v>
      </c>
      <c r="O439" s="15">
        <f t="shared" si="699"/>
        <v>5.5318896380680424E-6</v>
      </c>
      <c r="P439" s="16">
        <f t="shared" si="700"/>
        <v>27.572365418891245</v>
      </c>
      <c r="Q439" s="17">
        <f t="shared" si="639"/>
        <v>1.3850785103885157E-2</v>
      </c>
      <c r="R439" s="18">
        <f t="shared" si="701"/>
        <v>0.43037950097627437</v>
      </c>
      <c r="S439" s="19">
        <f t="shared" si="702"/>
        <v>1014.4431790407054</v>
      </c>
      <c r="T439" s="15">
        <f t="shared" si="703"/>
        <v>5.5288863580814113E-6</v>
      </c>
      <c r="U439" s="16">
        <f t="shared" si="704"/>
        <v>27.55509655896811</v>
      </c>
      <c r="V439" s="17">
        <f t="shared" si="705"/>
        <v>1.3837108204074421E-2</v>
      </c>
      <c r="W439" s="18">
        <f t="shared" si="706"/>
        <v>0.43064922107325326</v>
      </c>
      <c r="X439" s="19">
        <f t="shared" si="707"/>
        <v>1012.3440900266485</v>
      </c>
      <c r="Y439" s="15">
        <f t="shared" si="708"/>
        <v>5.5246881800532967E-6</v>
      </c>
      <c r="Z439" s="16">
        <f t="shared" si="709"/>
        <v>27.530957035306457</v>
      </c>
      <c r="AA439" s="17">
        <f t="shared" si="710"/>
        <v>1.3826601451019157E-2</v>
      </c>
      <c r="AB439" s="18">
        <f t="shared" si="711"/>
        <v>0.4310268202627271</v>
      </c>
      <c r="AC439" s="19">
        <f t="shared" si="712"/>
        <v>1009.6460908005812</v>
      </c>
      <c r="AD439" s="15">
        <f t="shared" si="643"/>
        <v>5.5192921816011623E-6</v>
      </c>
      <c r="AE439" s="16">
        <f t="shared" si="644"/>
        <v>27.499930044206685</v>
      </c>
      <c r="AF439" s="17">
        <f t="shared" si="645"/>
        <v>1.3813096920519616E-2</v>
      </c>
      <c r="AG439" s="18">
        <f t="shared" si="713"/>
        <v>0.4315131293294977</v>
      </c>
      <c r="AH439" s="19">
        <f t="shared" si="714"/>
        <v>1006.3488524936402</v>
      </c>
      <c r="AI439" s="15">
        <f t="shared" si="646"/>
        <v>5.5126977049872812E-6</v>
      </c>
      <c r="AJ439" s="16">
        <f t="shared" si="647"/>
        <v>27.462011803676859</v>
      </c>
      <c r="AK439" s="17">
        <f t="shared" si="648"/>
        <v>1.3796592966459837E-2</v>
      </c>
      <c r="AL439" s="18">
        <f t="shared" si="715"/>
        <v>0.432108942147097</v>
      </c>
      <c r="AM439" s="19">
        <f t="shared" si="716"/>
        <v>1002.452247490227</v>
      </c>
      <c r="AN439" s="15">
        <f t="shared" si="649"/>
        <v>5.5049044949804542E-6</v>
      </c>
      <c r="AO439" s="16">
        <f t="shared" si="650"/>
        <v>27.417200846137611</v>
      </c>
      <c r="AP439" s="17">
        <f t="shared" si="651"/>
        <v>1.3777088950074347E-2</v>
      </c>
      <c r="AQ439" s="18">
        <f t="shared" si="717"/>
        <v>0.4328151854856328</v>
      </c>
      <c r="AR439" s="19">
        <f t="shared" si="718"/>
        <v>997.95615262980959</v>
      </c>
      <c r="AS439" s="15">
        <f t="shared" si="652"/>
        <v>5.4959123052596201E-6</v>
      </c>
      <c r="AT439" s="16">
        <f t="shared" si="653"/>
        <v>27.365495755242812</v>
      </c>
      <c r="AU439" s="17">
        <f t="shared" si="654"/>
        <v>1.3754584254897012E-2</v>
      </c>
      <c r="AV439" s="18">
        <f t="shared" si="719"/>
        <v>0.43363295793552153</v>
      </c>
      <c r="AW439" s="19">
        <f t="shared" si="720"/>
        <v>992.86005512996019</v>
      </c>
      <c r="AX439" s="15">
        <f t="shared" si="655"/>
        <v>5.4857201102599207E-6</v>
      </c>
      <c r="AY439" s="16">
        <f t="shared" si="656"/>
        <v>27.306890633994541</v>
      </c>
      <c r="AZ439" s="17">
        <f t="shared" si="657"/>
        <v>1.3729076314253281E-2</v>
      </c>
      <c r="BA439" s="18">
        <f t="shared" si="721"/>
        <v>0.43456360626226365</v>
      </c>
      <c r="BB439" s="19">
        <f t="shared" si="722"/>
        <v>987.1613923584199</v>
      </c>
      <c r="BC439" s="15">
        <f t="shared" si="658"/>
        <v>5.4743227847168405E-6</v>
      </c>
      <c r="BD439" s="16">
        <f t="shared" si="659"/>
        <v>27.241356012121827</v>
      </c>
      <c r="BE439" s="17">
        <f t="shared" si="660"/>
        <v>1.3700552301176734E-2</v>
      </c>
      <c r="BF439" s="18">
        <f t="shared" si="723"/>
        <v>0.43560903739290807</v>
      </c>
      <c r="BG439" s="19">
        <f t="shared" si="724"/>
        <v>980.84828430944276</v>
      </c>
      <c r="BH439" s="15">
        <f t="shared" si="661"/>
        <v>5.4616965686188863E-6</v>
      </c>
      <c r="BI439" s="16">
        <f t="shared" si="662"/>
        <v>27.168755269558591</v>
      </c>
      <c r="BJ439" s="17">
        <f t="shared" si="663"/>
        <v>1.3668952751639953E-2</v>
      </c>
      <c r="BK439" s="18">
        <f t="shared" si="725"/>
        <v>0.43677307819154626</v>
      </c>
      <c r="BL439" s="19">
        <f t="shared" si="726"/>
        <v>973.87062654134832</v>
      </c>
      <c r="BM439" s="15">
        <f t="shared" si="664"/>
        <v>5.4477412530826967E-6</v>
      </c>
      <c r="BN439" s="16">
        <f t="shared" si="665"/>
        <v>27.088512205225506</v>
      </c>
      <c r="BO439" s="17">
        <f t="shared" si="666"/>
        <v>1.363402687351732E-2</v>
      </c>
      <c r="BP439" s="18">
        <f t="shared" si="727"/>
        <v>0.43806691116202306</v>
      </c>
      <c r="BQ439" s="19">
        <f t="shared" si="728"/>
        <v>966.03819937073376</v>
      </c>
      <c r="BR439" s="15">
        <f t="shared" si="667"/>
        <v>5.4320763987414683E-6</v>
      </c>
      <c r="BS439" s="16">
        <f t="shared" si="668"/>
        <v>26.998439292763436</v>
      </c>
      <c r="BT439" s="17">
        <f t="shared" si="669"/>
        <v>1.3594822543660942E-2</v>
      </c>
      <c r="BU439" s="18">
        <f t="shared" si="729"/>
        <v>0.43952840166203883</v>
      </c>
      <c r="BV439" s="19">
        <f t="shared" si="730"/>
        <v>956.70926875289615</v>
      </c>
      <c r="BW439" s="15">
        <f t="shared" si="670"/>
        <v>5.4134185375057934E-6</v>
      </c>
      <c r="BX439" s="16">
        <f t="shared" si="671"/>
        <v>26.891156590658305</v>
      </c>
      <c r="BY439" s="17">
        <f t="shared" si="672"/>
        <v>1.3548127634767168E-2</v>
      </c>
      <c r="BZ439" s="18">
        <f t="shared" si="731"/>
        <v>0.44128190729588102</v>
      </c>
      <c r="CA439" s="19">
        <f t="shared" si="732"/>
        <v>943.99145844289262</v>
      </c>
      <c r="CB439" s="15">
        <f t="shared" si="673"/>
        <v>5.3879829168857866E-6</v>
      </c>
      <c r="CC439" s="16">
        <f t="shared" si="674"/>
        <v>26.744901772093264</v>
      </c>
      <c r="CD439" s="17">
        <f t="shared" si="675"/>
        <v>1.3484470071206945E-2</v>
      </c>
      <c r="CE439" s="18">
        <f t="shared" si="733"/>
        <v>0.44369506273902187</v>
      </c>
      <c r="CF439" s="19">
        <f t="shared" si="734"/>
        <v>923.11342977863126</v>
      </c>
      <c r="CG439" s="15">
        <f t="shared" si="676"/>
        <v>5.3462268595572628E-6</v>
      </c>
      <c r="CH439" s="16">
        <f t="shared" si="677"/>
        <v>26.504804442454258</v>
      </c>
      <c r="CI439" s="17">
        <f t="shared" si="678"/>
        <v>1.3379967456030963E-2</v>
      </c>
      <c r="CJ439" s="18">
        <f t="shared" si="735"/>
        <v>0.44771433403638017</v>
      </c>
      <c r="CK439" s="19">
        <f t="shared" si="736"/>
        <v>884.10589529138633</v>
      </c>
      <c r="CL439" s="15">
        <f t="shared" si="679"/>
        <v>5.2682117905827735E-6</v>
      </c>
      <c r="CM439" s="16">
        <f t="shared" si="680"/>
        <v>26.056217795850941</v>
      </c>
      <c r="CN439" s="17">
        <f t="shared" si="681"/>
        <v>1.3184719646429945E-2</v>
      </c>
      <c r="CO439" s="18">
        <f t="shared" si="737"/>
        <v>0.45542223214020999</v>
      </c>
      <c r="CP439" s="19">
        <f t="shared" si="738"/>
        <v>810.54934728286878</v>
      </c>
      <c r="CQ439" s="15">
        <f t="shared" si="682"/>
        <v>5.1210986945657381E-6</v>
      </c>
      <c r="CR439" s="16">
        <f t="shared" si="683"/>
        <v>25.210317493752989</v>
      </c>
      <c r="CS439" s="17">
        <f t="shared" si="684"/>
        <v>1.2816540650519005E-2</v>
      </c>
      <c r="CT439" s="18">
        <f t="shared" si="739"/>
        <v>0.47070334884351961</v>
      </c>
      <c r="CU439" s="19">
        <f t="shared" si="740"/>
        <v>683.37888699510074</v>
      </c>
      <c r="CV439" s="15">
        <f t="shared" si="685"/>
        <v>4.8667577739902016E-6</v>
      </c>
      <c r="CW439" s="16">
        <f t="shared" si="686"/>
        <v>27.207519491411801</v>
      </c>
      <c r="CX439" s="17">
        <f t="shared" si="687"/>
        <v>1.2180003270150629E-2</v>
      </c>
      <c r="CY439" s="18">
        <f t="shared" si="741"/>
        <v>0.43615078079659736</v>
      </c>
      <c r="CZ439" s="20">
        <f t="shared" si="691"/>
        <v>495.52309396065164</v>
      </c>
      <c r="DA439" s="15">
        <f t="shared" si="688"/>
        <v>7.2820551596851105E-6</v>
      </c>
      <c r="DB439" s="16">
        <f t="shared" si="689"/>
        <v>39.1248302751411</v>
      </c>
      <c r="DC439" s="17">
        <f t="shared" si="690"/>
        <v>1.8224752448622785E-2</v>
      </c>
      <c r="DD439" s="18">
        <f t="shared" si="742"/>
        <v>0.30330050728060576</v>
      </c>
    </row>
    <row r="440" spans="2:108" x14ac:dyDescent="0.25">
      <c r="B440">
        <v>173</v>
      </c>
      <c r="C440">
        <f t="shared" si="743"/>
        <v>0.1691273372777285</v>
      </c>
      <c r="D440" s="19">
        <f t="shared" si="640"/>
        <v>1017.1590392416184</v>
      </c>
      <c r="E440" s="15">
        <f t="shared" si="692"/>
        <v>5.5343180784832368E-6</v>
      </c>
      <c r="F440" s="16">
        <f t="shared" si="641"/>
        <v>27.58632895127861</v>
      </c>
      <c r="G440" s="17">
        <f t="shared" si="638"/>
        <v>1.3850702135666899E-2</v>
      </c>
      <c r="H440" s="18">
        <f t="shared" si="693"/>
        <v>0.43016165328398615</v>
      </c>
      <c r="I440" s="19">
        <f t="shared" si="694"/>
        <v>1016.8343720521841</v>
      </c>
      <c r="J440" s="15">
        <f t="shared" si="695"/>
        <v>5.5336687441043682E-6</v>
      </c>
      <c r="K440" s="16">
        <f t="shared" si="642"/>
        <v>27.582595278600117</v>
      </c>
      <c r="L440" s="17">
        <f t="shared" si="696"/>
        <v>1.3849077050707809E-2</v>
      </c>
      <c r="M440" s="18">
        <f t="shared" si="697"/>
        <v>0.43021988140922163</v>
      </c>
      <c r="N440" s="19">
        <f t="shared" si="698"/>
        <v>1015.9282354264438</v>
      </c>
      <c r="O440" s="15">
        <f t="shared" si="699"/>
        <v>5.5318564708528878E-6</v>
      </c>
      <c r="P440" s="16">
        <f t="shared" si="700"/>
        <v>27.572174707404102</v>
      </c>
      <c r="Q440" s="17">
        <f t="shared" si="639"/>
        <v>1.3850702135666899E-2</v>
      </c>
      <c r="R440" s="18">
        <f t="shared" si="701"/>
        <v>0.43038247782940758</v>
      </c>
      <c r="S440" s="19">
        <f t="shared" si="702"/>
        <v>1014.4265918481192</v>
      </c>
      <c r="T440" s="15">
        <f t="shared" si="703"/>
        <v>5.5288531836962389E-6</v>
      </c>
      <c r="U440" s="16">
        <f t="shared" si="704"/>
        <v>27.55490580625337</v>
      </c>
      <c r="V440" s="17">
        <f t="shared" si="705"/>
        <v>1.3837025178754764E-2</v>
      </c>
      <c r="W440" s="18">
        <f t="shared" si="706"/>
        <v>0.43065220230311479</v>
      </c>
      <c r="X440" s="19">
        <f t="shared" si="707"/>
        <v>1012.3275057121197</v>
      </c>
      <c r="Y440" s="15">
        <f t="shared" si="708"/>
        <v>5.52465501142424E-6</v>
      </c>
      <c r="Z440" s="16">
        <f t="shared" si="709"/>
        <v>27.530766315689377</v>
      </c>
      <c r="AA440" s="17">
        <f t="shared" si="710"/>
        <v>1.3826518440105292E-2</v>
      </c>
      <c r="AB440" s="18">
        <f t="shared" si="711"/>
        <v>0.43102980620467907</v>
      </c>
      <c r="AC440" s="19">
        <f t="shared" si="712"/>
        <v>1009.6295160841491</v>
      </c>
      <c r="AD440" s="15">
        <f t="shared" si="643"/>
        <v>5.519259032168299E-6</v>
      </c>
      <c r="AE440" s="16">
        <f t="shared" si="644"/>
        <v>27.499739434967715</v>
      </c>
      <c r="AF440" s="17">
        <f t="shared" si="645"/>
        <v>1.3813013957647941E-2</v>
      </c>
      <c r="AG440" s="18">
        <f t="shared" si="713"/>
        <v>0.43151612028108038</v>
      </c>
      <c r="AH440" s="19">
        <f t="shared" si="714"/>
        <v>1006.3322927115914</v>
      </c>
      <c r="AI440" s="15">
        <f t="shared" si="646"/>
        <v>5.5126645854231831E-6</v>
      </c>
      <c r="AJ440" s="16">
        <f t="shared" si="647"/>
        <v>27.461821366183301</v>
      </c>
      <c r="AK440" s="17">
        <f t="shared" si="648"/>
        <v>1.3796510078340528E-2</v>
      </c>
      <c r="AL440" s="18">
        <f t="shared" si="715"/>
        <v>0.43211193866152292</v>
      </c>
      <c r="AM440" s="19">
        <f t="shared" si="716"/>
        <v>1002.4357059103547</v>
      </c>
      <c r="AN440" s="15">
        <f t="shared" si="649"/>
        <v>5.5048714118207099E-6</v>
      </c>
      <c r="AO440" s="16">
        <f t="shared" si="650"/>
        <v>27.417010617969076</v>
      </c>
      <c r="AP440" s="17">
        <f t="shared" si="651"/>
        <v>1.3777006153063978E-2</v>
      </c>
      <c r="AQ440" s="18">
        <f t="shared" si="717"/>
        <v>0.43281818849865988</v>
      </c>
      <c r="AR440" s="19">
        <f t="shared" si="718"/>
        <v>997.93962690893125</v>
      </c>
      <c r="AS440" s="15">
        <f t="shared" si="652"/>
        <v>5.495879253817863E-6</v>
      </c>
      <c r="AT440" s="16">
        <f t="shared" si="653"/>
        <v>27.365305709452709</v>
      </c>
      <c r="AU440" s="17">
        <f t="shared" si="654"/>
        <v>1.3754501537267046E-2</v>
      </c>
      <c r="AV440" s="18">
        <f t="shared" si="719"/>
        <v>0.4336359694172488</v>
      </c>
      <c r="AW440" s="19">
        <f t="shared" si="720"/>
        <v>992.84351844796288</v>
      </c>
      <c r="AX440" s="15">
        <f t="shared" si="655"/>
        <v>5.4856870368959261E-6</v>
      </c>
      <c r="AY440" s="16">
        <f t="shared" si="656"/>
        <v>27.306700462151571</v>
      </c>
      <c r="AZ440" s="17">
        <f t="shared" si="657"/>
        <v>1.3728993541758673E-2</v>
      </c>
      <c r="BA440" s="18">
        <f t="shared" si="721"/>
        <v>0.43456663269022788</v>
      </c>
      <c r="BB440" s="19">
        <f t="shared" si="722"/>
        <v>987.14471116697325</v>
      </c>
      <c r="BC440" s="15">
        <f t="shared" si="658"/>
        <v>5.4742894223339472E-6</v>
      </c>
      <c r="BD440" s="16">
        <f t="shared" si="659"/>
        <v>27.241164178420192</v>
      </c>
      <c r="BE440" s="17">
        <f t="shared" si="660"/>
        <v>1.3700468805356393E-2</v>
      </c>
      <c r="BF440" s="18">
        <f t="shared" si="723"/>
        <v>0.43561210497451219</v>
      </c>
      <c r="BG440" s="19">
        <f t="shared" si="724"/>
        <v>980.83090286117931</v>
      </c>
      <c r="BH440" s="15">
        <f t="shared" si="661"/>
        <v>5.461661805722359E-6</v>
      </c>
      <c r="BI440" s="16">
        <f t="shared" si="662"/>
        <v>27.168555382903563</v>
      </c>
      <c r="BJ440" s="17">
        <f t="shared" si="663"/>
        <v>1.3668865750763181E-2</v>
      </c>
      <c r="BK440" s="18">
        <f t="shared" si="725"/>
        <v>0.43677629165315196</v>
      </c>
      <c r="BL440" s="19">
        <f t="shared" si="726"/>
        <v>973.85050793552136</v>
      </c>
      <c r="BM440" s="15">
        <f t="shared" si="664"/>
        <v>5.4477010158710433E-6</v>
      </c>
      <c r="BN440" s="16">
        <f t="shared" si="665"/>
        <v>27.088280841258495</v>
      </c>
      <c r="BO440" s="17">
        <f t="shared" si="666"/>
        <v>1.3633926172107411E-2</v>
      </c>
      <c r="BP440" s="18">
        <f t="shared" si="727"/>
        <v>0.43807065273938545</v>
      </c>
      <c r="BQ440" s="19">
        <f t="shared" si="728"/>
        <v>966.00879704994486</v>
      </c>
      <c r="BR440" s="15">
        <f t="shared" si="667"/>
        <v>5.4320175940998905E-6</v>
      </c>
      <c r="BS440" s="16">
        <f t="shared" si="668"/>
        <v>26.998101166074363</v>
      </c>
      <c r="BT440" s="17">
        <f t="shared" si="669"/>
        <v>1.3594675373663998E-2</v>
      </c>
      <c r="BU440" s="18">
        <f t="shared" si="729"/>
        <v>0.43953390635595391</v>
      </c>
      <c r="BV440" s="19">
        <f t="shared" si="730"/>
        <v>956.65249380910211</v>
      </c>
      <c r="BW440" s="15">
        <f t="shared" si="670"/>
        <v>5.4133049876182043E-6</v>
      </c>
      <c r="BX440" s="16">
        <f t="shared" si="671"/>
        <v>26.890503678804674</v>
      </c>
      <c r="BY440" s="17">
        <f t="shared" si="672"/>
        <v>1.3547843454196368E-2</v>
      </c>
      <c r="BZ440" s="18">
        <f t="shared" si="731"/>
        <v>0.44129262179165651</v>
      </c>
      <c r="CA440" s="19">
        <f t="shared" si="732"/>
        <v>943.86573337650589</v>
      </c>
      <c r="CB440" s="15">
        <f t="shared" si="673"/>
        <v>5.3877314667530128E-6</v>
      </c>
      <c r="CC440" s="16">
        <f t="shared" si="674"/>
        <v>26.743455933829814</v>
      </c>
      <c r="CD440" s="17">
        <f t="shared" si="675"/>
        <v>1.3483840768582549E-2</v>
      </c>
      <c r="CE440" s="18">
        <f t="shared" si="733"/>
        <v>0.44371905033810405</v>
      </c>
      <c r="CF440" s="19">
        <f t="shared" si="734"/>
        <v>922.84374042771753</v>
      </c>
      <c r="CG440" s="15">
        <f t="shared" si="676"/>
        <v>5.3456874808554353E-6</v>
      </c>
      <c r="CH440" s="16">
        <f t="shared" si="677"/>
        <v>26.501703014918753</v>
      </c>
      <c r="CI440" s="17">
        <f t="shared" si="678"/>
        <v>1.3378617556435133E-2</v>
      </c>
      <c r="CJ440" s="18">
        <f t="shared" si="735"/>
        <v>0.44776672891692193</v>
      </c>
      <c r="CK440" s="19">
        <f t="shared" si="736"/>
        <v>883.59938455223016</v>
      </c>
      <c r="CL440" s="15">
        <f t="shared" si="679"/>
        <v>5.2671987691044606E-6</v>
      </c>
      <c r="CM440" s="16">
        <f t="shared" si="680"/>
        <v>26.050392922350646</v>
      </c>
      <c r="CN440" s="17">
        <f t="shared" si="681"/>
        <v>1.3182184364114372E-2</v>
      </c>
      <c r="CO440" s="18">
        <f t="shared" si="737"/>
        <v>0.45552406464996698</v>
      </c>
      <c r="CP440" s="19">
        <f t="shared" si="738"/>
        <v>809.76909823921619</v>
      </c>
      <c r="CQ440" s="15">
        <f t="shared" si="682"/>
        <v>5.1195381964784329E-6</v>
      </c>
      <c r="CR440" s="16">
        <f t="shared" si="683"/>
        <v>25.201344629750984</v>
      </c>
      <c r="CS440" s="17">
        <f t="shared" si="684"/>
        <v>1.2812635202027606E-2</v>
      </c>
      <c r="CT440" s="18">
        <f t="shared" si="739"/>
        <v>0.47087094137465285</v>
      </c>
      <c r="CU440" s="19">
        <f t="shared" si="740"/>
        <v>682.49512911021759</v>
      </c>
      <c r="CV440" s="15">
        <f t="shared" si="685"/>
        <v>4.8649902582204353E-6</v>
      </c>
      <c r="CW440" s="16">
        <f t="shared" si="686"/>
        <v>27.384978074696249</v>
      </c>
      <c r="CX440" s="17">
        <f t="shared" si="687"/>
        <v>1.2175579719841458E-2</v>
      </c>
      <c r="CY440" s="18">
        <f t="shared" si="741"/>
        <v>0.43332446121921975</v>
      </c>
      <c r="CZ440" s="20">
        <f t="shared" si="691"/>
        <v>495.25678617462984</v>
      </c>
      <c r="DA440" s="15">
        <f t="shared" si="688"/>
        <v>7.2860378360725177E-6</v>
      </c>
      <c r="DB440" s="16">
        <f t="shared" si="689"/>
        <v>39.132553200935732</v>
      </c>
      <c r="DC440" s="17">
        <f t="shared" si="690"/>
        <v>1.8234719867112732E-2</v>
      </c>
      <c r="DD440" s="18">
        <f t="shared" si="742"/>
        <v>0.30324065002316658</v>
      </c>
    </row>
    <row r="441" spans="2:108" x14ac:dyDescent="0.25">
      <c r="B441">
        <v>174</v>
      </c>
      <c r="C441">
        <f t="shared" si="743"/>
        <v>0.17010495194407377</v>
      </c>
      <c r="D441" s="19">
        <f t="shared" si="640"/>
        <v>1017.1424633750357</v>
      </c>
      <c r="E441" s="15">
        <f t="shared" si="692"/>
        <v>5.5342849267500717E-6</v>
      </c>
      <c r="F441" s="16">
        <f t="shared" si="641"/>
        <v>27.586138328812908</v>
      </c>
      <c r="G441" s="17">
        <f t="shared" si="638"/>
        <v>1.3850619167038274E-2</v>
      </c>
      <c r="H441" s="18">
        <f t="shared" si="693"/>
        <v>0.43016462573609315</v>
      </c>
      <c r="I441" s="19">
        <f t="shared" si="694"/>
        <v>1016.8177946430079</v>
      </c>
      <c r="J441" s="15">
        <f t="shared" si="695"/>
        <v>5.5336355892860169E-6</v>
      </c>
      <c r="K441" s="16">
        <f t="shared" si="642"/>
        <v>27.582404638394593</v>
      </c>
      <c r="L441" s="17">
        <f t="shared" si="696"/>
        <v>1.3848994074357909E-2</v>
      </c>
      <c r="M441" s="18">
        <f t="shared" si="697"/>
        <v>0.43022285494280899</v>
      </c>
      <c r="N441" s="19">
        <f t="shared" si="698"/>
        <v>1015.9116519207416</v>
      </c>
      <c r="O441" s="15">
        <f t="shared" si="699"/>
        <v>5.5318233038414837E-6</v>
      </c>
      <c r="P441" s="16">
        <f t="shared" si="700"/>
        <v>27.57198399708853</v>
      </c>
      <c r="Q441" s="17">
        <f t="shared" si="639"/>
        <v>1.3850619167038274E-2</v>
      </c>
      <c r="R441" s="18">
        <f t="shared" si="701"/>
        <v>0.43038545470543405</v>
      </c>
      <c r="S441" s="19">
        <f t="shared" si="702"/>
        <v>1014.4100048427792</v>
      </c>
      <c r="T441" s="15">
        <f t="shared" si="703"/>
        <v>5.5288200096855592E-6</v>
      </c>
      <c r="U441" s="16">
        <f t="shared" si="704"/>
        <v>27.554715055691961</v>
      </c>
      <c r="V441" s="17">
        <f t="shared" si="705"/>
        <v>1.3836942154372346E-2</v>
      </c>
      <c r="W441" s="18">
        <f t="shared" si="706"/>
        <v>0.43065518354059795</v>
      </c>
      <c r="X441" s="19">
        <f t="shared" si="707"/>
        <v>1012.3109216116632</v>
      </c>
      <c r="Y441" s="15">
        <f t="shared" si="708"/>
        <v>5.5246218432233272E-6</v>
      </c>
      <c r="Z441" s="16">
        <f t="shared" si="709"/>
        <v>27.530575598534128</v>
      </c>
      <c r="AA441" s="17">
        <f t="shared" si="710"/>
        <v>1.382643543026294E-2</v>
      </c>
      <c r="AB441" s="18">
        <f t="shared" si="711"/>
        <v>0.43103279214945789</v>
      </c>
      <c r="AC441" s="19">
        <f t="shared" si="712"/>
        <v>1009.6129415749277</v>
      </c>
      <c r="AD441" s="15">
        <f t="shared" si="643"/>
        <v>5.5192258831498558E-6</v>
      </c>
      <c r="AE441" s="16">
        <f t="shared" si="644"/>
        <v>27.499548828111671</v>
      </c>
      <c r="AF441" s="17">
        <f t="shared" si="645"/>
        <v>1.3812930995813433E-2</v>
      </c>
      <c r="AG441" s="18">
        <f t="shared" si="713"/>
        <v>0.43151911123673331</v>
      </c>
      <c r="AH441" s="19">
        <f t="shared" si="714"/>
        <v>1006.3157331122824</v>
      </c>
      <c r="AI441" s="15">
        <f t="shared" si="646"/>
        <v>5.5126314662245653E-6</v>
      </c>
      <c r="AJ441" s="16">
        <f t="shared" si="647"/>
        <v>27.461630930791245</v>
      </c>
      <c r="AK441" s="17">
        <f t="shared" si="648"/>
        <v>1.3796427191135904E-2</v>
      </c>
      <c r="AL441" s="18">
        <f t="shared" si="715"/>
        <v>0.432114935184441</v>
      </c>
      <c r="AM441" s="19">
        <f t="shared" si="716"/>
        <v>1002.4191644310999</v>
      </c>
      <c r="AN441" s="15">
        <f t="shared" si="649"/>
        <v>5.5048383288622011E-6</v>
      </c>
      <c r="AO441" s="16">
        <f t="shared" si="650"/>
        <v>27.416820390957646</v>
      </c>
      <c r="AP441" s="17">
        <f t="shared" si="651"/>
        <v>1.3776923356557242E-2</v>
      </c>
      <c r="AQ441" s="18">
        <f t="shared" si="717"/>
        <v>0.43282119153509213</v>
      </c>
      <c r="AR441" s="19">
        <f t="shared" si="718"/>
        <v>997.9231009220872</v>
      </c>
      <c r="AS441" s="15">
        <f t="shared" si="652"/>
        <v>5.4958462018441744E-6</v>
      </c>
      <c r="AT441" s="16">
        <f t="shared" si="653"/>
        <v>27.365115660604001</v>
      </c>
      <c r="AU441" s="17">
        <f t="shared" si="654"/>
        <v>1.3754418818305818E-2</v>
      </c>
      <c r="AV441" s="18">
        <f t="shared" si="719"/>
        <v>0.43363898098927239</v>
      </c>
      <c r="AW441" s="19">
        <f t="shared" si="720"/>
        <v>992.82697990973634</v>
      </c>
      <c r="AX441" s="15">
        <f t="shared" si="655"/>
        <v>5.4856539598194733E-6</v>
      </c>
      <c r="AY441" s="16">
        <f t="shared" si="656"/>
        <v>27.306510268961965</v>
      </c>
      <c r="AZ441" s="17">
        <f t="shared" si="657"/>
        <v>1.372891075997292E-2</v>
      </c>
      <c r="BA441" s="18">
        <f t="shared" si="721"/>
        <v>0.43456965950006754</v>
      </c>
      <c r="BB441" s="19">
        <f t="shared" si="722"/>
        <v>987.12802186641716</v>
      </c>
      <c r="BC441" s="15">
        <f t="shared" si="658"/>
        <v>5.4742560437328353E-6</v>
      </c>
      <c r="BD441" s="16">
        <f t="shared" si="659"/>
        <v>27.240972251463795</v>
      </c>
      <c r="BE441" s="17">
        <f t="shared" si="660"/>
        <v>1.370038526894682E-2</v>
      </c>
      <c r="BF441" s="18">
        <f t="shared" si="723"/>
        <v>0.4356151740905741</v>
      </c>
      <c r="BG441" s="19">
        <f t="shared" si="724"/>
        <v>980.81349147193953</v>
      </c>
      <c r="BH441" s="15">
        <f t="shared" si="661"/>
        <v>5.4616269829438787E-6</v>
      </c>
      <c r="BI441" s="16">
        <f t="shared" si="662"/>
        <v>27.168355151927305</v>
      </c>
      <c r="BJ441" s="17">
        <f t="shared" si="663"/>
        <v>1.3668778600020231E-2</v>
      </c>
      <c r="BK441" s="18">
        <f t="shared" si="725"/>
        <v>0.43677951069761733</v>
      </c>
      <c r="BL441" s="19">
        <f t="shared" si="726"/>
        <v>973.83029312824726</v>
      </c>
      <c r="BM441" s="15">
        <f t="shared" si="664"/>
        <v>5.4476605862564946E-6</v>
      </c>
      <c r="BN441" s="16">
        <f t="shared" si="665"/>
        <v>27.088048370974843</v>
      </c>
      <c r="BO441" s="17">
        <f t="shared" si="666"/>
        <v>1.363382498917202E-2</v>
      </c>
      <c r="BP441" s="18">
        <f t="shared" si="727"/>
        <v>0.43807441227228011</v>
      </c>
      <c r="BQ441" s="19">
        <f t="shared" si="728"/>
        <v>965.97912910458319</v>
      </c>
      <c r="BR441" s="15">
        <f t="shared" si="667"/>
        <v>5.431958258209167E-6</v>
      </c>
      <c r="BS441" s="16">
        <f t="shared" si="668"/>
        <v>26.997759984702704</v>
      </c>
      <c r="BT441" s="17">
        <f t="shared" si="669"/>
        <v>1.359452687411325E-2</v>
      </c>
      <c r="BU441" s="18">
        <f t="shared" si="729"/>
        <v>0.43953946091978235</v>
      </c>
      <c r="BV441" s="19">
        <f t="shared" si="730"/>
        <v>956.59510749254036</v>
      </c>
      <c r="BW441" s="15">
        <f t="shared" si="670"/>
        <v>5.4131902149850811E-6</v>
      </c>
      <c r="BX441" s="16">
        <f t="shared" si="671"/>
        <v>26.889843736164213</v>
      </c>
      <c r="BY441" s="17">
        <f t="shared" si="672"/>
        <v>1.3547556213468212E-2</v>
      </c>
      <c r="BZ441" s="18">
        <f t="shared" si="731"/>
        <v>0.44130345219368106</v>
      </c>
      <c r="CA441" s="19">
        <f t="shared" si="732"/>
        <v>943.73889856816379</v>
      </c>
      <c r="CB441" s="15">
        <f t="shared" si="673"/>
        <v>5.3874777971363277E-6</v>
      </c>
      <c r="CC441" s="16">
        <f t="shared" si="674"/>
        <v>26.741997333533881</v>
      </c>
      <c r="CD441" s="17">
        <f t="shared" si="675"/>
        <v>1.3483205911270094E-2</v>
      </c>
      <c r="CE441" s="18">
        <f t="shared" si="733"/>
        <v>0.44374325229766831</v>
      </c>
      <c r="CF441" s="19">
        <f t="shared" si="734"/>
        <v>922.57265131897702</v>
      </c>
      <c r="CG441" s="15">
        <f t="shared" si="676"/>
        <v>5.3451453026379548E-6</v>
      </c>
      <c r="CH441" s="16">
        <f t="shared" si="677"/>
        <v>26.498585490168235</v>
      </c>
      <c r="CI441" s="17">
        <f t="shared" si="678"/>
        <v>1.3377260650509547E-2</v>
      </c>
      <c r="CJ441" s="18">
        <f t="shared" si="735"/>
        <v>0.44781940810088727</v>
      </c>
      <c r="CK441" s="19">
        <f t="shared" si="736"/>
        <v>883.09223045882345</v>
      </c>
      <c r="CL441" s="15">
        <f t="shared" si="679"/>
        <v>5.2661844609176472E-6</v>
      </c>
      <c r="CM441" s="16">
        <f t="shared" si="680"/>
        <v>26.04456065027647</v>
      </c>
      <c r="CN441" s="17">
        <f t="shared" si="681"/>
        <v>1.3179645861561737E-2</v>
      </c>
      <c r="CO441" s="18">
        <f t="shared" si="737"/>
        <v>0.45562607214078427</v>
      </c>
      <c r="CP441" s="19">
        <f t="shared" si="738"/>
        <v>808.99110490205339</v>
      </c>
      <c r="CQ441" s="15">
        <f t="shared" si="682"/>
        <v>5.1179822098041071E-6</v>
      </c>
      <c r="CR441" s="16">
        <f t="shared" si="683"/>
        <v>25.192397706373612</v>
      </c>
      <c r="CS441" s="17">
        <f t="shared" si="684"/>
        <v>1.2808741044220352E-2</v>
      </c>
      <c r="CT441" s="18">
        <f t="shared" si="739"/>
        <v>0.47103816826120065</v>
      </c>
      <c r="CU441" s="19">
        <f t="shared" si="740"/>
        <v>681.62104763844877</v>
      </c>
      <c r="CV441" s="15">
        <f t="shared" si="685"/>
        <v>4.8632420952768978E-6</v>
      </c>
      <c r="CW441" s="16">
        <f t="shared" si="686"/>
        <v>27.560493634227385</v>
      </c>
      <c r="CX441" s="17">
        <f t="shared" si="687"/>
        <v>1.2171204603725583E-2</v>
      </c>
      <c r="CY441" s="18">
        <f t="shared" si="741"/>
        <v>0.43056488853961555</v>
      </c>
      <c r="CZ441" s="20">
        <f t="shared" si="691"/>
        <v>495.00908229095148</v>
      </c>
      <c r="DA441" s="15">
        <f t="shared" si="688"/>
        <v>7.2897416871249941E-6</v>
      </c>
      <c r="DB441" s="16">
        <f t="shared" si="689"/>
        <v>39.139736613562405</v>
      </c>
      <c r="DC441" s="17">
        <f t="shared" si="690"/>
        <v>1.8243989471236535E-2</v>
      </c>
      <c r="DD441" s="18">
        <f t="shared" si="742"/>
        <v>0.30318499551695965</v>
      </c>
    </row>
    <row r="442" spans="2:108" x14ac:dyDescent="0.25">
      <c r="B442">
        <v>175</v>
      </c>
      <c r="C442">
        <f t="shared" si="743"/>
        <v>0.17108256661041901</v>
      </c>
      <c r="D442" s="19">
        <f t="shared" si="640"/>
        <v>1017.125887429696</v>
      </c>
      <c r="E442" s="15">
        <f t="shared" si="692"/>
        <v>5.5342517748593931E-6</v>
      </c>
      <c r="F442" s="16">
        <f t="shared" si="641"/>
        <v>27.585947705441505</v>
      </c>
      <c r="G442" s="17">
        <f t="shared" si="638"/>
        <v>1.3850536198015439E-2</v>
      </c>
      <c r="H442" s="18">
        <f t="shared" si="693"/>
        <v>0.43016759824340345</v>
      </c>
      <c r="I442" s="19">
        <f t="shared" si="694"/>
        <v>1016.8012172171576</v>
      </c>
      <c r="J442" s="15">
        <f t="shared" si="695"/>
        <v>5.5336024344343153E-6</v>
      </c>
      <c r="K442" s="16">
        <f t="shared" si="642"/>
        <v>27.582213997997311</v>
      </c>
      <c r="L442" s="17">
        <f t="shared" si="696"/>
        <v>1.3848911097924542E-2</v>
      </c>
      <c r="M442" s="18">
        <f t="shared" si="697"/>
        <v>0.43022582852049174</v>
      </c>
      <c r="N442" s="19">
        <f t="shared" si="698"/>
        <v>1015.8950685171397</v>
      </c>
      <c r="O442" s="15">
        <f t="shared" si="699"/>
        <v>5.5317901370342797E-6</v>
      </c>
      <c r="P442" s="16">
        <f t="shared" si="700"/>
        <v>27.571793287947106</v>
      </c>
      <c r="Q442" s="17">
        <f t="shared" si="639"/>
        <v>1.3850536198015439E-2</v>
      </c>
      <c r="R442" s="18">
        <f t="shared" si="701"/>
        <v>0.43038843160431373</v>
      </c>
      <c r="S442" s="19">
        <f t="shared" si="702"/>
        <v>1014.3934180241331</v>
      </c>
      <c r="T442" s="15">
        <f t="shared" si="703"/>
        <v>5.5287868360482669E-6</v>
      </c>
      <c r="U442" s="16">
        <f t="shared" si="704"/>
        <v>27.554524307277532</v>
      </c>
      <c r="V442" s="17">
        <f t="shared" si="705"/>
        <v>1.3836859130924403E-2</v>
      </c>
      <c r="W442" s="18">
        <f t="shared" si="706"/>
        <v>0.43065816478580143</v>
      </c>
      <c r="X442" s="19">
        <f t="shared" si="707"/>
        <v>1012.2943377248449</v>
      </c>
      <c r="Y442" s="15">
        <f t="shared" si="708"/>
        <v>5.5245886754496908E-6</v>
      </c>
      <c r="Z442" s="16">
        <f t="shared" si="709"/>
        <v>27.530384883835715</v>
      </c>
      <c r="AA442" s="17">
        <f t="shared" si="710"/>
        <v>1.3826352421489932E-2</v>
      </c>
      <c r="AB442" s="18">
        <f t="shared" si="711"/>
        <v>0.43103577809714105</v>
      </c>
      <c r="AC442" s="19">
        <f t="shared" si="712"/>
        <v>1009.5963672726275</v>
      </c>
      <c r="AD442" s="15">
        <f t="shared" si="643"/>
        <v>5.519192734545256E-6</v>
      </c>
      <c r="AE442" s="16">
        <f t="shared" si="644"/>
        <v>27.499358223635216</v>
      </c>
      <c r="AF442" s="17">
        <f t="shared" si="645"/>
        <v>1.3812848035014647E-2</v>
      </c>
      <c r="AG442" s="18">
        <f t="shared" si="713"/>
        <v>0.431522102196508</v>
      </c>
      <c r="AH442" s="19">
        <f t="shared" si="714"/>
        <v>1006.2991736947916</v>
      </c>
      <c r="AI442" s="15">
        <f t="shared" si="646"/>
        <v>5.5125983473895839E-6</v>
      </c>
      <c r="AJ442" s="16">
        <f t="shared" si="647"/>
        <v>27.461440497490102</v>
      </c>
      <c r="AK442" s="17">
        <f t="shared" si="648"/>
        <v>1.379634430484135E-2</v>
      </c>
      <c r="AL442" s="18">
        <f t="shared" si="715"/>
        <v>0.43211793171601726</v>
      </c>
      <c r="AM442" s="19">
        <f t="shared" si="716"/>
        <v>1002.4026230480948</v>
      </c>
      <c r="AN442" s="15">
        <f t="shared" si="649"/>
        <v>5.5048052460961899E-6</v>
      </c>
      <c r="AO442" s="16">
        <f t="shared" si="650"/>
        <v>27.416630165053089</v>
      </c>
      <c r="AP442" s="17">
        <f t="shared" si="651"/>
        <v>1.3776840560532265E-2</v>
      </c>
      <c r="AQ442" s="18">
        <f t="shared" si="717"/>
        <v>0.43282419459572269</v>
      </c>
      <c r="AR442" s="19">
        <f t="shared" si="718"/>
        <v>997.90657465073798</v>
      </c>
      <c r="AS442" s="15">
        <f t="shared" si="652"/>
        <v>5.4958131493014761E-6</v>
      </c>
      <c r="AT442" s="16">
        <f t="shared" si="653"/>
        <v>27.364925608483485</v>
      </c>
      <c r="AU442" s="17">
        <f t="shared" si="654"/>
        <v>1.3754336097920533E-2</v>
      </c>
      <c r="AV442" s="18">
        <f t="shared" si="719"/>
        <v>0.43364199265497372</v>
      </c>
      <c r="AW442" s="19">
        <f t="shared" si="720"/>
        <v>992.81043944518149</v>
      </c>
      <c r="AX442" s="15">
        <f t="shared" si="655"/>
        <v>5.4856208788903631E-6</v>
      </c>
      <c r="AY442" s="16">
        <f t="shared" si="656"/>
        <v>27.306320053619586</v>
      </c>
      <c r="AZ442" s="17">
        <f t="shared" si="657"/>
        <v>1.3728827968545144E-2</v>
      </c>
      <c r="BA442" s="18">
        <f t="shared" si="721"/>
        <v>0.43457268670462701</v>
      </c>
      <c r="BB442" s="19">
        <f t="shared" si="722"/>
        <v>987.1113242237027</v>
      </c>
      <c r="BC442" s="15">
        <f t="shared" si="658"/>
        <v>5.4742226484474062E-6</v>
      </c>
      <c r="BD442" s="16">
        <f t="shared" si="659"/>
        <v>27.240780228572582</v>
      </c>
      <c r="BE442" s="17">
        <f t="shared" si="660"/>
        <v>1.3700301690781515E-2</v>
      </c>
      <c r="BF442" s="18">
        <f t="shared" si="723"/>
        <v>0.4356182447840154</v>
      </c>
      <c r="BG442" s="19">
        <f t="shared" si="724"/>
        <v>980.79604947859912</v>
      </c>
      <c r="BH442" s="15">
        <f t="shared" si="661"/>
        <v>5.4615920989571992E-6</v>
      </c>
      <c r="BI442" s="16">
        <f t="shared" si="662"/>
        <v>27.168154569003889</v>
      </c>
      <c r="BJ442" s="17">
        <f t="shared" si="663"/>
        <v>1.3668691296091913E-2</v>
      </c>
      <c r="BK442" s="18">
        <f t="shared" si="725"/>
        <v>0.43678273544779023</v>
      </c>
      <c r="BL442" s="19">
        <f t="shared" si="726"/>
        <v>973.80998057665488</v>
      </c>
      <c r="BM442" s="15">
        <f t="shared" si="664"/>
        <v>5.4476199611533105E-6</v>
      </c>
      <c r="BN442" s="16">
        <f t="shared" si="665"/>
        <v>27.087814776631532</v>
      </c>
      <c r="BO442" s="17">
        <f t="shared" si="666"/>
        <v>1.3633723316988481E-2</v>
      </c>
      <c r="BP442" s="18">
        <f t="shared" si="727"/>
        <v>0.43807819004857912</v>
      </c>
      <c r="BQ442" s="19">
        <f t="shared" si="728"/>
        <v>965.9491928655591</v>
      </c>
      <c r="BR442" s="15">
        <f t="shared" si="667"/>
        <v>5.431898385731119E-6</v>
      </c>
      <c r="BS442" s="16">
        <f t="shared" si="668"/>
        <v>26.997415717953928</v>
      </c>
      <c r="BT442" s="17">
        <f t="shared" si="669"/>
        <v>1.3594377031648865E-2</v>
      </c>
      <c r="BU442" s="18">
        <f t="shared" si="729"/>
        <v>0.43954506585703823</v>
      </c>
      <c r="BV442" s="19">
        <f t="shared" si="730"/>
        <v>956.53710733769265</v>
      </c>
      <c r="BW442" s="15">
        <f t="shared" si="670"/>
        <v>5.4130742146753857E-6</v>
      </c>
      <c r="BX442" s="16">
        <f t="shared" si="671"/>
        <v>26.889176734383465</v>
      </c>
      <c r="BY442" s="17">
        <f t="shared" si="672"/>
        <v>1.3547265900241821E-2</v>
      </c>
      <c r="BZ442" s="18">
        <f t="shared" si="731"/>
        <v>0.44131439898433111</v>
      </c>
      <c r="CA442" s="19">
        <f t="shared" si="732"/>
        <v>943.61095656065766</v>
      </c>
      <c r="CB442" s="15">
        <f t="shared" si="673"/>
        <v>5.3872219131213155E-6</v>
      </c>
      <c r="CC442" s="16">
        <f t="shared" si="674"/>
        <v>26.740526000447563</v>
      </c>
      <c r="CD442" s="17">
        <f t="shared" si="675"/>
        <v>1.348256551199724E-2</v>
      </c>
      <c r="CE442" s="18">
        <f t="shared" si="733"/>
        <v>0.44376766820216196</v>
      </c>
      <c r="CF442" s="19">
        <f t="shared" si="734"/>
        <v>922.30017700234816</v>
      </c>
      <c r="CG442" s="15">
        <f t="shared" si="676"/>
        <v>5.3446003540046975E-6</v>
      </c>
      <c r="CH442" s="16">
        <f t="shared" si="677"/>
        <v>26.495452035527002</v>
      </c>
      <c r="CI442" s="17">
        <f t="shared" si="678"/>
        <v>1.3375896811082278E-2</v>
      </c>
      <c r="CJ442" s="18">
        <f t="shared" si="735"/>
        <v>0.44787236895623961</v>
      </c>
      <c r="CK442" s="19">
        <f t="shared" si="736"/>
        <v>882.58446351337705</v>
      </c>
      <c r="CL442" s="15">
        <f t="shared" si="679"/>
        <v>5.2651689270267549E-6</v>
      </c>
      <c r="CM442" s="16">
        <f t="shared" si="680"/>
        <v>26.038721330403835</v>
      </c>
      <c r="CN442" s="17">
        <f t="shared" si="681"/>
        <v>1.3177104291447415E-2</v>
      </c>
      <c r="CO442" s="18">
        <f t="shared" si="737"/>
        <v>0.45572824867794148</v>
      </c>
      <c r="CP442" s="19">
        <f t="shared" si="738"/>
        <v>808.21543000046552</v>
      </c>
      <c r="CQ442" s="15">
        <f t="shared" si="682"/>
        <v>5.1164308600009313E-6</v>
      </c>
      <c r="CR442" s="16">
        <f t="shared" si="683"/>
        <v>25.183477445005352</v>
      </c>
      <c r="CS442" s="17">
        <f t="shared" si="684"/>
        <v>1.2804858491080597E-2</v>
      </c>
      <c r="CT442" s="18">
        <f t="shared" si="739"/>
        <v>0.47120501509895335</v>
      </c>
      <c r="CU442" s="19">
        <f t="shared" si="740"/>
        <v>680.7566608790014</v>
      </c>
      <c r="CV442" s="15">
        <f t="shared" si="685"/>
        <v>4.8615133217580025E-6</v>
      </c>
      <c r="CW442" s="16">
        <f t="shared" si="686"/>
        <v>27.734062495524313</v>
      </c>
      <c r="CX442" s="17">
        <f t="shared" si="687"/>
        <v>1.2166878013397619E-2</v>
      </c>
      <c r="CY442" s="18">
        <f t="shared" si="741"/>
        <v>0.42787027221969059</v>
      </c>
      <c r="CZ442" s="20">
        <f t="shared" si="691"/>
        <v>494.77880281332614</v>
      </c>
      <c r="DA442" s="15">
        <f t="shared" si="688"/>
        <v>7.2931844776957921E-6</v>
      </c>
      <c r="DB442" s="16">
        <f t="shared" si="689"/>
        <v>39.146414718413538</v>
      </c>
      <c r="DC442" s="17">
        <f t="shared" si="690"/>
        <v>1.8252605720977762E-2</v>
      </c>
      <c r="DD442" s="18">
        <f t="shared" si="742"/>
        <v>0.30313327427495274</v>
      </c>
    </row>
    <row r="443" spans="2:108" x14ac:dyDescent="0.25">
      <c r="B443">
        <v>176</v>
      </c>
      <c r="C443">
        <f t="shared" si="743"/>
        <v>0.17206018127676426</v>
      </c>
      <c r="D443" s="19">
        <f t="shared" si="640"/>
        <v>1017.1093114087689</v>
      </c>
      <c r="E443" s="15">
        <f t="shared" si="692"/>
        <v>5.5342186228175379E-6</v>
      </c>
      <c r="F443" s="16">
        <f t="shared" si="641"/>
        <v>27.585757081200843</v>
      </c>
      <c r="G443" s="17">
        <f t="shared" si="638"/>
        <v>1.3850453228614256E-2</v>
      </c>
      <c r="H443" s="18">
        <f t="shared" si="693"/>
        <v>0.43017057080535021</v>
      </c>
      <c r="I443" s="19">
        <f t="shared" si="694"/>
        <v>1016.7846397766727</v>
      </c>
      <c r="J443" s="15">
        <f t="shared" si="695"/>
        <v>5.5335692795533462E-6</v>
      </c>
      <c r="K443" s="16">
        <f t="shared" si="642"/>
        <v>27.582023357431737</v>
      </c>
      <c r="L443" s="17">
        <f t="shared" si="696"/>
        <v>1.3848828121417928E-2</v>
      </c>
      <c r="M443" s="18">
        <f t="shared" si="697"/>
        <v>0.4302288021419049</v>
      </c>
      <c r="N443" s="19">
        <f t="shared" si="698"/>
        <v>1015.8784852158689</v>
      </c>
      <c r="O443" s="15">
        <f t="shared" si="699"/>
        <v>5.5317569704317383E-6</v>
      </c>
      <c r="P443" s="16">
        <f t="shared" si="700"/>
        <v>27.571602579982489</v>
      </c>
      <c r="Q443" s="17">
        <f t="shared" si="639"/>
        <v>1.3850453228614256E-2</v>
      </c>
      <c r="R443" s="18">
        <f t="shared" si="701"/>
        <v>0.43039140852600505</v>
      </c>
      <c r="S443" s="19">
        <f t="shared" si="702"/>
        <v>1014.3768313916393</v>
      </c>
      <c r="T443" s="15">
        <f t="shared" si="703"/>
        <v>5.5287536627832795E-6</v>
      </c>
      <c r="U443" s="16">
        <f t="shared" si="704"/>
        <v>27.554333561003851</v>
      </c>
      <c r="V443" s="17">
        <f t="shared" si="705"/>
        <v>1.3836776108408224E-2</v>
      </c>
      <c r="W443" s="18">
        <f t="shared" si="706"/>
        <v>0.43066114603882216</v>
      </c>
      <c r="X443" s="19">
        <f t="shared" si="707"/>
        <v>1012.2777540512317</v>
      </c>
      <c r="Y443" s="15">
        <f t="shared" si="708"/>
        <v>5.5245555081024643E-6</v>
      </c>
      <c r="Z443" s="16">
        <f t="shared" si="709"/>
        <v>27.530194171589166</v>
      </c>
      <c r="AA443" s="17">
        <f t="shared" si="710"/>
        <v>1.3826269413784092E-2</v>
      </c>
      <c r="AB443" s="18">
        <f t="shared" si="711"/>
        <v>0.43103876404780572</v>
      </c>
      <c r="AC443" s="19">
        <f t="shared" si="712"/>
        <v>1009.5797931769478</v>
      </c>
      <c r="AD443" s="15">
        <f t="shared" si="643"/>
        <v>5.5191595863538956E-6</v>
      </c>
      <c r="AE443" s="16">
        <f t="shared" si="644"/>
        <v>27.499167621534898</v>
      </c>
      <c r="AF443" s="17">
        <f t="shared" si="645"/>
        <v>1.3812765075250073E-2</v>
      </c>
      <c r="AG443" s="18">
        <f t="shared" si="713"/>
        <v>0.43152509316045806</v>
      </c>
      <c r="AH443" s="19">
        <f t="shared" si="714"/>
        <v>1006.2826144581545</v>
      </c>
      <c r="AI443" s="15">
        <f t="shared" si="646"/>
        <v>5.5125652289163093E-6</v>
      </c>
      <c r="AJ443" s="16">
        <f t="shared" si="647"/>
        <v>27.461250066268775</v>
      </c>
      <c r="AK443" s="17">
        <f t="shared" si="648"/>
        <v>1.3796261419452038E-2</v>
      </c>
      <c r="AL443" s="18">
        <f t="shared" si="715"/>
        <v>0.43212092825642584</v>
      </c>
      <c r="AM443" s="19">
        <f t="shared" si="716"/>
        <v>1002.3860817568063</v>
      </c>
      <c r="AN443" s="15">
        <f t="shared" si="649"/>
        <v>5.504772163513613E-6</v>
      </c>
      <c r="AO443" s="16">
        <f t="shared" si="650"/>
        <v>27.416439940203272</v>
      </c>
      <c r="AP443" s="17">
        <f t="shared" si="651"/>
        <v>1.3776757764966372E-2</v>
      </c>
      <c r="AQ443" s="18">
        <f t="shared" si="717"/>
        <v>0.43282719768137468</v>
      </c>
      <c r="AR443" s="19">
        <f t="shared" si="718"/>
        <v>997.8900480757726</v>
      </c>
      <c r="AS443" s="15">
        <f t="shared" si="652"/>
        <v>5.4957800961515458E-6</v>
      </c>
      <c r="AT443" s="16">
        <f t="shared" si="653"/>
        <v>27.364735552871384</v>
      </c>
      <c r="AU443" s="17">
        <f t="shared" si="654"/>
        <v>1.375425337601553E-2</v>
      </c>
      <c r="AV443" s="18">
        <f t="shared" si="719"/>
        <v>0.43364500441783871</v>
      </c>
      <c r="AW443" s="19">
        <f t="shared" si="720"/>
        <v>992.79389698250452</v>
      </c>
      <c r="AX443" s="15">
        <f t="shared" si="655"/>
        <v>5.4855877939650091E-6</v>
      </c>
      <c r="AY443" s="16">
        <f t="shared" si="656"/>
        <v>27.306129815298803</v>
      </c>
      <c r="AZ443" s="17">
        <f t="shared" si="657"/>
        <v>1.3728745167115997E-2</v>
      </c>
      <c r="BA443" s="18">
        <f t="shared" si="721"/>
        <v>0.43457571431706188</v>
      </c>
      <c r="BB443" s="19">
        <f t="shared" si="722"/>
        <v>987.09461800171107</v>
      </c>
      <c r="BC443" s="15">
        <f t="shared" si="658"/>
        <v>5.4741892360034224E-6</v>
      </c>
      <c r="BD443" s="16">
        <f t="shared" si="659"/>
        <v>27.240588107019676</v>
      </c>
      <c r="BE443" s="17">
        <f t="shared" si="660"/>
        <v>1.3700218069673606E-2</v>
      </c>
      <c r="BF443" s="18">
        <f t="shared" si="723"/>
        <v>0.43562131709850926</v>
      </c>
      <c r="BG443" s="19">
        <f t="shared" si="724"/>
        <v>980.77857621107125</v>
      </c>
      <c r="BH443" s="15">
        <f t="shared" si="661"/>
        <v>5.4615571524221434E-6</v>
      </c>
      <c r="BI443" s="16">
        <f t="shared" si="662"/>
        <v>27.16795362642732</v>
      </c>
      <c r="BJ443" s="17">
        <f t="shared" si="663"/>
        <v>1.3668603835624179E-2</v>
      </c>
      <c r="BK443" s="18">
        <f t="shared" si="725"/>
        <v>0.43678596602781361</v>
      </c>
      <c r="BL443" s="19">
        <f t="shared" si="726"/>
        <v>973.78956873339973</v>
      </c>
      <c r="BM443" s="15">
        <f t="shared" si="664"/>
        <v>5.4475791374668E-6</v>
      </c>
      <c r="BN443" s="16">
        <f t="shared" si="665"/>
        <v>27.087580040434098</v>
      </c>
      <c r="BO443" s="17">
        <f t="shared" si="666"/>
        <v>1.3633621147811732E-2</v>
      </c>
      <c r="BP443" s="18">
        <f t="shared" si="727"/>
        <v>0.43808198635701118</v>
      </c>
      <c r="BQ443" s="19">
        <f t="shared" si="728"/>
        <v>965.91898568153499</v>
      </c>
      <c r="BR443" s="15">
        <f t="shared" si="667"/>
        <v>5.4318379713630705E-6</v>
      </c>
      <c r="BS443" s="16">
        <f t="shared" si="668"/>
        <v>26.997068335337651</v>
      </c>
      <c r="BT443" s="17">
        <f t="shared" si="669"/>
        <v>1.3594225832999874E-2</v>
      </c>
      <c r="BU443" s="18">
        <f t="shared" si="729"/>
        <v>0.43955072166799714</v>
      </c>
      <c r="BV443" s="19">
        <f t="shared" si="730"/>
        <v>956.47849094720925</v>
      </c>
      <c r="BW443" s="15">
        <f t="shared" si="670"/>
        <v>5.4129569818944196E-6</v>
      </c>
      <c r="BX443" s="16">
        <f t="shared" si="671"/>
        <v>26.888502645892906</v>
      </c>
      <c r="BY443" s="17">
        <f t="shared" si="672"/>
        <v>1.3546972502517535E-2</v>
      </c>
      <c r="BZ443" s="18">
        <f t="shared" si="731"/>
        <v>0.44132546263339301</v>
      </c>
      <c r="CA443" s="19">
        <f t="shared" si="732"/>
        <v>943.48190999998644</v>
      </c>
      <c r="CB443" s="15">
        <f t="shared" si="673"/>
        <v>5.3869638199999736E-6</v>
      </c>
      <c r="CC443" s="16">
        <f t="shared" si="674"/>
        <v>26.739041964999842</v>
      </c>
      <c r="CD443" s="17">
        <f t="shared" si="675"/>
        <v>1.3481919584008231E-2</v>
      </c>
      <c r="CE443" s="18">
        <f t="shared" si="733"/>
        <v>0.44379229761674704</v>
      </c>
      <c r="CF443" s="19">
        <f t="shared" si="734"/>
        <v>922.02633209215355</v>
      </c>
      <c r="CG443" s="15">
        <f t="shared" si="676"/>
        <v>5.344052664184308E-6</v>
      </c>
      <c r="CH443" s="16">
        <f t="shared" si="677"/>
        <v>26.492302819059766</v>
      </c>
      <c r="CI443" s="17">
        <f t="shared" si="678"/>
        <v>1.3374526111303665E-2</v>
      </c>
      <c r="CJ443" s="18">
        <f t="shared" si="735"/>
        <v>0.44792560883686339</v>
      </c>
      <c r="CK443" s="19">
        <f t="shared" si="736"/>
        <v>882.07611444376528</v>
      </c>
      <c r="CL443" s="15">
        <f t="shared" si="679"/>
        <v>5.2641522288875307E-6</v>
      </c>
      <c r="CM443" s="16">
        <f t="shared" si="680"/>
        <v>26.032875316103301</v>
      </c>
      <c r="CN443" s="17">
        <f t="shared" si="681"/>
        <v>1.3174559807576307E-2</v>
      </c>
      <c r="CO443" s="18">
        <f t="shared" si="737"/>
        <v>0.45583058827072864</v>
      </c>
      <c r="CP443" s="19">
        <f t="shared" si="738"/>
        <v>807.44213520194899</v>
      </c>
      <c r="CQ443" s="15">
        <f t="shared" si="682"/>
        <v>5.1148842704038982E-6</v>
      </c>
      <c r="CR443" s="16">
        <f t="shared" si="683"/>
        <v>25.174584554822413</v>
      </c>
      <c r="CS443" s="17">
        <f t="shared" si="684"/>
        <v>1.2800987851278032E-2</v>
      </c>
      <c r="CT443" s="18">
        <f t="shared" si="739"/>
        <v>0.47137146767511406</v>
      </c>
      <c r="CU443" s="19">
        <f t="shared" si="740"/>
        <v>679.90197193086476</v>
      </c>
      <c r="CV443" s="15">
        <f t="shared" si="685"/>
        <v>4.8598039438617299E-6</v>
      </c>
      <c r="CW443" s="16">
        <f t="shared" si="686"/>
        <v>27.905684036310106</v>
      </c>
      <c r="CX443" s="17">
        <f t="shared" si="687"/>
        <v>1.2162599964369207E-2</v>
      </c>
      <c r="CY443" s="18">
        <f t="shared" si="741"/>
        <v>0.425238845759073</v>
      </c>
      <c r="CZ443" s="20">
        <f t="shared" si="691"/>
        <v>494.56483512173969</v>
      </c>
      <c r="DA443" s="15">
        <f t="shared" si="688"/>
        <v>7.2963829531134724E-6</v>
      </c>
      <c r="DB443" s="16">
        <f t="shared" si="689"/>
        <v>39.152619781469546</v>
      </c>
      <c r="DC443" s="17">
        <f t="shared" si="690"/>
        <v>1.8260610524762133E-2</v>
      </c>
      <c r="DD443" s="18">
        <f t="shared" si="742"/>
        <v>0.30308523250682207</v>
      </c>
    </row>
    <row r="444" spans="2:108" x14ac:dyDescent="0.25">
      <c r="B444">
        <v>177</v>
      </c>
      <c r="C444">
        <f t="shared" si="743"/>
        <v>0.1730377959431095</v>
      </c>
      <c r="D444" s="19">
        <f t="shared" si="640"/>
        <v>1017.0927353153663</v>
      </c>
      <c r="E444" s="15">
        <f t="shared" si="692"/>
        <v>5.5341854706307324E-6</v>
      </c>
      <c r="F444" s="16">
        <f t="shared" si="641"/>
        <v>27.585566456126713</v>
      </c>
      <c r="G444" s="17">
        <f t="shared" si="638"/>
        <v>1.3850370258850308E-2</v>
      </c>
      <c r="H444" s="18">
        <f t="shared" si="693"/>
        <v>0.43017354342137676</v>
      </c>
      <c r="I444" s="19">
        <f t="shared" si="694"/>
        <v>1016.768062323563</v>
      </c>
      <c r="J444" s="15">
        <f t="shared" si="695"/>
        <v>5.5335361246471262E-6</v>
      </c>
      <c r="K444" s="16">
        <f t="shared" si="642"/>
        <v>27.581832716720974</v>
      </c>
      <c r="L444" s="17">
        <f t="shared" si="696"/>
        <v>1.3848745144848117E-2</v>
      </c>
      <c r="M444" s="18">
        <f t="shared" si="697"/>
        <v>0.43023177580668903</v>
      </c>
      <c r="N444" s="19">
        <f t="shared" si="698"/>
        <v>1015.8619020171652</v>
      </c>
      <c r="O444" s="15">
        <f t="shared" si="699"/>
        <v>5.5317238040343314E-6</v>
      </c>
      <c r="P444" s="16">
        <f t="shared" si="700"/>
        <v>27.571411873197398</v>
      </c>
      <c r="Q444" s="17">
        <f t="shared" si="639"/>
        <v>1.3850370258850308E-2</v>
      </c>
      <c r="R444" s="18">
        <f t="shared" si="701"/>
        <v>0.43039438547046582</v>
      </c>
      <c r="S444" s="19">
        <f t="shared" si="702"/>
        <v>1014.3602449447667</v>
      </c>
      <c r="T444" s="15">
        <f t="shared" si="703"/>
        <v>5.5287204898895339E-6</v>
      </c>
      <c r="U444" s="16">
        <f t="shared" si="704"/>
        <v>27.554142816864818</v>
      </c>
      <c r="V444" s="17">
        <f t="shared" si="705"/>
        <v>1.383669308682115E-2</v>
      </c>
      <c r="W444" s="18">
        <f t="shared" si="706"/>
        <v>0.43066412729975495</v>
      </c>
      <c r="X444" s="19">
        <f t="shared" si="707"/>
        <v>1012.2611705903909</v>
      </c>
      <c r="Y444" s="15">
        <f t="shared" si="708"/>
        <v>5.5245223411807821E-6</v>
      </c>
      <c r="Z444" s="16">
        <f t="shared" si="709"/>
        <v>27.530003461789494</v>
      </c>
      <c r="AA444" s="17">
        <f t="shared" si="710"/>
        <v>1.3826186407143263E-2</v>
      </c>
      <c r="AB444" s="18">
        <f t="shared" si="711"/>
        <v>0.43104175000152911</v>
      </c>
      <c r="AC444" s="19">
        <f t="shared" si="712"/>
        <v>1009.563219287576</v>
      </c>
      <c r="AD444" s="15">
        <f t="shared" si="643"/>
        <v>5.5191264385751521E-6</v>
      </c>
      <c r="AE444" s="16">
        <f t="shared" si="644"/>
        <v>27.498977021807121</v>
      </c>
      <c r="AF444" s="17">
        <f t="shared" si="645"/>
        <v>1.3812682116518151E-2</v>
      </c>
      <c r="AG444" s="18">
        <f t="shared" si="713"/>
        <v>0.43152808412863913</v>
      </c>
      <c r="AH444" s="19">
        <f t="shared" si="714"/>
        <v>1006.2660554013612</v>
      </c>
      <c r="AI444" s="15">
        <f t="shared" si="646"/>
        <v>5.5125321108027229E-6</v>
      </c>
      <c r="AJ444" s="16">
        <f t="shared" si="647"/>
        <v>27.461059637115653</v>
      </c>
      <c r="AK444" s="17">
        <f t="shared" si="648"/>
        <v>1.3796178534962915E-2</v>
      </c>
      <c r="AL444" s="18">
        <f t="shared" si="715"/>
        <v>0.43212392480584894</v>
      </c>
      <c r="AM444" s="19">
        <f t="shared" si="716"/>
        <v>1002.3695405525317</v>
      </c>
      <c r="AN444" s="15">
        <f t="shared" si="649"/>
        <v>5.5047390811050641E-6</v>
      </c>
      <c r="AO444" s="16">
        <f t="shared" si="650"/>
        <v>27.416249716354116</v>
      </c>
      <c r="AP444" s="17">
        <f t="shared" si="651"/>
        <v>1.3776674969836014E-2</v>
      </c>
      <c r="AQ444" s="18">
        <f t="shared" si="717"/>
        <v>0.43283020079290213</v>
      </c>
      <c r="AR444" s="19">
        <f t="shared" si="718"/>
        <v>997.87352117749765</v>
      </c>
      <c r="AS444" s="15">
        <f t="shared" si="652"/>
        <v>5.4957470423549957E-6</v>
      </c>
      <c r="AT444" s="16">
        <f t="shared" si="653"/>
        <v>27.364545493541222</v>
      </c>
      <c r="AU444" s="17">
        <f t="shared" si="654"/>
        <v>1.375417065249224E-2</v>
      </c>
      <c r="AV444" s="18">
        <f t="shared" si="719"/>
        <v>0.43364801628145933</v>
      </c>
      <c r="AW444" s="19">
        <f t="shared" si="720"/>
        <v>992.77735244819723</v>
      </c>
      <c r="AX444" s="15">
        <f t="shared" si="655"/>
        <v>5.4855547048963951E-6</v>
      </c>
      <c r="AY444" s="16">
        <f t="shared" si="656"/>
        <v>27.305939553154268</v>
      </c>
      <c r="AZ444" s="17">
        <f t="shared" si="657"/>
        <v>1.3728662355317538E-2</v>
      </c>
      <c r="BA444" s="18">
        <f t="shared" si="721"/>
        <v>0.43457874235084215</v>
      </c>
      <c r="BB444" s="19">
        <f t="shared" si="722"/>
        <v>987.07790295924326</v>
      </c>
      <c r="BC444" s="15">
        <f t="shared" si="658"/>
        <v>5.4741558059184875E-6</v>
      </c>
      <c r="BD444" s="16">
        <f t="shared" si="659"/>
        <v>27.240395884031297</v>
      </c>
      <c r="BE444" s="17">
        <f t="shared" si="660"/>
        <v>1.3700134404415802E-2</v>
      </c>
      <c r="BF444" s="18">
        <f t="shared" si="723"/>
        <v>0.43562439107848117</v>
      </c>
      <c r="BG444" s="19">
        <f t="shared" si="724"/>
        <v>980.76107099238061</v>
      </c>
      <c r="BH444" s="15">
        <f t="shared" si="661"/>
        <v>5.4615221419847621E-6</v>
      </c>
      <c r="BI444" s="16">
        <f t="shared" si="662"/>
        <v>27.167752316412376</v>
      </c>
      <c r="BJ444" s="17">
        <f t="shared" si="663"/>
        <v>1.3668516215228509E-2</v>
      </c>
      <c r="BK444" s="18">
        <f t="shared" si="725"/>
        <v>0.43678920256311193</v>
      </c>
      <c r="BL444" s="19">
        <f t="shared" si="726"/>
        <v>973.76905604694787</v>
      </c>
      <c r="BM444" s="15">
        <f t="shared" si="664"/>
        <v>5.4475381120938963E-6</v>
      </c>
      <c r="BN444" s="16">
        <f t="shared" si="665"/>
        <v>27.087344144539898</v>
      </c>
      <c r="BO444" s="17">
        <f t="shared" si="666"/>
        <v>1.3633518473875752E-2</v>
      </c>
      <c r="BP444" s="18">
        <f t="shared" si="727"/>
        <v>0.43808580148710857</v>
      </c>
      <c r="BQ444" s="19">
        <f t="shared" si="728"/>
        <v>965.88850491934829</v>
      </c>
      <c r="BR444" s="15">
        <f t="shared" si="667"/>
        <v>5.4317770098386966E-6</v>
      </c>
      <c r="BS444" s="16">
        <f t="shared" si="668"/>
        <v>26.996717806572505</v>
      </c>
      <c r="BT444" s="17">
        <f t="shared" si="669"/>
        <v>1.3594073264986279E-2</v>
      </c>
      <c r="BU444" s="18">
        <f t="shared" si="729"/>
        <v>0.43955642884961782</v>
      </c>
      <c r="BV444" s="19">
        <f t="shared" si="730"/>
        <v>956.41925599174215</v>
      </c>
      <c r="BW444" s="15">
        <f t="shared" si="670"/>
        <v>5.4128385119834854E-6</v>
      </c>
      <c r="BX444" s="16">
        <f t="shared" si="671"/>
        <v>26.887821443905032</v>
      </c>
      <c r="BY444" s="17">
        <f t="shared" si="672"/>
        <v>1.3546676008636063E-2</v>
      </c>
      <c r="BZ444" s="18">
        <f t="shared" si="731"/>
        <v>0.44133664359809377</v>
      </c>
      <c r="CA444" s="19">
        <f t="shared" si="732"/>
        <v>943.35176163434278</v>
      </c>
      <c r="CB444" s="15">
        <f t="shared" si="673"/>
        <v>5.3867035232686863E-6</v>
      </c>
      <c r="CC444" s="16">
        <f t="shared" si="674"/>
        <v>26.737545258794942</v>
      </c>
      <c r="CD444" s="17">
        <f t="shared" si="675"/>
        <v>1.3481268141058834E-2</v>
      </c>
      <c r="CE444" s="18">
        <f t="shared" si="733"/>
        <v>0.44381714008747875</v>
      </c>
      <c r="CF444" s="19">
        <f t="shared" si="734"/>
        <v>921.75113126978545</v>
      </c>
      <c r="CG444" s="15">
        <f t="shared" si="676"/>
        <v>5.3435022625395715E-6</v>
      </c>
      <c r="CH444" s="16">
        <f t="shared" si="677"/>
        <v>26.489138009602534</v>
      </c>
      <c r="CI444" s="17">
        <f t="shared" si="678"/>
        <v>1.3373148624659761E-2</v>
      </c>
      <c r="CJ444" s="18">
        <f t="shared" si="735"/>
        <v>0.44797912508199261</v>
      </c>
      <c r="CK444" s="19">
        <f t="shared" si="736"/>
        <v>881.56721418349503</v>
      </c>
      <c r="CL444" s="15">
        <f t="shared" si="679"/>
        <v>5.2631344283669902E-6</v>
      </c>
      <c r="CM444" s="16">
        <f t="shared" si="680"/>
        <v>26.027022963110191</v>
      </c>
      <c r="CN444" s="17">
        <f t="shared" si="681"/>
        <v>1.3172012564782593E-2</v>
      </c>
      <c r="CO444" s="18">
        <f t="shared" si="737"/>
        <v>0.45593308487632961</v>
      </c>
      <c r="CP444" s="19">
        <f t="shared" si="738"/>
        <v>806.67128093823146</v>
      </c>
      <c r="CQ444" s="15">
        <f t="shared" si="682"/>
        <v>5.1133425618764635E-6</v>
      </c>
      <c r="CR444" s="16">
        <f t="shared" si="683"/>
        <v>25.165719730789661</v>
      </c>
      <c r="CS444" s="17">
        <f t="shared" si="684"/>
        <v>1.2797129427296848E-2</v>
      </c>
      <c r="CT444" s="18">
        <f t="shared" si="739"/>
        <v>0.47153751200683597</v>
      </c>
      <c r="CU444" s="19">
        <f t="shared" si="740"/>
        <v>679.05696996672953</v>
      </c>
      <c r="CV444" s="15">
        <f t="shared" si="685"/>
        <v>4.8581139399334599E-6</v>
      </c>
      <c r="CW444" s="16">
        <f t="shared" si="686"/>
        <v>28.075360430708372</v>
      </c>
      <c r="CX444" s="17">
        <f t="shared" si="687"/>
        <v>1.2158370402445476E-2</v>
      </c>
      <c r="CY444" s="18">
        <f t="shared" si="741"/>
        <v>0.42266887005797532</v>
      </c>
      <c r="CZ444" s="20">
        <f t="shared" si="691"/>
        <v>494.3661298890903</v>
      </c>
      <c r="DA444" s="15">
        <f t="shared" si="688"/>
        <v>7.2993528954139779E-6</v>
      </c>
      <c r="DB444" s="16">
        <f t="shared" si="689"/>
        <v>39.158382233216379</v>
      </c>
      <c r="DC444" s="17">
        <f t="shared" si="690"/>
        <v>1.8268043380189135E-2</v>
      </c>
      <c r="DD444" s="18">
        <f t="shared" si="742"/>
        <v>0.30304063122536218</v>
      </c>
    </row>
    <row r="445" spans="2:108" x14ac:dyDescent="0.25">
      <c r="B445">
        <v>178</v>
      </c>
      <c r="C445">
        <f t="shared" si="743"/>
        <v>0.17401541060945475</v>
      </c>
      <c r="D445" s="19">
        <f t="shared" si="640"/>
        <v>1017.0761591525439</v>
      </c>
      <c r="E445" s="15">
        <f t="shared" si="692"/>
        <v>5.5341523183050881E-6</v>
      </c>
      <c r="F445" s="16">
        <f t="shared" si="641"/>
        <v>27.585375830254254</v>
      </c>
      <c r="G445" s="17">
        <f t="shared" si="638"/>
        <v>1.3850287288738888E-2</v>
      </c>
      <c r="H445" s="18">
        <f t="shared" si="693"/>
        <v>0.43017651609093643</v>
      </c>
      <c r="I445" s="19">
        <f t="shared" si="694"/>
        <v>1016.7514848598088</v>
      </c>
      <c r="J445" s="15">
        <f t="shared" si="695"/>
        <v>5.5335029697196186E-6</v>
      </c>
      <c r="K445" s="16">
        <f t="shared" si="642"/>
        <v>27.5816420758878</v>
      </c>
      <c r="L445" s="17">
        <f t="shared" si="696"/>
        <v>1.3848662168225032E-2</v>
      </c>
      <c r="M445" s="18">
        <f t="shared" si="697"/>
        <v>0.43023474951448976</v>
      </c>
      <c r="N445" s="19">
        <f t="shared" si="698"/>
        <v>1015.8453189212702</v>
      </c>
      <c r="O445" s="15">
        <f t="shared" si="699"/>
        <v>5.5316906378425409E-6</v>
      </c>
      <c r="P445" s="16">
        <f t="shared" si="700"/>
        <v>27.571221167594608</v>
      </c>
      <c r="Q445" s="17">
        <f t="shared" si="639"/>
        <v>1.3850287288738888E-2</v>
      </c>
      <c r="R445" s="18">
        <f t="shared" si="701"/>
        <v>0.4303973624376527</v>
      </c>
      <c r="S445" s="19">
        <f t="shared" si="702"/>
        <v>1014.3436586829949</v>
      </c>
      <c r="T445" s="15">
        <f t="shared" si="703"/>
        <v>5.5286873173659908E-6</v>
      </c>
      <c r="U445" s="16">
        <f t="shared" si="704"/>
        <v>27.553952074854443</v>
      </c>
      <c r="V445" s="17">
        <f t="shared" si="705"/>
        <v>1.383661006616058E-2</v>
      </c>
      <c r="W445" s="18">
        <f t="shared" si="706"/>
        <v>0.43066710856869284</v>
      </c>
      <c r="X445" s="19">
        <f t="shared" si="707"/>
        <v>1012.2445873418907</v>
      </c>
      <c r="Y445" s="15">
        <f t="shared" si="708"/>
        <v>5.5244891746837819E-6</v>
      </c>
      <c r="Z445" s="16">
        <f t="shared" si="709"/>
        <v>27.529812754431742</v>
      </c>
      <c r="AA445" s="17">
        <f t="shared" si="710"/>
        <v>1.3826103401565284E-2</v>
      </c>
      <c r="AB445" s="18">
        <f t="shared" si="711"/>
        <v>0.43104473595838821</v>
      </c>
      <c r="AC445" s="19">
        <f t="shared" si="712"/>
        <v>1009.5466456041876</v>
      </c>
      <c r="AD445" s="15">
        <f t="shared" si="643"/>
        <v>5.5190932912083758E-6</v>
      </c>
      <c r="AE445" s="16">
        <f t="shared" si="644"/>
        <v>27.498786424448156</v>
      </c>
      <c r="AF445" s="17">
        <f t="shared" si="645"/>
        <v>1.3812599158817258E-2</v>
      </c>
      <c r="AG445" s="18">
        <f t="shared" si="713"/>
        <v>0.43153107510110916</v>
      </c>
      <c r="AH445" s="19">
        <f t="shared" si="714"/>
        <v>1006.2494965233554</v>
      </c>
      <c r="AI445" s="15">
        <f t="shared" si="646"/>
        <v>5.5124989930467115E-6</v>
      </c>
      <c r="AJ445" s="16">
        <f t="shared" si="647"/>
        <v>27.460869210018586</v>
      </c>
      <c r="AK445" s="17">
        <f t="shared" si="648"/>
        <v>1.3796095651368691E-2</v>
      </c>
      <c r="AL445" s="18">
        <f t="shared" si="715"/>
        <v>0.43212692136447733</v>
      </c>
      <c r="AM445" s="19">
        <f t="shared" si="716"/>
        <v>1002.3529994303941</v>
      </c>
      <c r="AN445" s="15">
        <f t="shared" si="649"/>
        <v>5.5047059988607887E-6</v>
      </c>
      <c r="AO445" s="16">
        <f t="shared" si="650"/>
        <v>27.416059493449531</v>
      </c>
      <c r="AP445" s="17">
        <f t="shared" si="651"/>
        <v>1.3776592175116785E-2</v>
      </c>
      <c r="AQ445" s="18">
        <f t="shared" si="717"/>
        <v>0.43283320393119074</v>
      </c>
      <c r="AR445" s="19">
        <f t="shared" si="718"/>
        <v>997.85699393562595</v>
      </c>
      <c r="AS445" s="15">
        <f t="shared" si="652"/>
        <v>5.4957139878712519E-6</v>
      </c>
      <c r="AT445" s="16">
        <f t="shared" si="653"/>
        <v>27.3643554302597</v>
      </c>
      <c r="AU445" s="17">
        <f t="shared" si="654"/>
        <v>1.3754087927249114E-2</v>
      </c>
      <c r="AV445" s="18">
        <f t="shared" si="719"/>
        <v>0.43365102824953622</v>
      </c>
      <c r="AW445" s="19">
        <f t="shared" si="720"/>
        <v>992.76080576701736</v>
      </c>
      <c r="AX445" s="15">
        <f t="shared" si="655"/>
        <v>5.4855216115340356E-6</v>
      </c>
      <c r="AY445" s="16">
        <f t="shared" si="656"/>
        <v>27.305749266320699</v>
      </c>
      <c r="AZ445" s="17">
        <f t="shared" si="657"/>
        <v>1.372857953277315E-2</v>
      </c>
      <c r="BA445" s="18">
        <f t="shared" si="721"/>
        <v>0.43458177081975585</v>
      </c>
      <c r="BB445" s="19">
        <f t="shared" si="722"/>
        <v>987.06117885101048</v>
      </c>
      <c r="BC445" s="15">
        <f t="shared" si="658"/>
        <v>5.4741223577020212E-6</v>
      </c>
      <c r="BD445" s="16">
        <f t="shared" si="659"/>
        <v>27.240203556786618</v>
      </c>
      <c r="BE445" s="17">
        <f t="shared" si="660"/>
        <v>1.3700050693780334E-2</v>
      </c>
      <c r="BF445" s="18">
        <f t="shared" si="723"/>
        <v>0.43562746676911163</v>
      </c>
      <c r="BG445" s="19">
        <f t="shared" si="724"/>
        <v>980.74353313873871</v>
      </c>
      <c r="BH445" s="15">
        <f t="shared" si="661"/>
        <v>5.4614870662774774E-6</v>
      </c>
      <c r="BI445" s="16">
        <f t="shared" si="662"/>
        <v>27.167550631095494</v>
      </c>
      <c r="BJ445" s="17">
        <f t="shared" si="663"/>
        <v>1.3668428431482272E-2</v>
      </c>
      <c r="BK445" s="18">
        <f t="shared" si="725"/>
        <v>0.43679244518037713</v>
      </c>
      <c r="BL445" s="19">
        <f t="shared" si="726"/>
        <v>973.74844096185973</v>
      </c>
      <c r="BM445" s="15">
        <f t="shared" si="664"/>
        <v>5.4474968819237207E-6</v>
      </c>
      <c r="BN445" s="16">
        <f t="shared" si="665"/>
        <v>27.087107071061386</v>
      </c>
      <c r="BO445" s="17">
        <f t="shared" si="666"/>
        <v>1.363341528739496E-2</v>
      </c>
      <c r="BP445" s="18">
        <f t="shared" si="727"/>
        <v>0.43808963572915488</v>
      </c>
      <c r="BQ445" s="19">
        <f t="shared" si="728"/>
        <v>965.85774796442445</v>
      </c>
      <c r="BR445" s="15">
        <f t="shared" si="667"/>
        <v>5.4317154959288496E-6</v>
      </c>
      <c r="BS445" s="16">
        <f t="shared" si="668"/>
        <v>26.996364101590878</v>
      </c>
      <c r="BT445" s="17">
        <f t="shared" si="669"/>
        <v>1.3593919314521124E-2</v>
      </c>
      <c r="BU445" s="18">
        <f t="shared" si="729"/>
        <v>0.43956218789546586</v>
      </c>
      <c r="BV445" s="19">
        <f t="shared" si="730"/>
        <v>956.3594002097733</v>
      </c>
      <c r="BW445" s="15">
        <f t="shared" si="670"/>
        <v>5.4127188004195467E-6</v>
      </c>
      <c r="BX445" s="16">
        <f t="shared" si="671"/>
        <v>26.887133102412392</v>
      </c>
      <c r="BY445" s="17">
        <f t="shared" si="672"/>
        <v>1.3546376407277631E-2</v>
      </c>
      <c r="BZ445" s="18">
        <f t="shared" si="731"/>
        <v>0.44134794232313279</v>
      </c>
      <c r="CA445" s="19">
        <f t="shared" si="732"/>
        <v>943.2205143131614</v>
      </c>
      <c r="CB445" s="15">
        <f t="shared" si="673"/>
        <v>5.3864410286263241E-6</v>
      </c>
      <c r="CC445" s="16">
        <f t="shared" si="674"/>
        <v>26.736035914601356</v>
      </c>
      <c r="CD445" s="17">
        <f t="shared" si="675"/>
        <v>1.3480611197411575E-2</v>
      </c>
      <c r="CE445" s="18">
        <f t="shared" si="733"/>
        <v>0.443842195141472</v>
      </c>
      <c r="CF445" s="19">
        <f t="shared" si="734"/>
        <v>921.47458928602623</v>
      </c>
      <c r="CG445" s="15">
        <f t="shared" si="676"/>
        <v>5.3429491785720526E-6</v>
      </c>
      <c r="CH445" s="16">
        <f t="shared" si="677"/>
        <v>26.485957776789299</v>
      </c>
      <c r="CI445" s="17">
        <f t="shared" si="678"/>
        <v>1.3371764424983942E-2</v>
      </c>
      <c r="CJ445" s="18">
        <f t="shared" si="735"/>
        <v>0.44803291501570908</v>
      </c>
      <c r="CK445" s="19">
        <f t="shared" si="736"/>
        <v>881.05779384985703</v>
      </c>
      <c r="CL445" s="15">
        <f t="shared" si="679"/>
        <v>5.2621155876997143E-6</v>
      </c>
      <c r="CM445" s="16">
        <f t="shared" si="680"/>
        <v>26.021164629273358</v>
      </c>
      <c r="CN445" s="17">
        <f t="shared" si="681"/>
        <v>1.3169462718820359E-2</v>
      </c>
      <c r="CO445" s="18">
        <f t="shared" si="737"/>
        <v>0.45603573240408313</v>
      </c>
      <c r="CP445" s="19">
        <f t="shared" si="738"/>
        <v>805.90292625285258</v>
      </c>
      <c r="CQ445" s="15">
        <f t="shared" si="682"/>
        <v>5.1118058525057062E-6</v>
      </c>
      <c r="CR445" s="16">
        <f t="shared" si="683"/>
        <v>25.156883651907805</v>
      </c>
      <c r="CS445" s="17">
        <f t="shared" si="684"/>
        <v>1.2793283514672817E-2</v>
      </c>
      <c r="CT445" s="18">
        <f t="shared" si="739"/>
        <v>0.4717031343752302</v>
      </c>
      <c r="CU445" s="19">
        <f t="shared" si="740"/>
        <v>678.22163142309216</v>
      </c>
      <c r="CV445" s="15">
        <f t="shared" si="685"/>
        <v>4.8564432628461853E-6</v>
      </c>
      <c r="CW445" s="16">
        <f t="shared" si="686"/>
        <v>28.243096410270681</v>
      </c>
      <c r="CX445" s="17">
        <f t="shared" si="687"/>
        <v>1.2154189209681966E-2</v>
      </c>
      <c r="CY445" s="18">
        <f t="shared" si="741"/>
        <v>0.42015863619693566</v>
      </c>
      <c r="CZ445" s="20">
        <f t="shared" si="691"/>
        <v>494.18169767372291</v>
      </c>
      <c r="DA445" s="15">
        <f t="shared" si="688"/>
        <v>7.3021091766024253E-6</v>
      </c>
      <c r="DB445" s="16">
        <f t="shared" si="689"/>
        <v>39.163730767462035</v>
      </c>
      <c r="DC445" s="17">
        <f t="shared" si="690"/>
        <v>1.8274941507329993E-2</v>
      </c>
      <c r="DD445" s="18">
        <f t="shared" si="742"/>
        <v>0.30299924540327189</v>
      </c>
    </row>
    <row r="446" spans="2:108" x14ac:dyDescent="0.25">
      <c r="B446">
        <v>179</v>
      </c>
      <c r="C446">
        <f t="shared" si="743"/>
        <v>0.17499302527580002</v>
      </c>
      <c r="D446" s="19">
        <f t="shared" si="640"/>
        <v>1017.0595829233026</v>
      </c>
      <c r="E446" s="15">
        <f t="shared" si="692"/>
        <v>5.5341191658466061E-6</v>
      </c>
      <c r="F446" s="16">
        <f t="shared" si="641"/>
        <v>27.585185203617979</v>
      </c>
      <c r="G446" s="17">
        <f t="shared" si="638"/>
        <v>1.3850204318295017E-2</v>
      </c>
      <c r="H446" s="18">
        <f t="shared" si="693"/>
        <v>0.43017948881349249</v>
      </c>
      <c r="I446" s="19">
        <f t="shared" si="694"/>
        <v>1016.7349073873619</v>
      </c>
      <c r="J446" s="15">
        <f t="shared" si="695"/>
        <v>5.5334698147747247E-6</v>
      </c>
      <c r="K446" s="16">
        <f t="shared" si="642"/>
        <v>27.581451434954658</v>
      </c>
      <c r="L446" s="17">
        <f t="shared" si="696"/>
        <v>1.3848579191558432E-2</v>
      </c>
      <c r="M446" s="18">
        <f t="shared" si="697"/>
        <v>0.43023772326495791</v>
      </c>
      <c r="N446" s="19">
        <f t="shared" si="698"/>
        <v>1015.8287359284299</v>
      </c>
      <c r="O446" s="15">
        <f t="shared" si="699"/>
        <v>5.5316574718568597E-6</v>
      </c>
      <c r="P446" s="16">
        <f t="shared" si="700"/>
        <v>27.571030463176943</v>
      </c>
      <c r="Q446" s="17">
        <f t="shared" si="639"/>
        <v>1.3850204318295017E-2</v>
      </c>
      <c r="R446" s="18">
        <f t="shared" si="701"/>
        <v>0.43040033942752176</v>
      </c>
      <c r="S446" s="19">
        <f t="shared" si="702"/>
        <v>1014.3270726058138</v>
      </c>
      <c r="T446" s="15">
        <f t="shared" si="703"/>
        <v>5.5286541452116287E-6</v>
      </c>
      <c r="U446" s="16">
        <f t="shared" si="704"/>
        <v>27.553761334966858</v>
      </c>
      <c r="V446" s="17">
        <f t="shared" si="705"/>
        <v>1.3836527046423956E-2</v>
      </c>
      <c r="W446" s="18">
        <f t="shared" si="706"/>
        <v>0.43067008984572713</v>
      </c>
      <c r="X446" s="19">
        <f t="shared" si="707"/>
        <v>1012.2280043052999</v>
      </c>
      <c r="Y446" s="15">
        <f t="shared" si="708"/>
        <v>5.5244560086106005E-6</v>
      </c>
      <c r="Z446" s="16">
        <f t="shared" si="709"/>
        <v>27.529622049510948</v>
      </c>
      <c r="AA446" s="17">
        <f t="shared" si="710"/>
        <v>1.3826020397047991E-2</v>
      </c>
      <c r="AB446" s="18">
        <f t="shared" si="711"/>
        <v>0.43104772191845997</v>
      </c>
      <c r="AC446" s="19">
        <f t="shared" si="712"/>
        <v>1009.5300721264455</v>
      </c>
      <c r="AD446" s="15">
        <f t="shared" si="643"/>
        <v>5.5190601442528915E-6</v>
      </c>
      <c r="AE446" s="16">
        <f t="shared" si="644"/>
        <v>27.498595829454121</v>
      </c>
      <c r="AF446" s="17">
        <f t="shared" si="645"/>
        <v>1.3812516202145703E-2</v>
      </c>
      <c r="AG446" s="18">
        <f t="shared" si="713"/>
        <v>0.43153406607792832</v>
      </c>
      <c r="AH446" s="19">
        <f t="shared" si="714"/>
        <v>1006.2329378230332</v>
      </c>
      <c r="AI446" s="15">
        <f t="shared" si="646"/>
        <v>5.5124658756460669E-6</v>
      </c>
      <c r="AJ446" s="16">
        <f t="shared" si="647"/>
        <v>27.460678784964884</v>
      </c>
      <c r="AK446" s="17">
        <f t="shared" si="648"/>
        <v>1.3796012768663843E-2</v>
      </c>
      <c r="AL446" s="18">
        <f t="shared" si="715"/>
        <v>0.43212991793251015</v>
      </c>
      <c r="AM446" s="19">
        <f t="shared" si="716"/>
        <v>1002.3364583853378</v>
      </c>
      <c r="AN446" s="15">
        <f t="shared" si="649"/>
        <v>5.5046729167706759E-6</v>
      </c>
      <c r="AO446" s="16">
        <f t="shared" si="650"/>
        <v>27.415869271431383</v>
      </c>
      <c r="AP446" s="17">
        <f t="shared" si="651"/>
        <v>1.3776509380783376E-2</v>
      </c>
      <c r="AQ446" s="18">
        <f t="shared" si="717"/>
        <v>0.43283620709715853</v>
      </c>
      <c r="AR446" s="19">
        <f t="shared" si="718"/>
        <v>997.8404663292655</v>
      </c>
      <c r="AS446" s="15">
        <f t="shared" si="652"/>
        <v>5.4956809326585313E-6</v>
      </c>
      <c r="AT446" s="16">
        <f t="shared" si="653"/>
        <v>27.364165362786551</v>
      </c>
      <c r="AU446" s="17">
        <f t="shared" si="654"/>
        <v>1.3754005200181581E-2</v>
      </c>
      <c r="AV446" s="18">
        <f t="shared" si="719"/>
        <v>0.4336540403258804</v>
      </c>
      <c r="AW446" s="19">
        <f t="shared" si="720"/>
        <v>992.74425686196912</v>
      </c>
      <c r="AX446" s="15">
        <f t="shared" si="655"/>
        <v>5.4854885137239391E-6</v>
      </c>
      <c r="AY446" s="16">
        <f t="shared" si="656"/>
        <v>27.305558953912644</v>
      </c>
      <c r="AZ446" s="17">
        <f t="shared" si="657"/>
        <v>1.3728496699097441E-2</v>
      </c>
      <c r="BA446" s="18">
        <f t="shared" si="721"/>
        <v>0.43458479973791281</v>
      </c>
      <c r="BB446" s="19">
        <f t="shared" si="722"/>
        <v>987.04444542762553</v>
      </c>
      <c r="BC446" s="15">
        <f t="shared" si="658"/>
        <v>5.4740888908552508E-6</v>
      </c>
      <c r="BD446" s="16">
        <f t="shared" si="659"/>
        <v>27.240011122417691</v>
      </c>
      <c r="BE446" s="17">
        <f t="shared" si="660"/>
        <v>1.3699966936518921E-2</v>
      </c>
      <c r="BF446" s="18">
        <f t="shared" si="723"/>
        <v>0.43563054421633723</v>
      </c>
      <c r="BG446" s="19">
        <f t="shared" si="724"/>
        <v>980.7259619596216</v>
      </c>
      <c r="BH446" s="15">
        <f t="shared" si="661"/>
        <v>5.4614519239192437E-6</v>
      </c>
      <c r="BI446" s="16">
        <f t="shared" si="662"/>
        <v>27.167348562535647</v>
      </c>
      <c r="BJ446" s="17">
        <f t="shared" si="663"/>
        <v>1.3668340480929133E-2</v>
      </c>
      <c r="BK446" s="18">
        <f t="shared" si="725"/>
        <v>0.43679569400755458</v>
      </c>
      <c r="BL446" s="19">
        <f t="shared" si="726"/>
        <v>973.72772191907234</v>
      </c>
      <c r="BM446" s="15">
        <f t="shared" si="664"/>
        <v>5.4474554438381452E-6</v>
      </c>
      <c r="BN446" s="16">
        <f t="shared" si="665"/>
        <v>27.086868802069333</v>
      </c>
      <c r="BO446" s="17">
        <f t="shared" si="666"/>
        <v>1.3633311580565636E-2</v>
      </c>
      <c r="BP446" s="18">
        <f t="shared" si="727"/>
        <v>0.43809348937413312</v>
      </c>
      <c r="BQ446" s="19">
        <f t="shared" si="728"/>
        <v>965.82671222117995</v>
      </c>
      <c r="BR446" s="15">
        <f t="shared" si="667"/>
        <v>5.4316534244423609E-6</v>
      </c>
      <c r="BS446" s="16">
        <f t="shared" si="668"/>
        <v>26.996007190543569</v>
      </c>
      <c r="BT446" s="17">
        <f t="shared" si="669"/>
        <v>1.3593763968612508E-2</v>
      </c>
      <c r="BU446" s="18">
        <f t="shared" si="729"/>
        <v>0.43956799929563817</v>
      </c>
      <c r="BV446" s="19">
        <f t="shared" si="730"/>
        <v>956.29892140743993</v>
      </c>
      <c r="BW446" s="15">
        <f t="shared" si="670"/>
        <v>5.4125978428148797E-6</v>
      </c>
      <c r="BX446" s="16">
        <f t="shared" si="671"/>
        <v>26.886437596185559</v>
      </c>
      <c r="BY446" s="17">
        <f t="shared" si="672"/>
        <v>1.3546073687461109E-2</v>
      </c>
      <c r="BZ446" s="18">
        <f t="shared" si="731"/>
        <v>0.4413593592407139</v>
      </c>
      <c r="CA446" s="19">
        <f t="shared" si="732"/>
        <v>943.08817098622364</v>
      </c>
      <c r="CB446" s="15">
        <f t="shared" si="673"/>
        <v>5.3861763419724479E-6</v>
      </c>
      <c r="CC446" s="16">
        <f t="shared" si="674"/>
        <v>26.734513966341574</v>
      </c>
      <c r="CD446" s="17">
        <f t="shared" si="675"/>
        <v>1.3479948767831249E-2</v>
      </c>
      <c r="CE446" s="18">
        <f t="shared" si="733"/>
        <v>0.44386746228705631</v>
      </c>
      <c r="CF446" s="19">
        <f t="shared" si="734"/>
        <v>921.19672096298927</v>
      </c>
      <c r="CG446" s="15">
        <f t="shared" si="676"/>
        <v>5.3423934419259782E-6</v>
      </c>
      <c r="CH446" s="16">
        <f t="shared" si="677"/>
        <v>26.482762291074376</v>
      </c>
      <c r="CI446" s="17">
        <f t="shared" si="678"/>
        <v>1.3370373586466621E-2</v>
      </c>
      <c r="CJ446" s="18">
        <f t="shared" si="735"/>
        <v>0.44808697594651425</v>
      </c>
      <c r="CK446" s="19">
        <f t="shared" si="736"/>
        <v>880.54788472060591</v>
      </c>
      <c r="CL446" s="15">
        <f t="shared" si="679"/>
        <v>5.2610957694412124E-6</v>
      </c>
      <c r="CM446" s="16">
        <f t="shared" si="680"/>
        <v>26.015300674286969</v>
      </c>
      <c r="CN446" s="17">
        <f t="shared" si="681"/>
        <v>1.3166910426246873E-2</v>
      </c>
      <c r="CO446" s="18">
        <f t="shared" si="737"/>
        <v>0.45613852472005456</v>
      </c>
      <c r="CP446" s="19">
        <f t="shared" si="738"/>
        <v>805.13712866874926</v>
      </c>
      <c r="CQ446" s="15">
        <f t="shared" si="682"/>
        <v>5.1102742573374996E-6</v>
      </c>
      <c r="CR446" s="16">
        <f t="shared" si="683"/>
        <v>25.148076979690615</v>
      </c>
      <c r="CS446" s="17">
        <f t="shared" si="684"/>
        <v>1.2789450401330501E-2</v>
      </c>
      <c r="CT446" s="18">
        <f t="shared" si="739"/>
        <v>0.47186832135519763</v>
      </c>
      <c r="CU446" s="19">
        <f t="shared" si="740"/>
        <v>677.39592111141826</v>
      </c>
      <c r="CV446" s="15">
        <f t="shared" si="685"/>
        <v>4.8547918422228369E-6</v>
      </c>
      <c r="CW446" s="16">
        <f t="shared" si="686"/>
        <v>28.408899040854749</v>
      </c>
      <c r="CX446" s="17">
        <f t="shared" si="687"/>
        <v>1.2150056209946436E-2</v>
      </c>
      <c r="CY446" s="18">
        <f t="shared" si="741"/>
        <v>0.41770646770410236</v>
      </c>
      <c r="CZ446" s="20">
        <f t="shared" si="691"/>
        <v>494.01060568140321</v>
      </c>
      <c r="DA446" s="15">
        <f t="shared" si="688"/>
        <v>7.3046658090838017E-6</v>
      </c>
      <c r="DB446" s="16">
        <f t="shared" si="689"/>
        <v>39.168692435239308</v>
      </c>
      <c r="DC446" s="17">
        <f t="shared" si="690"/>
        <v>1.828133997494023E-2</v>
      </c>
      <c r="DD446" s="18">
        <f t="shared" si="742"/>
        <v>0.30296086317759657</v>
      </c>
    </row>
    <row r="447" spans="2:108" x14ac:dyDescent="0.25">
      <c r="B447">
        <v>180</v>
      </c>
      <c r="C447">
        <f t="shared" si="743"/>
        <v>0.17597063994214526</v>
      </c>
      <c r="D447" s="19">
        <f t="shared" si="640"/>
        <v>1017.0430066305895</v>
      </c>
      <c r="E447" s="15">
        <f t="shared" si="692"/>
        <v>5.5340860132611793E-6</v>
      </c>
      <c r="F447" s="16">
        <f t="shared" si="641"/>
        <v>27.584994576251781</v>
      </c>
      <c r="G447" s="17">
        <f t="shared" si="638"/>
        <v>1.3850121347533441E-2</v>
      </c>
      <c r="H447" s="18">
        <f t="shared" si="693"/>
        <v>0.43018246158851764</v>
      </c>
      <c r="I447" s="19">
        <f t="shared" si="694"/>
        <v>1016.7183299081457</v>
      </c>
      <c r="J447" s="15">
        <f t="shared" si="695"/>
        <v>5.5334366598162919E-6</v>
      </c>
      <c r="K447" s="16">
        <f t="shared" si="642"/>
        <v>27.581260793943677</v>
      </c>
      <c r="L447" s="17">
        <f t="shared" si="696"/>
        <v>1.3848496214857949E-2</v>
      </c>
      <c r="M447" s="18">
        <f t="shared" si="697"/>
        <v>0.43024069705774926</v>
      </c>
      <c r="N447" s="19">
        <f t="shared" si="698"/>
        <v>1015.8121530388951</v>
      </c>
      <c r="O447" s="15">
        <f t="shared" si="699"/>
        <v>5.5316243060777911E-6</v>
      </c>
      <c r="P447" s="16">
        <f t="shared" si="700"/>
        <v>27.57083975994729</v>
      </c>
      <c r="Q447" s="17">
        <f t="shared" si="639"/>
        <v>1.3850121347533441E-2</v>
      </c>
      <c r="R447" s="18">
        <f t="shared" si="701"/>
        <v>0.43040331644002799</v>
      </c>
      <c r="S447" s="19">
        <f t="shared" si="702"/>
        <v>1014.3104867127229</v>
      </c>
      <c r="T447" s="15">
        <f t="shared" si="703"/>
        <v>5.5286209734254465E-6</v>
      </c>
      <c r="U447" s="16">
        <f t="shared" si="704"/>
        <v>27.553570597196313</v>
      </c>
      <c r="V447" s="17">
        <f t="shared" si="705"/>
        <v>1.3836444027608773E-2</v>
      </c>
      <c r="W447" s="18">
        <f t="shared" si="706"/>
        <v>0.43067307113094705</v>
      </c>
      <c r="X447" s="19">
        <f t="shared" si="707"/>
        <v>1012.2114214801879</v>
      </c>
      <c r="Y447" s="15">
        <f t="shared" si="708"/>
        <v>5.5244228429603758E-6</v>
      </c>
      <c r="Z447" s="16">
        <f t="shared" si="709"/>
        <v>27.529431347022161</v>
      </c>
      <c r="AA447" s="17">
        <f t="shared" si="710"/>
        <v>1.3825937393589231E-2</v>
      </c>
      <c r="AB447" s="18">
        <f t="shared" si="711"/>
        <v>0.43105070788182109</v>
      </c>
      <c r="AC447" s="19">
        <f t="shared" si="712"/>
        <v>1009.5134988539999</v>
      </c>
      <c r="AD447" s="15">
        <f t="shared" si="643"/>
        <v>5.5190269977079997E-6</v>
      </c>
      <c r="AE447" s="16">
        <f t="shared" si="644"/>
        <v>27.498405236821</v>
      </c>
      <c r="AF447" s="17">
        <f t="shared" si="645"/>
        <v>1.3812433246501736E-2</v>
      </c>
      <c r="AG447" s="18">
        <f t="shared" si="713"/>
        <v>0.4315370570591589</v>
      </c>
      <c r="AH447" s="19">
        <f t="shared" si="714"/>
        <v>1006.216379299241</v>
      </c>
      <c r="AI447" s="15">
        <f t="shared" si="646"/>
        <v>5.5124327585984825E-6</v>
      </c>
      <c r="AJ447" s="16">
        <f t="shared" si="647"/>
        <v>27.460488361941273</v>
      </c>
      <c r="AK447" s="17">
        <f t="shared" si="648"/>
        <v>1.3795929886842596E-2</v>
      </c>
      <c r="AL447" s="18">
        <f t="shared" si="715"/>
        <v>0.4321329145101559</v>
      </c>
      <c r="AM447" s="19">
        <f t="shared" si="716"/>
        <v>1002.3199174121237</v>
      </c>
      <c r="AN447" s="15">
        <f t="shared" si="649"/>
        <v>5.5046398348242478E-6</v>
      </c>
      <c r="AO447" s="16">
        <f t="shared" si="650"/>
        <v>27.415679050239422</v>
      </c>
      <c r="AP447" s="17">
        <f t="shared" si="651"/>
        <v>1.3776426586809568E-2</v>
      </c>
      <c r="AQ447" s="18">
        <f t="shared" si="717"/>
        <v>0.43283921029175704</v>
      </c>
      <c r="AR447" s="19">
        <f t="shared" si="718"/>
        <v>997.82393833690787</v>
      </c>
      <c r="AS447" s="15">
        <f t="shared" si="652"/>
        <v>5.4956478766738164E-6</v>
      </c>
      <c r="AT447" s="16">
        <f t="shared" si="653"/>
        <v>27.363975290874439</v>
      </c>
      <c r="AU447" s="17">
        <f t="shared" si="654"/>
        <v>1.3753922471181984E-2</v>
      </c>
      <c r="AV447" s="18">
        <f t="shared" si="719"/>
        <v>0.43365705251441528</v>
      </c>
      <c r="AW447" s="19">
        <f t="shared" si="720"/>
        <v>992.72770565428436</v>
      </c>
      <c r="AX447" s="15">
        <f t="shared" si="655"/>
        <v>5.4854554113085694E-6</v>
      </c>
      <c r="AY447" s="16">
        <f t="shared" si="656"/>
        <v>27.305368615024271</v>
      </c>
      <c r="AZ447" s="17">
        <f t="shared" si="657"/>
        <v>1.3728413853896143E-2</v>
      </c>
      <c r="BA447" s="18">
        <f t="shared" si="721"/>
        <v>0.43458782911974803</v>
      </c>
      <c r="BB447" s="19">
        <f t="shared" si="722"/>
        <v>987.02770243559576</v>
      </c>
      <c r="BC447" s="15">
        <f t="shared" si="658"/>
        <v>5.4740554048711923E-6</v>
      </c>
      <c r="BD447" s="16">
        <f t="shared" si="659"/>
        <v>27.239818578009348</v>
      </c>
      <c r="BE447" s="17">
        <f t="shared" si="660"/>
        <v>1.3699883131362741E-2</v>
      </c>
      <c r="BF447" s="18">
        <f t="shared" si="723"/>
        <v>0.43563362346685253</v>
      </c>
      <c r="BG447" s="19">
        <f t="shared" si="724"/>
        <v>980.70835675784906</v>
      </c>
      <c r="BH447" s="15">
        <f t="shared" si="661"/>
        <v>5.4614167135156989E-6</v>
      </c>
      <c r="BI447" s="16">
        <f t="shared" si="662"/>
        <v>27.167146102715265</v>
      </c>
      <c r="BJ447" s="17">
        <f t="shared" si="663"/>
        <v>1.3668252360079437E-2</v>
      </c>
      <c r="BK447" s="18">
        <f t="shared" si="725"/>
        <v>0.4367989491738285</v>
      </c>
      <c r="BL447" s="19">
        <f t="shared" si="726"/>
        <v>973.706897356181</v>
      </c>
      <c r="BM447" s="15">
        <f t="shared" si="664"/>
        <v>5.4474137947123619E-6</v>
      </c>
      <c r="BN447" s="16">
        <f t="shared" si="665"/>
        <v>27.086629319596081</v>
      </c>
      <c r="BO447" s="17">
        <f t="shared" si="666"/>
        <v>1.3633207345567347E-2</v>
      </c>
      <c r="BP447" s="18">
        <f t="shared" si="727"/>
        <v>0.43809736271367317</v>
      </c>
      <c r="BQ447" s="19">
        <f t="shared" si="728"/>
        <v>965.79539511341557</v>
      </c>
      <c r="BR447" s="15">
        <f t="shared" si="667"/>
        <v>5.4315907902268308E-6</v>
      </c>
      <c r="BS447" s="16">
        <f t="shared" si="668"/>
        <v>26.995647043804276</v>
      </c>
      <c r="BT447" s="17">
        <f t="shared" si="669"/>
        <v>1.3593607214365552E-2</v>
      </c>
      <c r="BU447" s="18">
        <f t="shared" si="729"/>
        <v>0.43957386353669109</v>
      </c>
      <c r="BV447" s="19">
        <f t="shared" si="730"/>
        <v>956.23781745835754</v>
      </c>
      <c r="BW447" s="15">
        <f t="shared" si="670"/>
        <v>5.4124756349167156E-6</v>
      </c>
      <c r="BX447" s="16">
        <f t="shared" si="671"/>
        <v>26.885734900771112</v>
      </c>
      <c r="BY447" s="17">
        <f t="shared" si="672"/>
        <v>1.3545767838543124E-2</v>
      </c>
      <c r="BZ447" s="18">
        <f t="shared" si="731"/>
        <v>0.44137089477057784</v>
      </c>
      <c r="CA447" s="19">
        <f t="shared" si="732"/>
        <v>942.95473470281047</v>
      </c>
      <c r="CB447" s="15">
        <f t="shared" si="673"/>
        <v>5.3859094694056211E-6</v>
      </c>
      <c r="CC447" s="16">
        <f t="shared" si="674"/>
        <v>26.732979449082322</v>
      </c>
      <c r="CD447" s="17">
        <f t="shared" si="675"/>
        <v>1.3479280867580689E-2</v>
      </c>
      <c r="CE447" s="18">
        <f t="shared" si="733"/>
        <v>0.4438929410139224</v>
      </c>
      <c r="CF447" s="19">
        <f t="shared" si="734"/>
        <v>920.91754119567111</v>
      </c>
      <c r="CG447" s="15">
        <f t="shared" si="676"/>
        <v>5.341835082391343E-6</v>
      </c>
      <c r="CH447" s="16">
        <f t="shared" si="677"/>
        <v>26.479551723750216</v>
      </c>
      <c r="CI447" s="17">
        <f t="shared" si="678"/>
        <v>1.336897618366303E-2</v>
      </c>
      <c r="CJ447" s="18">
        <f t="shared" si="735"/>
        <v>0.44814130516697703</v>
      </c>
      <c r="CK447" s="19">
        <f t="shared" si="736"/>
        <v>880.03751820947855</v>
      </c>
      <c r="CL447" s="15">
        <f t="shared" si="679"/>
        <v>5.2600750364189572E-6</v>
      </c>
      <c r="CM447" s="16">
        <f t="shared" si="680"/>
        <v>26.009431459409001</v>
      </c>
      <c r="CN447" s="17">
        <f t="shared" si="681"/>
        <v>1.3164355844300044E-2</v>
      </c>
      <c r="CO447" s="18">
        <f t="shared" si="737"/>
        <v>0.45624145565185442</v>
      </c>
      <c r="CP447" s="19">
        <f t="shared" si="738"/>
        <v>804.37394407420993</v>
      </c>
      <c r="CQ447" s="15">
        <f t="shared" si="682"/>
        <v>5.1087478881484205E-6</v>
      </c>
      <c r="CR447" s="16">
        <f t="shared" si="683"/>
        <v>25.139300356853411</v>
      </c>
      <c r="CS447" s="17">
        <f t="shared" si="684"/>
        <v>1.2785630367012418E-2</v>
      </c>
      <c r="CT447" s="18">
        <f t="shared" si="739"/>
        <v>0.47203305984141525</v>
      </c>
      <c r="CU447" s="19">
        <f t="shared" si="740"/>
        <v>676.57979325499571</v>
      </c>
      <c r="CV447" s="15">
        <f t="shared" si="685"/>
        <v>4.8531595865099919E-6</v>
      </c>
      <c r="CW447" s="16">
        <f t="shared" si="686"/>
        <v>28.572777514424331</v>
      </c>
      <c r="CX447" s="17">
        <f t="shared" si="687"/>
        <v>1.2145971174108735E-2</v>
      </c>
      <c r="CY447" s="18">
        <f t="shared" si="741"/>
        <v>0.41531072237297612</v>
      </c>
      <c r="CZ447" s="20">
        <f t="shared" si="691"/>
        <v>493.8519746901747</v>
      </c>
      <c r="DA447" s="15">
        <f t="shared" si="688"/>
        <v>7.3070359933978506E-6</v>
      </c>
      <c r="DB447" s="16">
        <f t="shared" si="689"/>
        <v>39.17329273398493</v>
      </c>
      <c r="DC447" s="17">
        <f t="shared" si="690"/>
        <v>1.8287271819925458E-2</v>
      </c>
      <c r="DD447" s="18">
        <f t="shared" si="742"/>
        <v>0.30292528509922795</v>
      </c>
    </row>
    <row r="448" spans="2:108" x14ac:dyDescent="0.25">
      <c r="B448">
        <v>181</v>
      </c>
      <c r="C448">
        <f t="shared" si="743"/>
        <v>0.17694825460849051</v>
      </c>
      <c r="D448" s="19">
        <f t="shared" si="640"/>
        <v>1017.0264302772995</v>
      </c>
      <c r="E448" s="15">
        <f t="shared" si="692"/>
        <v>5.5340528605545997E-6</v>
      </c>
      <c r="F448" s="16">
        <f t="shared" si="641"/>
        <v>27.584803948188942</v>
      </c>
      <c r="G448" s="17">
        <f t="shared" si="638"/>
        <v>1.3850038376468659E-2</v>
      </c>
      <c r="H448" s="18">
        <f t="shared" si="693"/>
        <v>0.43018543441549417</v>
      </c>
      <c r="I448" s="19">
        <f t="shared" si="694"/>
        <v>1016.7017524240562</v>
      </c>
      <c r="J448" s="15">
        <f t="shared" si="695"/>
        <v>5.5334035048481123E-6</v>
      </c>
      <c r="K448" s="16">
        <f t="shared" si="642"/>
        <v>27.581070152876645</v>
      </c>
      <c r="L448" s="17">
        <f t="shared" si="696"/>
        <v>1.3848413238133073E-2</v>
      </c>
      <c r="M448" s="18">
        <f t="shared" si="697"/>
        <v>0.4302436708925248</v>
      </c>
      <c r="N448" s="19">
        <f t="shared" si="698"/>
        <v>1015.7955702529209</v>
      </c>
      <c r="O448" s="15">
        <f t="shared" si="699"/>
        <v>5.5315911405058423E-6</v>
      </c>
      <c r="P448" s="16">
        <f t="shared" si="700"/>
        <v>27.570649057908589</v>
      </c>
      <c r="Q448" s="17">
        <f t="shared" si="639"/>
        <v>1.3850038376468659E-2</v>
      </c>
      <c r="R448" s="18">
        <f t="shared" si="701"/>
        <v>0.43040629347512555</v>
      </c>
      <c r="S448" s="19">
        <f t="shared" si="702"/>
        <v>1014.2939010032318</v>
      </c>
      <c r="T448" s="15">
        <f t="shared" si="703"/>
        <v>5.528587802006464E-6</v>
      </c>
      <c r="U448" s="16">
        <f t="shared" si="704"/>
        <v>27.553379861537167</v>
      </c>
      <c r="V448" s="17">
        <f t="shared" si="705"/>
        <v>1.383636100971258E-2</v>
      </c>
      <c r="W448" s="18">
        <f t="shared" si="706"/>
        <v>0.43067605242444029</v>
      </c>
      <c r="X448" s="19">
        <f t="shared" si="707"/>
        <v>1012.1948388661244</v>
      </c>
      <c r="Y448" s="15">
        <f t="shared" si="708"/>
        <v>5.5243896777322495E-6</v>
      </c>
      <c r="Z448" s="16">
        <f t="shared" si="709"/>
        <v>27.529240646960432</v>
      </c>
      <c r="AA448" s="17">
        <f t="shared" si="710"/>
        <v>1.3825854391186852E-2</v>
      </c>
      <c r="AB448" s="18">
        <f t="shared" si="711"/>
        <v>0.43105369384854847</v>
      </c>
      <c r="AC448" s="19">
        <f t="shared" si="712"/>
        <v>1009.4969257864875</v>
      </c>
      <c r="AD448" s="15">
        <f t="shared" si="643"/>
        <v>5.5189938515729761E-6</v>
      </c>
      <c r="AE448" s="16">
        <f t="shared" si="644"/>
        <v>27.498214646544604</v>
      </c>
      <c r="AF448" s="17">
        <f t="shared" si="645"/>
        <v>1.3812350291883543E-2</v>
      </c>
      <c r="AG448" s="18">
        <f t="shared" si="713"/>
        <v>0.43154004804486606</v>
      </c>
      <c r="AH448" s="19">
        <f t="shared" si="714"/>
        <v>1006.1998209507743</v>
      </c>
      <c r="AI448" s="15">
        <f t="shared" si="646"/>
        <v>5.5123996419015486E-6</v>
      </c>
      <c r="AJ448" s="16">
        <f t="shared" si="647"/>
        <v>27.460297940933906</v>
      </c>
      <c r="AK448" s="17">
        <f t="shared" si="648"/>
        <v>1.379584700589892E-2</v>
      </c>
      <c r="AL448" s="18">
        <f t="shared" si="715"/>
        <v>0.43213591109763189</v>
      </c>
      <c r="AM448" s="19">
        <f t="shared" si="716"/>
        <v>1002.3033765053248</v>
      </c>
      <c r="AN448" s="15">
        <f t="shared" si="649"/>
        <v>5.5046067530106506E-6</v>
      </c>
      <c r="AO448" s="16">
        <f t="shared" si="650"/>
        <v>27.415488829811235</v>
      </c>
      <c r="AP448" s="17">
        <f t="shared" si="651"/>
        <v>1.3776343793168191E-2</v>
      </c>
      <c r="AQ448" s="18">
        <f t="shared" si="717"/>
        <v>0.43284221351597196</v>
      </c>
      <c r="AR448" s="19">
        <f t="shared" si="718"/>
        <v>997.80740993641712</v>
      </c>
      <c r="AS448" s="15">
        <f t="shared" si="652"/>
        <v>5.4956148198728353E-6</v>
      </c>
      <c r="AT448" s="16">
        <f t="shared" si="653"/>
        <v>27.363785214268795</v>
      </c>
      <c r="AU448" s="17">
        <f t="shared" si="654"/>
        <v>1.3753839740139521E-2</v>
      </c>
      <c r="AV448" s="18">
        <f t="shared" si="719"/>
        <v>0.43366006481917901</v>
      </c>
      <c r="AW448" s="19">
        <f t="shared" si="720"/>
        <v>992.71115206340357</v>
      </c>
      <c r="AX448" s="15">
        <f t="shared" si="655"/>
        <v>5.4854223041268081E-6</v>
      </c>
      <c r="AY448" s="16">
        <f t="shared" si="656"/>
        <v>27.305178248729142</v>
      </c>
      <c r="AZ448" s="17">
        <f t="shared" si="657"/>
        <v>1.3728330996766028E-2</v>
      </c>
      <c r="BA448" s="18">
        <f t="shared" si="721"/>
        <v>0.4345908589800252</v>
      </c>
      <c r="BB448" s="19">
        <f t="shared" si="722"/>
        <v>987.01094961731667</v>
      </c>
      <c r="BC448" s="15">
        <f t="shared" si="658"/>
        <v>5.4740218992346336E-6</v>
      </c>
      <c r="BD448" s="16">
        <f t="shared" si="659"/>
        <v>27.239625920599138</v>
      </c>
      <c r="BE448" s="17">
        <f t="shared" si="660"/>
        <v>1.3699799277022376E-2</v>
      </c>
      <c r="BF448" s="18">
        <f t="shared" si="723"/>
        <v>0.43563670456811077</v>
      </c>
      <c r="BG448" s="19">
        <f t="shared" si="724"/>
        <v>980.69071682966558</v>
      </c>
      <c r="BH448" s="15">
        <f t="shared" si="661"/>
        <v>5.4613814336593319E-6</v>
      </c>
      <c r="BI448" s="16">
        <f t="shared" si="662"/>
        <v>27.166943243541155</v>
      </c>
      <c r="BJ448" s="17">
        <f t="shared" si="663"/>
        <v>1.3668164065410609E-2</v>
      </c>
      <c r="BK448" s="18">
        <f t="shared" si="725"/>
        <v>0.43680221080960724</v>
      </c>
      <c r="BL448" s="19">
        <f t="shared" si="726"/>
        <v>973.6859657077199</v>
      </c>
      <c r="BM448" s="15">
        <f t="shared" si="664"/>
        <v>5.4473719314154397E-6</v>
      </c>
      <c r="BN448" s="16">
        <f t="shared" si="665"/>
        <v>27.086388605638778</v>
      </c>
      <c r="BO448" s="17">
        <f t="shared" si="666"/>
        <v>1.3633102574564333E-2</v>
      </c>
      <c r="BP448" s="18">
        <f t="shared" si="727"/>
        <v>0.43810125604000022</v>
      </c>
      <c r="BQ448" s="19">
        <f t="shared" si="728"/>
        <v>965.76379408470007</v>
      </c>
      <c r="BR448" s="15">
        <f t="shared" si="667"/>
        <v>5.4315275881694008E-6</v>
      </c>
      <c r="BS448" s="16">
        <f t="shared" si="668"/>
        <v>26.995283631974051</v>
      </c>
      <c r="BT448" s="17">
        <f t="shared" si="669"/>
        <v>1.3593449038984339E-2</v>
      </c>
      <c r="BU448" s="18">
        <f t="shared" si="729"/>
        <v>0.43957978110156815</v>
      </c>
      <c r="BV448" s="19">
        <f t="shared" si="730"/>
        <v>956.17608630344</v>
      </c>
      <c r="BW448" s="15">
        <f t="shared" si="670"/>
        <v>5.4123521726068811E-6</v>
      </c>
      <c r="BX448" s="16">
        <f t="shared" si="671"/>
        <v>26.885024992489559</v>
      </c>
      <c r="BY448" s="17">
        <f t="shared" si="672"/>
        <v>1.3545458850217146E-2</v>
      </c>
      <c r="BZ448" s="18">
        <f t="shared" si="731"/>
        <v>0.44138254932003507</v>
      </c>
      <c r="CA448" s="19">
        <f t="shared" si="732"/>
        <v>942.82020861089802</v>
      </c>
      <c r="CB448" s="15">
        <f t="shared" si="673"/>
        <v>5.3856404172217966E-6</v>
      </c>
      <c r="CC448" s="16">
        <f t="shared" si="674"/>
        <v>26.731432399025326</v>
      </c>
      <c r="CD448" s="17">
        <f t="shared" si="675"/>
        <v>1.3478607512416736E-2</v>
      </c>
      <c r="CE448" s="18">
        <f t="shared" si="733"/>
        <v>0.44391863079325949</v>
      </c>
      <c r="CF448" s="19">
        <f t="shared" si="734"/>
        <v>920.6370649531093</v>
      </c>
      <c r="CG448" s="15">
        <f t="shared" si="676"/>
        <v>5.341274129906219E-6</v>
      </c>
      <c r="CH448" s="16">
        <f t="shared" si="677"/>
        <v>26.476326246960756</v>
      </c>
      <c r="CI448" s="17">
        <f t="shared" si="678"/>
        <v>1.3367572291498986E-2</v>
      </c>
      <c r="CJ448" s="18">
        <f t="shared" si="735"/>
        <v>0.44819589995345654</v>
      </c>
      <c r="CK448" s="19">
        <f t="shared" si="736"/>
        <v>879.52672584083143</v>
      </c>
      <c r="CL448" s="15">
        <f t="shared" si="679"/>
        <v>5.2590534516816633E-6</v>
      </c>
      <c r="CM448" s="16">
        <f t="shared" si="680"/>
        <v>26.003557347169561</v>
      </c>
      <c r="CN448" s="17">
        <f t="shared" si="681"/>
        <v>1.3161799130771486E-2</v>
      </c>
      <c r="CO448" s="18">
        <f t="shared" si="737"/>
        <v>0.45634451899365047</v>
      </c>
      <c r="CP448" s="19">
        <f t="shared" si="738"/>
        <v>803.61342662567301</v>
      </c>
      <c r="CQ448" s="15">
        <f t="shared" si="682"/>
        <v>5.1072268532513467E-6</v>
      </c>
      <c r="CR448" s="16">
        <f t="shared" si="683"/>
        <v>25.130554406195238</v>
      </c>
      <c r="CS448" s="17">
        <f t="shared" si="684"/>
        <v>1.2781823682792509E-2</v>
      </c>
      <c r="CT448" s="18">
        <f t="shared" si="739"/>
        <v>0.47219733707078598</v>
      </c>
      <c r="CU448" s="19">
        <f t="shared" si="740"/>
        <v>675.77319245587751</v>
      </c>
      <c r="CV448" s="15">
        <f t="shared" si="685"/>
        <v>4.8515463849117553E-6</v>
      </c>
      <c r="CW448" s="16">
        <f t="shared" si="686"/>
        <v>28.734742954887196</v>
      </c>
      <c r="CX448" s="17">
        <f t="shared" si="687"/>
        <v>1.2141933824880682E-2</v>
      </c>
      <c r="CY448" s="18">
        <f t="shared" si="741"/>
        <v>0.41296979368662262</v>
      </c>
      <c r="CZ448" s="20">
        <f t="shared" si="691"/>
        <v>493.70497613150974</v>
      </c>
      <c r="DA448" s="15">
        <f t="shared" si="688"/>
        <v>7.3092321633892804E-6</v>
      </c>
      <c r="DB448" s="16">
        <f t="shared" si="689"/>
        <v>39.177555692186218</v>
      </c>
      <c r="DC448" s="17">
        <f t="shared" si="690"/>
        <v>1.8292768160388585E-2</v>
      </c>
      <c r="DD448" s="18">
        <f t="shared" si="742"/>
        <v>0.30289232342498162</v>
      </c>
    </row>
    <row r="449" spans="2:108" x14ac:dyDescent="0.25">
      <c r="B449">
        <v>182</v>
      </c>
      <c r="C449">
        <f t="shared" si="743"/>
        <v>0.17792586927483578</v>
      </c>
      <c r="D449" s="19">
        <f t="shared" si="640"/>
        <v>1017.0098538662766</v>
      </c>
      <c r="E449" s="15">
        <f t="shared" si="692"/>
        <v>5.5340197077325534E-6</v>
      </c>
      <c r="F449" s="16">
        <f t="shared" si="641"/>
        <v>27.584613319462179</v>
      </c>
      <c r="G449" s="17">
        <f t="shared" si="638"/>
        <v>1.3849955405114895E-2</v>
      </c>
      <c r="H449" s="18">
        <f t="shared" si="693"/>
        <v>0.43018840729391317</v>
      </c>
      <c r="I449" s="19">
        <f t="shared" si="694"/>
        <v>1016.6851749369617</v>
      </c>
      <c r="J449" s="15">
        <f t="shared" si="695"/>
        <v>5.5333703498739239E-6</v>
      </c>
      <c r="K449" s="16">
        <f t="shared" si="642"/>
        <v>27.580879511775059</v>
      </c>
      <c r="L449" s="17">
        <f t="shared" si="696"/>
        <v>1.384833026139316E-2</v>
      </c>
      <c r="M449" s="18">
        <f t="shared" si="697"/>
        <v>0.43024664476895014</v>
      </c>
      <c r="N449" s="19">
        <f t="shared" si="698"/>
        <v>1015.7789875707667</v>
      </c>
      <c r="O449" s="15">
        <f t="shared" si="699"/>
        <v>5.5315579751415335E-6</v>
      </c>
      <c r="P449" s="16">
        <f t="shared" si="700"/>
        <v>27.570458357063817</v>
      </c>
      <c r="Q449" s="17">
        <f t="shared" si="639"/>
        <v>1.3849955405114895E-2</v>
      </c>
      <c r="R449" s="18">
        <f t="shared" si="701"/>
        <v>0.43040927053276812</v>
      </c>
      <c r="S449" s="19">
        <f t="shared" si="702"/>
        <v>1014.2773154768596</v>
      </c>
      <c r="T449" s="15">
        <f t="shared" si="703"/>
        <v>5.5285546309537191E-6</v>
      </c>
      <c r="U449" s="16">
        <f t="shared" si="704"/>
        <v>27.553189127983885</v>
      </c>
      <c r="V449" s="17">
        <f t="shared" si="705"/>
        <v>1.3836277992732965E-2</v>
      </c>
      <c r="W449" s="18">
        <f t="shared" si="706"/>
        <v>0.4306790337262929</v>
      </c>
      <c r="X449" s="19">
        <f t="shared" si="707"/>
        <v>1012.1782564626795</v>
      </c>
      <c r="Y449" s="15">
        <f t="shared" si="708"/>
        <v>5.5243565129253596E-6</v>
      </c>
      <c r="Z449" s="16">
        <f t="shared" si="709"/>
        <v>27.529049949320815</v>
      </c>
      <c r="AA449" s="17">
        <f t="shared" si="710"/>
        <v>1.38257713898387E-2</v>
      </c>
      <c r="AB449" s="18">
        <f t="shared" si="711"/>
        <v>0.43105667981871876</v>
      </c>
      <c r="AC449" s="19">
        <f t="shared" si="712"/>
        <v>1009.4803529235318</v>
      </c>
      <c r="AD449" s="15">
        <f t="shared" si="643"/>
        <v>5.5189607058470644E-6</v>
      </c>
      <c r="AE449" s="16">
        <f t="shared" si="644"/>
        <v>27.498024058620615</v>
      </c>
      <c r="AF449" s="17">
        <f t="shared" si="645"/>
        <v>1.3812267338289231E-2</v>
      </c>
      <c r="AG449" s="18">
        <f t="shared" si="713"/>
        <v>0.43154303903511687</v>
      </c>
      <c r="AH449" s="19">
        <f t="shared" si="714"/>
        <v>1006.1832627763763</v>
      </c>
      <c r="AI449" s="15">
        <f t="shared" si="646"/>
        <v>5.5123665255527529E-6</v>
      </c>
      <c r="AJ449" s="16">
        <f t="shared" si="647"/>
        <v>27.460107521928329</v>
      </c>
      <c r="AK449" s="17">
        <f t="shared" si="648"/>
        <v>1.3795764125826528E-2</v>
      </c>
      <c r="AL449" s="18">
        <f t="shared" si="715"/>
        <v>0.43213890769516522</v>
      </c>
      <c r="AM449" s="19">
        <f t="shared" si="716"/>
        <v>1002.2868356593212</v>
      </c>
      <c r="AN449" s="15">
        <f t="shared" si="649"/>
        <v>5.5045736713186433E-6</v>
      </c>
      <c r="AO449" s="16">
        <f t="shared" si="650"/>
        <v>27.415298610082193</v>
      </c>
      <c r="AP449" s="17">
        <f t="shared" si="651"/>
        <v>1.3776260999831119E-2</v>
      </c>
      <c r="AQ449" s="18">
        <f t="shared" si="717"/>
        <v>0.43284521677082405</v>
      </c>
      <c r="AR449" s="19">
        <f t="shared" si="718"/>
        <v>997.79088110501823</v>
      </c>
      <c r="AS449" s="15">
        <f t="shared" si="652"/>
        <v>5.4955817622100371E-6</v>
      </c>
      <c r="AT449" s="16">
        <f t="shared" si="653"/>
        <v>27.363595132707708</v>
      </c>
      <c r="AU449" s="17">
        <f t="shared" si="654"/>
        <v>1.3753757006940197E-2</v>
      </c>
      <c r="AV449" s="18">
        <f t="shared" si="719"/>
        <v>0.43366307724432646</v>
      </c>
      <c r="AW449" s="19">
        <f t="shared" si="720"/>
        <v>992.69459600695745</v>
      </c>
      <c r="AX449" s="15">
        <f t="shared" si="655"/>
        <v>5.4853891920139157E-6</v>
      </c>
      <c r="AY449" s="16">
        <f t="shared" si="656"/>
        <v>27.304987854080011</v>
      </c>
      <c r="AZ449" s="17">
        <f t="shared" si="657"/>
        <v>1.3728248127294803E-2</v>
      </c>
      <c r="BA449" s="18">
        <f t="shared" si="721"/>
        <v>0.43459388933384019</v>
      </c>
      <c r="BB449" s="19">
        <f t="shared" si="722"/>
        <v>986.99418671106685</v>
      </c>
      <c r="BC449" s="15">
        <f t="shared" si="658"/>
        <v>5.4739883734221338E-6</v>
      </c>
      <c r="BD449" s="16">
        <f t="shared" si="659"/>
        <v>27.239433147177266</v>
      </c>
      <c r="BE449" s="17">
        <f t="shared" si="660"/>
        <v>1.3699715372187813E-2</v>
      </c>
      <c r="BF449" s="18">
        <f t="shared" si="723"/>
        <v>0.43563978756832517</v>
      </c>
      <c r="BG449" s="19">
        <f t="shared" si="724"/>
        <v>980.6730414648232</v>
      </c>
      <c r="BH449" s="15">
        <f t="shared" si="661"/>
        <v>5.4613460829296464E-6</v>
      </c>
      <c r="BI449" s="16">
        <f t="shared" si="662"/>
        <v>27.166739976845466</v>
      </c>
      <c r="BJ449" s="17">
        <f t="shared" si="663"/>
        <v>1.3668075593367583E-2</v>
      </c>
      <c r="BK449" s="18">
        <f t="shared" si="725"/>
        <v>0.43680547904650779</v>
      </c>
      <c r="BL449" s="19">
        <f t="shared" si="726"/>
        <v>973.66492540544141</v>
      </c>
      <c r="BM449" s="15">
        <f t="shared" si="664"/>
        <v>5.4473298508108833E-6</v>
      </c>
      <c r="BN449" s="16">
        <f t="shared" si="665"/>
        <v>27.086146642162575</v>
      </c>
      <c r="BO449" s="17">
        <f t="shared" si="666"/>
        <v>1.3632997259706904E-2</v>
      </c>
      <c r="BP449" s="18">
        <f t="shared" si="727"/>
        <v>0.43810516964588297</v>
      </c>
      <c r="BQ449" s="19">
        <f t="shared" si="728"/>
        <v>965.73190659874433</v>
      </c>
      <c r="BR449" s="15">
        <f t="shared" si="667"/>
        <v>5.4314638131974886E-6</v>
      </c>
      <c r="BS449" s="16">
        <f t="shared" si="668"/>
        <v>26.994916925885558</v>
      </c>
      <c r="BT449" s="17">
        <f t="shared" si="669"/>
        <v>1.3593289429773748E-2</v>
      </c>
      <c r="BU449" s="18">
        <f t="shared" si="729"/>
        <v>0.43958575246953163</v>
      </c>
      <c r="BV449" s="19">
        <f t="shared" si="730"/>
        <v>956.11372595071884</v>
      </c>
      <c r="BW449" s="15">
        <f t="shared" si="670"/>
        <v>5.4122274519014389E-6</v>
      </c>
      <c r="BX449" s="16">
        <f t="shared" si="671"/>
        <v>26.884307848433266</v>
      </c>
      <c r="BY449" s="17">
        <f t="shared" si="672"/>
        <v>1.3545146712512602E-2</v>
      </c>
      <c r="BZ449" s="18">
        <f t="shared" si="731"/>
        <v>0.44139432328399875</v>
      </c>
      <c r="CA449" s="19">
        <f t="shared" si="732"/>
        <v>942.68459595638808</v>
      </c>
      <c r="CB449" s="15">
        <f t="shared" si="673"/>
        <v>5.385369191912777E-6</v>
      </c>
      <c r="CC449" s="16">
        <f t="shared" si="674"/>
        <v>26.729872853498463</v>
      </c>
      <c r="CD449" s="17">
        <f t="shared" si="675"/>
        <v>1.3477928718586382E-2</v>
      </c>
      <c r="CE449" s="18">
        <f t="shared" si="733"/>
        <v>0.44394453107788634</v>
      </c>
      <c r="CF449" s="19">
        <f t="shared" si="734"/>
        <v>920.35530727914579</v>
      </c>
      <c r="CG449" s="15">
        <f t="shared" si="676"/>
        <v>5.3407106145582914E-6</v>
      </c>
      <c r="CH449" s="16">
        <f t="shared" si="677"/>
        <v>26.473086033710175</v>
      </c>
      <c r="CI449" s="17">
        <f t="shared" si="678"/>
        <v>1.3366161985274743E-2</v>
      </c>
      <c r="CJ449" s="18">
        <f t="shared" si="735"/>
        <v>0.44825075756590249</v>
      </c>
      <c r="CK449" s="19">
        <f t="shared" si="736"/>
        <v>879.01553922364724</v>
      </c>
      <c r="CL449" s="15">
        <f t="shared" si="679"/>
        <v>5.258031078447295E-6</v>
      </c>
      <c r="CM449" s="16">
        <f t="shared" si="680"/>
        <v>25.997678701071941</v>
      </c>
      <c r="CN449" s="17">
        <f t="shared" si="681"/>
        <v>1.315924044387639E-2</v>
      </c>
      <c r="CO449" s="18">
        <f t="shared" si="737"/>
        <v>0.45644770851132233</v>
      </c>
      <c r="CP449" s="19">
        <f t="shared" si="738"/>
        <v>802.85562866594967</v>
      </c>
      <c r="CQ449" s="15">
        <f t="shared" si="682"/>
        <v>5.1057112573318994E-6</v>
      </c>
      <c r="CR449" s="16">
        <f t="shared" si="683"/>
        <v>25.121839729658419</v>
      </c>
      <c r="CS449" s="17">
        <f t="shared" si="684"/>
        <v>1.2778030610666801E-2</v>
      </c>
      <c r="CT449" s="18">
        <f t="shared" si="739"/>
        <v>0.47236114064163914</v>
      </c>
      <c r="CU449" s="19">
        <f t="shared" si="740"/>
        <v>674.97605459608542</v>
      </c>
      <c r="CV449" s="15">
        <f t="shared" si="685"/>
        <v>4.8499521091921714E-6</v>
      </c>
      <c r="CW449" s="16">
        <f t="shared" si="686"/>
        <v>28.89480823713339</v>
      </c>
      <c r="CX449" s="17">
        <f t="shared" si="687"/>
        <v>1.2137943841326984E-2</v>
      </c>
      <c r="CY449" s="18">
        <f t="shared" si="741"/>
        <v>0.41068211189814646</v>
      </c>
      <c r="CZ449" s="20">
        <f t="shared" si="691"/>
        <v>493.56882932118907</v>
      </c>
      <c r="DA449" s="15">
        <f t="shared" si="688"/>
        <v>7.3112660289400497E-6</v>
      </c>
      <c r="DB449" s="16">
        <f t="shared" si="689"/>
        <v>39.181503949685514</v>
      </c>
      <c r="DC449" s="17">
        <f t="shared" si="690"/>
        <v>1.8297858302575611E-2</v>
      </c>
      <c r="DD449" s="18">
        <f t="shared" si="742"/>
        <v>0.30286180144989416</v>
      </c>
    </row>
    <row r="450" spans="2:108" x14ac:dyDescent="0.25">
      <c r="B450">
        <v>183</v>
      </c>
      <c r="C450">
        <f t="shared" si="743"/>
        <v>0.17890348394118102</v>
      </c>
      <c r="D450" s="19">
        <f t="shared" si="640"/>
        <v>1016.9932774003148</v>
      </c>
      <c r="E450" s="15">
        <f t="shared" si="692"/>
        <v>5.53398655480063E-6</v>
      </c>
      <c r="F450" s="16">
        <f t="shared" si="641"/>
        <v>27.584422690103619</v>
      </c>
      <c r="G450" s="17">
        <f t="shared" si="638"/>
        <v>1.3849872433486144E-2</v>
      </c>
      <c r="H450" s="18">
        <f t="shared" si="693"/>
        <v>0.43019138022327497</v>
      </c>
      <c r="I450" s="19">
        <f t="shared" si="694"/>
        <v>1016.6685974487042</v>
      </c>
      <c r="J450" s="15">
        <f t="shared" si="695"/>
        <v>5.5333371948974086E-6</v>
      </c>
      <c r="K450" s="16">
        <f t="shared" si="642"/>
        <v>27.580688870660097</v>
      </c>
      <c r="L450" s="17">
        <f t="shared" si="696"/>
        <v>1.3848247284647423E-2</v>
      </c>
      <c r="M450" s="18">
        <f t="shared" si="697"/>
        <v>0.4302496186866957</v>
      </c>
      <c r="N450" s="19">
        <f t="shared" si="698"/>
        <v>1015.7624049926956</v>
      </c>
      <c r="O450" s="15">
        <f t="shared" si="699"/>
        <v>5.5315248099853915E-6</v>
      </c>
      <c r="P450" s="16">
        <f t="shared" si="700"/>
        <v>27.570267657415997</v>
      </c>
      <c r="Q450" s="17">
        <f t="shared" si="639"/>
        <v>1.3849872433486144E-2</v>
      </c>
      <c r="R450" s="18">
        <f t="shared" si="701"/>
        <v>0.43041224761290858</v>
      </c>
      <c r="S450" s="19">
        <f t="shared" si="702"/>
        <v>1014.2607301331346</v>
      </c>
      <c r="T450" s="15">
        <f t="shared" si="703"/>
        <v>5.5285214602662699E-6</v>
      </c>
      <c r="U450" s="16">
        <f t="shared" si="704"/>
        <v>27.552998396531045</v>
      </c>
      <c r="V450" s="17">
        <f t="shared" si="705"/>
        <v>1.3836194976667575E-2</v>
      </c>
      <c r="W450" s="18">
        <f t="shared" si="706"/>
        <v>0.43068201503658909</v>
      </c>
      <c r="X450" s="19">
        <f t="shared" si="707"/>
        <v>1012.1616742694234</v>
      </c>
      <c r="Y450" s="15">
        <f t="shared" si="708"/>
        <v>5.5243233485388478E-6</v>
      </c>
      <c r="Z450" s="16">
        <f t="shared" si="709"/>
        <v>27.528859254098368</v>
      </c>
      <c r="AA450" s="17">
        <f t="shared" si="710"/>
        <v>1.3825688389542625E-2</v>
      </c>
      <c r="AB450" s="18">
        <f t="shared" si="711"/>
        <v>0.43105966579240867</v>
      </c>
      <c r="AC450" s="19">
        <f t="shared" si="712"/>
        <v>1009.4637802647419</v>
      </c>
      <c r="AD450" s="15">
        <f t="shared" si="643"/>
        <v>5.5189275605294835E-6</v>
      </c>
      <c r="AE450" s="16">
        <f t="shared" si="644"/>
        <v>27.49783347304453</v>
      </c>
      <c r="AF450" s="17">
        <f t="shared" si="645"/>
        <v>1.3812184385716847E-2</v>
      </c>
      <c r="AG450" s="18">
        <f t="shared" si="713"/>
        <v>0.43154603002998126</v>
      </c>
      <c r="AH450" s="19">
        <f t="shared" si="714"/>
        <v>1006.166704774736</v>
      </c>
      <c r="AI450" s="15">
        <f t="shared" si="646"/>
        <v>5.5123334095494729E-6</v>
      </c>
      <c r="AJ450" s="16">
        <f t="shared" si="647"/>
        <v>27.459917104909465</v>
      </c>
      <c r="AK450" s="17">
        <f t="shared" si="648"/>
        <v>1.3795681246618856E-2</v>
      </c>
      <c r="AL450" s="18">
        <f t="shared" si="715"/>
        <v>0.43214190430299271</v>
      </c>
      <c r="AM450" s="19">
        <f t="shared" si="716"/>
        <v>1002.2702948682957</v>
      </c>
      <c r="AN450" s="15">
        <f t="shared" si="649"/>
        <v>5.5045405897365919E-6</v>
      </c>
      <c r="AO450" s="16">
        <f t="shared" si="650"/>
        <v>27.415108390985399</v>
      </c>
      <c r="AP450" s="17">
        <f t="shared" si="651"/>
        <v>1.3776178206769232E-2</v>
      </c>
      <c r="AQ450" s="18">
        <f t="shared" si="717"/>
        <v>0.43284822005737</v>
      </c>
      <c r="AR450" s="19">
        <f t="shared" si="718"/>
        <v>997.77435181928615</v>
      </c>
      <c r="AS450" s="15">
        <f t="shared" si="652"/>
        <v>5.4955487036385725E-6</v>
      </c>
      <c r="AT450" s="16">
        <f t="shared" si="653"/>
        <v>27.363405045921787</v>
      </c>
      <c r="AU450" s="17">
        <f t="shared" si="654"/>
        <v>1.3753674271466756E-2</v>
      </c>
      <c r="AV450" s="18">
        <f t="shared" si="719"/>
        <v>0.43366608979413113</v>
      </c>
      <c r="AW450" s="19">
        <f t="shared" si="720"/>
        <v>992.67803740074862</v>
      </c>
      <c r="AX450" s="15">
        <f t="shared" si="655"/>
        <v>5.4853560748014979E-6</v>
      </c>
      <c r="AY450" s="16">
        <f t="shared" si="656"/>
        <v>27.304797430108607</v>
      </c>
      <c r="AZ450" s="17">
        <f t="shared" si="657"/>
        <v>1.3728165245061028E-2</v>
      </c>
      <c r="BA450" s="18">
        <f t="shared" si="721"/>
        <v>0.43459692019662416</v>
      </c>
      <c r="BB450" s="19">
        <f t="shared" si="722"/>
        <v>986.97741345100405</v>
      </c>
      <c r="BC450" s="15">
        <f t="shared" si="658"/>
        <v>5.4739548269020086E-6</v>
      </c>
      <c r="BD450" s="16">
        <f t="shared" si="659"/>
        <v>27.239240254686546</v>
      </c>
      <c r="BE450" s="17">
        <f t="shared" si="660"/>
        <v>1.3699631415528412E-2</v>
      </c>
      <c r="BF450" s="18">
        <f t="shared" si="723"/>
        <v>0.4356428725164696</v>
      </c>
      <c r="BG450" s="19">
        <f t="shared" si="724"/>
        <v>980.65532994666592</v>
      </c>
      <c r="BH450" s="15">
        <f t="shared" si="661"/>
        <v>5.461310659893333E-6</v>
      </c>
      <c r="BI450" s="16">
        <f t="shared" si="662"/>
        <v>27.16653629438666</v>
      </c>
      <c r="BJ450" s="17">
        <f t="shared" si="663"/>
        <v>1.3667986940363227E-2</v>
      </c>
      <c r="BK450" s="18">
        <f t="shared" si="725"/>
        <v>0.43680875401734059</v>
      </c>
      <c r="BL450" s="19">
        <f t="shared" si="726"/>
        <v>973.64377487859406</v>
      </c>
      <c r="BM450" s="15">
        <f t="shared" si="664"/>
        <v>5.447287549757189E-6</v>
      </c>
      <c r="BN450" s="16">
        <f t="shared" si="665"/>
        <v>27.085903411103828</v>
      </c>
      <c r="BO450" s="17">
        <f t="shared" si="666"/>
        <v>1.3632891393132842E-2</v>
      </c>
      <c r="BP450" s="18">
        <f t="shared" si="727"/>
        <v>0.4381091038245824</v>
      </c>
      <c r="BQ450" s="19">
        <f t="shared" si="728"/>
        <v>965.69973013976687</v>
      </c>
      <c r="BR450" s="15">
        <f t="shared" si="667"/>
        <v>5.4313994602795348E-6</v>
      </c>
      <c r="BS450" s="16">
        <f t="shared" si="668"/>
        <v>26.994546896607318</v>
      </c>
      <c r="BT450" s="17">
        <f t="shared" si="669"/>
        <v>1.3593128374141327E-2</v>
      </c>
      <c r="BU450" s="18">
        <f t="shared" si="729"/>
        <v>0.43959177811609401</v>
      </c>
      <c r="BV450" s="19">
        <f t="shared" si="730"/>
        <v>956.05073447516145</v>
      </c>
      <c r="BW450" s="15">
        <f t="shared" si="670"/>
        <v>5.4121014689503236E-6</v>
      </c>
      <c r="BX450" s="16">
        <f t="shared" si="671"/>
        <v>26.883583446464357</v>
      </c>
      <c r="BY450" s="17">
        <f t="shared" si="672"/>
        <v>1.3544831415793959E-2</v>
      </c>
      <c r="BZ450" s="18">
        <f t="shared" si="731"/>
        <v>0.44140621704501798</v>
      </c>
      <c r="CA450" s="19">
        <f t="shared" si="732"/>
        <v>942.54790008236751</v>
      </c>
      <c r="CB450" s="15">
        <f t="shared" si="673"/>
        <v>5.3850958001647355E-6</v>
      </c>
      <c r="CC450" s="16">
        <f t="shared" si="674"/>
        <v>26.728300850947225</v>
      </c>
      <c r="CD450" s="17">
        <f t="shared" si="675"/>
        <v>1.3477244502823072E-2</v>
      </c>
      <c r="CE450" s="18">
        <f t="shared" si="733"/>
        <v>0.44397064130237662</v>
      </c>
      <c r="CF450" s="19">
        <f t="shared" si="734"/>
        <v>920.07228329279758</v>
      </c>
      <c r="CG450" s="15">
        <f t="shared" si="676"/>
        <v>5.3401445665855962E-6</v>
      </c>
      <c r="CH450" s="16">
        <f t="shared" si="677"/>
        <v>26.46983125786717</v>
      </c>
      <c r="CI450" s="17">
        <f t="shared" si="678"/>
        <v>1.3364745340666841E-2</v>
      </c>
      <c r="CJ450" s="18">
        <f t="shared" si="735"/>
        <v>0.4483058752477313</v>
      </c>
      <c r="CK450" s="19">
        <f t="shared" si="736"/>
        <v>878.5039900251362</v>
      </c>
      <c r="CL450" s="15">
        <f t="shared" si="679"/>
        <v>5.2570079800502726E-6</v>
      </c>
      <c r="CM450" s="16">
        <f t="shared" si="680"/>
        <v>25.991795885289065</v>
      </c>
      <c r="CN450" s="17">
        <f t="shared" si="681"/>
        <v>1.3156679942121399E-2</v>
      </c>
      <c r="CO450" s="18">
        <f t="shared" si="737"/>
        <v>0.45655101794771291</v>
      </c>
      <c r="CP450" s="19">
        <f t="shared" si="738"/>
        <v>802.10060065655034</v>
      </c>
      <c r="CQ450" s="15">
        <f t="shared" si="682"/>
        <v>5.1042012013131004E-6</v>
      </c>
      <c r="CR450" s="16">
        <f t="shared" si="683"/>
        <v>25.113156907550326</v>
      </c>
      <c r="CS450" s="17">
        <f t="shared" si="684"/>
        <v>1.2774251403214691E-2</v>
      </c>
      <c r="CT450" s="18">
        <f t="shared" si="739"/>
        <v>0.47252445852995029</v>
      </c>
      <c r="CU450" s="19">
        <f t="shared" si="740"/>
        <v>674.18830767702866</v>
      </c>
      <c r="CV450" s="15">
        <f t="shared" si="685"/>
        <v>4.8483766153540577E-6</v>
      </c>
      <c r="CW450" s="16">
        <f t="shared" si="686"/>
        <v>29.05298781847992</v>
      </c>
      <c r="CX450" s="17">
        <f t="shared" si="687"/>
        <v>1.213400086306682E-2</v>
      </c>
      <c r="CY450" s="18">
        <f t="shared" si="741"/>
        <v>0.40844614481164815</v>
      </c>
      <c r="CZ450" s="20">
        <f t="shared" si="691"/>
        <v>493.4427988334121</v>
      </c>
      <c r="DA450" s="15">
        <f t="shared" si="688"/>
        <v>7.3131486163859257E-6</v>
      </c>
      <c r="DB450" s="16">
        <f t="shared" si="689"/>
        <v>39.185158833831046</v>
      </c>
      <c r="DC450" s="17">
        <f t="shared" si="690"/>
        <v>1.8302569842025891E-2</v>
      </c>
      <c r="DD450" s="18">
        <f t="shared" si="742"/>
        <v>0.30283355287749203</v>
      </c>
    </row>
    <row r="451" spans="2:108" x14ac:dyDescent="0.25">
      <c r="B451">
        <v>184</v>
      </c>
      <c r="C451">
        <f t="shared" si="743"/>
        <v>0.17988109860752627</v>
      </c>
      <c r="D451" s="19">
        <f t="shared" si="640"/>
        <v>1016.9767008821599</v>
      </c>
      <c r="E451" s="15">
        <f t="shared" si="692"/>
        <v>5.5339534017643199E-6</v>
      </c>
      <c r="F451" s="16">
        <f t="shared" si="641"/>
        <v>27.584232060144839</v>
      </c>
      <c r="G451" s="17">
        <f t="shared" si="638"/>
        <v>1.3849789461596146E-2</v>
      </c>
      <c r="H451" s="18">
        <f t="shared" si="693"/>
        <v>0.43019435320308824</v>
      </c>
      <c r="I451" s="19">
        <f t="shared" si="694"/>
        <v>1016.6520199610992</v>
      </c>
      <c r="J451" s="15">
        <f t="shared" si="695"/>
        <v>5.5333040399221986E-6</v>
      </c>
      <c r="K451" s="16">
        <f t="shared" si="642"/>
        <v>27.580498229552639</v>
      </c>
      <c r="L451" s="17">
        <f t="shared" si="696"/>
        <v>1.3848164307904953E-2</v>
      </c>
      <c r="M451" s="18">
        <f t="shared" si="697"/>
        <v>0.43025259264543664</v>
      </c>
      <c r="N451" s="19">
        <f t="shared" si="698"/>
        <v>1015.7458225189743</v>
      </c>
      <c r="O451" s="15">
        <f t="shared" si="699"/>
        <v>5.5314916450379492E-6</v>
      </c>
      <c r="P451" s="16">
        <f t="shared" si="700"/>
        <v>27.570076958968201</v>
      </c>
      <c r="Q451" s="17">
        <f t="shared" si="639"/>
        <v>1.3849789461596146E-2</v>
      </c>
      <c r="R451" s="18">
        <f t="shared" si="701"/>
        <v>0.43041522471549898</v>
      </c>
      <c r="S451" s="19">
        <f t="shared" si="702"/>
        <v>1014.2441449715946</v>
      </c>
      <c r="T451" s="15">
        <f t="shared" si="703"/>
        <v>5.5284882899431897E-6</v>
      </c>
      <c r="U451" s="16">
        <f t="shared" si="704"/>
        <v>27.552807667173337</v>
      </c>
      <c r="V451" s="17">
        <f t="shared" si="705"/>
        <v>1.3836111961514089E-2</v>
      </c>
      <c r="W451" s="18">
        <f t="shared" si="706"/>
        <v>0.43068499635541135</v>
      </c>
      <c r="X451" s="19">
        <f t="shared" si="707"/>
        <v>1012.1450922859266</v>
      </c>
      <c r="Y451" s="15">
        <f t="shared" si="708"/>
        <v>5.5242901845718537E-6</v>
      </c>
      <c r="Z451" s="16">
        <f t="shared" si="709"/>
        <v>27.528668561288157</v>
      </c>
      <c r="AA451" s="17">
        <f t="shared" si="710"/>
        <v>1.3825605390296473E-2</v>
      </c>
      <c r="AB451" s="18">
        <f t="shared" si="711"/>
        <v>0.43106265176969466</v>
      </c>
      <c r="AC451" s="19">
        <f t="shared" si="712"/>
        <v>1009.4472078097126</v>
      </c>
      <c r="AD451" s="15">
        <f t="shared" si="643"/>
        <v>5.5188944156194254E-6</v>
      </c>
      <c r="AE451" s="16">
        <f t="shared" si="644"/>
        <v>27.497642889811694</v>
      </c>
      <c r="AF451" s="17">
        <f t="shared" si="645"/>
        <v>1.3812101434164368E-2</v>
      </c>
      <c r="AG451" s="18">
        <f t="shared" si="713"/>
        <v>0.43154902102953169</v>
      </c>
      <c r="AH451" s="19">
        <f t="shared" si="714"/>
        <v>1006.1501469444864</v>
      </c>
      <c r="AI451" s="15">
        <f t="shared" si="646"/>
        <v>5.5123002938889736E-6</v>
      </c>
      <c r="AJ451" s="16">
        <f t="shared" si="647"/>
        <v>27.459726689861593</v>
      </c>
      <c r="AK451" s="17">
        <f t="shared" si="648"/>
        <v>1.3795598368269055E-2</v>
      </c>
      <c r="AL451" s="18">
        <f t="shared" si="715"/>
        <v>0.43214490092136126</v>
      </c>
      <c r="AM451" s="19">
        <f t="shared" si="716"/>
        <v>1002.2537541262282</v>
      </c>
      <c r="AN451" s="15">
        <f t="shared" si="649"/>
        <v>5.5045075082524566E-6</v>
      </c>
      <c r="AO451" s="16">
        <f t="shared" si="650"/>
        <v>27.414918172451621</v>
      </c>
      <c r="AP451" s="17">
        <f t="shared" si="651"/>
        <v>1.37760954139524E-2</v>
      </c>
      <c r="AQ451" s="18">
        <f t="shared" si="717"/>
        <v>0.43285122337670329</v>
      </c>
      <c r="AR451" s="19">
        <f t="shared" si="718"/>
        <v>997.75782205513394</v>
      </c>
      <c r="AS451" s="15">
        <f t="shared" si="652"/>
        <v>5.495515644110269E-6</v>
      </c>
      <c r="AT451" s="16">
        <f t="shared" si="653"/>
        <v>27.363214953634042</v>
      </c>
      <c r="AU451" s="17">
        <f t="shared" si="654"/>
        <v>1.3753591533598643E-2</v>
      </c>
      <c r="AV451" s="18">
        <f t="shared" si="719"/>
        <v>0.43366910247298723</v>
      </c>
      <c r="AW451" s="19">
        <f t="shared" si="720"/>
        <v>992.66147615873376</v>
      </c>
      <c r="AX451" s="15">
        <f t="shared" si="655"/>
        <v>5.485322952317468E-6</v>
      </c>
      <c r="AY451" s="16">
        <f t="shared" si="656"/>
        <v>27.304606975825436</v>
      </c>
      <c r="AZ451" s="17">
        <f t="shared" si="657"/>
        <v>1.3728082349634026E-2</v>
      </c>
      <c r="BA451" s="18">
        <f t="shared" si="721"/>
        <v>0.43459995158414705</v>
      </c>
      <c r="BB451" s="19">
        <f t="shared" si="722"/>
        <v>986.96062956716185</v>
      </c>
      <c r="BC451" s="15">
        <f t="shared" si="658"/>
        <v>5.4739212591343237E-6</v>
      </c>
      <c r="BD451" s="16">
        <f t="shared" si="659"/>
        <v>27.239047240022359</v>
      </c>
      <c r="BE451" s="17">
        <f t="shared" si="660"/>
        <v>1.3699547405692878E-2</v>
      </c>
      <c r="BF451" s="18">
        <f t="shared" si="723"/>
        <v>0.43564595946227958</v>
      </c>
      <c r="BG451" s="19">
        <f t="shared" si="724"/>
        <v>980.63758155221581</v>
      </c>
      <c r="BH451" s="15">
        <f t="shared" si="661"/>
        <v>5.4612751631044319E-6</v>
      </c>
      <c r="BI451" s="16">
        <f t="shared" si="662"/>
        <v>27.166332187850479</v>
      </c>
      <c r="BJ451" s="17">
        <f t="shared" si="663"/>
        <v>1.3667898102778747E-2</v>
      </c>
      <c r="BK451" s="18">
        <f t="shared" si="725"/>
        <v>0.43681203585609379</v>
      </c>
      <c r="BL451" s="19">
        <f t="shared" si="726"/>
        <v>973.62251255419949</v>
      </c>
      <c r="BM451" s="15">
        <f t="shared" si="664"/>
        <v>5.4472450251083993E-6</v>
      </c>
      <c r="BN451" s="16">
        <f t="shared" si="665"/>
        <v>27.085658894373296</v>
      </c>
      <c r="BO451" s="17">
        <f t="shared" si="666"/>
        <v>1.3632784966968778E-2</v>
      </c>
      <c r="BP451" s="18">
        <f t="shared" si="727"/>
        <v>0.43811305886980034</v>
      </c>
      <c r="BQ451" s="19">
        <f t="shared" si="728"/>
        <v>965.66726221284978</v>
      </c>
      <c r="BR451" s="15">
        <f t="shared" si="667"/>
        <v>5.4313345244257004E-6</v>
      </c>
      <c r="BS451" s="16">
        <f t="shared" si="668"/>
        <v>26.99417351544777</v>
      </c>
      <c r="BT451" s="17">
        <f t="shared" si="669"/>
        <v>1.3592965859599043E-2</v>
      </c>
      <c r="BU451" s="18">
        <f t="shared" si="729"/>
        <v>0.43959785851295252</v>
      </c>
      <c r="BV451" s="19">
        <f t="shared" si="730"/>
        <v>955.98711001848801</v>
      </c>
      <c r="BW451" s="15">
        <f t="shared" si="670"/>
        <v>5.4119742200369765E-6</v>
      </c>
      <c r="BX451" s="16">
        <f t="shared" si="671"/>
        <v>26.882851765212614</v>
      </c>
      <c r="BY451" s="17">
        <f t="shared" si="672"/>
        <v>1.3544512950759811E-2</v>
      </c>
      <c r="BZ451" s="18">
        <f t="shared" si="731"/>
        <v>0.44141823097331084</v>
      </c>
      <c r="CA451" s="19">
        <f t="shared" si="732"/>
        <v>942.41012442839042</v>
      </c>
      <c r="CB451" s="15">
        <f t="shared" si="673"/>
        <v>5.3848202488567809E-6</v>
      </c>
      <c r="CC451" s="16">
        <f t="shared" si="674"/>
        <v>26.726716430926487</v>
      </c>
      <c r="CD451" s="17">
        <f t="shared" si="675"/>
        <v>1.3476554882343105E-2</v>
      </c>
      <c r="CE451" s="18">
        <f t="shared" si="733"/>
        <v>0.44399696088317953</v>
      </c>
      <c r="CF451" s="19">
        <f t="shared" si="734"/>
        <v>919.78800818824084</v>
      </c>
      <c r="CG451" s="15">
        <f t="shared" si="676"/>
        <v>5.3395760163764823E-6</v>
      </c>
      <c r="CH451" s="16">
        <f t="shared" si="677"/>
        <v>26.466562094164768</v>
      </c>
      <c r="CI451" s="17">
        <f t="shared" si="678"/>
        <v>1.3363322433728004E-2</v>
      </c>
      <c r="CJ451" s="18">
        <f t="shared" si="735"/>
        <v>0.44836125022577794</v>
      </c>
      <c r="CK451" s="19">
        <f t="shared" si="736"/>
        <v>877.99210994413204</v>
      </c>
      <c r="CL451" s="15">
        <f t="shared" si="679"/>
        <v>5.2559842198882646E-6</v>
      </c>
      <c r="CM451" s="16">
        <f t="shared" si="680"/>
        <v>25.985909264357517</v>
      </c>
      <c r="CN451" s="17">
        <f t="shared" si="681"/>
        <v>1.315411778417145E-2</v>
      </c>
      <c r="CO451" s="18">
        <f t="shared" si="737"/>
        <v>0.45665444102793806</v>
      </c>
      <c r="CP451" s="19">
        <f t="shared" si="738"/>
        <v>801.34839112288637</v>
      </c>
      <c r="CQ451" s="15">
        <f t="shared" si="682"/>
        <v>5.1026967822457732E-6</v>
      </c>
      <c r="CR451" s="16">
        <f t="shared" si="683"/>
        <v>25.104506497913192</v>
      </c>
      <c r="CS451" s="17">
        <f t="shared" si="684"/>
        <v>1.2770486303324646E-2</v>
      </c>
      <c r="CT451" s="18">
        <f t="shared" si="739"/>
        <v>0.47268727910282987</v>
      </c>
      <c r="CU451" s="19">
        <f t="shared" si="740"/>
        <v>673.40987260088104</v>
      </c>
      <c r="CV451" s="15">
        <f t="shared" si="685"/>
        <v>4.8468197452017623E-6</v>
      </c>
      <c r="CW451" s="16">
        <f t="shared" si="686"/>
        <v>29.209297581770301</v>
      </c>
      <c r="CX451" s="17">
        <f t="shared" si="687"/>
        <v>1.2130104494184954E-2</v>
      </c>
      <c r="CY451" s="18">
        <f t="shared" si="741"/>
        <v>0.40626039830289873</v>
      </c>
      <c r="CZ451" s="20">
        <f t="shared" si="691"/>
        <v>493.32619201174555</v>
      </c>
      <c r="DA451" s="15">
        <f t="shared" si="688"/>
        <v>7.3148903067347725E-6</v>
      </c>
      <c r="DB451" s="16">
        <f t="shared" si="689"/>
        <v>39.188540431659376</v>
      </c>
      <c r="DC451" s="17">
        <f t="shared" si="690"/>
        <v>1.8306928759220808E-2</v>
      </c>
      <c r="DD451" s="18">
        <f t="shared" si="742"/>
        <v>0.3028074212259052</v>
      </c>
    </row>
    <row r="452" spans="2:108" x14ac:dyDescent="0.25">
      <c r="B452">
        <v>185</v>
      </c>
      <c r="C452">
        <f t="shared" si="743"/>
        <v>0.18085871327387151</v>
      </c>
      <c r="D452" s="19">
        <f t="shared" si="640"/>
        <v>1016.9601243145097</v>
      </c>
      <c r="E452" s="15">
        <f t="shared" si="692"/>
        <v>5.5339202486290196E-6</v>
      </c>
      <c r="F452" s="16">
        <f t="shared" si="641"/>
        <v>27.58404142961686</v>
      </c>
      <c r="G452" s="17">
        <f t="shared" si="638"/>
        <v>1.3849706489458406E-2</v>
      </c>
      <c r="H452" s="18">
        <f t="shared" si="693"/>
        <v>0.43019732623287044</v>
      </c>
      <c r="I452" s="19">
        <f t="shared" si="694"/>
        <v>1016.6354424759365</v>
      </c>
      <c r="J452" s="15">
        <f t="shared" si="695"/>
        <v>5.5332708849518735E-6</v>
      </c>
      <c r="K452" s="16">
        <f t="shared" si="642"/>
        <v>27.580307588473268</v>
      </c>
      <c r="L452" s="17">
        <f t="shared" si="696"/>
        <v>1.3848081331174707E-2</v>
      </c>
      <c r="M452" s="18">
        <f t="shared" si="697"/>
        <v>0.43025556664485276</v>
      </c>
      <c r="N452" s="19">
        <f t="shared" si="698"/>
        <v>1015.7292401498731</v>
      </c>
      <c r="O452" s="15">
        <f t="shared" si="699"/>
        <v>5.5314584802997468E-6</v>
      </c>
      <c r="P452" s="16">
        <f t="shared" si="700"/>
        <v>27.569886261723539</v>
      </c>
      <c r="Q452" s="17">
        <f t="shared" si="639"/>
        <v>1.3849706489458406E-2</v>
      </c>
      <c r="R452" s="18">
        <f t="shared" si="701"/>
        <v>0.43041820184049084</v>
      </c>
      <c r="S452" s="19">
        <f t="shared" si="702"/>
        <v>1014.2275599917859</v>
      </c>
      <c r="T452" s="15">
        <f t="shared" si="703"/>
        <v>5.5284551199835721E-6</v>
      </c>
      <c r="U452" s="16">
        <f t="shared" si="704"/>
        <v>27.552616939905537</v>
      </c>
      <c r="V452" s="17">
        <f t="shared" si="705"/>
        <v>1.3836028947270238E-2</v>
      </c>
      <c r="W452" s="18">
        <f t="shared" si="706"/>
        <v>0.43068797768284084</v>
      </c>
      <c r="X452" s="19">
        <f t="shared" si="707"/>
        <v>1012.1285105117593</v>
      </c>
      <c r="Y452" s="15">
        <f t="shared" si="708"/>
        <v>5.5242570210235192E-6</v>
      </c>
      <c r="Z452" s="16">
        <f t="shared" si="709"/>
        <v>27.528477870885233</v>
      </c>
      <c r="AA452" s="17">
        <f t="shared" si="710"/>
        <v>1.38255223920981E-2</v>
      </c>
      <c r="AB452" s="18">
        <f t="shared" si="711"/>
        <v>0.43106563775065365</v>
      </c>
      <c r="AC452" s="19">
        <f t="shared" si="712"/>
        <v>1009.4306355580237</v>
      </c>
      <c r="AD452" s="15">
        <f t="shared" si="643"/>
        <v>5.5188612711160473E-6</v>
      </c>
      <c r="AE452" s="16">
        <f t="shared" si="644"/>
        <v>27.497452308917271</v>
      </c>
      <c r="AF452" s="17">
        <f t="shared" si="645"/>
        <v>1.3812018483629684E-2</v>
      </c>
      <c r="AG452" s="18">
        <f t="shared" si="713"/>
        <v>0.4315520120338433</v>
      </c>
      <c r="AH452" s="19">
        <f t="shared" si="714"/>
        <v>1006.1335892842036</v>
      </c>
      <c r="AI452" s="15">
        <f t="shared" si="646"/>
        <v>5.5122671785684081E-6</v>
      </c>
      <c r="AJ452" s="16">
        <f t="shared" si="647"/>
        <v>27.45953627676834</v>
      </c>
      <c r="AK452" s="17">
        <f t="shared" si="648"/>
        <v>1.3795515490770009E-2</v>
      </c>
      <c r="AL452" s="18">
        <f t="shared" si="715"/>
        <v>0.43214789755052824</v>
      </c>
      <c r="AM452" s="19">
        <f t="shared" si="716"/>
        <v>1002.2372134268916</v>
      </c>
      <c r="AN452" s="15">
        <f t="shared" si="649"/>
        <v>5.5044744268537836E-6</v>
      </c>
      <c r="AO452" s="16">
        <f t="shared" si="650"/>
        <v>27.414727954409251</v>
      </c>
      <c r="AP452" s="17">
        <f t="shared" si="651"/>
        <v>1.3776012621349455E-2</v>
      </c>
      <c r="AQ452" s="18">
        <f t="shared" si="717"/>
        <v>0.43285422672995505</v>
      </c>
      <c r="AR452" s="19">
        <f t="shared" si="718"/>
        <v>997.74129178780174</v>
      </c>
      <c r="AS452" s="15">
        <f t="shared" si="652"/>
        <v>5.495482583575604E-6</v>
      </c>
      <c r="AT452" s="16">
        <f t="shared" si="653"/>
        <v>27.363024855559718</v>
      </c>
      <c r="AU452" s="17">
        <f t="shared" si="654"/>
        <v>1.3753508793211914E-2</v>
      </c>
      <c r="AV452" s="18">
        <f t="shared" si="719"/>
        <v>0.43367211528541239</v>
      </c>
      <c r="AW452" s="19">
        <f t="shared" si="720"/>
        <v>992.64491219300578</v>
      </c>
      <c r="AX452" s="15">
        <f t="shared" si="655"/>
        <v>5.4852898243860126E-6</v>
      </c>
      <c r="AY452" s="16">
        <f t="shared" si="656"/>
        <v>27.304416490219566</v>
      </c>
      <c r="AZ452" s="17">
        <f t="shared" si="657"/>
        <v>1.3727999440573783E-2</v>
      </c>
      <c r="BA452" s="18">
        <f t="shared" si="721"/>
        <v>0.43460298351252091</v>
      </c>
      <c r="BB452" s="19">
        <f t="shared" si="722"/>
        <v>986.9438347854483</v>
      </c>
      <c r="BC452" s="15">
        <f t="shared" si="658"/>
        <v>5.4738876695708971E-6</v>
      </c>
      <c r="BD452" s="16">
        <f t="shared" si="659"/>
        <v>27.238854100032654</v>
      </c>
      <c r="BE452" s="17">
        <f t="shared" si="660"/>
        <v>1.3699463341309283E-2</v>
      </c>
      <c r="BF452" s="18">
        <f t="shared" si="723"/>
        <v>0.4356490484562518</v>
      </c>
      <c r="BG452" s="19">
        <f t="shared" si="724"/>
        <v>980.61979555226037</v>
      </c>
      <c r="BH452" s="15">
        <f t="shared" si="661"/>
        <v>5.461239591104521E-6</v>
      </c>
      <c r="BI452" s="16">
        <f t="shared" si="662"/>
        <v>27.166127648850996</v>
      </c>
      <c r="BJ452" s="17">
        <f t="shared" si="663"/>
        <v>1.3667809076964157E-2</v>
      </c>
      <c r="BK452" s="18">
        <f t="shared" si="725"/>
        <v>0.43681532469791662</v>
      </c>
      <c r="BL452" s="19">
        <f t="shared" si="726"/>
        <v>973.60113685732813</v>
      </c>
      <c r="BM452" s="15">
        <f t="shared" si="664"/>
        <v>5.4472022737146572E-6</v>
      </c>
      <c r="BN452" s="16">
        <f t="shared" si="665"/>
        <v>27.085413073859272</v>
      </c>
      <c r="BO452" s="17">
        <f t="shared" si="666"/>
        <v>1.3632677973331583E-2</v>
      </c>
      <c r="BP452" s="18">
        <f t="shared" si="727"/>
        <v>0.43811703507562882</v>
      </c>
      <c r="BQ452" s="19">
        <f t="shared" si="728"/>
        <v>965.63450034428672</v>
      </c>
      <c r="BR452" s="15">
        <f t="shared" si="667"/>
        <v>5.4312690006885736E-6</v>
      </c>
      <c r="BS452" s="16">
        <f t="shared" si="668"/>
        <v>26.993796753959295</v>
      </c>
      <c r="BT452" s="17">
        <f t="shared" si="669"/>
        <v>1.3592801873765036E-2</v>
      </c>
      <c r="BU452" s="18">
        <f t="shared" si="729"/>
        <v>0.43960399412792411</v>
      </c>
      <c r="BV452" s="19">
        <f t="shared" si="730"/>
        <v>955.9228507889884</v>
      </c>
      <c r="BW452" s="15">
        <f t="shared" si="670"/>
        <v>5.4118457015779773E-6</v>
      </c>
      <c r="BX452" s="16">
        <f t="shared" si="671"/>
        <v>26.882112784073364</v>
      </c>
      <c r="BY452" s="17">
        <f t="shared" si="672"/>
        <v>1.3544191308441951E-2</v>
      </c>
      <c r="BZ452" s="18">
        <f t="shared" si="731"/>
        <v>0.44143036542679781</v>
      </c>
      <c r="CA452" s="19">
        <f t="shared" si="732"/>
        <v>942.27127252977687</v>
      </c>
      <c r="CB452" s="15">
        <f t="shared" si="673"/>
        <v>5.3845425450595544E-6</v>
      </c>
      <c r="CC452" s="16">
        <f t="shared" si="674"/>
        <v>26.725119634092433</v>
      </c>
      <c r="CD452" s="17">
        <f t="shared" si="675"/>
        <v>1.3475859874842131E-2</v>
      </c>
      <c r="CE452" s="18">
        <f t="shared" si="733"/>
        <v>0.44402348921873702</v>
      </c>
      <c r="CF452" s="19">
        <f t="shared" si="734"/>
        <v>919.50249723441584</v>
      </c>
      <c r="CG452" s="15">
        <f t="shared" si="676"/>
        <v>5.339004994468832E-6</v>
      </c>
      <c r="CH452" s="16">
        <f t="shared" si="677"/>
        <v>26.463278718195781</v>
      </c>
      <c r="CI452" s="17">
        <f t="shared" si="678"/>
        <v>1.3361893340885191E-2</v>
      </c>
      <c r="CJ452" s="18">
        <f t="shared" si="735"/>
        <v>0.44841687971032113</v>
      </c>
      <c r="CK452" s="19">
        <f t="shared" si="736"/>
        <v>877.47993068446033</v>
      </c>
      <c r="CL452" s="15">
        <f t="shared" si="679"/>
        <v>5.2549598613689215E-6</v>
      </c>
      <c r="CM452" s="16">
        <f t="shared" si="680"/>
        <v>25.980019202871294</v>
      </c>
      <c r="CN452" s="17">
        <f t="shared" si="681"/>
        <v>1.3151554128716459E-2</v>
      </c>
      <c r="CO452" s="18">
        <f t="shared" si="737"/>
        <v>0.45675797146471747</v>
      </c>
      <c r="CP452" s="19">
        <f t="shared" si="738"/>
        <v>800.59904661120584</v>
      </c>
      <c r="CQ452" s="15">
        <f t="shared" si="682"/>
        <v>5.1011980932224124E-6</v>
      </c>
      <c r="CR452" s="16">
        <f t="shared" si="683"/>
        <v>25.095889036028865</v>
      </c>
      <c r="CS452" s="17">
        <f t="shared" si="684"/>
        <v>1.2766735543978653E-2</v>
      </c>
      <c r="CT452" s="18">
        <f t="shared" si="739"/>
        <v>0.47284959112951386</v>
      </c>
      <c r="CU452" s="19">
        <f t="shared" si="740"/>
        <v>672.64066389745824</v>
      </c>
      <c r="CV452" s="15">
        <f t="shared" si="685"/>
        <v>4.8452813277949164E-6</v>
      </c>
      <c r="CW452" s="16">
        <f t="shared" si="686"/>
        <v>29.363754689417533</v>
      </c>
      <c r="CX452" s="17">
        <f t="shared" si="687"/>
        <v>1.2126254306870027E-2</v>
      </c>
      <c r="CY452" s="18">
        <f t="shared" si="741"/>
        <v>0.40412341661451495</v>
      </c>
      <c r="CZ452" s="20">
        <f t="shared" si="691"/>
        <v>493.21835661065217</v>
      </c>
      <c r="DA452" s="15">
        <f t="shared" si="688"/>
        <v>7.3165008717993946E-6</v>
      </c>
      <c r="DB452" s="16">
        <f t="shared" si="689"/>
        <v>39.191667658291081</v>
      </c>
      <c r="DC452" s="17">
        <f t="shared" si="690"/>
        <v>1.83109595100132E-2</v>
      </c>
      <c r="DD452" s="18">
        <f t="shared" si="742"/>
        <v>0.30278325926780247</v>
      </c>
    </row>
    <row r="453" spans="2:108" x14ac:dyDescent="0.25">
      <c r="B453">
        <v>186</v>
      </c>
      <c r="C453">
        <f t="shared" si="743"/>
        <v>0.18183632794021676</v>
      </c>
      <c r="D453" s="19">
        <f t="shared" si="640"/>
        <v>1016.943547700016</v>
      </c>
      <c r="E453" s="15">
        <f t="shared" si="692"/>
        <v>5.5338870954000324E-6</v>
      </c>
      <c r="F453" s="16">
        <f t="shared" si="641"/>
        <v>27.583850798550181</v>
      </c>
      <c r="G453" s="17">
        <f t="shared" si="638"/>
        <v>1.3849623517086197E-2</v>
      </c>
      <c r="H453" s="18">
        <f t="shared" si="693"/>
        <v>0.43020029931214721</v>
      </c>
      <c r="I453" s="19">
        <f t="shared" si="694"/>
        <v>1016.6188649949806</v>
      </c>
      <c r="J453" s="15">
        <f t="shared" si="695"/>
        <v>5.5332377299899619E-6</v>
      </c>
      <c r="K453" s="16">
        <f t="shared" si="642"/>
        <v>27.580116947442278</v>
      </c>
      <c r="L453" s="17">
        <f t="shared" si="696"/>
        <v>1.384799835446552E-2</v>
      </c>
      <c r="M453" s="18">
        <f t="shared" si="697"/>
        <v>0.43025854068462827</v>
      </c>
      <c r="N453" s="19">
        <f t="shared" si="698"/>
        <v>1015.7126578856656</v>
      </c>
      <c r="O453" s="15">
        <f t="shared" si="699"/>
        <v>5.5314253157713325E-6</v>
      </c>
      <c r="P453" s="16">
        <f t="shared" si="700"/>
        <v>27.569695565685151</v>
      </c>
      <c r="Q453" s="17">
        <f t="shared" si="639"/>
        <v>1.3849623517086197E-2</v>
      </c>
      <c r="R453" s="18">
        <f t="shared" si="701"/>
        <v>0.43042117898783533</v>
      </c>
      <c r="S453" s="19">
        <f t="shared" si="702"/>
        <v>1014.2109751932639</v>
      </c>
      <c r="T453" s="15">
        <f t="shared" si="703"/>
        <v>5.5284219503865287E-6</v>
      </c>
      <c r="U453" s="16">
        <f t="shared" si="704"/>
        <v>27.552426214722537</v>
      </c>
      <c r="V453" s="17">
        <f t="shared" si="705"/>
        <v>1.3835945933933801E-2</v>
      </c>
      <c r="W453" s="18">
        <f t="shared" si="706"/>
        <v>0.43069095901895693</v>
      </c>
      <c r="X453" s="19">
        <f t="shared" si="707"/>
        <v>1012.1119289464918</v>
      </c>
      <c r="Y453" s="15">
        <f t="shared" si="708"/>
        <v>5.5242238578929837E-6</v>
      </c>
      <c r="Z453" s="16">
        <f t="shared" si="709"/>
        <v>27.528287182884654</v>
      </c>
      <c r="AA453" s="17">
        <f t="shared" si="710"/>
        <v>1.3825439394945347E-2</v>
      </c>
      <c r="AB453" s="18">
        <f t="shared" si="711"/>
        <v>0.4310686237353622</v>
      </c>
      <c r="AC453" s="19">
        <f t="shared" si="712"/>
        <v>1009.4140635092398</v>
      </c>
      <c r="AD453" s="15">
        <f t="shared" si="643"/>
        <v>5.5188281270184794E-6</v>
      </c>
      <c r="AE453" s="16">
        <f t="shared" si="644"/>
        <v>27.497261730356257</v>
      </c>
      <c r="AF453" s="17">
        <f t="shared" si="645"/>
        <v>1.3811935534110616E-2</v>
      </c>
      <c r="AG453" s="18">
        <f t="shared" si="713"/>
        <v>0.43155500304299405</v>
      </c>
      <c r="AH453" s="19">
        <f t="shared" si="714"/>
        <v>1006.117031792404</v>
      </c>
      <c r="AI453" s="15">
        <f t="shared" si="646"/>
        <v>5.5122340635848084E-6</v>
      </c>
      <c r="AJ453" s="16">
        <f t="shared" si="647"/>
        <v>27.459345865612647</v>
      </c>
      <c r="AK453" s="17">
        <f t="shared" si="648"/>
        <v>1.3795432614114284E-2</v>
      </c>
      <c r="AL453" s="18">
        <f t="shared" si="715"/>
        <v>0.43215089419076164</v>
      </c>
      <c r="AM453" s="19">
        <f t="shared" si="716"/>
        <v>1002.2206727638464</v>
      </c>
      <c r="AN453" s="15">
        <f t="shared" si="649"/>
        <v>5.5044413455276936E-6</v>
      </c>
      <c r="AO453" s="16">
        <f t="shared" si="650"/>
        <v>27.414537736784233</v>
      </c>
      <c r="AP453" s="17">
        <f t="shared" si="651"/>
        <v>1.3775929828928161E-2</v>
      </c>
      <c r="AQ453" s="18">
        <f t="shared" si="717"/>
        <v>0.43285723011829513</v>
      </c>
      <c r="AR453" s="19">
        <f t="shared" si="718"/>
        <v>997.72476099184519</v>
      </c>
      <c r="AS453" s="15">
        <f t="shared" si="652"/>
        <v>5.4954495219836902E-6</v>
      </c>
      <c r="AT453" s="16">
        <f t="shared" si="653"/>
        <v>27.362834751406218</v>
      </c>
      <c r="AU453" s="17">
        <f t="shared" si="654"/>
        <v>1.3753426050179218E-2</v>
      </c>
      <c r="AV453" s="18">
        <f t="shared" si="719"/>
        <v>0.43367512823604859</v>
      </c>
      <c r="AW453" s="19">
        <f t="shared" si="720"/>
        <v>992.62834541377686</v>
      </c>
      <c r="AX453" s="15">
        <f t="shared" si="655"/>
        <v>5.4852566908275546E-6</v>
      </c>
      <c r="AY453" s="16">
        <f t="shared" si="656"/>
        <v>27.304225972258433</v>
      </c>
      <c r="AZ453" s="17">
        <f t="shared" si="657"/>
        <v>1.3727916517430881E-2</v>
      </c>
      <c r="BA453" s="18">
        <f t="shared" si="721"/>
        <v>0.43460601599820303</v>
      </c>
      <c r="BB453" s="19">
        <f t="shared" si="722"/>
        <v>986.92702882764468</v>
      </c>
      <c r="BC453" s="15">
        <f t="shared" si="658"/>
        <v>5.47385405765529E-6</v>
      </c>
      <c r="BD453" s="16">
        <f t="shared" si="659"/>
        <v>27.238660831517912</v>
      </c>
      <c r="BE453" s="17">
        <f t="shared" si="660"/>
        <v>1.3699379220985028E-2</v>
      </c>
      <c r="BF453" s="18">
        <f t="shared" si="723"/>
        <v>0.43565213954964527</v>
      </c>
      <c r="BG453" s="19">
        <f t="shared" si="724"/>
        <v>980.60197121144199</v>
      </c>
      <c r="BH453" s="15">
        <f t="shared" si="661"/>
        <v>5.461203942422885E-6</v>
      </c>
      <c r="BI453" s="16">
        <f t="shared" si="662"/>
        <v>27.165922668931582</v>
      </c>
      <c r="BJ453" s="17">
        <f t="shared" si="663"/>
        <v>1.3667719859238708E-2</v>
      </c>
      <c r="BK453" s="18">
        <f t="shared" si="725"/>
        <v>0.43681862067910404</v>
      </c>
      <c r="BL453" s="19">
        <f t="shared" si="726"/>
        <v>973.57964621137285</v>
      </c>
      <c r="BM453" s="15">
        <f t="shared" si="664"/>
        <v>5.4471592924227459E-6</v>
      </c>
      <c r="BN453" s="16">
        <f t="shared" si="665"/>
        <v>27.085165931430787</v>
      </c>
      <c r="BO453" s="17">
        <f t="shared" si="666"/>
        <v>1.3632570404329724E-2</v>
      </c>
      <c r="BP453" s="18">
        <f t="shared" si="727"/>
        <v>0.43812103273649911</v>
      </c>
      <c r="BQ453" s="19">
        <f t="shared" si="728"/>
        <v>965.60144208192185</v>
      </c>
      <c r="BR453" s="15">
        <f t="shared" si="667"/>
        <v>5.4312028841638438E-6</v>
      </c>
      <c r="BS453" s="16">
        <f t="shared" si="668"/>
        <v>26.9934165839421</v>
      </c>
      <c r="BT453" s="17">
        <f t="shared" si="669"/>
        <v>1.3592636404365321E-2</v>
      </c>
      <c r="BU453" s="18">
        <f t="shared" si="729"/>
        <v>0.439610185424883</v>
      </c>
      <c r="BV453" s="19">
        <f t="shared" si="730"/>
        <v>955.85795506133854</v>
      </c>
      <c r="BW453" s="15">
        <f t="shared" si="670"/>
        <v>5.4117159101226772E-6</v>
      </c>
      <c r="BX453" s="16">
        <f t="shared" si="671"/>
        <v>26.88136648320539</v>
      </c>
      <c r="BY453" s="17">
        <f t="shared" si="672"/>
        <v>1.3543866480204466E-2</v>
      </c>
      <c r="BZ453" s="18">
        <f t="shared" si="731"/>
        <v>0.44144262075113461</v>
      </c>
      <c r="CA453" s="19">
        <f t="shared" si="732"/>
        <v>942.13134801692206</v>
      </c>
      <c r="CB453" s="15">
        <f t="shared" si="673"/>
        <v>5.3842626960338445E-6</v>
      </c>
      <c r="CC453" s="16">
        <f t="shared" si="674"/>
        <v>26.723510502194603</v>
      </c>
      <c r="CD453" s="17">
        <f t="shared" si="675"/>
        <v>1.3475159498491675E-2</v>
      </c>
      <c r="CE453" s="18">
        <f t="shared" si="733"/>
        <v>0.44405022568959956</v>
      </c>
      <c r="CF453" s="19">
        <f t="shared" si="734"/>
        <v>919.2157657742631</v>
      </c>
      <c r="CG453" s="15">
        <f t="shared" si="676"/>
        <v>5.3384315315485264E-6</v>
      </c>
      <c r="CH453" s="16">
        <f t="shared" si="677"/>
        <v>26.459981306404025</v>
      </c>
      <c r="CI453" s="17">
        <f t="shared" si="678"/>
        <v>1.3360458138935761E-2</v>
      </c>
      <c r="CJ453" s="18">
        <f t="shared" si="735"/>
        <v>0.44847276089518129</v>
      </c>
      <c r="CK453" s="19">
        <f t="shared" si="736"/>
        <v>876.96748392843699</v>
      </c>
      <c r="CL453" s="15">
        <f t="shared" si="679"/>
        <v>5.2539349678568739E-6</v>
      </c>
      <c r="CM453" s="16">
        <f t="shared" si="680"/>
        <v>25.974126065177025</v>
      </c>
      <c r="CN453" s="17">
        <f t="shared" si="681"/>
        <v>1.3148989134338681E-2</v>
      </c>
      <c r="CO453" s="18">
        <f t="shared" si="737"/>
        <v>0.45686160296369621</v>
      </c>
      <c r="CP453" s="19">
        <f t="shared" si="738"/>
        <v>799.8526116562042</v>
      </c>
      <c r="CQ453" s="15">
        <f t="shared" si="682"/>
        <v>5.0997052233124091E-6</v>
      </c>
      <c r="CR453" s="16">
        <f t="shared" si="683"/>
        <v>25.087305034046345</v>
      </c>
      <c r="CS453" s="17">
        <f t="shared" si="684"/>
        <v>1.2762999348090104E-2</v>
      </c>
      <c r="CT453" s="18">
        <f t="shared" si="739"/>
        <v>0.4730113837900719</v>
      </c>
      <c r="CU453" s="19">
        <f t="shared" si="740"/>
        <v>671.88059039994289</v>
      </c>
      <c r="CV453" s="15">
        <f t="shared" si="685"/>
        <v>4.8437611807998857E-6</v>
      </c>
      <c r="CW453" s="16">
        <f t="shared" si="686"/>
        <v>29.516377447718554</v>
      </c>
      <c r="CX453" s="17">
        <f t="shared" si="687"/>
        <v>1.2122449844796828E-2</v>
      </c>
      <c r="CY453" s="18">
        <f t="shared" si="741"/>
        <v>0.40203378245642801</v>
      </c>
      <c r="CZ453" s="20">
        <f t="shared" si="691"/>
        <v>493.11867856149689</v>
      </c>
      <c r="DA453" s="15">
        <f t="shared" si="688"/>
        <v>7.3179895083529592E-6</v>
      </c>
      <c r="DB453" s="16">
        <f t="shared" si="689"/>
        <v>39.194558321716585</v>
      </c>
      <c r="DC453" s="17">
        <f t="shared" si="690"/>
        <v>1.8314685111107915E-2</v>
      </c>
      <c r="DD453" s="18">
        <f t="shared" si="742"/>
        <v>0.30276092850223457</v>
      </c>
    </row>
    <row r="454" spans="2:108" x14ac:dyDescent="0.25">
      <c r="B454">
        <v>187</v>
      </c>
      <c r="C454">
        <f t="shared" si="743"/>
        <v>0.18281394260656203</v>
      </c>
      <c r="D454" s="19">
        <f t="shared" si="640"/>
        <v>1016.926971041285</v>
      </c>
      <c r="E454" s="15">
        <f t="shared" si="692"/>
        <v>5.533853942082571E-6</v>
      </c>
      <c r="F454" s="16">
        <f t="shared" si="641"/>
        <v>27.583660166974777</v>
      </c>
      <c r="G454" s="17">
        <f t="shared" si="638"/>
        <v>1.3849540544492561E-2</v>
      </c>
      <c r="H454" s="18">
        <f t="shared" si="693"/>
        <v>0.43020327244045214</v>
      </c>
      <c r="I454" s="19">
        <f t="shared" si="694"/>
        <v>1016.6022875199711</v>
      </c>
      <c r="J454" s="15">
        <f t="shared" si="695"/>
        <v>5.5332045750399427E-6</v>
      </c>
      <c r="K454" s="16">
        <f t="shared" si="642"/>
        <v>27.579926306479667</v>
      </c>
      <c r="L454" s="17">
        <f t="shared" si="696"/>
        <v>1.3847915377786091E-2</v>
      </c>
      <c r="M454" s="18">
        <f t="shared" si="697"/>
        <v>0.43026151476445196</v>
      </c>
      <c r="N454" s="19">
        <f t="shared" si="698"/>
        <v>1015.6960757266282</v>
      </c>
      <c r="O454" s="15">
        <f t="shared" si="699"/>
        <v>5.5313921514532568E-6</v>
      </c>
      <c r="P454" s="16">
        <f t="shared" si="700"/>
        <v>27.569504870856225</v>
      </c>
      <c r="Q454" s="17">
        <f t="shared" si="639"/>
        <v>1.3849540544492561E-2</v>
      </c>
      <c r="R454" s="18">
        <f t="shared" si="701"/>
        <v>0.43042415615748264</v>
      </c>
      <c r="S454" s="19">
        <f t="shared" si="702"/>
        <v>1014.1943905755925</v>
      </c>
      <c r="T454" s="15">
        <f t="shared" si="703"/>
        <v>5.5283887811511854E-6</v>
      </c>
      <c r="U454" s="16">
        <f t="shared" si="704"/>
        <v>27.552235491619314</v>
      </c>
      <c r="V454" s="17">
        <f t="shared" si="705"/>
        <v>1.3835862921502585E-2</v>
      </c>
      <c r="W454" s="18">
        <f t="shared" si="706"/>
        <v>0.43069394036383762</v>
      </c>
      <c r="X454" s="19">
        <f t="shared" si="707"/>
        <v>1012.0953475896943</v>
      </c>
      <c r="Y454" s="15">
        <f t="shared" si="708"/>
        <v>5.5241906951793891E-6</v>
      </c>
      <c r="Z454" s="16">
        <f t="shared" si="709"/>
        <v>27.528096497281481</v>
      </c>
      <c r="AA454" s="17">
        <f t="shared" si="710"/>
        <v>1.3825356398836072E-2</v>
      </c>
      <c r="AB454" s="18">
        <f t="shared" si="711"/>
        <v>0.43107160972389696</v>
      </c>
      <c r="AC454" s="19">
        <f t="shared" si="712"/>
        <v>1009.3974916629094</v>
      </c>
      <c r="AD454" s="15">
        <f t="shared" si="643"/>
        <v>5.5187949833258194E-6</v>
      </c>
      <c r="AE454" s="16">
        <f t="shared" si="644"/>
        <v>27.497071154123457</v>
      </c>
      <c r="AF454" s="17">
        <f t="shared" si="645"/>
        <v>1.3811852585604911E-2</v>
      </c>
      <c r="AG454" s="18">
        <f t="shared" si="713"/>
        <v>0.4315579940570648</v>
      </c>
      <c r="AH454" s="19">
        <f t="shared" si="714"/>
        <v>1006.1004744675434</v>
      </c>
      <c r="AI454" s="15">
        <f t="shared" si="646"/>
        <v>5.5122009489350879E-6</v>
      </c>
      <c r="AJ454" s="16">
        <f t="shared" si="647"/>
        <v>27.459155456376749</v>
      </c>
      <c r="AK454" s="17">
        <f t="shared" si="648"/>
        <v>1.3795349738294155E-2</v>
      </c>
      <c r="AL454" s="18">
        <f t="shared" si="715"/>
        <v>0.43215389084234057</v>
      </c>
      <c r="AM454" s="19">
        <f t="shared" si="716"/>
        <v>1002.2041321304361</v>
      </c>
      <c r="AN454" s="15">
        <f t="shared" si="649"/>
        <v>5.5044082642608723E-6</v>
      </c>
      <c r="AO454" s="16">
        <f t="shared" si="650"/>
        <v>27.414347519500012</v>
      </c>
      <c r="AP454" s="17">
        <f t="shared" si="651"/>
        <v>1.3775847036655199E-2</v>
      </c>
      <c r="AQ454" s="18">
        <f t="shared" si="717"/>
        <v>0.4328602335429329</v>
      </c>
      <c r="AR454" s="19">
        <f t="shared" si="718"/>
        <v>997.70822964112415</v>
      </c>
      <c r="AS454" s="15">
        <f t="shared" si="652"/>
        <v>5.4954164592822488E-6</v>
      </c>
      <c r="AT454" s="16">
        <f t="shared" si="653"/>
        <v>27.362644640872929</v>
      </c>
      <c r="AU454" s="17">
        <f t="shared" si="654"/>
        <v>1.3753343304369711E-2</v>
      </c>
      <c r="AV454" s="18">
        <f t="shared" si="719"/>
        <v>0.43367814132966526</v>
      </c>
      <c r="AW454" s="19">
        <f t="shared" si="720"/>
        <v>992.61177572936094</v>
      </c>
      <c r="AX454" s="15">
        <f t="shared" si="655"/>
        <v>5.4852235514587217E-6</v>
      </c>
      <c r="AY454" s="16">
        <f t="shared" si="656"/>
        <v>27.304035420887651</v>
      </c>
      <c r="AZ454" s="17">
        <f t="shared" si="657"/>
        <v>1.372783357974639E-2</v>
      </c>
      <c r="BA454" s="18">
        <f t="shared" si="721"/>
        <v>0.4346090490579988</v>
      </c>
      <c r="BB454" s="19">
        <f t="shared" si="722"/>
        <v>986.91021141140618</v>
      </c>
      <c r="BC454" s="15">
        <f t="shared" si="658"/>
        <v>5.4738204228228126E-6</v>
      </c>
      <c r="BD454" s="16">
        <f t="shared" si="659"/>
        <v>27.238467431231172</v>
      </c>
      <c r="BE454" s="17">
        <f t="shared" si="660"/>
        <v>1.3699295043306872E-2</v>
      </c>
      <c r="BF454" s="18">
        <f t="shared" si="723"/>
        <v>0.43565523279448076</v>
      </c>
      <c r="BG454" s="19">
        <f t="shared" si="724"/>
        <v>980.58410778834832</v>
      </c>
      <c r="BH454" s="15">
        <f t="shared" si="661"/>
        <v>5.4611682155766972E-6</v>
      </c>
      <c r="BI454" s="16">
        <f t="shared" si="662"/>
        <v>27.165717239566007</v>
      </c>
      <c r="BJ454" s="17">
        <f t="shared" si="663"/>
        <v>1.366763044589134E-2</v>
      </c>
      <c r="BK454" s="18">
        <f t="shared" si="725"/>
        <v>0.43682192393707903</v>
      </c>
      <c r="BL454" s="19">
        <f t="shared" si="726"/>
        <v>973.55803903832168</v>
      </c>
      <c r="BM454" s="15">
        <f t="shared" si="664"/>
        <v>5.4471160780766446E-6</v>
      </c>
      <c r="BN454" s="16">
        <f t="shared" si="665"/>
        <v>27.084917448940701</v>
      </c>
      <c r="BO454" s="17">
        <f t="shared" si="666"/>
        <v>1.3632462252064648E-2</v>
      </c>
      <c r="BP454" s="18">
        <f t="shared" si="727"/>
        <v>0.4381250521471316</v>
      </c>
      <c r="BQ454" s="19">
        <f t="shared" si="728"/>
        <v>965.56808499548094</v>
      </c>
      <c r="BR454" s="15">
        <f t="shared" si="667"/>
        <v>5.4311361699909623E-6</v>
      </c>
      <c r="BS454" s="16">
        <f t="shared" si="668"/>
        <v>26.993032977448031</v>
      </c>
      <c r="BT454" s="17">
        <f t="shared" si="669"/>
        <v>1.3592469439235434E-2</v>
      </c>
      <c r="BU454" s="18">
        <f t="shared" si="729"/>
        <v>0.43961643286369911</v>
      </c>
      <c r="BV454" s="19">
        <f t="shared" si="730"/>
        <v>955.79242117641627</v>
      </c>
      <c r="BW454" s="15">
        <f t="shared" si="670"/>
        <v>5.4115848423528331E-6</v>
      </c>
      <c r="BX454" s="16">
        <f t="shared" si="671"/>
        <v>26.880612843528787</v>
      </c>
      <c r="BY454" s="17">
        <f t="shared" si="672"/>
        <v>1.3543538457742808E-2</v>
      </c>
      <c r="BZ454" s="18">
        <f t="shared" si="731"/>
        <v>0.44145499727974569</v>
      </c>
      <c r="CA454" s="19">
        <f t="shared" si="732"/>
        <v>941.99035461461119</v>
      </c>
      <c r="CB454" s="15">
        <f t="shared" si="673"/>
        <v>5.383980709229223E-6</v>
      </c>
      <c r="CC454" s="16">
        <f t="shared" si="674"/>
        <v>26.721889078068028</v>
      </c>
      <c r="CD454" s="17">
        <f t="shared" si="675"/>
        <v>1.3474453771935737E-2</v>
      </c>
      <c r="CE454" s="18">
        <f t="shared" si="733"/>
        <v>0.44407716965853983</v>
      </c>
      <c r="CF454" s="19">
        <f t="shared" si="734"/>
        <v>918.92782922360288</v>
      </c>
      <c r="CG454" s="15">
        <f t="shared" si="676"/>
        <v>5.3378556584472063E-6</v>
      </c>
      <c r="CH454" s="16">
        <f t="shared" si="677"/>
        <v>26.456670036071433</v>
      </c>
      <c r="CI454" s="17">
        <f t="shared" si="678"/>
        <v>1.3359016905041864E-2</v>
      </c>
      <c r="CJ454" s="18">
        <f t="shared" si="735"/>
        <v>0.44852889095788767</v>
      </c>
      <c r="CK454" s="19">
        <f t="shared" si="736"/>
        <v>876.45480131063584</v>
      </c>
      <c r="CL454" s="15">
        <f t="shared" si="679"/>
        <v>5.2529096026212724E-6</v>
      </c>
      <c r="CM454" s="16">
        <f t="shared" si="680"/>
        <v>25.96823021507231</v>
      </c>
      <c r="CN454" s="17">
        <f t="shared" si="681"/>
        <v>1.3146422959381407E-2</v>
      </c>
      <c r="CO454" s="18">
        <f t="shared" si="737"/>
        <v>0.45696532922872718</v>
      </c>
      <c r="CP454" s="19">
        <f t="shared" si="738"/>
        <v>799.10912875832548</v>
      </c>
      <c r="CQ454" s="15">
        <f t="shared" si="682"/>
        <v>5.0982182575166514E-6</v>
      </c>
      <c r="CR454" s="16">
        <f t="shared" si="683"/>
        <v>25.078754980720742</v>
      </c>
      <c r="CS454" s="17">
        <f t="shared" si="684"/>
        <v>1.275927792839017E-2</v>
      </c>
      <c r="CT454" s="18">
        <f t="shared" si="739"/>
        <v>0.4731726466820349</v>
      </c>
      <c r="CU454" s="19">
        <f t="shared" si="740"/>
        <v>671.12955587262002</v>
      </c>
      <c r="CV454" s="15">
        <f t="shared" si="685"/>
        <v>4.8422591117452406E-6</v>
      </c>
      <c r="CW454" s="16">
        <f t="shared" si="686"/>
        <v>29.667185180804921</v>
      </c>
      <c r="CX454" s="17">
        <f t="shared" si="687"/>
        <v>1.2118690626268356E-2</v>
      </c>
      <c r="CY454" s="18">
        <f t="shared" si="741"/>
        <v>0.39999011693889114</v>
      </c>
      <c r="CZ454" s="20">
        <f t="shared" si="691"/>
        <v>493.02657985710402</v>
      </c>
      <c r="DA454" s="15">
        <f t="shared" si="688"/>
        <v>7.3193648704103743E-6</v>
      </c>
      <c r="DB454" s="16">
        <f t="shared" si="689"/>
        <v>39.197229184143978</v>
      </c>
      <c r="DC454" s="17">
        <f t="shared" si="690"/>
        <v>1.8318127220852205E-2</v>
      </c>
      <c r="DD454" s="18">
        <f t="shared" si="742"/>
        <v>0.30274029865657331</v>
      </c>
    </row>
    <row r="455" spans="2:108" x14ac:dyDescent="0.25">
      <c r="B455">
        <v>188</v>
      </c>
      <c r="C455">
        <f t="shared" si="743"/>
        <v>0.18379155727290727</v>
      </c>
      <c r="D455" s="19">
        <f t="shared" si="640"/>
        <v>1016.9103943408791</v>
      </c>
      <c r="E455" s="15">
        <f t="shared" si="692"/>
        <v>5.5338207886817589E-6</v>
      </c>
      <c r="F455" s="16">
        <f t="shared" si="641"/>
        <v>27.583469534920109</v>
      </c>
      <c r="G455" s="17">
        <f t="shared" si="638"/>
        <v>1.3849457571690328E-2</v>
      </c>
      <c r="H455" s="18">
        <f t="shared" si="693"/>
        <v>0.43020624561732707</v>
      </c>
      <c r="I455" s="19">
        <f t="shared" si="694"/>
        <v>1016.5857100526232</v>
      </c>
      <c r="J455" s="15">
        <f t="shared" si="695"/>
        <v>5.5331714201052471E-6</v>
      </c>
      <c r="K455" s="16">
        <f t="shared" si="642"/>
        <v>27.579735665605163</v>
      </c>
      <c r="L455" s="17">
        <f t="shared" si="696"/>
        <v>1.3847832401145017E-2</v>
      </c>
      <c r="M455" s="18">
        <f t="shared" si="697"/>
        <v>0.43026448888401697</v>
      </c>
      <c r="N455" s="19">
        <f t="shared" si="698"/>
        <v>1015.6794936730403</v>
      </c>
      <c r="O455" s="15">
        <f t="shared" si="699"/>
        <v>5.5313589873460812E-6</v>
      </c>
      <c r="P455" s="16">
        <f t="shared" si="700"/>
        <v>27.56931417723996</v>
      </c>
      <c r="Q455" s="17">
        <f t="shared" si="639"/>
        <v>1.3849457571690328E-2</v>
      </c>
      <c r="R455" s="18">
        <f t="shared" si="701"/>
        <v>0.43042713334938298</v>
      </c>
      <c r="S455" s="19">
        <f t="shared" si="702"/>
        <v>1014.1778061383435</v>
      </c>
      <c r="T455" s="15">
        <f t="shared" si="703"/>
        <v>5.5283556122766873E-6</v>
      </c>
      <c r="U455" s="16">
        <f t="shared" si="704"/>
        <v>27.55204477059095</v>
      </c>
      <c r="V455" s="17">
        <f t="shared" si="705"/>
        <v>1.3835779909974456E-2</v>
      </c>
      <c r="W455" s="18">
        <f t="shared" si="706"/>
        <v>0.43069692171755924</v>
      </c>
      <c r="X455" s="19">
        <f t="shared" si="707"/>
        <v>1012.0787664409361</v>
      </c>
      <c r="Y455" s="15">
        <f t="shared" si="708"/>
        <v>5.5241575328818723E-6</v>
      </c>
      <c r="Z455" s="16">
        <f t="shared" si="709"/>
        <v>27.527905814070763</v>
      </c>
      <c r="AA455" s="17">
        <f t="shared" si="710"/>
        <v>1.3825273403768112E-2</v>
      </c>
      <c r="AB455" s="18">
        <f t="shared" si="711"/>
        <v>0.43107459571633489</v>
      </c>
      <c r="AC455" s="19">
        <f t="shared" si="712"/>
        <v>1009.3809200185648</v>
      </c>
      <c r="AD455" s="15">
        <f t="shared" si="643"/>
        <v>5.5187618400371298E-6</v>
      </c>
      <c r="AE455" s="16">
        <f t="shared" si="644"/>
        <v>27.496880580213492</v>
      </c>
      <c r="AF455" s="17">
        <f t="shared" si="645"/>
        <v>1.3811769638110219E-2</v>
      </c>
      <c r="AG455" s="18">
        <f t="shared" si="713"/>
        <v>0.43156098507613927</v>
      </c>
      <c r="AH455" s="19">
        <f t="shared" si="714"/>
        <v>1006.0839173080152</v>
      </c>
      <c r="AI455" s="15">
        <f t="shared" si="646"/>
        <v>5.5121678346160313E-6</v>
      </c>
      <c r="AJ455" s="16">
        <f t="shared" si="647"/>
        <v>27.458965049042174</v>
      </c>
      <c r="AK455" s="17">
        <f t="shared" si="648"/>
        <v>1.3795266863301577E-2</v>
      </c>
      <c r="AL455" s="18">
        <f t="shared" si="715"/>
        <v>0.43215688750555548</v>
      </c>
      <c r="AM455" s="19">
        <f t="shared" si="716"/>
        <v>1002.1875915197813</v>
      </c>
      <c r="AN455" s="15">
        <f t="shared" si="649"/>
        <v>5.5043751830395628E-6</v>
      </c>
      <c r="AO455" s="16">
        <f t="shared" si="650"/>
        <v>27.414157302477484</v>
      </c>
      <c r="AP455" s="17">
        <f t="shared" si="651"/>
        <v>1.377576424449614E-2</v>
      </c>
      <c r="AQ455" s="18">
        <f t="shared" si="717"/>
        <v>0.43286323700511803</v>
      </c>
      <c r="AR455" s="19">
        <f t="shared" si="718"/>
        <v>997.69169770879114</v>
      </c>
      <c r="AS455" s="15">
        <f t="shared" si="652"/>
        <v>5.495383395417583E-6</v>
      </c>
      <c r="AT455" s="16">
        <f t="shared" si="653"/>
        <v>27.362454523651095</v>
      </c>
      <c r="AU455" s="17">
        <f t="shared" si="654"/>
        <v>1.3753260555649013E-2</v>
      </c>
      <c r="AV455" s="18">
        <f t="shared" si="719"/>
        <v>0.43368115457116113</v>
      </c>
      <c r="AW455" s="19">
        <f t="shared" si="720"/>
        <v>992.59520304615751</v>
      </c>
      <c r="AX455" s="15">
        <f t="shared" si="655"/>
        <v>5.4851904060923153E-6</v>
      </c>
      <c r="AY455" s="16">
        <f t="shared" si="656"/>
        <v>27.303844835030809</v>
      </c>
      <c r="AZ455" s="17">
        <f t="shared" si="657"/>
        <v>1.3727750627051808E-2</v>
      </c>
      <c r="BA455" s="18">
        <f t="shared" si="721"/>
        <v>0.43461208270906543</v>
      </c>
      <c r="BB455" s="19">
        <f t="shared" si="722"/>
        <v>986.89338225026302</v>
      </c>
      <c r="BC455" s="15">
        <f t="shared" si="658"/>
        <v>5.4737867645005269E-6</v>
      </c>
      <c r="BD455" s="16">
        <f t="shared" si="659"/>
        <v>27.238273895878024</v>
      </c>
      <c r="BE455" s="17">
        <f t="shared" si="660"/>
        <v>1.3699210806840924E-2</v>
      </c>
      <c r="BF455" s="18">
        <f t="shared" si="723"/>
        <v>0.43565832824354084</v>
      </c>
      <c r="BG455" s="19">
        <f t="shared" si="724"/>
        <v>980.56620453560436</v>
      </c>
      <c r="BH455" s="15">
        <f t="shared" si="661"/>
        <v>5.4611324090712095E-6</v>
      </c>
      <c r="BI455" s="16">
        <f t="shared" si="662"/>
        <v>27.165511352159449</v>
      </c>
      <c r="BJ455" s="17">
        <f t="shared" si="663"/>
        <v>1.3667540833181157E-2</v>
      </c>
      <c r="BK455" s="18">
        <f t="shared" si="725"/>
        <v>0.43682523461037653</v>
      </c>
      <c r="BL455" s="19">
        <f t="shared" si="726"/>
        <v>973.53631375902887</v>
      </c>
      <c r="BM455" s="15">
        <f t="shared" si="664"/>
        <v>5.4470726275180587E-6</v>
      </c>
      <c r="BN455" s="16">
        <f t="shared" si="665"/>
        <v>27.08466760822883</v>
      </c>
      <c r="BO455" s="17">
        <f t="shared" si="666"/>
        <v>1.3632353508632112E-2</v>
      </c>
      <c r="BP455" s="18">
        <f t="shared" si="727"/>
        <v>0.43812909360248559</v>
      </c>
      <c r="BQ455" s="19">
        <f t="shared" si="728"/>
        <v>965.5344266768941</v>
      </c>
      <c r="BR455" s="15">
        <f t="shared" si="667"/>
        <v>5.4310688533537887E-6</v>
      </c>
      <c r="BS455" s="16">
        <f t="shared" si="668"/>
        <v>26.992645906784283</v>
      </c>
      <c r="BT455" s="17">
        <f t="shared" si="669"/>
        <v>1.3592300966322052E-2</v>
      </c>
      <c r="BU455" s="18">
        <f t="shared" si="729"/>
        <v>0.43962273690017817</v>
      </c>
      <c r="BV455" s="19">
        <f t="shared" si="730"/>
        <v>955.72624754111678</v>
      </c>
      <c r="BW455" s="15">
        <f t="shared" si="670"/>
        <v>5.4114524950822341E-6</v>
      </c>
      <c r="BX455" s="16">
        <f t="shared" si="671"/>
        <v>26.879851846722843</v>
      </c>
      <c r="BY455" s="17">
        <f t="shared" si="672"/>
        <v>1.3543207233082871E-2</v>
      </c>
      <c r="BZ455" s="18">
        <f t="shared" si="731"/>
        <v>0.44146749533385754</v>
      </c>
      <c r="CA455" s="19">
        <f t="shared" si="732"/>
        <v>941.84829614133457</v>
      </c>
      <c r="CB455" s="15">
        <f t="shared" si="673"/>
        <v>5.3836965922826694E-6</v>
      </c>
      <c r="CC455" s="16">
        <f t="shared" si="674"/>
        <v>26.720255405625345</v>
      </c>
      <c r="CD455" s="17">
        <f t="shared" si="675"/>
        <v>1.3473742714287333E-2</v>
      </c>
      <c r="CE455" s="18">
        <f t="shared" si="733"/>
        <v>0.44410432047066656</v>
      </c>
      <c r="CF455" s="19">
        <f t="shared" si="734"/>
        <v>918.63870306967146</v>
      </c>
      <c r="CG455" s="15">
        <f t="shared" si="676"/>
        <v>5.337277406139343E-6</v>
      </c>
      <c r="CH455" s="16">
        <f t="shared" si="677"/>
        <v>26.453345085301223</v>
      </c>
      <c r="CI455" s="17">
        <f t="shared" si="678"/>
        <v>1.3357569716723104E-2</v>
      </c>
      <c r="CJ455" s="18">
        <f t="shared" si="735"/>
        <v>0.44858526705991347</v>
      </c>
      <c r="CK455" s="19">
        <f t="shared" si="736"/>
        <v>875.94191439204656</v>
      </c>
      <c r="CL455" s="15">
        <f t="shared" si="679"/>
        <v>5.251883828784094E-6</v>
      </c>
      <c r="CM455" s="16">
        <f t="shared" si="680"/>
        <v>25.962332015508537</v>
      </c>
      <c r="CN455" s="17">
        <f t="shared" si="681"/>
        <v>1.3143855761819607E-2</v>
      </c>
      <c r="CO455" s="18">
        <f t="shared" si="737"/>
        <v>0.45706914396709142</v>
      </c>
      <c r="CP455" s="19">
        <f t="shared" si="738"/>
        <v>798.36863836984344</v>
      </c>
      <c r="CQ455" s="15">
        <f t="shared" si="682"/>
        <v>5.0967372767396876E-6</v>
      </c>
      <c r="CR455" s="16">
        <f t="shared" si="683"/>
        <v>25.070239341253199</v>
      </c>
      <c r="CS455" s="17">
        <f t="shared" si="684"/>
        <v>1.2755571487358144E-2</v>
      </c>
      <c r="CT455" s="18">
        <f t="shared" si="739"/>
        <v>0.47333336982512897</v>
      </c>
      <c r="CU455" s="19">
        <f t="shared" si="740"/>
        <v>670.38745959360961</v>
      </c>
      <c r="CV455" s="15">
        <f t="shared" si="685"/>
        <v>4.8407749191872202E-6</v>
      </c>
      <c r="CW455" s="16">
        <f t="shared" si="686"/>
        <v>29.816198113630179</v>
      </c>
      <c r="CX455" s="17">
        <f t="shared" si="687"/>
        <v>1.2114976147132609E-2</v>
      </c>
      <c r="CY455" s="18">
        <f t="shared" si="741"/>
        <v>0.39799107936210043</v>
      </c>
      <c r="CZ455" s="20">
        <f t="shared" si="691"/>
        <v>492.94151654912497</v>
      </c>
      <c r="DA455" s="15">
        <f t="shared" si="688"/>
        <v>7.3206350997343574E-6</v>
      </c>
      <c r="DB455" s="16">
        <f t="shared" si="689"/>
        <v>39.199696020075372</v>
      </c>
      <c r="DC455" s="17">
        <f t="shared" si="690"/>
        <v>1.8321306215583078E-2</v>
      </c>
      <c r="DD455" s="18">
        <f t="shared" si="742"/>
        <v>0.30272124721683191</v>
      </c>
    </row>
    <row r="456" spans="2:108" x14ac:dyDescent="0.25">
      <c r="B456">
        <v>189</v>
      </c>
      <c r="C456">
        <f t="shared" si="743"/>
        <v>0.18476917193925252</v>
      </c>
      <c r="D456" s="19">
        <f t="shared" si="640"/>
        <v>1016.8938176013169</v>
      </c>
      <c r="E456" s="15">
        <f t="shared" si="692"/>
        <v>5.5337876352026344E-6</v>
      </c>
      <c r="F456" s="16">
        <f t="shared" si="641"/>
        <v>27.583278902415145</v>
      </c>
      <c r="G456" s="17">
        <f t="shared" si="638"/>
        <v>1.38493745986921E-2</v>
      </c>
      <c r="H456" s="18">
        <f t="shared" si="693"/>
        <v>0.43020921884232122</v>
      </c>
      <c r="I456" s="19">
        <f t="shared" si="694"/>
        <v>1016.5691325946279</v>
      </c>
      <c r="J456" s="15">
        <f t="shared" si="695"/>
        <v>5.5331382651892566E-6</v>
      </c>
      <c r="K456" s="16">
        <f t="shared" si="642"/>
        <v>27.579545024838218</v>
      </c>
      <c r="L456" s="17">
        <f t="shared" si="696"/>
        <v>1.3847749424550753E-2</v>
      </c>
      <c r="M456" s="18">
        <f t="shared" si="697"/>
        <v>0.43026746304302055</v>
      </c>
      <c r="N456" s="19">
        <f t="shared" si="698"/>
        <v>1015.6629117251839</v>
      </c>
      <c r="O456" s="15">
        <f t="shared" si="699"/>
        <v>5.5313258234503683E-6</v>
      </c>
      <c r="P456" s="16">
        <f t="shared" si="700"/>
        <v>27.569123484839615</v>
      </c>
      <c r="Q456" s="17">
        <f t="shared" si="639"/>
        <v>1.38493745986921E-2</v>
      </c>
      <c r="R456" s="18">
        <f t="shared" si="701"/>
        <v>0.43043011056348546</v>
      </c>
      <c r="S456" s="19">
        <f t="shared" si="702"/>
        <v>1014.1612218810973</v>
      </c>
      <c r="T456" s="15">
        <f t="shared" si="703"/>
        <v>5.5283224437621953E-6</v>
      </c>
      <c r="U456" s="16">
        <f t="shared" si="704"/>
        <v>27.551854051632617</v>
      </c>
      <c r="V456" s="17">
        <f t="shared" si="705"/>
        <v>1.3835696899347312E-2</v>
      </c>
      <c r="W456" s="18">
        <f t="shared" si="706"/>
        <v>0.4306999030801969</v>
      </c>
      <c r="X456" s="19">
        <f t="shared" si="707"/>
        <v>1012.0621854997864</v>
      </c>
      <c r="Y456" s="15">
        <f t="shared" si="708"/>
        <v>5.5241243709995737E-6</v>
      </c>
      <c r="Z456" s="16">
        <f t="shared" si="709"/>
        <v>27.527715133247543</v>
      </c>
      <c r="AA456" s="17">
        <f t="shared" si="710"/>
        <v>1.3825190409739315E-2</v>
      </c>
      <c r="AB456" s="18">
        <f t="shared" si="711"/>
        <v>0.43107758171275273</v>
      </c>
      <c r="AC456" s="19">
        <f t="shared" si="712"/>
        <v>1009.3643485757215</v>
      </c>
      <c r="AD456" s="15">
        <f t="shared" si="643"/>
        <v>5.5187286971514431E-6</v>
      </c>
      <c r="AE456" s="16">
        <f t="shared" si="644"/>
        <v>27.496690008620796</v>
      </c>
      <c r="AF456" s="17">
        <f t="shared" si="645"/>
        <v>1.3811686691624121E-2</v>
      </c>
      <c r="AG456" s="18">
        <f t="shared" si="713"/>
        <v>0.43156397610030423</v>
      </c>
      <c r="AH456" s="19">
        <f t="shared" si="714"/>
        <v>1006.0673603121479</v>
      </c>
      <c r="AI456" s="15">
        <f t="shared" si="646"/>
        <v>5.512134720624297E-6</v>
      </c>
      <c r="AJ456" s="16">
        <f t="shared" si="647"/>
        <v>27.458774643589699</v>
      </c>
      <c r="AK456" s="17">
        <f t="shared" si="648"/>
        <v>1.3795183989128186E-2</v>
      </c>
      <c r="AL456" s="18">
        <f t="shared" si="715"/>
        <v>0.43215988418070844</v>
      </c>
      <c r="AM456" s="19">
        <f t="shared" si="716"/>
        <v>1002.1710509247756</v>
      </c>
      <c r="AN456" s="15">
        <f t="shared" si="649"/>
        <v>5.5043421018495521E-6</v>
      </c>
      <c r="AO456" s="16">
        <f t="shared" si="650"/>
        <v>27.413967085634919</v>
      </c>
      <c r="AP456" s="17">
        <f t="shared" si="651"/>
        <v>1.377568145241541E-2</v>
      </c>
      <c r="AQ456" s="18">
        <f t="shared" si="717"/>
        <v>0.43286624050614175</v>
      </c>
      <c r="AR456" s="19">
        <f t="shared" si="718"/>
        <v>997.67516516728006</v>
      </c>
      <c r="AS456" s="15">
        <f t="shared" si="652"/>
        <v>5.495350330334561E-6</v>
      </c>
      <c r="AT456" s="16">
        <f t="shared" si="653"/>
        <v>27.362264399423722</v>
      </c>
      <c r="AU456" s="17">
        <f t="shared" si="654"/>
        <v>1.375317780387914E-2</v>
      </c>
      <c r="AV456" s="18">
        <f t="shared" si="719"/>
        <v>0.4336841679655658</v>
      </c>
      <c r="AW456" s="19">
        <f t="shared" si="720"/>
        <v>992.57862726863505</v>
      </c>
      <c r="AX456" s="15">
        <f t="shared" si="655"/>
        <v>5.4851572545372711E-6</v>
      </c>
      <c r="AY456" s="16">
        <f t="shared" si="656"/>
        <v>27.303654213589304</v>
      </c>
      <c r="AZ456" s="17">
        <f t="shared" si="657"/>
        <v>1.3727667658868964E-2</v>
      </c>
      <c r="BA456" s="18">
        <f t="shared" si="721"/>
        <v>0.43461511696891403</v>
      </c>
      <c r="BB456" s="19">
        <f t="shared" si="722"/>
        <v>986.87654105362299</v>
      </c>
      <c r="BC456" s="15">
        <f t="shared" si="658"/>
        <v>5.4737530821072469E-6</v>
      </c>
      <c r="BD456" s="16">
        <f t="shared" si="659"/>
        <v>27.238080222116665</v>
      </c>
      <c r="BE456" s="17">
        <f t="shared" si="660"/>
        <v>1.3699126510132654E-2</v>
      </c>
      <c r="BF456" s="18">
        <f t="shared" si="723"/>
        <v>0.43566142595036933</v>
      </c>
      <c r="BG456" s="19">
        <f t="shared" si="724"/>
        <v>980.54826069996579</v>
      </c>
      <c r="BH456" s="15">
        <f t="shared" si="661"/>
        <v>5.4610965213999314E-6</v>
      </c>
      <c r="BI456" s="16">
        <f t="shared" si="662"/>
        <v>27.165304998049606</v>
      </c>
      <c r="BJ456" s="17">
        <f t="shared" si="663"/>
        <v>1.3667451017337873E-2</v>
      </c>
      <c r="BK456" s="18">
        <f t="shared" si="725"/>
        <v>0.43682855283862582</v>
      </c>
      <c r="BL456" s="19">
        <f t="shared" si="726"/>
        <v>973.51446879348418</v>
      </c>
      <c r="BM456" s="15">
        <f t="shared" si="664"/>
        <v>5.4470289375869684E-6</v>
      </c>
      <c r="BN456" s="16">
        <f t="shared" si="665"/>
        <v>27.084416391125067</v>
      </c>
      <c r="BO456" s="17">
        <f t="shared" si="666"/>
        <v>1.3632244166123554E-2</v>
      </c>
      <c r="BP456" s="18">
        <f t="shared" si="727"/>
        <v>0.43813315739770936</v>
      </c>
      <c r="BQ456" s="19">
        <f t="shared" si="728"/>
        <v>965.50046474061048</v>
      </c>
      <c r="BR456" s="15">
        <f t="shared" si="667"/>
        <v>5.4310009294812219E-6</v>
      </c>
      <c r="BS456" s="16">
        <f t="shared" si="668"/>
        <v>26.992255344517019</v>
      </c>
      <c r="BT456" s="17">
        <f t="shared" si="669"/>
        <v>1.359213097368457E-2</v>
      </c>
      <c r="BU456" s="18">
        <f t="shared" si="729"/>
        <v>0.43962909798600347</v>
      </c>
      <c r="BV456" s="19">
        <f t="shared" si="730"/>
        <v>955.65943262816779</v>
      </c>
      <c r="BW456" s="15">
        <f t="shared" si="670"/>
        <v>5.4113188652563354E-6</v>
      </c>
      <c r="BX456" s="16">
        <f t="shared" si="671"/>
        <v>26.879083475223929</v>
      </c>
      <c r="BY456" s="17">
        <f t="shared" si="672"/>
        <v>1.3542872798580062E-2</v>
      </c>
      <c r="BZ456" s="18">
        <f t="shared" si="731"/>
        <v>0.44148011522253133</v>
      </c>
      <c r="CA456" s="19">
        <f t="shared" si="732"/>
        <v>941.70517650859745</v>
      </c>
      <c r="CB456" s="15">
        <f t="shared" si="673"/>
        <v>5.3834103530171954E-6</v>
      </c>
      <c r="CC456" s="16">
        <f t="shared" si="674"/>
        <v>26.718609529848869</v>
      </c>
      <c r="CD456" s="17">
        <f t="shared" si="675"/>
        <v>1.3473026345125063E-2</v>
      </c>
      <c r="CE456" s="18">
        <f t="shared" si="733"/>
        <v>0.44413167745353926</v>
      </c>
      <c r="CF456" s="19">
        <f t="shared" si="734"/>
        <v>918.34840286932911</v>
      </c>
      <c r="CG456" s="15">
        <f t="shared" si="676"/>
        <v>5.3366968057386579E-6</v>
      </c>
      <c r="CH456" s="16">
        <f t="shared" si="677"/>
        <v>26.450006632997283</v>
      </c>
      <c r="CI456" s="17">
        <f t="shared" si="678"/>
        <v>1.3356116651847594E-2</v>
      </c>
      <c r="CJ456" s="18">
        <f t="shared" si="735"/>
        <v>0.44864188634697488</v>
      </c>
      <c r="CK456" s="19">
        <f t="shared" si="736"/>
        <v>875.42885463472874</v>
      </c>
      <c r="CL456" s="15">
        <f t="shared" si="679"/>
        <v>5.2508577092694579E-6</v>
      </c>
      <c r="CM456" s="16">
        <f t="shared" si="680"/>
        <v>25.95643182829938</v>
      </c>
      <c r="CN456" s="17">
        <f t="shared" si="681"/>
        <v>1.3141287699133062E-2</v>
      </c>
      <c r="CO456" s="18">
        <f t="shared" si="737"/>
        <v>0.45717304089463423</v>
      </c>
      <c r="CP456" s="19">
        <f t="shared" si="738"/>
        <v>797.63117888887768</v>
      </c>
      <c r="CQ456" s="15">
        <f t="shared" si="682"/>
        <v>5.0952623577777557E-6</v>
      </c>
      <c r="CR456" s="16">
        <f t="shared" si="683"/>
        <v>25.061758557222092</v>
      </c>
      <c r="CS456" s="17">
        <f t="shared" si="684"/>
        <v>1.2751880217191473E-2</v>
      </c>
      <c r="CT456" s="18">
        <f t="shared" si="739"/>
        <v>0.47349354366428864</v>
      </c>
      <c r="CU456" s="19">
        <f t="shared" si="740"/>
        <v>669.65419689541193</v>
      </c>
      <c r="CV456" s="15">
        <f t="shared" si="685"/>
        <v>4.8393083937908237E-6</v>
      </c>
      <c r="CW456" s="16">
        <f t="shared" si="686"/>
        <v>29.963437263428204</v>
      </c>
      <c r="CX456" s="17">
        <f t="shared" si="687"/>
        <v>1.2111305883488233E-2</v>
      </c>
      <c r="CY456" s="18">
        <f t="shared" si="741"/>
        <v>0.39603536688367935</v>
      </c>
      <c r="CZ456" s="20">
        <f t="shared" si="691"/>
        <v>492.86297685267442</v>
      </c>
      <c r="DA456" s="15">
        <f t="shared" si="688"/>
        <v>7.3218078546603645E-6</v>
      </c>
      <c r="DB456" s="16">
        <f t="shared" si="689"/>
        <v>39.201973671272441</v>
      </c>
      <c r="DC456" s="17">
        <f t="shared" si="690"/>
        <v>1.8324241261767255E-2</v>
      </c>
      <c r="DD456" s="18">
        <f t="shared" si="742"/>
        <v>0.30270365898474738</v>
      </c>
    </row>
    <row r="457" spans="2:108" x14ac:dyDescent="0.25">
      <c r="B457">
        <v>190</v>
      </c>
      <c r="C457">
        <f t="shared" si="743"/>
        <v>0.18574678660559779</v>
      </c>
      <c r="D457" s="19">
        <f t="shared" si="640"/>
        <v>1016.8772408250751</v>
      </c>
      <c r="E457" s="15">
        <f t="shared" si="692"/>
        <v>5.533754481650151E-6</v>
      </c>
      <c r="F457" s="16">
        <f t="shared" si="641"/>
        <v>27.583088269488364</v>
      </c>
      <c r="G457" s="17">
        <f t="shared" si="638"/>
        <v>1.3849291625510277E-2</v>
      </c>
      <c r="H457" s="18">
        <f t="shared" si="693"/>
        <v>0.43021219211499157</v>
      </c>
      <c r="I457" s="19">
        <f t="shared" si="694"/>
        <v>1016.5525551476529</v>
      </c>
      <c r="J457" s="15">
        <f t="shared" si="695"/>
        <v>5.5331051102953059E-6</v>
      </c>
      <c r="K457" s="16">
        <f t="shared" si="642"/>
        <v>27.579354384198005</v>
      </c>
      <c r="L457" s="17">
        <f t="shared" si="696"/>
        <v>1.384766644801165E-2</v>
      </c>
      <c r="M457" s="18">
        <f t="shared" si="697"/>
        <v>0.43027043724116432</v>
      </c>
      <c r="N457" s="19">
        <f t="shared" si="698"/>
        <v>1015.6463298833435</v>
      </c>
      <c r="O457" s="15">
        <f t="shared" si="699"/>
        <v>5.5312926597666873E-6</v>
      </c>
      <c r="P457" s="16">
        <f t="shared" si="700"/>
        <v>27.568932793658448</v>
      </c>
      <c r="Q457" s="17">
        <f t="shared" si="639"/>
        <v>1.3849291625510277E-2</v>
      </c>
      <c r="R457" s="18">
        <f t="shared" si="701"/>
        <v>0.43043308779973927</v>
      </c>
      <c r="S457" s="19">
        <f t="shared" si="702"/>
        <v>1014.1446378034419</v>
      </c>
      <c r="T457" s="15">
        <f t="shared" si="703"/>
        <v>5.5282892756068849E-6</v>
      </c>
      <c r="U457" s="16">
        <f t="shared" si="704"/>
        <v>27.55166333473958</v>
      </c>
      <c r="V457" s="17">
        <f t="shared" si="705"/>
        <v>1.3835613889619089E-2</v>
      </c>
      <c r="W457" s="18">
        <f t="shared" si="706"/>
        <v>0.43070288445182403</v>
      </c>
      <c r="X457" s="19">
        <f t="shared" si="707"/>
        <v>1012.0456047658137</v>
      </c>
      <c r="Y457" s="15">
        <f t="shared" si="708"/>
        <v>5.5240912095316275E-6</v>
      </c>
      <c r="Z457" s="16">
        <f t="shared" si="709"/>
        <v>27.527524454806859</v>
      </c>
      <c r="AA457" s="17">
        <f t="shared" si="710"/>
        <v>1.3825107416747516E-2</v>
      </c>
      <c r="AB457" s="18">
        <f t="shared" si="711"/>
        <v>0.43108056771322767</v>
      </c>
      <c r="AC457" s="19">
        <f t="shared" si="712"/>
        <v>1009.3477773338775</v>
      </c>
      <c r="AD457" s="15">
        <f t="shared" si="643"/>
        <v>5.5186955546677558E-6</v>
      </c>
      <c r="AE457" s="16">
        <f t="shared" si="644"/>
        <v>27.496499439339591</v>
      </c>
      <c r="AF457" s="17">
        <f t="shared" si="645"/>
        <v>1.3811603746144104E-2</v>
      </c>
      <c r="AG457" s="18">
        <f t="shared" si="713"/>
        <v>0.43156696712964965</v>
      </c>
      <c r="AH457" s="19">
        <f t="shared" si="714"/>
        <v>1006.0508034782041</v>
      </c>
      <c r="AI457" s="15">
        <f t="shared" si="646"/>
        <v>5.5121016069564089E-6</v>
      </c>
      <c r="AJ457" s="16">
        <f t="shared" si="647"/>
        <v>27.458584239999347</v>
      </c>
      <c r="AK457" s="17">
        <f t="shared" si="648"/>
        <v>1.3795101115765283E-2</v>
      </c>
      <c r="AL457" s="18">
        <f t="shared" si="715"/>
        <v>0.43216288086811355</v>
      </c>
      <c r="AM457" s="19">
        <f t="shared" si="716"/>
        <v>1002.1545103380798</v>
      </c>
      <c r="AN457" s="15">
        <f t="shared" si="649"/>
        <v>5.5043090206761594E-6</v>
      </c>
      <c r="AO457" s="16">
        <f t="shared" si="650"/>
        <v>27.413776868887915</v>
      </c>
      <c r="AP457" s="17">
        <f t="shared" si="651"/>
        <v>1.3775598660376271E-2</v>
      </c>
      <c r="AQ457" s="18">
        <f t="shared" si="717"/>
        <v>0.43286924404733751</v>
      </c>
      <c r="AR457" s="19">
        <f t="shared" si="718"/>
        <v>997.65863198829493</v>
      </c>
      <c r="AS457" s="15">
        <f t="shared" si="652"/>
        <v>5.4953172639765902E-6</v>
      </c>
      <c r="AT457" s="16">
        <f t="shared" si="653"/>
        <v>27.362074267865388</v>
      </c>
      <c r="AU457" s="17">
        <f t="shared" si="654"/>
        <v>1.3753095048918461E-2</v>
      </c>
      <c r="AV457" s="18">
        <f t="shared" si="719"/>
        <v>0.43368718151804259</v>
      </c>
      <c r="AW457" s="19">
        <f t="shared" si="720"/>
        <v>992.56204829931482</v>
      </c>
      <c r="AX457" s="15">
        <f t="shared" si="655"/>
        <v>5.4851240965986299E-6</v>
      </c>
      <c r="AY457" s="16">
        <f t="shared" si="656"/>
        <v>27.303463555442121</v>
      </c>
      <c r="AZ457" s="17">
        <f t="shared" si="657"/>
        <v>1.3727584674709935E-2</v>
      </c>
      <c r="BA457" s="18">
        <f t="shared" si="721"/>
        <v>0.43461815185541375</v>
      </c>
      <c r="BB457" s="19">
        <f t="shared" si="722"/>
        <v>986.85968752677502</v>
      </c>
      <c r="BC457" s="15">
        <f t="shared" si="658"/>
        <v>5.4737193750535506E-6</v>
      </c>
      <c r="BD457" s="16">
        <f t="shared" si="659"/>
        <v>27.237886406557912</v>
      </c>
      <c r="BE457" s="17">
        <f t="shared" si="660"/>
        <v>1.3699042151706918E-2</v>
      </c>
      <c r="BF457" s="18">
        <f t="shared" si="723"/>
        <v>0.43566452596927085</v>
      </c>
      <c r="BG457" s="19">
        <f t="shared" si="724"/>
        <v>980.53027552241394</v>
      </c>
      <c r="BH457" s="15">
        <f t="shared" si="661"/>
        <v>5.4610605510448291E-6</v>
      </c>
      <c r="BI457" s="16">
        <f t="shared" si="662"/>
        <v>27.165098168507761</v>
      </c>
      <c r="BJ457" s="17">
        <f t="shared" si="663"/>
        <v>1.3667360994562318E-2</v>
      </c>
      <c r="BK457" s="18">
        <f t="shared" si="725"/>
        <v>0.43683187876253332</v>
      </c>
      <c r="BL457" s="19">
        <f t="shared" si="726"/>
        <v>973.4925025610803</v>
      </c>
      <c r="BM457" s="15">
        <f t="shared" si="664"/>
        <v>5.446985005122161E-6</v>
      </c>
      <c r="BN457" s="16">
        <f t="shared" si="665"/>
        <v>27.084163779452425</v>
      </c>
      <c r="BO457" s="17">
        <f t="shared" si="666"/>
        <v>1.3632134216627428E-2</v>
      </c>
      <c r="BP457" s="18">
        <f t="shared" si="727"/>
        <v>0.43813724382809105</v>
      </c>
      <c r="BQ457" s="19">
        <f t="shared" si="728"/>
        <v>965.4661968239061</v>
      </c>
      <c r="BR457" s="15">
        <f t="shared" si="667"/>
        <v>5.4309323936478125E-6</v>
      </c>
      <c r="BS457" s="16">
        <f t="shared" si="668"/>
        <v>26.99186126347492</v>
      </c>
      <c r="BT457" s="17">
        <f t="shared" si="669"/>
        <v>1.3591959449496639E-2</v>
      </c>
      <c r="BU457" s="18">
        <f t="shared" si="729"/>
        <v>0.43963551656867844</v>
      </c>
      <c r="BV457" s="19">
        <f t="shared" si="730"/>
        <v>955.59197497594414</v>
      </c>
      <c r="BW457" s="15">
        <f t="shared" si="670"/>
        <v>5.4111839499518889E-6</v>
      </c>
      <c r="BX457" s="16">
        <f t="shared" si="671"/>
        <v>26.878307712223357</v>
      </c>
      <c r="BY457" s="17">
        <f t="shared" si="672"/>
        <v>1.3542535146918389E-2</v>
      </c>
      <c r="BZ457" s="18">
        <f t="shared" si="731"/>
        <v>0.44149285724269666</v>
      </c>
      <c r="CA457" s="19">
        <f t="shared" si="732"/>
        <v>941.5609997202215</v>
      </c>
      <c r="CB457" s="15">
        <f t="shared" si="673"/>
        <v>5.3831219994404436E-6</v>
      </c>
      <c r="CC457" s="16">
        <f t="shared" si="674"/>
        <v>26.716951496782546</v>
      </c>
      <c r="CD457" s="17">
        <f t="shared" si="675"/>
        <v>1.3472304684489605E-2</v>
      </c>
      <c r="CE457" s="18">
        <f t="shared" si="733"/>
        <v>0.44415923991728473</v>
      </c>
      <c r="CF457" s="19">
        <f t="shared" si="734"/>
        <v>918.05694424695514</v>
      </c>
      <c r="CG457" s="15">
        <f t="shared" si="676"/>
        <v>5.3361138884939109E-6</v>
      </c>
      <c r="CH457" s="16">
        <f t="shared" si="677"/>
        <v>26.446654858839985</v>
      </c>
      <c r="CI457" s="17">
        <f t="shared" si="678"/>
        <v>1.3354657788621407E-2</v>
      </c>
      <c r="CJ457" s="18">
        <f t="shared" si="735"/>
        <v>0.44869874594939207</v>
      </c>
      <c r="CK457" s="19">
        <f t="shared" si="736"/>
        <v>874.91565337705367</v>
      </c>
      <c r="CL457" s="15">
        <f t="shared" si="679"/>
        <v>5.2498313067541075E-6</v>
      </c>
      <c r="CM457" s="16">
        <f t="shared" si="680"/>
        <v>25.950530013836115</v>
      </c>
      <c r="CN457" s="17">
        <f t="shared" si="681"/>
        <v>1.3138718928182455E-2</v>
      </c>
      <c r="CO457" s="18">
        <f t="shared" si="737"/>
        <v>0.45727701374079688</v>
      </c>
      <c r="CP457" s="19">
        <f t="shared" si="738"/>
        <v>796.89678666056295</v>
      </c>
      <c r="CQ457" s="15">
        <f t="shared" si="682"/>
        <v>5.093793573321126E-6</v>
      </c>
      <c r="CR457" s="16">
        <f t="shared" si="683"/>
        <v>25.053313046596472</v>
      </c>
      <c r="CS457" s="17">
        <f t="shared" si="684"/>
        <v>1.2748204299811631E-2</v>
      </c>
      <c r="CT457" s="18">
        <f t="shared" si="739"/>
        <v>0.473653159071111</v>
      </c>
      <c r="CU457" s="19">
        <f t="shared" si="740"/>
        <v>668.92965966592431</v>
      </c>
      <c r="CV457" s="15">
        <f t="shared" si="685"/>
        <v>4.8378593193318491E-6</v>
      </c>
      <c r="CW457" s="16">
        <f t="shared" si="686"/>
        <v>30.108924339109251</v>
      </c>
      <c r="CX457" s="17">
        <f t="shared" si="687"/>
        <v>1.2107679294192311E-2</v>
      </c>
      <c r="CY457" s="18">
        <f t="shared" si="741"/>
        <v>0.39412171408276098</v>
      </c>
      <c r="CZ457" s="20">
        <f t="shared" si="691"/>
        <v>492.79047935289401</v>
      </c>
      <c r="DA457" s="15">
        <f t="shared" si="688"/>
        <v>7.3228903373301385E-6</v>
      </c>
      <c r="DB457" s="16">
        <f t="shared" si="689"/>
        <v>39.204076098766066</v>
      </c>
      <c r="DC457" s="17">
        <f t="shared" si="690"/>
        <v>1.8326950384158384E-2</v>
      </c>
      <c r="DD457" s="18">
        <f t="shared" si="742"/>
        <v>0.30268742566009343</v>
      </c>
    </row>
    <row r="458" spans="2:108" x14ac:dyDescent="0.25">
      <c r="B458">
        <v>191</v>
      </c>
      <c r="C458">
        <f t="shared" si="743"/>
        <v>0.18672440127194304</v>
      </c>
      <c r="D458" s="19">
        <f t="shared" si="640"/>
        <v>1016.8606640145891</v>
      </c>
      <c r="E458" s="15">
        <f t="shared" si="692"/>
        <v>5.5337213280291789E-6</v>
      </c>
      <c r="F458" s="16">
        <f t="shared" si="641"/>
        <v>27.582897636167772</v>
      </c>
      <c r="G458" s="17">
        <f t="shared" si="638"/>
        <v>1.3849208652157051E-2</v>
      </c>
      <c r="H458" s="18">
        <f t="shared" si="693"/>
        <v>0.43021516543490246</v>
      </c>
      <c r="I458" s="19">
        <f t="shared" si="694"/>
        <v>1016.5359777133425</v>
      </c>
      <c r="J458" s="15">
        <f t="shared" si="695"/>
        <v>5.5330719554266857E-6</v>
      </c>
      <c r="K458" s="16">
        <f t="shared" si="642"/>
        <v>27.57916374370344</v>
      </c>
      <c r="L458" s="17">
        <f t="shared" si="696"/>
        <v>1.3847583471535942E-2</v>
      </c>
      <c r="M458" s="18">
        <f t="shared" si="697"/>
        <v>0.43027341147815407</v>
      </c>
      <c r="N458" s="19">
        <f t="shared" si="698"/>
        <v>1015.6297481478059</v>
      </c>
      <c r="O458" s="15">
        <f t="shared" si="699"/>
        <v>5.5312594962956123E-6</v>
      </c>
      <c r="P458" s="16">
        <f t="shared" si="700"/>
        <v>27.568742103699769</v>
      </c>
      <c r="Q458" s="17">
        <f t="shared" si="639"/>
        <v>1.3849208652157051E-2</v>
      </c>
      <c r="R458" s="18">
        <f t="shared" si="701"/>
        <v>0.4304360650580929</v>
      </c>
      <c r="S458" s="19">
        <f t="shared" si="702"/>
        <v>1014.1280539049733</v>
      </c>
      <c r="T458" s="15">
        <f t="shared" si="703"/>
        <v>5.5282561078099475E-6</v>
      </c>
      <c r="U458" s="16">
        <f t="shared" si="704"/>
        <v>27.551472619907194</v>
      </c>
      <c r="V458" s="17">
        <f t="shared" si="705"/>
        <v>1.3835530880787764E-2</v>
      </c>
      <c r="W458" s="18">
        <f t="shared" si="706"/>
        <v>0.4307058658325128</v>
      </c>
      <c r="X458" s="19">
        <f t="shared" si="707"/>
        <v>1012.0290242385853</v>
      </c>
      <c r="Y458" s="15">
        <f t="shared" si="708"/>
        <v>5.5240580484771706E-6</v>
      </c>
      <c r="Z458" s="16">
        <f t="shared" si="709"/>
        <v>27.527333778743731</v>
      </c>
      <c r="AA458" s="17">
        <f t="shared" si="710"/>
        <v>1.3825024424790553E-2</v>
      </c>
      <c r="AB458" s="18">
        <f t="shared" si="711"/>
        <v>0.43108355371783685</v>
      </c>
      <c r="AC458" s="19">
        <f t="shared" si="712"/>
        <v>1009.331206292513</v>
      </c>
      <c r="AD458" s="15">
        <f t="shared" si="643"/>
        <v>5.5186624125850268E-6</v>
      </c>
      <c r="AE458" s="16">
        <f t="shared" si="644"/>
        <v>27.496308872363898</v>
      </c>
      <c r="AF458" s="17">
        <f t="shared" si="645"/>
        <v>1.3811520801667561E-2</v>
      </c>
      <c r="AG458" s="18">
        <f t="shared" si="713"/>
        <v>0.43156995816426874</v>
      </c>
      <c r="AH458" s="19">
        <f t="shared" si="714"/>
        <v>1006.0342468043781</v>
      </c>
      <c r="AI458" s="15">
        <f t="shared" si="646"/>
        <v>5.5120684936087576E-6</v>
      </c>
      <c r="AJ458" s="16">
        <f t="shared" si="647"/>
        <v>27.458393838250345</v>
      </c>
      <c r="AK458" s="17">
        <f t="shared" si="648"/>
        <v>1.3795018243203835E-2</v>
      </c>
      <c r="AL458" s="18">
        <f t="shared" si="715"/>
        <v>0.43216587756809738</v>
      </c>
      <c r="AM458" s="19">
        <f t="shared" si="716"/>
        <v>1002.1379697521169</v>
      </c>
      <c r="AN458" s="15">
        <f t="shared" si="649"/>
        <v>5.5042759395042345E-6</v>
      </c>
      <c r="AO458" s="16">
        <f t="shared" si="650"/>
        <v>27.413586652149341</v>
      </c>
      <c r="AP458" s="17">
        <f t="shared" si="651"/>
        <v>1.3775515868340806E-2</v>
      </c>
      <c r="AQ458" s="18">
        <f t="shared" si="717"/>
        <v>0.43287224763008192</v>
      </c>
      <c r="AR458" s="19">
        <f t="shared" si="718"/>
        <v>997.6420981427982</v>
      </c>
      <c r="AS458" s="15">
        <f t="shared" si="652"/>
        <v>5.4952841962855962E-6</v>
      </c>
      <c r="AT458" s="16">
        <f t="shared" si="653"/>
        <v>27.361884128642178</v>
      </c>
      <c r="AU458" s="17">
        <f t="shared" si="654"/>
        <v>1.3753012290621636E-2</v>
      </c>
      <c r="AV458" s="18">
        <f t="shared" si="719"/>
        <v>0.43369019523388985</v>
      </c>
      <c r="AW458" s="19">
        <f t="shared" si="720"/>
        <v>992.54546603875565</v>
      </c>
      <c r="AX458" s="15">
        <f t="shared" si="655"/>
        <v>5.4850909320775119E-6</v>
      </c>
      <c r="AY458" s="16">
        <f t="shared" si="656"/>
        <v>27.303272859445691</v>
      </c>
      <c r="AZ458" s="17">
        <f t="shared" si="657"/>
        <v>1.372750167407698E-2</v>
      </c>
      <c r="BA458" s="18">
        <f t="shared" si="721"/>
        <v>0.43462118738679351</v>
      </c>
      <c r="BB458" s="19">
        <f t="shared" si="722"/>
        <v>986.8428213708936</v>
      </c>
      <c r="BC458" s="15">
        <f t="shared" si="658"/>
        <v>5.4736856427417883E-6</v>
      </c>
      <c r="BD458" s="16">
        <f t="shared" si="659"/>
        <v>27.237692445765276</v>
      </c>
      <c r="BE458" s="17">
        <f t="shared" si="660"/>
        <v>1.3698957730067985E-2</v>
      </c>
      <c r="BF458" s="18">
        <f t="shared" si="723"/>
        <v>0.43566762835530992</v>
      </c>
      <c r="BG458" s="19">
        <f t="shared" si="724"/>
        <v>980.51224823825157</v>
      </c>
      <c r="BH458" s="15">
        <f t="shared" si="661"/>
        <v>5.4610244964765033E-6</v>
      </c>
      <c r="BI458" s="16">
        <f t="shared" si="662"/>
        <v>27.164890854739895</v>
      </c>
      <c r="BJ458" s="17">
        <f t="shared" si="663"/>
        <v>1.3667270761026872E-2</v>
      </c>
      <c r="BK458" s="18">
        <f t="shared" si="725"/>
        <v>0.43683521252386498</v>
      </c>
      <c r="BL458" s="19">
        <f t="shared" si="726"/>
        <v>973.4704134808793</v>
      </c>
      <c r="BM458" s="15">
        <f t="shared" si="664"/>
        <v>5.4469408269617593E-6</v>
      </c>
      <c r="BN458" s="16">
        <f t="shared" si="665"/>
        <v>27.083909755030113</v>
      </c>
      <c r="BO458" s="17">
        <f t="shared" si="666"/>
        <v>1.3632023652230521E-2</v>
      </c>
      <c r="BP458" s="18">
        <f t="shared" si="727"/>
        <v>0.4381413531890091</v>
      </c>
      <c r="BQ458" s="19">
        <f t="shared" si="728"/>
        <v>965.43162058718315</v>
      </c>
      <c r="BR458" s="15">
        <f t="shared" si="667"/>
        <v>5.4308632411743667E-6</v>
      </c>
      <c r="BS458" s="16">
        <f t="shared" si="668"/>
        <v>26.991463636752606</v>
      </c>
      <c r="BT458" s="17">
        <f t="shared" si="669"/>
        <v>1.3591786382047666E-2</v>
      </c>
      <c r="BU458" s="18">
        <f t="shared" si="729"/>
        <v>0.43964199309147167</v>
      </c>
      <c r="BV458" s="19">
        <f t="shared" si="730"/>
        <v>955.52387318828107</v>
      </c>
      <c r="BW458" s="15">
        <f t="shared" si="670"/>
        <v>5.4110477463765626E-6</v>
      </c>
      <c r="BX458" s="16">
        <f t="shared" si="671"/>
        <v>26.877524541665231</v>
      </c>
      <c r="BY458" s="17">
        <f t="shared" si="672"/>
        <v>1.3542194271109498E-2</v>
      </c>
      <c r="BZ458" s="18">
        <f t="shared" si="731"/>
        <v>0.44150572167918445</v>
      </c>
      <c r="CA458" s="19">
        <f t="shared" si="732"/>
        <v>941.41576987163296</v>
      </c>
      <c r="CB458" s="15">
        <f t="shared" si="673"/>
        <v>5.3828315397432669E-6</v>
      </c>
      <c r="CC458" s="16">
        <f t="shared" si="674"/>
        <v>26.715281353523778</v>
      </c>
      <c r="CD458" s="17">
        <f t="shared" si="675"/>
        <v>1.3471577752880153E-2</v>
      </c>
      <c r="CE458" s="18">
        <f t="shared" si="733"/>
        <v>0.44418700715471526</v>
      </c>
      <c r="CF458" s="19">
        <f t="shared" si="734"/>
        <v>917.76434289204747</v>
      </c>
      <c r="CG458" s="15">
        <f t="shared" si="676"/>
        <v>5.3355286857840956E-6</v>
      </c>
      <c r="CH458" s="16">
        <f t="shared" si="677"/>
        <v>26.443289943258545</v>
      </c>
      <c r="CI458" s="17">
        <f t="shared" si="678"/>
        <v>1.3353193205576541E-2</v>
      </c>
      <c r="CJ458" s="18">
        <f t="shared" si="735"/>
        <v>0.44875584298250926</v>
      </c>
      <c r="CK458" s="19">
        <f t="shared" si="736"/>
        <v>874.40234180961238</v>
      </c>
      <c r="CL458" s="15">
        <f t="shared" si="679"/>
        <v>5.2488046836192249E-6</v>
      </c>
      <c r="CM458" s="16">
        <f t="shared" si="680"/>
        <v>25.944626930810543</v>
      </c>
      <c r="CN458" s="17">
        <f t="shared" si="681"/>
        <v>1.313614960508877E-2</v>
      </c>
      <c r="CO458" s="18">
        <f t="shared" si="737"/>
        <v>0.45738105625352971</v>
      </c>
      <c r="CP458" s="19">
        <f t="shared" si="738"/>
        <v>796.16549598464803</v>
      </c>
      <c r="CQ458" s="15">
        <f t="shared" si="682"/>
        <v>5.092330991969296E-6</v>
      </c>
      <c r="CR458" s="16">
        <f t="shared" si="683"/>
        <v>25.044903203823452</v>
      </c>
      <c r="CS458" s="17">
        <f t="shared" si="684"/>
        <v>1.2744543906902136E-2</v>
      </c>
      <c r="CT458" s="18">
        <f t="shared" si="739"/>
        <v>0.47381220734389984</v>
      </c>
      <c r="CU458" s="19">
        <f t="shared" si="740"/>
        <v>668.21373681243165</v>
      </c>
      <c r="CV458" s="15">
        <f t="shared" si="685"/>
        <v>4.8364274736248638E-6</v>
      </c>
      <c r="CW458" s="16">
        <f t="shared" si="686"/>
        <v>30.252681648090515</v>
      </c>
      <c r="CX458" s="17">
        <f t="shared" si="687"/>
        <v>1.2104095823182793E-2</v>
      </c>
      <c r="CY458" s="18">
        <f t="shared" si="741"/>
        <v>0.39224889243717315</v>
      </c>
      <c r="CZ458" s="20">
        <f t="shared" si="691"/>
        <v>492.72357130831114</v>
      </c>
      <c r="DA458" s="15">
        <f t="shared" si="688"/>
        <v>7.3238893194193145E-6</v>
      </c>
      <c r="DB458" s="16">
        <f t="shared" si="689"/>
        <v>39.206016432058973</v>
      </c>
      <c r="DC458" s="17">
        <f t="shared" si="690"/>
        <v>1.8329450530185379E-2</v>
      </c>
      <c r="DD458" s="18">
        <f t="shared" si="742"/>
        <v>0.30267244544677918</v>
      </c>
    </row>
    <row r="459" spans="2:108" x14ac:dyDescent="0.25">
      <c r="B459">
        <v>192</v>
      </c>
      <c r="C459">
        <f t="shared" si="743"/>
        <v>0.18770201593828828</v>
      </c>
      <c r="D459" s="19">
        <f t="shared" si="640"/>
        <v>1016.8440871722538</v>
      </c>
      <c r="E459" s="15">
        <f t="shared" si="692"/>
        <v>5.5336881743445084E-6</v>
      </c>
      <c r="F459" s="16">
        <f t="shared" si="641"/>
        <v>27.582707002480916</v>
      </c>
      <c r="G459" s="17">
        <f t="shared" ref="G459:G494" si="744">($E459*$M$8)/($D$6^2)</f>
        <v>1.3849125678644403E-2</v>
      </c>
      <c r="H459" s="18">
        <f t="shared" si="693"/>
        <v>0.43021813880162535</v>
      </c>
      <c r="I459" s="19">
        <f t="shared" si="694"/>
        <v>1016.5194002933183</v>
      </c>
      <c r="J459" s="15">
        <f t="shared" si="695"/>
        <v>5.5330388005866367E-6</v>
      </c>
      <c r="K459" s="16">
        <f t="shared" si="642"/>
        <v>27.578973103373158</v>
      </c>
      <c r="L459" s="17">
        <f t="shared" si="696"/>
        <v>1.3847500495131738E-2</v>
      </c>
      <c r="M459" s="18">
        <f t="shared" si="697"/>
        <v>0.43027638575369975</v>
      </c>
      <c r="N459" s="19">
        <f t="shared" si="698"/>
        <v>1015.6131665188601</v>
      </c>
      <c r="O459" s="15">
        <f t="shared" si="699"/>
        <v>5.5312263330377211E-6</v>
      </c>
      <c r="P459" s="16">
        <f t="shared" si="700"/>
        <v>27.56855141496689</v>
      </c>
      <c r="Q459" s="17">
        <f t="shared" ref="Q459:Q494" si="745">($E459*$M$8)/($D$6^2)</f>
        <v>1.3849125678644403E-2</v>
      </c>
      <c r="R459" s="18">
        <f t="shared" si="701"/>
        <v>0.43043904233849462</v>
      </c>
      <c r="S459" s="19">
        <f t="shared" si="702"/>
        <v>1014.1114701852947</v>
      </c>
      <c r="T459" s="15">
        <f t="shared" si="703"/>
        <v>5.5282229403705901E-6</v>
      </c>
      <c r="U459" s="16">
        <f t="shared" si="704"/>
        <v>27.551281907130889</v>
      </c>
      <c r="V459" s="17">
        <f t="shared" si="705"/>
        <v>1.3835447872851351E-2</v>
      </c>
      <c r="W459" s="18">
        <f t="shared" si="706"/>
        <v>0.43070884722233421</v>
      </c>
      <c r="X459" s="19">
        <f t="shared" si="707"/>
        <v>1012.0124439176678</v>
      </c>
      <c r="Y459" s="15">
        <f t="shared" si="708"/>
        <v>5.5240248878353364E-6</v>
      </c>
      <c r="Z459" s="16">
        <f t="shared" si="709"/>
        <v>27.527143105053177</v>
      </c>
      <c r="AA459" s="17">
        <f t="shared" si="710"/>
        <v>1.3824941433866259E-2</v>
      </c>
      <c r="AB459" s="18">
        <f t="shared" si="711"/>
        <v>0.43108653972665772</v>
      </c>
      <c r="AC459" s="19">
        <f t="shared" si="712"/>
        <v>1009.3146354510897</v>
      </c>
      <c r="AD459" s="15">
        <f t="shared" si="643"/>
        <v>5.5186292709021795E-6</v>
      </c>
      <c r="AE459" s="16">
        <f t="shared" si="644"/>
        <v>27.496118307687532</v>
      </c>
      <c r="AF459" s="17">
        <f t="shared" si="645"/>
        <v>1.38114378581918E-2</v>
      </c>
      <c r="AG459" s="18">
        <f t="shared" si="713"/>
        <v>0.43157294920425798</v>
      </c>
      <c r="AH459" s="19">
        <f t="shared" si="714"/>
        <v>1006.0176902887941</v>
      </c>
      <c r="AI459" s="15">
        <f t="shared" si="646"/>
        <v>5.5120353805775892E-6</v>
      </c>
      <c r="AJ459" s="16">
        <f t="shared" si="647"/>
        <v>27.458203438321132</v>
      </c>
      <c r="AK459" s="17">
        <f t="shared" si="648"/>
        <v>1.3794935371434445E-2</v>
      </c>
      <c r="AL459" s="18">
        <f t="shared" si="715"/>
        <v>0.43216887428099898</v>
      </c>
      <c r="AM459" s="19">
        <f t="shared" si="716"/>
        <v>1002.1214291590665</v>
      </c>
      <c r="AN459" s="15">
        <f t="shared" si="649"/>
        <v>5.5042428583181337E-6</v>
      </c>
      <c r="AO459" s="16">
        <f t="shared" si="650"/>
        <v>27.413396435329261</v>
      </c>
      <c r="AP459" s="17">
        <f t="shared" si="651"/>
        <v>1.3775433076269862E-2</v>
      </c>
      <c r="AQ459" s="18">
        <f t="shared" si="717"/>
        <v>0.43287525125579607</v>
      </c>
      <c r="AR459" s="19">
        <f t="shared" si="718"/>
        <v>997.62556360099973</v>
      </c>
      <c r="AS459" s="15">
        <f t="shared" si="652"/>
        <v>5.4952511272019996E-6</v>
      </c>
      <c r="AT459" s="16">
        <f t="shared" si="653"/>
        <v>27.361693981411499</v>
      </c>
      <c r="AU459" s="17">
        <f t="shared" si="654"/>
        <v>1.3752929528839551E-2</v>
      </c>
      <c r="AV459" s="18">
        <f t="shared" si="719"/>
        <v>0.43369320911854381</v>
      </c>
      <c r="AW459" s="19">
        <f t="shared" si="720"/>
        <v>992.52888038553817</v>
      </c>
      <c r="AX459" s="15">
        <f t="shared" si="655"/>
        <v>5.4850577607710764E-6</v>
      </c>
      <c r="AY459" s="16">
        <f t="shared" si="656"/>
        <v>27.303082124433686</v>
      </c>
      <c r="AZ459" s="17">
        <f t="shared" si="657"/>
        <v>1.3727418656462457E-2</v>
      </c>
      <c r="BA459" s="18">
        <f t="shared" si="721"/>
        <v>0.43462422358164565</v>
      </c>
      <c r="BB459" s="19">
        <f t="shared" si="722"/>
        <v>986.8259422830447</v>
      </c>
      <c r="BC459" s="15">
        <f t="shared" si="658"/>
        <v>5.4736518845660901E-6</v>
      </c>
      <c r="BD459" s="16">
        <f t="shared" si="659"/>
        <v>27.237498336255015</v>
      </c>
      <c r="BE459" s="17">
        <f t="shared" si="660"/>
        <v>1.3698873243699545E-2</v>
      </c>
      <c r="BF459" s="18">
        <f t="shared" si="723"/>
        <v>0.4356707331643101</v>
      </c>
      <c r="BG459" s="19">
        <f t="shared" si="724"/>
        <v>980.49417807719999</v>
      </c>
      <c r="BH459" s="15">
        <f t="shared" si="661"/>
        <v>5.4609883561544001E-6</v>
      </c>
      <c r="BI459" s="16">
        <f t="shared" si="662"/>
        <v>27.164683047887799</v>
      </c>
      <c r="BJ459" s="17">
        <f t="shared" si="663"/>
        <v>1.3667180312875999E-2</v>
      </c>
      <c r="BK459" s="18">
        <f t="shared" si="725"/>
        <v>0.43683855426542845</v>
      </c>
      <c r="BL459" s="19">
        <f t="shared" si="726"/>
        <v>973.44819997187665</v>
      </c>
      <c r="BM459" s="15">
        <f t="shared" si="664"/>
        <v>5.4468963999437544E-6</v>
      </c>
      <c r="BN459" s="16">
        <f t="shared" si="665"/>
        <v>27.083654299676581</v>
      </c>
      <c r="BO459" s="17">
        <f t="shared" si="666"/>
        <v>1.3631912465019302E-2</v>
      </c>
      <c r="BP459" s="18">
        <f t="shared" si="727"/>
        <v>0.43814548577588375</v>
      </c>
      <c r="BQ459" s="19">
        <f t="shared" si="728"/>
        <v>965.3967337142625</v>
      </c>
      <c r="BR459" s="15">
        <f t="shared" si="667"/>
        <v>5.4307934674285257E-6</v>
      </c>
      <c r="BS459" s="16">
        <f t="shared" si="668"/>
        <v>26.991062437714017</v>
      </c>
      <c r="BT459" s="17">
        <f t="shared" si="669"/>
        <v>1.359161175974428E-2</v>
      </c>
      <c r="BU459" s="18">
        <f t="shared" si="729"/>
        <v>0.43964852799336224</v>
      </c>
      <c r="BV459" s="19">
        <f t="shared" si="730"/>
        <v>955.45512593428703</v>
      </c>
      <c r="BW459" s="15">
        <f t="shared" si="670"/>
        <v>5.4109102518685749E-6</v>
      </c>
      <c r="BX459" s="16">
        <f t="shared" si="671"/>
        <v>26.876733948244301</v>
      </c>
      <c r="BY459" s="17">
        <f t="shared" si="672"/>
        <v>1.3541850164491769E-2</v>
      </c>
      <c r="BZ459" s="18">
        <f t="shared" si="731"/>
        <v>0.44151870880476057</v>
      </c>
      <c r="CA459" s="19">
        <f t="shared" si="732"/>
        <v>941.26949114913316</v>
      </c>
      <c r="CB459" s="15">
        <f t="shared" si="673"/>
        <v>5.3825389822982673E-6</v>
      </c>
      <c r="CC459" s="16">
        <f t="shared" si="674"/>
        <v>26.713599148215032</v>
      </c>
      <c r="CD459" s="17">
        <f t="shared" si="675"/>
        <v>1.3470845571250764E-2</v>
      </c>
      <c r="CE459" s="18">
        <f t="shared" si="733"/>
        <v>0.4442149784414508</v>
      </c>
      <c r="CF459" s="19">
        <f t="shared" si="734"/>
        <v>917.47061455654284</v>
      </c>
      <c r="CG459" s="15">
        <f t="shared" si="676"/>
        <v>5.3349412291130864E-6</v>
      </c>
      <c r="CH459" s="16">
        <f t="shared" si="677"/>
        <v>26.439912067400243</v>
      </c>
      <c r="CI459" s="17">
        <f t="shared" si="678"/>
        <v>1.3351722981557543E-2</v>
      </c>
      <c r="CJ459" s="18">
        <f t="shared" si="735"/>
        <v>0.44881317454716874</v>
      </c>
      <c r="CK459" s="19">
        <f t="shared" si="736"/>
        <v>873.88895095185637</v>
      </c>
      <c r="CL459" s="15">
        <f t="shared" si="679"/>
        <v>5.2477779019037132E-6</v>
      </c>
      <c r="CM459" s="16">
        <f t="shared" si="680"/>
        <v>25.938722935946348</v>
      </c>
      <c r="CN459" s="17">
        <f t="shared" si="681"/>
        <v>1.3133579885116368E-2</v>
      </c>
      <c r="CO459" s="18">
        <f t="shared" si="737"/>
        <v>0.45748516220407204</v>
      </c>
      <c r="CP459" s="19">
        <f t="shared" si="738"/>
        <v>795.43733912885546</v>
      </c>
      <c r="CQ459" s="15">
        <f t="shared" si="682"/>
        <v>5.090874678257712E-6</v>
      </c>
      <c r="CR459" s="16">
        <f t="shared" si="683"/>
        <v>25.036529399981838</v>
      </c>
      <c r="CS459" s="17">
        <f t="shared" si="684"/>
        <v>1.274089919997543E-2</v>
      </c>
      <c r="CT459" s="18">
        <f t="shared" si="739"/>
        <v>0.47397068020643895</v>
      </c>
      <c r="CU459" s="19">
        <f t="shared" si="740"/>
        <v>667.50631469093071</v>
      </c>
      <c r="CV459" s="15">
        <f t="shared" si="685"/>
        <v>4.8350126293818613E-6</v>
      </c>
      <c r="CW459" s="16">
        <f t="shared" si="686"/>
        <v>30.394732010087864</v>
      </c>
      <c r="CX459" s="17">
        <f t="shared" si="687"/>
        <v>1.2100554901627456E-2</v>
      </c>
      <c r="CY459" s="18">
        <f t="shared" si="741"/>
        <v>0.39041570972823308</v>
      </c>
      <c r="CZ459" s="20">
        <f t="shared" si="691"/>
        <v>492.66182704606598</v>
      </c>
      <c r="DA459" s="15">
        <f t="shared" si="688"/>
        <v>7.3248111664403189E-6</v>
      </c>
      <c r="DB459" s="16">
        <f t="shared" si="689"/>
        <v>39.207807015664088</v>
      </c>
      <c r="DC459" s="17">
        <f t="shared" si="690"/>
        <v>1.8331757630775103E-2</v>
      </c>
      <c r="DD459" s="18">
        <f t="shared" si="742"/>
        <v>0.30265862268137128</v>
      </c>
    </row>
    <row r="460" spans="2:108" x14ac:dyDescent="0.25">
      <c r="B460">
        <v>193</v>
      </c>
      <c r="C460">
        <f t="shared" si="743"/>
        <v>0.18867963060463352</v>
      </c>
      <c r="D460" s="19">
        <f t="shared" ref="D460:D494" si="746">D459+(4*$H$7*(I459-D459))</f>
        <v>1016.8275103004246</v>
      </c>
      <c r="E460" s="15">
        <f t="shared" si="692"/>
        <v>5.5336550206008504E-6</v>
      </c>
      <c r="F460" s="16">
        <f t="shared" ref="F460:F523" si="747">IF($D460&lt;650,(53.495-(0.029*D460)),IF(D460&lt;700,((0.00000000000000006*(D460^2))-(0.2008*D460) + 164.43),IF(D460&lt;1250,((0.0115*D460)+ 15.889))))</f>
        <v>27.582516368454883</v>
      </c>
      <c r="G460" s="17">
        <f t="shared" si="744"/>
        <v>1.3849042704984131E-2</v>
      </c>
      <c r="H460" s="18">
        <f t="shared" si="693"/>
        <v>0.4302211122147388</v>
      </c>
      <c r="I460" s="19">
        <f t="shared" si="694"/>
        <v>1016.5028228891796</v>
      </c>
      <c r="J460" s="15">
        <f t="shared" si="695"/>
        <v>5.53300564577836E-6</v>
      </c>
      <c r="K460" s="16">
        <f t="shared" ref="K460:K523" si="748">IF($I460&lt;650,(53.495-(0.029*I460)),IF(I460&lt;700,((0.00000000000000006*(I460^2))-(0.2008*I460) + 164.43),IF(I460&lt;1250,((0.0115*I460)+ 15.889))))</f>
        <v>27.578782463225565</v>
      </c>
      <c r="L460" s="17">
        <f t="shared" si="696"/>
        <v>1.384741751880705E-2</v>
      </c>
      <c r="M460" s="18">
        <f t="shared" si="697"/>
        <v>0.43027936006751488</v>
      </c>
      <c r="N460" s="19">
        <f t="shared" si="698"/>
        <v>1015.5965849967969</v>
      </c>
      <c r="O460" s="15">
        <f t="shared" si="699"/>
        <v>5.5311931699935948E-6</v>
      </c>
      <c r="P460" s="16">
        <f t="shared" si="700"/>
        <v>27.568360727463165</v>
      </c>
      <c r="Q460" s="17">
        <f t="shared" si="745"/>
        <v>1.3849042704984131E-2</v>
      </c>
      <c r="R460" s="18">
        <f t="shared" si="701"/>
        <v>0.43044201964089213</v>
      </c>
      <c r="S460" s="19">
        <f t="shared" si="702"/>
        <v>1014.0948866440168</v>
      </c>
      <c r="T460" s="15">
        <f t="shared" si="703"/>
        <v>5.5281897732880335E-6</v>
      </c>
      <c r="U460" s="16">
        <f t="shared" si="704"/>
        <v>27.55109119640619</v>
      </c>
      <c r="V460" s="17">
        <f t="shared" si="705"/>
        <v>1.3835364865807902E-2</v>
      </c>
      <c r="W460" s="18">
        <f t="shared" si="706"/>
        <v>0.43071182862135765</v>
      </c>
      <c r="X460" s="19">
        <f t="shared" si="707"/>
        <v>1011.9958638026266</v>
      </c>
      <c r="Y460" s="15">
        <f t="shared" si="708"/>
        <v>5.5239917276052535E-6</v>
      </c>
      <c r="Z460" s="16">
        <f t="shared" si="709"/>
        <v>27.526952433730205</v>
      </c>
      <c r="AA460" s="17">
        <f t="shared" si="710"/>
        <v>1.382485844397245E-2</v>
      </c>
      <c r="AB460" s="18">
        <f t="shared" si="711"/>
        <v>0.43108952573976772</v>
      </c>
      <c r="AC460" s="19">
        <f t="shared" si="712"/>
        <v>1009.2980648090502</v>
      </c>
      <c r="AD460" s="15">
        <f t="shared" ref="AD460:AD523" si="749">IF(AC460&gt;=650,((0.00002*AC460)+0.035)/10000,IF(AC460&lt;650,((-0.0000000000003*(AC460^4))+(0.0000000004*(AC460^3))-(0.0000002*(AC460^2))-(0.0001*AC460)+0.1409)/10000))</f>
        <v>5.5185961296181009E-6</v>
      </c>
      <c r="AE460" s="16">
        <f t="shared" ref="AE460:AE523" si="750">IF(AC460&lt;650,(53.495-(0.029*AC460)),IF(AC460&lt;700,((0.00000000000000006*(AC460^2))-(0.2008*AC460) + 164.43),IF(AC460&lt;1250,((0.0115*AC460)+ 15.889))))</f>
        <v>27.495927745304076</v>
      </c>
      <c r="AF460" s="17">
        <f t="shared" ref="AF460:AF523" si="751">(AD460*$M$8)/($D$6^2)</f>
        <v>1.3811354915714035E-2</v>
      </c>
      <c r="AG460" s="18">
        <f t="shared" si="713"/>
        <v>0.4315759402497174</v>
      </c>
      <c r="AH460" s="19">
        <f t="shared" si="714"/>
        <v>1006.0011339295045</v>
      </c>
      <c r="AI460" s="15">
        <f t="shared" ref="AI460:AI523" si="752">IF(AH460&gt;=650,((0.00002*AH460)+0.035)/10000,IF(AH460&lt;650,((-0.0000000000003*(AH460^4))+(0.0000000004*(AH460^3))-(0.0000002*(AH460^2))-(0.0001*AH460)+0.1409)/10000))</f>
        <v>5.5120022678590089E-6</v>
      </c>
      <c r="AJ460" s="16">
        <f t="shared" ref="AJ460:AJ523" si="753">IF(AH460&lt;650,(53.495-(0.029*AH460)),IF(AH460&lt;700,((0.00000000000000006*(AH460^2))-(0.2008*AH460) + 164.43),IF(AH460&lt;1250,((0.0115*AH460)+ 15.889))))</f>
        <v>27.4580130401893</v>
      </c>
      <c r="AK460" s="17">
        <f t="shared" ref="AK460:AK523" si="754">(AI460*$M$8)/($D$6^2)</f>
        <v>1.3794852500447369E-2</v>
      </c>
      <c r="AL460" s="18">
        <f t="shared" si="715"/>
        <v>0.43217187100717058</v>
      </c>
      <c r="AM460" s="19">
        <f t="shared" si="716"/>
        <v>1002.1048885508601</v>
      </c>
      <c r="AN460" s="15">
        <f t="shared" ref="AN460:AN523" si="755">IF(AM460&gt;=650,((0.00002*AM460)+0.035)/10000,IF(AM460&lt;650,((-0.0000000000003*(AM460^4))+(0.0000000004*(AM460^3))-(0.0000002*(AM460^2))-(0.0001*AM460)+0.1409)/10000))</f>
        <v>5.504209777101721E-6</v>
      </c>
      <c r="AO460" s="16">
        <f t="shared" ref="AO460:AO523" si="756">IF(AM460&lt;650,(53.495-(0.029*AM460)),IF(AM460&lt;700,((0.00000000000000006*(AM460^2))-(0.2008*AM460) + 164.43),IF(AM460&lt;1250,((0.0115*AM460)+ 15.889))))</f>
        <v>27.413206218334892</v>
      </c>
      <c r="AP460" s="17">
        <f t="shared" ref="AP460:AP523" si="757">(AN460*$M$8)/($D$6^2)</f>
        <v>1.3775350284123059E-2</v>
      </c>
      <c r="AQ460" s="18">
        <f t="shared" si="717"/>
        <v>0.43287825492594595</v>
      </c>
      <c r="AR460" s="19">
        <f t="shared" si="718"/>
        <v>997.60902833234513</v>
      </c>
      <c r="AS460" s="15">
        <f t="shared" ref="AS460:AS523" si="758">IF(AR460&gt;=650,((0.00002*AR460)+0.035)/10000,IF(AR460&lt;650,((-0.0000000000003*(AR460^4))+(0.0000000004*(AR460^3))-(0.0000002*(AR460^2))-(0.0001*AR460)+0.1409)/10000))</f>
        <v>5.4952180566646902E-6</v>
      </c>
      <c r="AT460" s="16">
        <f t="shared" ref="AT460:AT523" si="759">IF(AR460&lt;650,(53.495-(0.029*AR460)),IF(AR460&lt;700,((0.00000000000000006*(AR460^2))-(0.2008*AR460) + 164.43),IF(AR460&lt;1250,((0.0115*AR460)+ 15.889))))</f>
        <v>27.36150382582197</v>
      </c>
      <c r="AU460" s="17">
        <f t="shared" ref="AU460:AU523" si="760">(AS460*$M$8)/($D$6^2)</f>
        <v>1.375284676341927E-2</v>
      </c>
      <c r="AV460" s="18">
        <f t="shared" si="719"/>
        <v>0.43369622317758016</v>
      </c>
      <c r="AW460" s="19">
        <f t="shared" si="720"/>
        <v>992.51229123625012</v>
      </c>
      <c r="AX460" s="15">
        <f t="shared" ref="AX460:AX523" si="761">IF(AW460&gt;=650,((0.00002*AW460)+0.035)/10000,IF(AW460&lt;650,((-0.0000000000003*(AW460^4))+(0.0000000004*(AW460^3))-(0.0000002*(AW460^2))-(0.0001*AW460)+0.1409)/10000))</f>
        <v>5.4850245824725E-6</v>
      </c>
      <c r="AY460" s="16">
        <f t="shared" ref="AY460:AY523" si="762">IF(AW460&lt;650,(53.495-(0.029*AW460)),IF(AW460&lt;700,((0.00000000000000006*(AW460^2))-(0.2008*AW460) + 164.43),IF(AW460&lt;1250,((0.0115*AW460)+ 15.889))))</f>
        <v>27.302891349216875</v>
      </c>
      <c r="AZ460" s="17">
        <f t="shared" ref="AZ460:AZ523" si="763">(AX460*$M$8)/($D$6^2)</f>
        <v>1.3727335621348749E-2</v>
      </c>
      <c r="BA460" s="18">
        <f t="shared" si="721"/>
        <v>0.43462726045892813</v>
      </c>
      <c r="BB460" s="19">
        <f t="shared" si="722"/>
        <v>986.8090499561921</v>
      </c>
      <c r="BC460" s="15">
        <f t="shared" ref="BC460:BC523" si="764">IF(BB460&gt;=650,((0.00002*BB460)+0.035)/10000,IF(BB460&lt;650,((-0.0000000000003*(BB460^4))+(0.0000000004*(BB460^3))-(0.0000002*(BB460^2))-(0.0001*BB460)+0.1409)/10000))</f>
        <v>5.473618099912385E-6</v>
      </c>
      <c r="BD460" s="16">
        <f t="shared" ref="BD460:BD523" si="765">IF(BB460&lt;650,(53.495-(0.029*BB460)),IF(BB460&lt;700,((0.00000000000000006*(BB460^2))-(0.2008*BB460) + 164.43),IF(BB460&lt;1250,((0.0115*BB460)+ 15.889))))</f>
        <v>27.237304074496208</v>
      </c>
      <c r="BE460" s="17">
        <f t="shared" ref="BE460:BE523" si="766">(BC460*$M$8)/($D$6^2)</f>
        <v>1.369878869106477E-2</v>
      </c>
      <c r="BF460" s="18">
        <f t="shared" si="723"/>
        <v>0.43567384045285279</v>
      </c>
      <c r="BG460" s="19">
        <f t="shared" si="724"/>
        <v>980.47606426349785</v>
      </c>
      <c r="BH460" s="15">
        <f t="shared" ref="BH460:BH523" si="767">IF(BG460&gt;=650,((0.00002*BG460)+0.035)/10000,IF(BG460&lt;650,((-0.0000000000003*(BG460^4))+(0.0000000004*(BG460^3))-(0.0000002*(BG460^2))-(0.0001*BG460)+0.1409)/10000))</f>
        <v>5.4609521285269958E-6</v>
      </c>
      <c r="BI460" s="16">
        <f t="shared" ref="BI460:BI523" si="768">IF(BG460&lt;650,(53.495-(0.029*BG460)),IF(BG460&lt;700,((0.00000000000000006*(BG460^2))-(0.2008*BG460) + 164.43),IF(BG460&lt;1250,((0.0115*BG460)+ 15.889))))</f>
        <v>27.164474739030226</v>
      </c>
      <c r="BJ460" s="17">
        <f t="shared" ref="BJ460:BJ523" si="769">(BH460*$M$8)/($D$6^2)</f>
        <v>1.3667089646226713E-2</v>
      </c>
      <c r="BK460" s="18">
        <f t="shared" si="725"/>
        <v>0.43684190413105467</v>
      </c>
      <c r="BL460" s="19">
        <f t="shared" si="726"/>
        <v>973.42586045326368</v>
      </c>
      <c r="BM460" s="15">
        <f t="shared" ref="BM460:BM523" si="770">IF(BL460&gt;=650,((0.00002*BL460)+0.035)/10000,IF(BL460&lt;650,((-0.0000000000003*(BL460^4))+(0.0000000004*(BL460^3))-(0.0000002*(BL460^2))-(0.0001*BL460)+0.1409)/10000))</f>
        <v>5.4468517209065282E-6</v>
      </c>
      <c r="BN460" s="16">
        <f t="shared" ref="BN460:BN523" si="771">IF(BL460&lt;650,(53.495-(0.029*BL460)),IF(BL460&lt;700,((0.00000000000000006*(BL460^2))-(0.2008*BL460) + 164.43),IF(BL460&lt;1250,((0.0115*BL460)+ 15.889))))</f>
        <v>27.083397395212529</v>
      </c>
      <c r="BO460" s="17">
        <f t="shared" ref="BO460:BO523" si="772">(BM460*$M$8)/($D$6^2)</f>
        <v>1.3631800647081201E-2</v>
      </c>
      <c r="BP460" s="18">
        <f t="shared" si="727"/>
        <v>0.43814964188412814</v>
      </c>
      <c r="BQ460" s="19">
        <f t="shared" si="728"/>
        <v>965.36153391266919</v>
      </c>
      <c r="BR460" s="15">
        <f t="shared" ref="BR460:BR523" si="773">IF(BQ460&gt;=650,((0.00002*BQ460)+0.035)/10000,IF(BQ460&lt;650,((-0.0000000000003*(BQ460^4))+(0.0000000004*(BQ460^3))-(0.0000002*(BQ460^2))-(0.0001*BQ460)+0.1409)/10000))</f>
        <v>5.430723067825339E-6</v>
      </c>
      <c r="BS460" s="16">
        <f t="shared" ref="BS460:BS523" si="774">IF(BQ460&lt;650,(53.495-(0.029*BQ460)),IF(BQ460&lt;700,((0.00000000000000006*(BQ460^2))-(0.2008*BQ460) + 164.43),IF(BQ460&lt;1250,((0.0115*BQ460)+ 15.889))))</f>
        <v>26.990657639995696</v>
      </c>
      <c r="BT460" s="17">
        <f t="shared" ref="BT460:BT523" si="775">(BR460*$M$8)/($D$6^2)</f>
        <v>1.3591435571111756E-2</v>
      </c>
      <c r="BU460" s="18">
        <f t="shared" si="729"/>
        <v>0.43965512170898668</v>
      </c>
      <c r="BV460" s="19">
        <f t="shared" si="730"/>
        <v>955.38573194815433</v>
      </c>
      <c r="BW460" s="15">
        <f t="shared" ref="BW460:BW523" si="776">IF(BV460&gt;=650,((0.00002*BV460)+0.035)/10000,IF(BV460&lt;650,((-0.0000000000003*(BV460^4))+(0.0000000004*(BV460^3))-(0.0000002*(BV460^2))-(0.0001*BV460)+0.1409)/10000))</f>
        <v>5.4107714638963094E-6</v>
      </c>
      <c r="BX460" s="16">
        <f t="shared" ref="BX460:BX523" si="777">IF(BV460&lt;650,(53.495-(0.029*BV460)),IF(BV460&lt;700,((0.00000000000000006*(BV460^2))-(0.2008*BV460) + 164.43),IF(BV460&lt;1250,((0.0115*BV460)+ 15.889))))</f>
        <v>26.875935917403773</v>
      </c>
      <c r="BY460" s="17">
        <f t="shared" ref="BY460:BY523" si="778">(BW460*$M$8)/($D$6^2)</f>
        <v>1.3541502820729339E-2</v>
      </c>
      <c r="BZ460" s="18">
        <f t="shared" si="731"/>
        <v>0.44153181888015958</v>
      </c>
      <c r="CA460" s="19">
        <f t="shared" si="732"/>
        <v>941.12216782914925</v>
      </c>
      <c r="CB460" s="15">
        <f t="shared" ref="CB460:CB523" si="779">IF(CA460&gt;=650,((0.00002*CA460)+0.035)/10000,IF(CA460&lt;650,((-0.0000000000003*(CA460^4))+(0.0000000004*(CA460^3))-(0.0000002*(CA460^2))-(0.0001*CA460)+0.1409)/10000))</f>
        <v>5.3822443356582991E-6</v>
      </c>
      <c r="CC460" s="16">
        <f t="shared" ref="CC460:CC523" si="780">IF(CA460&lt;650,(53.495-(0.029*CA460)),IF(CA460&lt;700,((0.00000000000000006*(CA460^2))-(0.2008*CA460) + 164.43),IF(CA460&lt;1250,((0.0115*CA460)+ 15.889))))</f>
        <v>26.711904930035217</v>
      </c>
      <c r="CD460" s="17">
        <f t="shared" ref="CD460:CD523" si="781">(CB460*$M$8)/($D$6^2)</f>
        <v>1.3470108161006612E-2</v>
      </c>
      <c r="CE460" s="18">
        <f t="shared" si="733"/>
        <v>0.44424315303604417</v>
      </c>
      <c r="CF460" s="19">
        <f t="shared" si="734"/>
        <v>917.17577505187614</v>
      </c>
      <c r="CG460" s="15">
        <f t="shared" ref="CG460:CG523" si="782">IF(CF460&gt;=650,((0.00002*CF460)+0.035)/10000,IF(CF460&lt;650,((-0.0000000000003*(CF460^4))+(0.0000000004*(CF460^3))-(0.0000002*(CF460^2))-(0.0001*CF460)+0.1409)/10000))</f>
        <v>5.3343515501037521E-6</v>
      </c>
      <c r="CH460" s="16">
        <f t="shared" ref="CH460:CH523" si="783">IF(CF460&lt;650,(53.495-(0.029*CF460)),IF(CF460&lt;700,((0.00000000000000006*(CF460^2))-(0.2008*CF460) + 164.43),IF(CF460&lt;1250,((0.0115*CF460)+ 15.889))))</f>
        <v>26.436521413096575</v>
      </c>
      <c r="CI460" s="17">
        <f t="shared" ref="CI460:CI523" si="784">(CG460*$M$8)/($D$6^2)</f>
        <v>1.3350247195706762E-2</v>
      </c>
      <c r="CJ460" s="18">
        <f t="shared" si="735"/>
        <v>0.44887073773023817</v>
      </c>
      <c r="CK460" s="19">
        <f t="shared" si="736"/>
        <v>873.37551162952684</v>
      </c>
      <c r="CL460" s="15">
        <f t="shared" ref="CL460:CL523" si="785">IF(CK460&gt;=650,((0.00002*CK460)+0.035)/10000,IF(CK460&lt;650,((-0.0000000000003*(CK460^4))+(0.0000000004*(CK460^3))-(0.0000002*(CK460^2))-(0.0001*CK460)+0.1409)/10000))</f>
        <v>5.2467510232590542E-6</v>
      </c>
      <c r="CM460" s="16">
        <f t="shared" ref="CM460:CM523" si="786">IF(CK460&lt;650,(53.495-(0.029*CK460)),IF(CK460&lt;700,((0.00000000000000006*(CK460^2))-(0.2008*CK460) + 164.43),IF(CK460&lt;1250,((0.0115*CK460)+ 15.889))))</f>
        <v>25.932818383739558</v>
      </c>
      <c r="CN460" s="17">
        <f t="shared" ref="CN460:CN523" si="787">(CL460*$M$8)/($D$6^2)</f>
        <v>1.3131009922560017E-2</v>
      </c>
      <c r="CO460" s="18">
        <f t="shared" si="737"/>
        <v>0.45758932539158576</v>
      </c>
      <c r="CP460" s="19">
        <f t="shared" si="738"/>
        <v>794.71234634738573</v>
      </c>
      <c r="CQ460" s="15">
        <f t="shared" ref="CQ460:CQ523" si="788">IF(CP460&gt;=650,((0.00002*CP460)+0.035)/10000,IF(CP460&lt;650,((-0.0000000000003*(CP460^4))+(0.0000000004*(CP460^3))-(0.0000002*(CP460^2))-(0.0001*CP460)+0.1409)/10000))</f>
        <v>5.0894246926947721E-6</v>
      </c>
      <c r="CR460" s="16">
        <f t="shared" ref="CR460:CR523" si="789">IF(CP460&lt;650,(53.495-(0.029*CP460)),IF(CP460&lt;700,((0.00000000000000006*(CP460^2))-(0.2008*CP460) + 164.43),IF(CP460&lt;1250,((0.0115*CP460)+ 15.889))))</f>
        <v>25.028191982994933</v>
      </c>
      <c r="CS460" s="17">
        <f t="shared" ref="CS460:CS523" si="790">(CQ460*$M$8)/($D$6^2)</f>
        <v>1.2737270330465494E-2</v>
      </c>
      <c r="CT460" s="18">
        <f t="shared" si="739"/>
        <v>0.47412856980562107</v>
      </c>
      <c r="CU460" s="19">
        <f t="shared" si="740"/>
        <v>666.80727750300866</v>
      </c>
      <c r="CV460" s="15">
        <f t="shared" ref="CV460:CV523" si="791">IF(CU460&gt;=650,((0.00002*CU460)+0.035)/10000,IF(CU460&lt;650,((-0.0000000000003*(CU460^4))+(0.0000000004*(CU460^3))-(0.0000002*(CU460^2))-(0.0001*CU460)+0.1409)/10000))</f>
        <v>4.8336145550060175E-6</v>
      </c>
      <c r="CW460" s="16">
        <f t="shared" ref="CW460:CW523" si="792">IF(CU460&lt;650,(53.495-(0.029*CU460)),IF(CU460&lt;700,((0.00000000000000006*(CU460^2))-(0.2008*CU460) + 164.43),IF(CU460&lt;1250,((0.0115*CU460)+ 15.889))))</f>
        <v>30.535098677422553</v>
      </c>
      <c r="CX460" s="17">
        <f t="shared" ref="CX460:CX523" si="793">(CV460*$M$8)/($D$6^2)</f>
        <v>1.2097055949910422E-2</v>
      </c>
      <c r="CY460" s="18">
        <f t="shared" si="741"/>
        <v>0.38862100938589628</v>
      </c>
      <c r="CZ460" s="20">
        <f t="shared" si="691"/>
        <v>492.60484644428971</v>
      </c>
      <c r="DA460" s="15">
        <f t="shared" ref="DA460:DA523" si="794">IF(CZ460&gt;=650,((0.00002*CZ460)+0.035)/10000,IF(CZ460&lt;650,((-0.0000000000003*(CZ460^4))+(0.0000000004*(CZ460^3))-(0.0000002*(CZ460^2))-(0.0001*CZ460)+0.1409)/10000))</f>
        <v>7.3256618606977495E-6</v>
      </c>
      <c r="DB460" s="16">
        <f t="shared" ref="DB460:DB523" si="795">IF(CZ460&lt;650,(53.495-(0.029*CZ460)),IF(CZ460&lt;700,((0.00000000000000006*(CZ460^2))-(0.2008*CZ460) + 164.43),IF(CZ460&lt;1250,((0.0115*CZ460)+ 15.889))))</f>
        <v>39.209459453115599</v>
      </c>
      <c r="DC460" s="17">
        <f t="shared" ref="DC460:DC523" si="796">(DA460*$M$8)/($D$6^2)</f>
        <v>1.833388665780266E-2</v>
      </c>
      <c r="DD460" s="18">
        <f t="shared" si="742"/>
        <v>0.30264586748275041</v>
      </c>
    </row>
    <row r="461" spans="2:108" x14ac:dyDescent="0.25">
      <c r="B461">
        <v>194</v>
      </c>
      <c r="C461">
        <f t="shared" si="743"/>
        <v>0.18965724527097877</v>
      </c>
      <c r="D461" s="19">
        <f t="shared" si="746"/>
        <v>1016.8109334014184</v>
      </c>
      <c r="E461" s="15">
        <f t="shared" si="692"/>
        <v>5.5336218668028375E-6</v>
      </c>
      <c r="F461" s="16">
        <f t="shared" si="747"/>
        <v>27.58232573411631</v>
      </c>
      <c r="G461" s="17">
        <f t="shared" si="744"/>
        <v>1.3848959731187823E-2</v>
      </c>
      <c r="H461" s="18">
        <f t="shared" si="693"/>
        <v>0.43022408567382847</v>
      </c>
      <c r="I461" s="19">
        <f t="shared" si="694"/>
        <v>1016.4862455025036</v>
      </c>
      <c r="J461" s="15">
        <f t="shared" si="695"/>
        <v>5.5329724910050073E-6</v>
      </c>
      <c r="K461" s="16">
        <f t="shared" si="748"/>
        <v>27.578591823278792</v>
      </c>
      <c r="L461" s="17">
        <f t="shared" si="696"/>
        <v>1.3847334542569766E-2</v>
      </c>
      <c r="M461" s="18">
        <f t="shared" si="697"/>
        <v>0.43028233441931746</v>
      </c>
      <c r="N461" s="19">
        <f t="shared" si="698"/>
        <v>1015.5800035819088</v>
      </c>
      <c r="O461" s="15">
        <f t="shared" si="699"/>
        <v>5.5311600071638187E-6</v>
      </c>
      <c r="P461" s="16">
        <f t="shared" si="700"/>
        <v>27.568170041191951</v>
      </c>
      <c r="Q461" s="17">
        <f t="shared" si="745"/>
        <v>1.3848959731187823E-2</v>
      </c>
      <c r="R461" s="18">
        <f t="shared" si="701"/>
        <v>0.43044499696523308</v>
      </c>
      <c r="S461" s="19">
        <f t="shared" si="702"/>
        <v>1014.0783032807574</v>
      </c>
      <c r="T461" s="15">
        <f t="shared" si="703"/>
        <v>5.5281566065615153E-6</v>
      </c>
      <c r="U461" s="16">
        <f t="shared" si="704"/>
        <v>27.550900487728711</v>
      </c>
      <c r="V461" s="17">
        <f t="shared" si="705"/>
        <v>1.3835281859655508E-2</v>
      </c>
      <c r="W461" s="18">
        <f t="shared" si="706"/>
        <v>0.43071481002965128</v>
      </c>
      <c r="X461" s="19">
        <f t="shared" si="707"/>
        <v>1011.9792838930256</v>
      </c>
      <c r="Y461" s="15">
        <f t="shared" si="708"/>
        <v>5.5239585677860509E-6</v>
      </c>
      <c r="Z461" s="16">
        <f t="shared" si="709"/>
        <v>27.526761764769795</v>
      </c>
      <c r="AA461" s="17">
        <f t="shared" si="710"/>
        <v>1.3824775455106953E-2</v>
      </c>
      <c r="AB461" s="18">
        <f t="shared" si="711"/>
        <v>0.43109251175724478</v>
      </c>
      <c r="AC461" s="19">
        <f t="shared" si="712"/>
        <v>1009.2814943658177</v>
      </c>
      <c r="AD461" s="15">
        <f t="shared" si="749"/>
        <v>5.5185629887316357E-6</v>
      </c>
      <c r="AE461" s="16">
        <f t="shared" si="750"/>
        <v>27.495737185206902</v>
      </c>
      <c r="AF461" s="17">
        <f t="shared" si="751"/>
        <v>1.3811271974231376E-2</v>
      </c>
      <c r="AG461" s="18">
        <f t="shared" si="713"/>
        <v>0.43157893130075042</v>
      </c>
      <c r="AH461" s="19">
        <f t="shared" si="714"/>
        <v>1005.9845777244876</v>
      </c>
      <c r="AI461" s="15">
        <f t="shared" si="752"/>
        <v>5.5119691554489757E-6</v>
      </c>
      <c r="AJ461" s="16">
        <f t="shared" si="753"/>
        <v>27.457822643831605</v>
      </c>
      <c r="AK461" s="17">
        <f t="shared" si="754"/>
        <v>1.3794769630232493E-2</v>
      </c>
      <c r="AL461" s="18">
        <f t="shared" si="715"/>
        <v>0.43217486774697789</v>
      </c>
      <c r="AM461" s="19">
        <f t="shared" si="716"/>
        <v>1002.0883479191754</v>
      </c>
      <c r="AN461" s="15">
        <f t="shared" si="755"/>
        <v>5.5041766958383521E-6</v>
      </c>
      <c r="AO461" s="16">
        <f t="shared" si="756"/>
        <v>27.413016001070517</v>
      </c>
      <c r="AP461" s="17">
        <f t="shared" si="757"/>
        <v>1.3775267491858735E-2</v>
      </c>
      <c r="AQ461" s="18">
        <f t="shared" si="717"/>
        <v>0.43288125864204408</v>
      </c>
      <c r="AR461" s="19">
        <f t="shared" si="718"/>
        <v>997.59249230550495</v>
      </c>
      <c r="AS461" s="15">
        <f t="shared" si="758"/>
        <v>5.4951849846110107E-6</v>
      </c>
      <c r="AT461" s="16">
        <f t="shared" si="759"/>
        <v>27.361313661513307</v>
      </c>
      <c r="AU461" s="17">
        <f t="shared" si="760"/>
        <v>1.3752763994203977E-2</v>
      </c>
      <c r="AV461" s="18">
        <f t="shared" si="719"/>
        <v>0.43369923741671612</v>
      </c>
      <c r="AW461" s="19">
        <f t="shared" si="720"/>
        <v>992.49569848547162</v>
      </c>
      <c r="AX461" s="15">
        <f t="shared" si="761"/>
        <v>5.4849913969709434E-6</v>
      </c>
      <c r="AY461" s="16">
        <f t="shared" si="762"/>
        <v>27.302700532582925</v>
      </c>
      <c r="AZ461" s="17">
        <f t="shared" si="763"/>
        <v>1.3727252568208188E-2</v>
      </c>
      <c r="BA461" s="18">
        <f t="shared" si="721"/>
        <v>0.43463029803796777</v>
      </c>
      <c r="BB461" s="19">
        <f t="shared" si="722"/>
        <v>986.79214407920529</v>
      </c>
      <c r="BC461" s="15">
        <f t="shared" si="764"/>
        <v>5.4735842881584114E-6</v>
      </c>
      <c r="BD461" s="16">
        <f t="shared" si="765"/>
        <v>27.23710965691086</v>
      </c>
      <c r="BE461" s="17">
        <f t="shared" si="766"/>
        <v>1.3698704070606325E-2</v>
      </c>
      <c r="BF461" s="18">
        <f t="shared" si="723"/>
        <v>0.4356769502782758</v>
      </c>
      <c r="BG461" s="19">
        <f t="shared" si="724"/>
        <v>980.45790601600061</v>
      </c>
      <c r="BH461" s="15">
        <f t="shared" si="767"/>
        <v>5.4609158120320016E-6</v>
      </c>
      <c r="BI461" s="16">
        <f t="shared" si="768"/>
        <v>27.164265919184004</v>
      </c>
      <c r="BJ461" s="17">
        <f t="shared" si="769"/>
        <v>1.3666998757169084E-2</v>
      </c>
      <c r="BK461" s="18">
        <f t="shared" si="725"/>
        <v>0.43684526226558024</v>
      </c>
      <c r="BL461" s="19">
        <f t="shared" si="726"/>
        <v>973.4033933446882</v>
      </c>
      <c r="BM461" s="15">
        <f t="shared" si="770"/>
        <v>5.4468067866893772E-6</v>
      </c>
      <c r="BN461" s="16">
        <f t="shared" si="771"/>
        <v>27.083139023463914</v>
      </c>
      <c r="BO461" s="17">
        <f t="shared" si="772"/>
        <v>1.3631688190505949E-2</v>
      </c>
      <c r="BP461" s="18">
        <f t="shared" si="727"/>
        <v>0.43815382180910029</v>
      </c>
      <c r="BQ461" s="19">
        <f t="shared" si="728"/>
        <v>965.32601891391039</v>
      </c>
      <c r="BR461" s="15">
        <f t="shared" si="773"/>
        <v>5.4306520378278213E-6</v>
      </c>
      <c r="BS461" s="16">
        <f t="shared" si="774"/>
        <v>26.99024921750997</v>
      </c>
      <c r="BT461" s="17">
        <f t="shared" si="775"/>
        <v>1.3591257804795406E-2</v>
      </c>
      <c r="BU461" s="18">
        <f t="shared" si="729"/>
        <v>0.43966177466858786</v>
      </c>
      <c r="BV461" s="19">
        <f t="shared" si="730"/>
        <v>955.3156900289689</v>
      </c>
      <c r="BW461" s="15">
        <f t="shared" si="776"/>
        <v>5.4106313800579381E-6</v>
      </c>
      <c r="BX461" s="16">
        <f t="shared" si="777"/>
        <v>26.875130435333141</v>
      </c>
      <c r="BY461" s="17">
        <f t="shared" si="778"/>
        <v>1.3541152233811171E-2</v>
      </c>
      <c r="BZ461" s="18">
        <f t="shared" si="731"/>
        <v>0.4415450521541181</v>
      </c>
      <c r="CA461" s="19">
        <f t="shared" si="732"/>
        <v>940.97380427746111</v>
      </c>
      <c r="CB461" s="15">
        <f t="shared" si="779"/>
        <v>5.3819476085549226E-6</v>
      </c>
      <c r="CC461" s="16">
        <f t="shared" si="780"/>
        <v>26.710198749190802</v>
      </c>
      <c r="CD461" s="17">
        <f t="shared" si="781"/>
        <v>1.3469365544000115E-2</v>
      </c>
      <c r="CE461" s="18">
        <f t="shared" si="733"/>
        <v>0.44427153018011151</v>
      </c>
      <c r="CF461" s="19">
        <f t="shared" si="734"/>
        <v>916.87984024579634</v>
      </c>
      <c r="CG461" s="15">
        <f t="shared" si="782"/>
        <v>5.3337596804915924E-6</v>
      </c>
      <c r="CH461" s="16">
        <f t="shared" si="783"/>
        <v>26.433118162826659</v>
      </c>
      <c r="CI461" s="17">
        <f t="shared" si="784"/>
        <v>1.3348765927448429E-2</v>
      </c>
      <c r="CJ461" s="18">
        <f t="shared" si="735"/>
        <v>0.44892852960518564</v>
      </c>
      <c r="CK461" s="19">
        <f t="shared" si="736"/>
        <v>872.86205445291807</v>
      </c>
      <c r="CL461" s="15">
        <f t="shared" si="785"/>
        <v>5.2457241089058367E-6</v>
      </c>
      <c r="CM461" s="16">
        <f t="shared" si="786"/>
        <v>25.92691362620856</v>
      </c>
      <c r="CN461" s="17">
        <f t="shared" si="787"/>
        <v>1.3128439870636084E-2</v>
      </c>
      <c r="CO461" s="18">
        <f t="shared" si="737"/>
        <v>0.45769353964763509</v>
      </c>
      <c r="CP461" s="19">
        <f t="shared" si="738"/>
        <v>793.99054590399453</v>
      </c>
      <c r="CQ461" s="15">
        <f t="shared" si="788"/>
        <v>5.0879810918079893E-6</v>
      </c>
      <c r="CR461" s="16">
        <f t="shared" si="789"/>
        <v>25.019891277895937</v>
      </c>
      <c r="CS461" s="17">
        <f t="shared" si="790"/>
        <v>1.2733657439843367E-2</v>
      </c>
      <c r="CT461" s="18">
        <f t="shared" si="739"/>
        <v>0.47428586870805245</v>
      </c>
      <c r="CU461" s="19">
        <f t="shared" si="740"/>
        <v>666.11650766236676</v>
      </c>
      <c r="CV461" s="15">
        <f t="shared" si="791"/>
        <v>4.8322330153247339E-6</v>
      </c>
      <c r="CW461" s="16">
        <f t="shared" si="792"/>
        <v>30.673805261423382</v>
      </c>
      <c r="CX461" s="17">
        <f t="shared" si="793"/>
        <v>1.2093598379466745E-2</v>
      </c>
      <c r="CY461" s="18">
        <f t="shared" si="741"/>
        <v>0.38686366978543058</v>
      </c>
      <c r="CZ461" s="20">
        <f t="shared" ref="CZ461:CZ494" si="797">CZ460+((2*$CX461)*(CU460-CZ460))+((2*$CX461*$CY461)*($C$14-CZ460))+((($CX461*$CY461)/$C$5)*($C$14-CZ460))+(((CZ460-$C$14)*$CX461*($D$6^2))/($CW461*($D$4/(2*$C$263))))</f>
        <v>492.55225349711947</v>
      </c>
      <c r="DA461" s="15">
        <f t="shared" si="794"/>
        <v>7.3264470229695787E-6</v>
      </c>
      <c r="DB461" s="16">
        <f t="shared" si="795"/>
        <v>39.210984648583533</v>
      </c>
      <c r="DC461" s="17">
        <f t="shared" si="796"/>
        <v>1.8335851678352808E-2</v>
      </c>
      <c r="DD461" s="18">
        <f t="shared" si="742"/>
        <v>0.30263409542169123</v>
      </c>
    </row>
    <row r="462" spans="2:108" x14ac:dyDescent="0.25">
      <c r="B462">
        <v>195</v>
      </c>
      <c r="C462">
        <f t="shared" si="743"/>
        <v>0.19063485993732404</v>
      </c>
      <c r="D462" s="19">
        <f t="shared" si="746"/>
        <v>1016.7943564775143</v>
      </c>
      <c r="E462" s="15">
        <f t="shared" ref="E462:E494" si="798">IF($D462&gt;=650,((0.00002*$D462)+0.035)/10000,IF($D462&lt;650,((-0.0000000000003*($D462^4))+(0.0000000004*($D462^3))-(0.0000002*($D462^2))-(0.0001*$D462)+0.1409)/10000))</f>
        <v>5.5335887129550284E-6</v>
      </c>
      <c r="F462" s="16">
        <f t="shared" si="747"/>
        <v>27.582135099491413</v>
      </c>
      <c r="G462" s="17">
        <f t="shared" si="744"/>
        <v>1.3848876757266891E-2</v>
      </c>
      <c r="H462" s="18">
        <f t="shared" ref="H462:H525" si="799">($C$263*$D$6)/F462</f>
        <v>0.43022705917848636</v>
      </c>
      <c r="I462" s="19">
        <f t="shared" ref="I462:I494" si="800">I461+(G462*(D461+N461-(2*I461))+((G462/(2*$I$18))*(N461-D461)))</f>
        <v>1016.4696681348461</v>
      </c>
      <c r="J462" s="15">
        <f t="shared" ref="J462:J494" si="801">IF($I462&gt;=650,((0.00002*$I462)+0.035)/10000,IF($I462&lt;650,((-0.0000000000003*($I462^4))+(0.0000000004*($I462^3))-(0.0000002*($I462^2))-(0.0001*$I462)+0.1409)/10000))</f>
        <v>5.5329393362696923E-6</v>
      </c>
      <c r="K462" s="16">
        <f t="shared" si="748"/>
        <v>27.578401183550731</v>
      </c>
      <c r="L462" s="17">
        <f t="shared" ref="L462:L494" si="802">($J462*$M$8)/($D$6^2)</f>
        <v>1.384725156642768E-2</v>
      </c>
      <c r="M462" s="18">
        <f t="shared" ref="M462:M525" si="803">($C$263*$D$6)/K462</f>
        <v>0.43028530880882887</v>
      </c>
      <c r="N462" s="19">
        <f t="shared" ref="N462:N494" si="804">N461+(L462*(I461+S461-(2*N461))+((L462/(2*N$18))*(S461-I461)))</f>
        <v>1015.5634222744904</v>
      </c>
      <c r="O462" s="15">
        <f t="shared" ref="O462:O494" si="805">IF($N462&gt;=650,((0.00002*$N462)+0.035)/10000,IF($N462&lt;650,((-0.0000000000003*($N462^4))+(0.0000000004*($N462^3))-(0.0000002*($N462^2))-(0.0001*$N462)+0.1409)/10000))</f>
        <v>5.5311268445489814E-6</v>
      </c>
      <c r="P462" s="16">
        <f t="shared" ref="P462:P494" si="806">IF($N462&lt;650,(53.495-(0.029*$N462)),IF($N462&lt;700,((0.00000000000000006*($N462^2))-(0.2008*$N462) + 164.43),IF($N462&lt;1250,((0.0115*$N462)+ 15.889))))</f>
        <v>27.567979356156641</v>
      </c>
      <c r="Q462" s="17">
        <f t="shared" si="745"/>
        <v>1.3848876757266891E-2</v>
      </c>
      <c r="R462" s="18">
        <f t="shared" ref="R462:R525" si="807">($C$263*$D$6)/P462</f>
        <v>0.43044797431146453</v>
      </c>
      <c r="S462" s="19">
        <f t="shared" ref="S462:S494" si="808">S461+(Q462*(N461+X461-(2*S461))+((Q462/(2*S$18))*(X461-N461)))</f>
        <v>1014.0617200951411</v>
      </c>
      <c r="T462" s="15">
        <f t="shared" ref="T462:T494" si="809">IF($S462&gt;=650,((0.00002*$S462)+0.035)/10000,IF($S462&lt;650,((-0.0000000000003*($S462^4))+(0.0000000004*($S462^3))-(0.0000002*($S462^2))-(0.0001*$S462)+0.1409)/10000))</f>
        <v>5.5281234401902825E-6</v>
      </c>
      <c r="U462" s="16">
        <f t="shared" ref="U462:U494" si="810">IF($S462&lt;650,(53.495-(0.029*$S462)),IF($S462&lt;700,((0.00000000000000006*($S462^2))-(0.2008*$S462) + 164.43),IF($S462&lt;1250,((0.0115*$S462)+ 15.889))))</f>
        <v>27.55070978109412</v>
      </c>
      <c r="V462" s="17">
        <f t="shared" ref="V462:V494" si="811">($T462*$M$8)/($D$6^2)</f>
        <v>1.3835198854392284E-2</v>
      </c>
      <c r="W462" s="18">
        <f t="shared" ref="W462:W525" si="812">($C$263*$D$6)/U462</f>
        <v>0.43071779144728234</v>
      </c>
      <c r="X462" s="19">
        <f t="shared" ref="X462:X494" si="813">X461+(V462*(S461+AC461-(2*X461))+((V462/(2*X$18))*(AC461-S461)))</f>
        <v>1011.9627041884273</v>
      </c>
      <c r="Y462" s="15">
        <f t="shared" ref="Y462:Y494" si="814">IF($X462&gt;=650,((0.00002*$X462)+0.035)/10000,IF($X462&lt;650,((-0.0000000000003*($X462^4))+(0.0000000004*($X462^3))-(0.0000002*($X462^2))-(0.0001*$X462)+0.1409)/10000))</f>
        <v>5.5239254083768547E-6</v>
      </c>
      <c r="Z462" s="16">
        <f t="shared" ref="Z462:Z494" si="815">IF($X462&lt;650,(53.495-(0.029*$X462)),IF($X462&lt;700,((0.00000000000000006*($X462^2))-(0.2008*$X462) + 164.43),IF($X462&lt;1250,((0.0115*$X462)+ 15.889))))</f>
        <v>27.526571098166912</v>
      </c>
      <c r="AA462" s="17">
        <f t="shared" ref="AA462:AA494" si="816">($Y462*$M$8)/($D$6^2)</f>
        <v>1.3824692467267573E-2</v>
      </c>
      <c r="AB462" s="18">
        <f t="shared" ref="AB462:AB525" si="817">($C$263*$D$6)/Z462</f>
        <v>0.43109549777916706</v>
      </c>
      <c r="AC462" s="19">
        <f t="shared" ref="AC462:AC494" si="818">AC461+(AA462*(X461+AH461-(2*AC461))+((AA462/(2*AC$18))*(AH461-X461)))</f>
        <v>1009.2649241207949</v>
      </c>
      <c r="AD462" s="15">
        <f t="shared" si="749"/>
        <v>5.5185298482415904E-6</v>
      </c>
      <c r="AE462" s="16">
        <f t="shared" si="750"/>
        <v>27.495546627389139</v>
      </c>
      <c r="AF462" s="17">
        <f t="shared" si="751"/>
        <v>1.3811189033740835E-2</v>
      </c>
      <c r="AG462" s="18">
        <f t="shared" ref="AG462:AG525" si="819">($C$263*$D$6)/AE462</f>
        <v>0.43158192235746429</v>
      </c>
      <c r="AH462" s="19">
        <f t="shared" ref="AH462:AH494" si="820">AH461+(AF462*(AC461+AM461-(2*AH461))+((AF462/(2*AH$18))*(AM461-AC461)))</f>
        <v>1005.9680216716459</v>
      </c>
      <c r="AI462" s="15">
        <f t="shared" si="752"/>
        <v>5.5119360433432924E-6</v>
      </c>
      <c r="AJ462" s="16">
        <f t="shared" si="753"/>
        <v>27.457632249223927</v>
      </c>
      <c r="AK462" s="17">
        <f t="shared" si="754"/>
        <v>1.379468676077931E-2</v>
      </c>
      <c r="AL462" s="18">
        <f t="shared" ref="AL462:AL525" si="821">($C$263*$D$6)/AJ462</f>
        <v>0.43217786450080015</v>
      </c>
      <c r="AM462" s="19">
        <f t="shared" ref="AM462:AM494" si="822">AM461+(AK462*(AH461+AR461-(2*AM461))+((AK462/(2*AM$18))*(AR461-AH461)))</f>
        <v>1002.0718072554308</v>
      </c>
      <c r="AN462" s="15">
        <f t="shared" si="755"/>
        <v>5.5041436145108621E-6</v>
      </c>
      <c r="AO462" s="16">
        <f t="shared" si="756"/>
        <v>27.412825783437455</v>
      </c>
      <c r="AP462" s="17">
        <f t="shared" si="757"/>
        <v>1.3775184699433941E-2</v>
      </c>
      <c r="AQ462" s="18">
        <f t="shared" ref="AQ462:AQ525" si="823">($C$263*$D$6)/AO462</f>
        <v>0.4328842624056497</v>
      </c>
      <c r="AR462" s="19">
        <f t="shared" ref="AR462:AR494" si="824">AR461+(AP462*(AM461+AW461-(2*AR461))+((AP462/(2*AR$18))*(AW461-AM461)))</f>
        <v>997.57595548836275</v>
      </c>
      <c r="AS462" s="15">
        <f t="shared" si="758"/>
        <v>5.4951519109767253E-6</v>
      </c>
      <c r="AT462" s="16">
        <f t="shared" si="759"/>
        <v>27.361123488116171</v>
      </c>
      <c r="AU462" s="17">
        <f t="shared" si="760"/>
        <v>1.3752681221032913E-2</v>
      </c>
      <c r="AV462" s="18">
        <f t="shared" ref="AV462:AV525" si="825">($C$263*$D$6)/AT462</f>
        <v>0.43370225184181277</v>
      </c>
      <c r="AW462" s="19">
        <f t="shared" ref="AW462:AW494" si="826">AW461+(AU462*(AR461+BB461-(2*AW461))+((AU462/(2*AW$18))*(BB461-AR461)))</f>
        <v>992.47910202576099</v>
      </c>
      <c r="AX462" s="15">
        <f t="shared" si="761"/>
        <v>5.4849582040515221E-6</v>
      </c>
      <c r="AY462" s="16">
        <f t="shared" si="762"/>
        <v>27.30250967329625</v>
      </c>
      <c r="AZ462" s="17">
        <f t="shared" si="763"/>
        <v>1.3727169496502984E-2</v>
      </c>
      <c r="BA462" s="18">
        <f t="shared" ref="BA462:BA525" si="827">($C$263*$D$6)/AY462</f>
        <v>0.43463333633846263</v>
      </c>
      <c r="BB462" s="19">
        <f t="shared" ref="BB462:BB494" si="828">BB461+(AZ462*(AW461+BG461-(2*BB461))+((AZ462/(2*BB$18))*(BG461-AW461)))</f>
        <v>986.77522433686818</v>
      </c>
      <c r="BC462" s="15">
        <f t="shared" si="764"/>
        <v>5.473550448673737E-6</v>
      </c>
      <c r="BD462" s="16">
        <f t="shared" si="765"/>
        <v>27.236915079873981</v>
      </c>
      <c r="BE462" s="17">
        <f t="shared" si="766"/>
        <v>1.3698619380746437E-2</v>
      </c>
      <c r="BF462" s="18">
        <f t="shared" ref="BF462:BF525" si="829">($C$263*$D$6)/BD462</f>
        <v>0.43568006269867193</v>
      </c>
      <c r="BG462" s="19">
        <f t="shared" ref="BG462:BG494" si="830">BG461+(BE462*(BB461+BL461-(2*BG461))+((BE462/(2*BG$18))*(BL461-BB461)))</f>
        <v>980.43970254828105</v>
      </c>
      <c r="BH462" s="15">
        <f t="shared" si="767"/>
        <v>5.460879405096562E-6</v>
      </c>
      <c r="BI462" s="16">
        <f t="shared" si="768"/>
        <v>27.164056579305232</v>
      </c>
      <c r="BJ462" s="17">
        <f t="shared" si="769"/>
        <v>1.3666907641766734E-2</v>
      </c>
      <c r="BK462" s="18">
        <f t="shared" ref="BK462:BK525" si="831">($C$263*$D$6)/BI462</f>
        <v>0.43684862881482805</v>
      </c>
      <c r="BL462" s="19">
        <f t="shared" ref="BL462:BL494" si="832">BL461+(BJ462*(BG461+BQ461-(2*BL461))+((BJ462/(2*BL$18))*(BQ461-BG461)))</f>
        <v>973.38079706651342</v>
      </c>
      <c r="BM462" s="15">
        <f t="shared" si="770"/>
        <v>5.4467615941330277E-6</v>
      </c>
      <c r="BN462" s="16">
        <f t="shared" si="771"/>
        <v>27.082879166264902</v>
      </c>
      <c r="BO462" s="17">
        <f t="shared" si="772"/>
        <v>1.3631575087386853E-2</v>
      </c>
      <c r="BP462" s="18">
        <f t="shared" ref="BP462:BP525" si="833">($C$263*$D$6)/BN462</f>
        <v>0.43815802584605562</v>
      </c>
      <c r="BQ462" s="19">
        <f t="shared" ref="BQ462:BQ494" si="834">BQ461+(BO462*(BL461+BV461-(2*BQ461))+((BO462/(2*BQ$18))*(BV461-BL461)))</f>
        <v>965.29018647374699</v>
      </c>
      <c r="BR462" s="15">
        <f t="shared" si="773"/>
        <v>5.430580372947495E-6</v>
      </c>
      <c r="BS462" s="16">
        <f t="shared" si="774"/>
        <v>26.989837144448089</v>
      </c>
      <c r="BT462" s="17">
        <f t="shared" si="775"/>
        <v>1.3591078449561948E-2</v>
      </c>
      <c r="BU462" s="18">
        <f t="shared" ref="BU462:BU525" si="835">($C$263*$D$6)/BS462</f>
        <v>0.43966848729796426</v>
      </c>
      <c r="BV462" s="19">
        <f t="shared" ref="BV462:BV494" si="836">BV461+(BT462*(BQ461+CA461-(2*BV461))+((BT462/(2*BV$18))*(CA461-BQ461)))</f>
        <v>955.2449990405172</v>
      </c>
      <c r="BW462" s="15">
        <f t="shared" si="776"/>
        <v>5.4104899980810344E-6</v>
      </c>
      <c r="BX462" s="16">
        <f t="shared" si="777"/>
        <v>26.874317488965946</v>
      </c>
      <c r="BY462" s="17">
        <f t="shared" si="778"/>
        <v>1.3540798398050075E-2</v>
      </c>
      <c r="BZ462" s="18">
        <f t="shared" ref="BZ462:BZ525" si="837">($C$263*$D$6)/BX462</f>
        <v>0.44155840886340936</v>
      </c>
      <c r="CA462" s="19">
        <f t="shared" ref="CA462:CA494" si="838">CA461+(BY462*(BV461+CF461-(2*CA461))+((BY462/(2*CA$18))*(CF461-BV461)))</f>
        <v>940.82440494840182</v>
      </c>
      <c r="CB462" s="15">
        <f t="shared" si="779"/>
        <v>5.3816488098968035E-6</v>
      </c>
      <c r="CC462" s="16">
        <f t="shared" si="780"/>
        <v>26.70848065690662</v>
      </c>
      <c r="CD462" s="17">
        <f t="shared" si="781"/>
        <v>1.3468617742526931E-2</v>
      </c>
      <c r="CE462" s="18">
        <f t="shared" ref="CE462:CE525" si="839">($C$263*$D$6)/CC462</f>
        <v>0.44430010909846668</v>
      </c>
      <c r="CF462" s="19">
        <f t="shared" ref="CF462:CF494" si="840">CF461+(CD462*(CA461+CK461-(2*CF461))+((CD462/(2*CF$18))*(CK461-CA461)))</f>
        <v>916.58282605895681</v>
      </c>
      <c r="CG462" s="15">
        <f t="shared" si="782"/>
        <v>5.3331656521179141E-6</v>
      </c>
      <c r="CH462" s="16">
        <f t="shared" si="783"/>
        <v>26.429702499678001</v>
      </c>
      <c r="CI462" s="17">
        <f t="shared" si="784"/>
        <v>1.3347279256471577E-2</v>
      </c>
      <c r="CJ462" s="18">
        <f t="shared" ref="CJ462:CJ525" si="841">($C$263*$D$6)/CH462</f>
        <v>0.44898654723270048</v>
      </c>
      <c r="CK462" s="19">
        <f t="shared" ref="CK462:CK494" si="842">CK461+(CI462*(CF461+CP461-(2*CK461))+((CI462/(2*CK$18))*(CP461-CF461)))</f>
        <v>872.34860979601228</v>
      </c>
      <c r="CL462" s="15">
        <f t="shared" si="785"/>
        <v>5.2446972195920245E-6</v>
      </c>
      <c r="CM462" s="16">
        <f t="shared" si="786"/>
        <v>25.921009012654139</v>
      </c>
      <c r="CN462" s="17">
        <f t="shared" si="787"/>
        <v>1.3125869881378111E-2</v>
      </c>
      <c r="CO462" s="18">
        <f t="shared" ref="CO462:CO525" si="843">($C$263*$D$6)/CM462</f>
        <v>0.45779779884050276</v>
      </c>
      <c r="CP462" s="19">
        <f t="shared" ref="CP462:CP494" si="844">CP461+(CN462*(CK461+CU461-(2*CP461))+((CN462/(2*CP$18))*(CU461-CK461)))</f>
        <v>793.27196409911949</v>
      </c>
      <c r="CQ462" s="15">
        <f t="shared" si="788"/>
        <v>5.0865439281982392E-6</v>
      </c>
      <c r="CR462" s="16">
        <f t="shared" si="789"/>
        <v>25.011627587139873</v>
      </c>
      <c r="CS462" s="17">
        <f t="shared" si="790"/>
        <v>1.2730060659752926E-2</v>
      </c>
      <c r="CT462" s="18">
        <f t="shared" ref="CT462:CT525" si="845">($C$263*$D$6)/CR462</f>
        <v>0.47444256989574279</v>
      </c>
      <c r="CU462" s="19">
        <f t="shared" ref="CU462:CU494" si="846">CU461+(CS462*(CP461+CZ461-(2*CU461))+((CS462/(2*CU$18))*(CZ461-CP461)))</f>
        <v>665.43388613295679</v>
      </c>
      <c r="CV462" s="15">
        <f t="shared" si="791"/>
        <v>4.8308677722659143E-6</v>
      </c>
      <c r="CW462" s="16">
        <f t="shared" si="792"/>
        <v>30.810875664528851</v>
      </c>
      <c r="CX462" s="17">
        <f t="shared" si="793"/>
        <v>1.2090181594474931E-2</v>
      </c>
      <c r="CY462" s="18">
        <f t="shared" ref="CY462:CY525" si="847">($C$263*$D$6)/CW462</f>
        <v>0.3851426035054028</v>
      </c>
      <c r="CZ462" s="20">
        <f t="shared" si="797"/>
        <v>492.50369495803852</v>
      </c>
      <c r="DA462" s="15">
        <f t="shared" si="794"/>
        <v>7.3271719329837146E-6</v>
      </c>
      <c r="DB462" s="16">
        <f t="shared" si="795"/>
        <v>39.212392846216879</v>
      </c>
      <c r="DC462" s="17">
        <f t="shared" si="796"/>
        <v>1.8337665905966503E-2</v>
      </c>
      <c r="DD462" s="18">
        <f t="shared" ref="DD462:DD525" si="848">($C$263*$D$6)/DB462</f>
        <v>0.30262322720922036</v>
      </c>
    </row>
    <row r="463" spans="2:108" x14ac:dyDescent="0.25">
      <c r="B463">
        <v>196</v>
      </c>
      <c r="C463">
        <f t="shared" ref="C463:C494" si="849">$B463*$M$8</f>
        <v>0.19161247460366929</v>
      </c>
      <c r="D463" s="19">
        <f t="shared" si="746"/>
        <v>1016.7777795309543</v>
      </c>
      <c r="E463" s="15">
        <f t="shared" si="798"/>
        <v>5.5335555590619089E-6</v>
      </c>
      <c r="F463" s="16">
        <f t="shared" si="747"/>
        <v>27.581944464605975</v>
      </c>
      <c r="G463" s="17">
        <f t="shared" si="744"/>
        <v>1.384879378323256E-2</v>
      </c>
      <c r="H463" s="18">
        <f t="shared" si="799"/>
        <v>0.43023003272831151</v>
      </c>
      <c r="I463" s="19">
        <f t="shared" si="800"/>
        <v>1016.4530907877413</v>
      </c>
      <c r="J463" s="15">
        <f t="shared" si="801"/>
        <v>5.5329061815754829E-6</v>
      </c>
      <c r="K463" s="16">
        <f t="shared" si="748"/>
        <v>27.578210544059026</v>
      </c>
      <c r="L463" s="17">
        <f t="shared" si="802"/>
        <v>1.3847168590388467E-2</v>
      </c>
      <c r="M463" s="18">
        <f t="shared" si="803"/>
        <v>0.43028828323577473</v>
      </c>
      <c r="N463" s="19">
        <f t="shared" si="804"/>
        <v>1015.5468410748374</v>
      </c>
      <c r="O463" s="15">
        <f t="shared" si="805"/>
        <v>5.531093682149675E-6</v>
      </c>
      <c r="P463" s="16">
        <f t="shared" si="806"/>
        <v>27.567788672360628</v>
      </c>
      <c r="Q463" s="17">
        <f t="shared" si="745"/>
        <v>1.384879378323256E-2</v>
      </c>
      <c r="R463" s="18">
        <f t="shared" si="807"/>
        <v>0.43045095167953362</v>
      </c>
      <c r="S463" s="19">
        <f t="shared" si="808"/>
        <v>1014.0451370867994</v>
      </c>
      <c r="T463" s="15">
        <f t="shared" si="809"/>
        <v>5.5280902741735991E-6</v>
      </c>
      <c r="U463" s="16">
        <f t="shared" si="810"/>
        <v>27.55051907649819</v>
      </c>
      <c r="V463" s="17">
        <f t="shared" si="811"/>
        <v>1.3835115850016391E-2</v>
      </c>
      <c r="W463" s="18">
        <f t="shared" si="812"/>
        <v>0.43072077287431643</v>
      </c>
      <c r="X463" s="19">
        <f t="shared" si="813"/>
        <v>1011.9461246883924</v>
      </c>
      <c r="Y463" s="15">
        <f t="shared" si="814"/>
        <v>5.5238922493767856E-6</v>
      </c>
      <c r="Z463" s="16">
        <f t="shared" si="815"/>
        <v>27.526380433916511</v>
      </c>
      <c r="AA463" s="17">
        <f t="shared" si="816"/>
        <v>1.3824609480452112E-2</v>
      </c>
      <c r="AB463" s="18">
        <f t="shared" si="817"/>
        <v>0.43109848380561294</v>
      </c>
      <c r="AC463" s="19">
        <f t="shared" si="818"/>
        <v>1009.2483540733641</v>
      </c>
      <c r="AD463" s="15">
        <f t="shared" si="749"/>
        <v>5.5184967081467282E-6</v>
      </c>
      <c r="AE463" s="16">
        <f t="shared" si="750"/>
        <v>27.495356071843688</v>
      </c>
      <c r="AF463" s="17">
        <f t="shared" si="751"/>
        <v>1.3811106094239313E-2</v>
      </c>
      <c r="AG463" s="18">
        <f t="shared" si="819"/>
        <v>0.4315849134199698</v>
      </c>
      <c r="AH463" s="19">
        <f t="shared" si="820"/>
        <v>1005.9514657688039</v>
      </c>
      <c r="AI463" s="15">
        <f t="shared" si="752"/>
        <v>5.5119029315376087E-6</v>
      </c>
      <c r="AJ463" s="16">
        <f t="shared" si="753"/>
        <v>27.457441856341244</v>
      </c>
      <c r="AK463" s="17">
        <f t="shared" si="754"/>
        <v>1.3794603892076934E-2</v>
      </c>
      <c r="AL463" s="18">
        <f t="shared" si="821"/>
        <v>0.43218086126903094</v>
      </c>
      <c r="AM463" s="19">
        <f t="shared" si="822"/>
        <v>1002.0552665507802</v>
      </c>
      <c r="AN463" s="15">
        <f t="shared" si="755"/>
        <v>5.5041105331015613E-6</v>
      </c>
      <c r="AO463" s="16">
        <f t="shared" si="756"/>
        <v>27.412635565333971</v>
      </c>
      <c r="AP463" s="17">
        <f t="shared" si="757"/>
        <v>1.3775101906804395E-2</v>
      </c>
      <c r="AQ463" s="18">
        <f t="shared" si="823"/>
        <v>0.43288726621837054</v>
      </c>
      <c r="AR463" s="19">
        <f t="shared" si="824"/>
        <v>997.55941784800427</v>
      </c>
      <c r="AS463" s="15">
        <f t="shared" si="758"/>
        <v>5.4951188356960095E-6</v>
      </c>
      <c r="AT463" s="16">
        <f t="shared" si="759"/>
        <v>27.360933305252047</v>
      </c>
      <c r="AU463" s="17">
        <f t="shared" si="760"/>
        <v>1.375259844374134E-2</v>
      </c>
      <c r="AV463" s="18">
        <f t="shared" si="825"/>
        <v>0.43370526645887691</v>
      </c>
      <c r="AW463" s="19">
        <f t="shared" si="826"/>
        <v>992.46250174764089</v>
      </c>
      <c r="AX463" s="15">
        <f t="shared" si="761"/>
        <v>5.4849250034952821E-6</v>
      </c>
      <c r="AY463" s="16">
        <f t="shared" si="762"/>
        <v>27.30231877009787</v>
      </c>
      <c r="AZ463" s="17">
        <f t="shared" si="763"/>
        <v>1.3727086405685164E-2</v>
      </c>
      <c r="BA463" s="18">
        <f t="shared" si="827"/>
        <v>0.43463637538048422</v>
      </c>
      <c r="BB463" s="19">
        <f t="shared" si="828"/>
        <v>986.75829040988901</v>
      </c>
      <c r="BC463" s="15">
        <f t="shared" si="764"/>
        <v>5.4735165808197786E-6</v>
      </c>
      <c r="BD463" s="16">
        <f t="shared" si="765"/>
        <v>27.23672033971372</v>
      </c>
      <c r="BE463" s="17">
        <f t="shared" si="766"/>
        <v>1.3698534619886921E-2</v>
      </c>
      <c r="BF463" s="18">
        <f t="shared" si="829"/>
        <v>0.43568317777288695</v>
      </c>
      <c r="BG463" s="19">
        <f t="shared" si="830"/>
        <v>980.42145306873124</v>
      </c>
      <c r="BH463" s="15">
        <f t="shared" si="767"/>
        <v>5.4608429061374632E-6</v>
      </c>
      <c r="BI463" s="16">
        <f t="shared" si="768"/>
        <v>27.163846710290407</v>
      </c>
      <c r="BJ463" s="17">
        <f t="shared" si="769"/>
        <v>1.3666816296057366E-2</v>
      </c>
      <c r="BK463" s="18">
        <f t="shared" si="831"/>
        <v>0.43685200392558959</v>
      </c>
      <c r="BL463" s="19">
        <f t="shared" si="832"/>
        <v>973.35807004007449</v>
      </c>
      <c r="BM463" s="15">
        <f t="shared" si="770"/>
        <v>5.4467161400801492E-6</v>
      </c>
      <c r="BN463" s="16">
        <f t="shared" si="771"/>
        <v>27.082617805460856</v>
      </c>
      <c r="BO463" s="17">
        <f t="shared" si="772"/>
        <v>1.363146132982208E-2</v>
      </c>
      <c r="BP463" s="18">
        <f t="shared" si="833"/>
        <v>0.43816225429009886</v>
      </c>
      <c r="BQ463" s="19">
        <f t="shared" si="834"/>
        <v>965.25403437245791</v>
      </c>
      <c r="BR463" s="15">
        <f t="shared" si="773"/>
        <v>5.4305080687449155E-6</v>
      </c>
      <c r="BS463" s="16">
        <f t="shared" si="774"/>
        <v>26.989421395283266</v>
      </c>
      <c r="BT463" s="17">
        <f t="shared" si="775"/>
        <v>1.3590897494300815E-2</v>
      </c>
      <c r="BU463" s="18">
        <f t="shared" si="835"/>
        <v>0.43967526001842078</v>
      </c>
      <c r="BV463" s="19">
        <f t="shared" si="836"/>
        <v>955.1736579110908</v>
      </c>
      <c r="BW463" s="15">
        <f t="shared" si="776"/>
        <v>5.4103473158221822E-6</v>
      </c>
      <c r="BX463" s="16">
        <f t="shared" si="777"/>
        <v>26.873497065977546</v>
      </c>
      <c r="BY463" s="17">
        <f t="shared" si="778"/>
        <v>1.3540441308081739E-2</v>
      </c>
      <c r="BZ463" s="18">
        <f t="shared" si="837"/>
        <v>0.4415718892328776</v>
      </c>
      <c r="CA463" s="19">
        <f t="shared" si="838"/>
        <v>940.67397438402941</v>
      </c>
      <c r="CB463" s="15">
        <f t="shared" si="779"/>
        <v>5.3813479487680593E-6</v>
      </c>
      <c r="CC463" s="16">
        <f t="shared" si="780"/>
        <v>26.70675070541634</v>
      </c>
      <c r="CD463" s="17">
        <f t="shared" si="781"/>
        <v>1.3467864779321829E-2</v>
      </c>
      <c r="CE463" s="18">
        <f t="shared" si="839"/>
        <v>0.44432888899926198</v>
      </c>
      <c r="CF463" s="19">
        <f t="shared" si="840"/>
        <v>916.28474846129825</v>
      </c>
      <c r="CG463" s="15">
        <f t="shared" si="782"/>
        <v>5.3325694969225966E-6</v>
      </c>
      <c r="CH463" s="16">
        <f t="shared" si="783"/>
        <v>26.426274607304929</v>
      </c>
      <c r="CI463" s="17">
        <f t="shared" si="784"/>
        <v>1.3345787262711935E-2</v>
      </c>
      <c r="CJ463" s="18">
        <f t="shared" si="841"/>
        <v>0.44904478766135497</v>
      </c>
      <c r="CK463" s="19">
        <f t="shared" si="842"/>
        <v>871.83520777651495</v>
      </c>
      <c r="CL463" s="15">
        <f t="shared" si="785"/>
        <v>5.2436704155530306E-6</v>
      </c>
      <c r="CM463" s="16">
        <f t="shared" si="786"/>
        <v>25.915104889429919</v>
      </c>
      <c r="CN463" s="17">
        <f t="shared" si="787"/>
        <v>1.3123300105536875E-2</v>
      </c>
      <c r="CO463" s="18">
        <f t="shared" si="843"/>
        <v>0.4579020968793362</v>
      </c>
      <c r="CP463" s="19">
        <f t="shared" si="844"/>
        <v>792.55662530057168</v>
      </c>
      <c r="CQ463" s="15">
        <f t="shared" si="788"/>
        <v>5.0851132506011438E-6</v>
      </c>
      <c r="CR463" s="16">
        <f t="shared" si="789"/>
        <v>25.003401190956573</v>
      </c>
      <c r="CS463" s="17">
        <f t="shared" si="790"/>
        <v>1.272648011216449E-2</v>
      </c>
      <c r="CT463" s="18">
        <f t="shared" si="845"/>
        <v>0.47459866676098039</v>
      </c>
      <c r="CU463" s="19">
        <f t="shared" si="846"/>
        <v>664.75929274057967</v>
      </c>
      <c r="CV463" s="15">
        <f t="shared" si="791"/>
        <v>4.8295185854811597E-6</v>
      </c>
      <c r="CW463" s="16">
        <f t="shared" si="792"/>
        <v>30.946334017718129</v>
      </c>
      <c r="CX463" s="17">
        <f t="shared" si="793"/>
        <v>1.2086804993416588E-2</v>
      </c>
      <c r="CY463" s="18">
        <f t="shared" si="847"/>
        <v>0.38345675655551842</v>
      </c>
      <c r="CZ463" s="20">
        <f t="shared" si="797"/>
        <v>492.4588390574296</v>
      </c>
      <c r="DA463" s="15">
        <f t="shared" si="794"/>
        <v>7.3278415487558591E-6</v>
      </c>
      <c r="DB463" s="16">
        <f t="shared" si="795"/>
        <v>39.213693667334539</v>
      </c>
      <c r="DC463" s="17">
        <f t="shared" si="796"/>
        <v>1.8339341749037643E-2</v>
      </c>
      <c r="DD463" s="18">
        <f t="shared" si="848"/>
        <v>0.3026131884026752</v>
      </c>
    </row>
    <row r="464" spans="2:108" x14ac:dyDescent="0.25">
      <c r="B464">
        <v>197</v>
      </c>
      <c r="C464">
        <f t="shared" si="849"/>
        <v>0.19259008927001453</v>
      </c>
      <c r="D464" s="19">
        <f t="shared" si="746"/>
        <v>1016.7612025639445</v>
      </c>
      <c r="E464" s="15">
        <f t="shared" si="798"/>
        <v>5.5335224051278896E-6</v>
      </c>
      <c r="F464" s="16">
        <f t="shared" si="747"/>
        <v>27.581753829485361</v>
      </c>
      <c r="G464" s="17">
        <f t="shared" si="744"/>
        <v>1.384871080909587E-2</v>
      </c>
      <c r="H464" s="18">
        <f t="shared" si="799"/>
        <v>0.43023300632290912</v>
      </c>
      <c r="I464" s="19">
        <f t="shared" si="800"/>
        <v>1016.4365134627029</v>
      </c>
      <c r="J464" s="15">
        <f t="shared" si="801"/>
        <v>5.5328730269254066E-6</v>
      </c>
      <c r="K464" s="16">
        <f t="shared" si="748"/>
        <v>27.578019904821083</v>
      </c>
      <c r="L464" s="17">
        <f t="shared" si="802"/>
        <v>1.3847085614459706E-2</v>
      </c>
      <c r="M464" s="18">
        <f t="shared" si="803"/>
        <v>0.43029125769988397</v>
      </c>
      <c r="N464" s="19">
        <f t="shared" si="804"/>
        <v>1015.530259983247</v>
      </c>
      <c r="O464" s="15">
        <f t="shared" si="805"/>
        <v>5.531060519966495E-6</v>
      </c>
      <c r="P464" s="16">
        <f t="shared" si="806"/>
        <v>27.567597989807339</v>
      </c>
      <c r="Q464" s="17">
        <f t="shared" si="745"/>
        <v>1.384871080909587E-2</v>
      </c>
      <c r="R464" s="18">
        <f t="shared" si="807"/>
        <v>0.43045392906938679</v>
      </c>
      <c r="S464" s="19">
        <f t="shared" si="808"/>
        <v>1014.0285542553701</v>
      </c>
      <c r="T464" s="15">
        <f t="shared" si="809"/>
        <v>5.5280571085107409E-6</v>
      </c>
      <c r="U464" s="16">
        <f t="shared" si="810"/>
        <v>27.550328373936757</v>
      </c>
      <c r="V464" s="17">
        <f t="shared" si="811"/>
        <v>1.3835032846526011E-2</v>
      </c>
      <c r="W464" s="18">
        <f t="shared" si="812"/>
        <v>0.43072375431081816</v>
      </c>
      <c r="X464" s="19">
        <f t="shared" si="813"/>
        <v>1011.9295453924798</v>
      </c>
      <c r="Y464" s="15">
        <f t="shared" si="814"/>
        <v>5.5238590907849609E-6</v>
      </c>
      <c r="Z464" s="16">
        <f t="shared" si="815"/>
        <v>27.526189772013517</v>
      </c>
      <c r="AA464" s="17">
        <f t="shared" si="816"/>
        <v>1.3824526494658365E-2</v>
      </c>
      <c r="AB464" s="18">
        <f t="shared" si="817"/>
        <v>0.43110146983666126</v>
      </c>
      <c r="AC464" s="19">
        <f t="shared" si="818"/>
        <v>1009.2317842228857</v>
      </c>
      <c r="AD464" s="15">
        <f t="shared" si="749"/>
        <v>5.518463568445772E-6</v>
      </c>
      <c r="AE464" s="16">
        <f t="shared" si="750"/>
        <v>27.495165518563184</v>
      </c>
      <c r="AF464" s="17">
        <f t="shared" si="751"/>
        <v>1.381102315572362E-2</v>
      </c>
      <c r="AG464" s="18">
        <f t="shared" si="819"/>
        <v>0.43158790448838191</v>
      </c>
      <c r="AH464" s="19">
        <f t="shared" si="820"/>
        <v>1005.934910013706</v>
      </c>
      <c r="AI464" s="15">
        <f t="shared" si="752"/>
        <v>5.5118698200274124E-6</v>
      </c>
      <c r="AJ464" s="16">
        <f t="shared" si="753"/>
        <v>27.457251465157618</v>
      </c>
      <c r="AK464" s="17">
        <f t="shared" si="754"/>
        <v>1.3794521024114072E-2</v>
      </c>
      <c r="AL464" s="18">
        <f t="shared" si="821"/>
        <v>0.43218385805207826</v>
      </c>
      <c r="AM464" s="19">
        <f t="shared" si="822"/>
        <v>1002.0387257961072</v>
      </c>
      <c r="AN464" s="15">
        <f t="shared" si="755"/>
        <v>5.5040774515922149E-6</v>
      </c>
      <c r="AO464" s="16">
        <f t="shared" si="756"/>
        <v>27.412445346655232</v>
      </c>
      <c r="AP464" s="17">
        <f t="shared" si="757"/>
        <v>1.3775019113924467E-2</v>
      </c>
      <c r="AQ464" s="18">
        <f t="shared" si="823"/>
        <v>0.4328902700818632</v>
      </c>
      <c r="AR464" s="19">
        <f t="shared" si="824"/>
        <v>997.54287935070636</v>
      </c>
      <c r="AS464" s="15">
        <f t="shared" si="758"/>
        <v>5.4950857587014131E-6</v>
      </c>
      <c r="AT464" s="16">
        <f t="shared" si="759"/>
        <v>27.360743112533122</v>
      </c>
      <c r="AU464" s="17">
        <f t="shared" si="760"/>
        <v>1.3752515662160446E-2</v>
      </c>
      <c r="AV464" s="18">
        <f t="shared" si="825"/>
        <v>0.43370828127406302</v>
      </c>
      <c r="AW464" s="19">
        <f t="shared" si="826"/>
        <v>992.44589753958485</v>
      </c>
      <c r="AX464" s="15">
        <f t="shared" si="761"/>
        <v>5.4848917950791702E-6</v>
      </c>
      <c r="AY464" s="16">
        <f t="shared" si="762"/>
        <v>27.302127821705227</v>
      </c>
      <c r="AZ464" s="17">
        <f t="shared" si="763"/>
        <v>1.3727003295196494E-2</v>
      </c>
      <c r="BA464" s="18">
        <f t="shared" si="827"/>
        <v>0.43463941518448063</v>
      </c>
      <c r="BB464" s="19">
        <f t="shared" si="828"/>
        <v>986.74134197491094</v>
      </c>
      <c r="BC464" s="15">
        <f t="shared" si="764"/>
        <v>5.4734826839498223E-6</v>
      </c>
      <c r="BD464" s="16">
        <f t="shared" si="765"/>
        <v>27.236525432711474</v>
      </c>
      <c r="BE464" s="17">
        <f t="shared" si="766"/>
        <v>1.3698449786409259E-2</v>
      </c>
      <c r="BF464" s="18">
        <f t="shared" si="829"/>
        <v>0.43568629556051808</v>
      </c>
      <c r="BG464" s="19">
        <f t="shared" si="830"/>
        <v>980.4031567806652</v>
      </c>
      <c r="BH464" s="15">
        <f t="shared" si="767"/>
        <v>5.4608063135613311E-6</v>
      </c>
      <c r="BI464" s="16">
        <f t="shared" si="768"/>
        <v>27.16363630297765</v>
      </c>
      <c r="BJ464" s="17">
        <f t="shared" si="769"/>
        <v>1.3666724716053257E-2</v>
      </c>
      <c r="BK464" s="18">
        <f t="shared" si="831"/>
        <v>0.43685538774560517</v>
      </c>
      <c r="BL464" s="19">
        <f t="shared" si="832"/>
        <v>973.3352106879338</v>
      </c>
      <c r="BM464" s="15">
        <f t="shared" si="770"/>
        <v>5.4466704213758684E-6</v>
      </c>
      <c r="BN464" s="16">
        <f t="shared" si="771"/>
        <v>27.082354922911236</v>
      </c>
      <c r="BO464" s="17">
        <f t="shared" si="772"/>
        <v>1.3631346909915954E-2</v>
      </c>
      <c r="BP464" s="18">
        <f t="shared" si="833"/>
        <v>0.43816650743613739</v>
      </c>
      <c r="BQ464" s="19">
        <f t="shared" si="834"/>
        <v>965.21756041509832</v>
      </c>
      <c r="BR464" s="15">
        <f t="shared" si="773"/>
        <v>5.4304351208301974E-6</v>
      </c>
      <c r="BS464" s="16">
        <f t="shared" si="774"/>
        <v>26.98900194477363</v>
      </c>
      <c r="BT464" s="17">
        <f t="shared" si="775"/>
        <v>1.3590714928025469E-2</v>
      </c>
      <c r="BU464" s="18">
        <f t="shared" si="835"/>
        <v>0.4396820932467212</v>
      </c>
      <c r="BV464" s="19">
        <f t="shared" si="836"/>
        <v>955.10166563328812</v>
      </c>
      <c r="BW464" s="15">
        <f t="shared" si="776"/>
        <v>5.4102033312665772E-6</v>
      </c>
      <c r="BX464" s="16">
        <f t="shared" si="777"/>
        <v>26.872669154782812</v>
      </c>
      <c r="BY464" s="17">
        <f t="shared" si="778"/>
        <v>1.3540080958863724E-2</v>
      </c>
      <c r="BZ464" s="18">
        <f t="shared" si="837"/>
        <v>0.44158549347547332</v>
      </c>
      <c r="CA464" s="19">
        <f t="shared" si="838"/>
        <v>940.52251721326752</v>
      </c>
      <c r="CB464" s="15">
        <f t="shared" si="779"/>
        <v>5.3810450344265356E-6</v>
      </c>
      <c r="CC464" s="16">
        <f t="shared" si="780"/>
        <v>26.705008947952578</v>
      </c>
      <c r="CD464" s="17">
        <f t="shared" si="781"/>
        <v>1.3467106677554354E-2</v>
      </c>
      <c r="CE464" s="18">
        <f t="shared" si="839"/>
        <v>0.44435786907413438</v>
      </c>
      <c r="CF464" s="19">
        <f t="shared" si="840"/>
        <v>915.9856234682419</v>
      </c>
      <c r="CG464" s="15">
        <f t="shared" si="782"/>
        <v>5.3319712469364847E-6</v>
      </c>
      <c r="CH464" s="16">
        <f t="shared" si="783"/>
        <v>26.422834669884779</v>
      </c>
      <c r="CI464" s="17">
        <f t="shared" si="784"/>
        <v>1.3344290026332891E-2</v>
      </c>
      <c r="CJ464" s="18">
        <f t="shared" si="841"/>
        <v>0.4491032479283058</v>
      </c>
      <c r="CK464" s="19">
        <f t="shared" si="842"/>
        <v>871.32187823681238</v>
      </c>
      <c r="CL464" s="15">
        <f t="shared" si="785"/>
        <v>5.2426437564736247E-6</v>
      </c>
      <c r="CM464" s="16">
        <f t="shared" si="786"/>
        <v>25.909201599723339</v>
      </c>
      <c r="CN464" s="17">
        <f t="shared" si="787"/>
        <v>1.3120730692485065E-2</v>
      </c>
      <c r="CO464" s="18">
        <f t="shared" si="843"/>
        <v>0.45800642771812045</v>
      </c>
      <c r="CP464" s="19">
        <f t="shared" si="844"/>
        <v>791.84455197734712</v>
      </c>
      <c r="CQ464" s="15">
        <f t="shared" si="788"/>
        <v>5.0836891039546943E-6</v>
      </c>
      <c r="CR464" s="16">
        <f t="shared" si="789"/>
        <v>24.995212347739489</v>
      </c>
      <c r="CS464" s="17">
        <f t="shared" si="790"/>
        <v>1.2722915909544085E-2</v>
      </c>
      <c r="CT464" s="18">
        <f t="shared" si="845"/>
        <v>0.47475415310048708</v>
      </c>
      <c r="CU464" s="19">
        <f t="shared" si="846"/>
        <v>664.09260645968561</v>
      </c>
      <c r="CV464" s="15">
        <f t="shared" si="791"/>
        <v>4.828185212919372E-6</v>
      </c>
      <c r="CW464" s="16">
        <f t="shared" si="792"/>
        <v>31.080204622921599</v>
      </c>
      <c r="CX464" s="17">
        <f t="shared" si="793"/>
        <v>1.2083467970511996E-2</v>
      </c>
      <c r="CY464" s="18">
        <f t="shared" si="847"/>
        <v>0.38180510758176656</v>
      </c>
      <c r="CZ464" s="20">
        <f t="shared" si="797"/>
        <v>492.41737429041865</v>
      </c>
      <c r="DA464" s="15">
        <f t="shared" si="794"/>
        <v>7.328460524851234E-6</v>
      </c>
      <c r="DB464" s="16">
        <f t="shared" si="795"/>
        <v>39.214896145577853</v>
      </c>
      <c r="DC464" s="17">
        <f t="shared" si="796"/>
        <v>1.8340890856516568E-2</v>
      </c>
      <c r="DD464" s="18">
        <f t="shared" si="848"/>
        <v>0.30260390912844626</v>
      </c>
    </row>
    <row r="465" spans="2:108" x14ac:dyDescent="0.25">
      <c r="B465">
        <v>198</v>
      </c>
      <c r="C465">
        <f t="shared" si="849"/>
        <v>0.1935677039363598</v>
      </c>
      <c r="D465" s="19">
        <f t="shared" si="746"/>
        <v>1016.7446255786556</v>
      </c>
      <c r="E465" s="15">
        <f t="shared" si="798"/>
        <v>5.5334892511573115E-6</v>
      </c>
      <c r="F465" s="16">
        <f t="shared" si="747"/>
        <v>27.58156319415454</v>
      </c>
      <c r="G465" s="17">
        <f t="shared" si="744"/>
        <v>1.3848627834867686E-2</v>
      </c>
      <c r="H465" s="18">
        <f t="shared" si="799"/>
        <v>0.43023597996189084</v>
      </c>
      <c r="I465" s="19">
        <f t="shared" si="800"/>
        <v>1016.419936161224</v>
      </c>
      <c r="J465" s="15">
        <f t="shared" si="801"/>
        <v>5.5328398723224481E-6</v>
      </c>
      <c r="K465" s="16">
        <f t="shared" si="748"/>
        <v>27.577829265854074</v>
      </c>
      <c r="L465" s="17">
        <f t="shared" si="802"/>
        <v>1.3847002638648867E-2</v>
      </c>
      <c r="M465" s="18">
        <f t="shared" si="803"/>
        <v>0.43029423220088947</v>
      </c>
      <c r="N465" s="19">
        <f t="shared" si="804"/>
        <v>1015.5136790000175</v>
      </c>
      <c r="O465" s="15">
        <f t="shared" si="805"/>
        <v>5.531027358000036E-6</v>
      </c>
      <c r="P465" s="16">
        <f t="shared" si="806"/>
        <v>27.567407308500201</v>
      </c>
      <c r="Q465" s="17">
        <f t="shared" si="745"/>
        <v>1.3848627834867686E-2</v>
      </c>
      <c r="R465" s="18">
        <f t="shared" si="807"/>
        <v>0.43045690648097068</v>
      </c>
      <c r="S465" s="19">
        <f t="shared" si="808"/>
        <v>1014.0119716004975</v>
      </c>
      <c r="T465" s="15">
        <f t="shared" si="809"/>
        <v>5.5280239432009954E-6</v>
      </c>
      <c r="U465" s="16">
        <f t="shared" si="810"/>
        <v>27.550137673405722</v>
      </c>
      <c r="V465" s="17">
        <f t="shared" si="811"/>
        <v>1.3834949843919364E-2</v>
      </c>
      <c r="W465" s="18">
        <f t="shared" si="812"/>
        <v>0.43072673575685122</v>
      </c>
      <c r="X465" s="19">
        <f t="shared" si="813"/>
        <v>1011.9129663002461</v>
      </c>
      <c r="Y465" s="15">
        <f t="shared" si="814"/>
        <v>5.523825932600493E-6</v>
      </c>
      <c r="Z465" s="16">
        <f t="shared" si="815"/>
        <v>27.52599911245283</v>
      </c>
      <c r="AA465" s="17">
        <f t="shared" si="816"/>
        <v>1.3824443509884104E-2</v>
      </c>
      <c r="AB465" s="18">
        <f t="shared" si="817"/>
        <v>0.43110445587239116</v>
      </c>
      <c r="AC465" s="19">
        <f t="shared" si="818"/>
        <v>1009.2152145686983</v>
      </c>
      <c r="AD465" s="15">
        <f t="shared" si="749"/>
        <v>5.5184304291373969E-6</v>
      </c>
      <c r="AE465" s="16">
        <f t="shared" si="750"/>
        <v>27.494974967540031</v>
      </c>
      <c r="AF465" s="17">
        <f t="shared" si="751"/>
        <v>1.3810940218190435E-2</v>
      </c>
      <c r="AG465" s="18">
        <f t="shared" si="819"/>
        <v>0.43159089556281921</v>
      </c>
      <c r="AH465" s="19">
        <f t="shared" si="820"/>
        <v>1005.9183544040144</v>
      </c>
      <c r="AI465" s="15">
        <f t="shared" si="752"/>
        <v>5.5118367088080297E-6</v>
      </c>
      <c r="AJ465" s="16">
        <f t="shared" si="753"/>
        <v>27.457061075646166</v>
      </c>
      <c r="AK465" s="17">
        <f t="shared" si="754"/>
        <v>1.3794438156879028E-2</v>
      </c>
      <c r="AL465" s="18">
        <f t="shared" si="821"/>
        <v>0.43218685485036507</v>
      </c>
      <c r="AM465" s="19">
        <f t="shared" si="822"/>
        <v>1002.02218498202</v>
      </c>
      <c r="AN465" s="15">
        <f t="shared" si="755"/>
        <v>5.5040443699640409E-6</v>
      </c>
      <c r="AO465" s="16">
        <f t="shared" si="756"/>
        <v>27.412255127293228</v>
      </c>
      <c r="AP465" s="17">
        <f t="shared" si="757"/>
        <v>1.3774936320747149E-2</v>
      </c>
      <c r="AQ465" s="18">
        <f t="shared" si="823"/>
        <v>0.43289327399783478</v>
      </c>
      <c r="AR465" s="19">
        <f t="shared" si="824"/>
        <v>997.52633996192526</v>
      </c>
      <c r="AS465" s="15">
        <f t="shared" si="758"/>
        <v>5.4950526799238505E-6</v>
      </c>
      <c r="AT465" s="16">
        <f t="shared" si="759"/>
        <v>27.360552909562138</v>
      </c>
      <c r="AU465" s="17">
        <f t="shared" si="760"/>
        <v>1.3752432876117337E-2</v>
      </c>
      <c r="AV465" s="18">
        <f t="shared" si="825"/>
        <v>0.43371129629367583</v>
      </c>
      <c r="AW465" s="19">
        <f t="shared" si="826"/>
        <v>992.42928928800404</v>
      </c>
      <c r="AX465" s="15">
        <f t="shared" si="761"/>
        <v>5.4848585785760087E-6</v>
      </c>
      <c r="AY465" s="16">
        <f t="shared" si="762"/>
        <v>27.301936826812046</v>
      </c>
      <c r="AZ465" s="17">
        <f t="shared" si="763"/>
        <v>1.3726920164468416E-2</v>
      </c>
      <c r="BA465" s="18">
        <f t="shared" si="827"/>
        <v>0.43464245577127864</v>
      </c>
      <c r="BB465" s="19">
        <f t="shared" si="828"/>
        <v>986.72437870452404</v>
      </c>
      <c r="BC465" s="15">
        <f t="shared" si="764"/>
        <v>5.473448757409048E-6</v>
      </c>
      <c r="BD465" s="16">
        <f t="shared" si="765"/>
        <v>27.236330355102027</v>
      </c>
      <c r="BE465" s="17">
        <f t="shared" si="766"/>
        <v>1.3698364878674631E-2</v>
      </c>
      <c r="BF465" s="18">
        <f t="shared" si="829"/>
        <v>0.43568941612191159</v>
      </c>
      <c r="BG465" s="19">
        <f t="shared" si="830"/>
        <v>980.38481288242258</v>
      </c>
      <c r="BH465" s="15">
        <f t="shared" si="767"/>
        <v>5.4607696257648459E-6</v>
      </c>
      <c r="BI465" s="16">
        <f t="shared" si="768"/>
        <v>27.163425348147861</v>
      </c>
      <c r="BJ465" s="17">
        <f t="shared" si="769"/>
        <v>1.3666632897741782E-2</v>
      </c>
      <c r="BK465" s="18">
        <f t="shared" si="831"/>
        <v>0.43685878042354559</v>
      </c>
      <c r="BL465" s="19">
        <f t="shared" si="832"/>
        <v>973.31221743413391</v>
      </c>
      <c r="BM465" s="15">
        <f t="shared" si="770"/>
        <v>5.4466244348682681E-6</v>
      </c>
      <c r="BN465" s="16">
        <f t="shared" si="771"/>
        <v>27.082090500492541</v>
      </c>
      <c r="BO465" s="17">
        <f t="shared" si="772"/>
        <v>1.3631231819780187E-2</v>
      </c>
      <c r="BP465" s="18">
        <f t="shared" si="833"/>
        <v>0.43817078557883415</v>
      </c>
      <c r="BQ465" s="19">
        <f t="shared" si="834"/>
        <v>965.18076243175096</v>
      </c>
      <c r="BR465" s="15">
        <f t="shared" si="773"/>
        <v>5.430361524863503E-6</v>
      </c>
      <c r="BS465" s="16">
        <f t="shared" si="774"/>
        <v>26.988578767965137</v>
      </c>
      <c r="BT465" s="17">
        <f t="shared" si="775"/>
        <v>1.3590530739874622E-2</v>
      </c>
      <c r="BU465" s="18">
        <f t="shared" si="835"/>
        <v>0.43968898739504114</v>
      </c>
      <c r="BV465" s="19">
        <f t="shared" si="836"/>
        <v>955.02902126381252</v>
      </c>
      <c r="BW465" s="15">
        <f t="shared" si="776"/>
        <v>5.4100580425276254E-6</v>
      </c>
      <c r="BX465" s="16">
        <f t="shared" si="777"/>
        <v>26.871833744533845</v>
      </c>
      <c r="BY465" s="17">
        <f t="shared" si="778"/>
        <v>1.3539717345674466E-2</v>
      </c>
      <c r="BZ465" s="18">
        <f t="shared" si="837"/>
        <v>0.44159922179228828</v>
      </c>
      <c r="CA465" s="19">
        <f t="shared" si="838"/>
        <v>940.37003815101355</v>
      </c>
      <c r="CB465" s="15">
        <f t="shared" si="779"/>
        <v>5.3807400763020275E-6</v>
      </c>
      <c r="CC465" s="16">
        <f t="shared" si="780"/>
        <v>26.703255438736655</v>
      </c>
      <c r="CD465" s="17">
        <f t="shared" si="781"/>
        <v>1.3466343460824396E-2</v>
      </c>
      <c r="CE465" s="18">
        <f t="shared" si="839"/>
        <v>0.44438704849835764</v>
      </c>
      <c r="CF465" s="19">
        <f t="shared" si="840"/>
        <v>915.68546713671083</v>
      </c>
      <c r="CG465" s="15">
        <f t="shared" si="782"/>
        <v>5.3313709342734215E-6</v>
      </c>
      <c r="CH465" s="16">
        <f t="shared" si="783"/>
        <v>26.419382872072173</v>
      </c>
      <c r="CI465" s="17">
        <f t="shared" si="784"/>
        <v>1.3342787627705554E-2</v>
      </c>
      <c r="CJ465" s="18">
        <f t="shared" si="841"/>
        <v>0.44916192506002911</v>
      </c>
      <c r="CK465" s="19">
        <f t="shared" si="842"/>
        <v>870.80865072586664</v>
      </c>
      <c r="CL465" s="15">
        <f t="shared" si="785"/>
        <v>5.2416173014517344E-6</v>
      </c>
      <c r="CM465" s="16">
        <f t="shared" si="786"/>
        <v>25.903299483347467</v>
      </c>
      <c r="CN465" s="17">
        <f t="shared" si="787"/>
        <v>1.3118161790126679E-2</v>
      </c>
      <c r="CO465" s="18">
        <f t="shared" si="843"/>
        <v>0.45811078535947142</v>
      </c>
      <c r="CP465" s="19">
        <f t="shared" si="844"/>
        <v>791.13576473614955</v>
      </c>
      <c r="CQ465" s="15">
        <f t="shared" si="788"/>
        <v>5.0822715294722996E-6</v>
      </c>
      <c r="CR465" s="16">
        <f t="shared" si="789"/>
        <v>24.987061294465718</v>
      </c>
      <c r="CS465" s="17">
        <f t="shared" si="790"/>
        <v>1.2719368155036244E-2</v>
      </c>
      <c r="CT465" s="18">
        <f t="shared" si="845"/>
        <v>0.47490902310893912</v>
      </c>
      <c r="CU465" s="19">
        <f t="shared" si="846"/>
        <v>663.43370567701038</v>
      </c>
      <c r="CV465" s="15">
        <f t="shared" si="791"/>
        <v>4.8268674113540208E-6</v>
      </c>
      <c r="CW465" s="16">
        <f t="shared" si="792"/>
        <v>31.212511900082717</v>
      </c>
      <c r="CX465" s="17">
        <f t="shared" si="793"/>
        <v>1.2080169917039689E-2</v>
      </c>
      <c r="CY465" s="18">
        <f t="shared" si="847"/>
        <v>0.38018666705535004</v>
      </c>
      <c r="CZ465" s="20">
        <f t="shared" si="797"/>
        <v>492.37900827127726</v>
      </c>
      <c r="DA465" s="15">
        <f t="shared" si="794"/>
        <v>7.3290332296293503E-6</v>
      </c>
      <c r="DB465" s="16">
        <f t="shared" si="795"/>
        <v>39.216008760132958</v>
      </c>
      <c r="DC465" s="17">
        <f t="shared" si="796"/>
        <v>1.8342324161068436E-2</v>
      </c>
      <c r="DD465" s="18">
        <f t="shared" si="848"/>
        <v>0.30259532382044646</v>
      </c>
    </row>
    <row r="466" spans="2:108" x14ac:dyDescent="0.25">
      <c r="B466">
        <v>199</v>
      </c>
      <c r="C466">
        <f t="shared" si="849"/>
        <v>0.19454531860270505</v>
      </c>
      <c r="D466" s="19">
        <f t="shared" si="746"/>
        <v>1016.7280485772236</v>
      </c>
      <c r="E466" s="15">
        <f t="shared" si="798"/>
        <v>5.5334560971544471E-6</v>
      </c>
      <c r="F466" s="16">
        <f t="shared" si="747"/>
        <v>27.581372558638073</v>
      </c>
      <c r="G466" s="17">
        <f t="shared" si="744"/>
        <v>1.38485448605587E-2</v>
      </c>
      <c r="H466" s="18">
        <f t="shared" si="799"/>
        <v>0.43023895364487447</v>
      </c>
      <c r="I466" s="19">
        <f t="shared" si="800"/>
        <v>1016.4033588847773</v>
      </c>
      <c r="J466" s="15">
        <f t="shared" si="801"/>
        <v>5.5328067177695543E-6</v>
      </c>
      <c r="K466" s="16">
        <f t="shared" si="748"/>
        <v>27.577638627174938</v>
      </c>
      <c r="L466" s="17">
        <f t="shared" si="802"/>
        <v>1.3846919662963324E-2</v>
      </c>
      <c r="M466" s="18">
        <f t="shared" si="803"/>
        <v>0.43029720673852762</v>
      </c>
      <c r="N466" s="19">
        <f t="shared" si="804"/>
        <v>1015.4970981254484</v>
      </c>
      <c r="O466" s="15">
        <f t="shared" si="805"/>
        <v>5.5309941962508977E-6</v>
      </c>
      <c r="P466" s="16">
        <f t="shared" si="806"/>
        <v>27.567216628442655</v>
      </c>
      <c r="Q466" s="17">
        <f t="shared" si="745"/>
        <v>1.38485448605587E-2</v>
      </c>
      <c r="R466" s="18">
        <f t="shared" si="807"/>
        <v>0.43045988391423157</v>
      </c>
      <c r="S466" s="19">
        <f t="shared" si="808"/>
        <v>1013.995389121832</v>
      </c>
      <c r="T466" s="15">
        <f t="shared" si="809"/>
        <v>5.5279907782436648E-6</v>
      </c>
      <c r="U466" s="16">
        <f t="shared" si="810"/>
        <v>27.549946974901069</v>
      </c>
      <c r="V466" s="17">
        <f t="shared" si="811"/>
        <v>1.3834866842194706E-2</v>
      </c>
      <c r="W466" s="18">
        <f t="shared" si="812"/>
        <v>0.43072971721247794</v>
      </c>
      <c r="X466" s="19">
        <f t="shared" si="813"/>
        <v>1011.8963874112458</v>
      </c>
      <c r="Y466" s="15">
        <f t="shared" si="814"/>
        <v>5.5237927748224916E-6</v>
      </c>
      <c r="Z466" s="16">
        <f t="shared" si="815"/>
        <v>27.525808455229324</v>
      </c>
      <c r="AA466" s="17">
        <f t="shared" si="816"/>
        <v>1.3824360526127106E-2</v>
      </c>
      <c r="AB466" s="18">
        <f t="shared" si="817"/>
        <v>0.43110744191288225</v>
      </c>
      <c r="AC466" s="19">
        <f t="shared" si="818"/>
        <v>1009.1986451101177</v>
      </c>
      <c r="AD466" s="15">
        <f t="shared" si="749"/>
        <v>5.5183972902202359E-6</v>
      </c>
      <c r="AE466" s="16">
        <f t="shared" si="750"/>
        <v>27.494784418766351</v>
      </c>
      <c r="AF466" s="17">
        <f t="shared" si="751"/>
        <v>1.381085728163634E-2</v>
      </c>
      <c r="AG466" s="18">
        <f t="shared" si="819"/>
        <v>0.43159388664340487</v>
      </c>
      <c r="AH466" s="19">
        <f t="shared" si="820"/>
        <v>1005.9017989373071</v>
      </c>
      <c r="AI466" s="15">
        <f t="shared" si="752"/>
        <v>5.5118035978746146E-6</v>
      </c>
      <c r="AJ466" s="16">
        <f t="shared" si="753"/>
        <v>27.456870687779031</v>
      </c>
      <c r="AK466" s="17">
        <f t="shared" si="754"/>
        <v>1.3794355290359673E-2</v>
      </c>
      <c r="AL466" s="18">
        <f t="shared" si="821"/>
        <v>0.43218985166432961</v>
      </c>
      <c r="AM466" s="19">
        <f t="shared" si="822"/>
        <v>1002.0056440988454</v>
      </c>
      <c r="AN466" s="15">
        <f t="shared" si="755"/>
        <v>5.5040112881976912E-6</v>
      </c>
      <c r="AO466" s="16">
        <f t="shared" si="756"/>
        <v>27.412064907136724</v>
      </c>
      <c r="AP466" s="17">
        <f t="shared" si="757"/>
        <v>1.3774853527224021E-2</v>
      </c>
      <c r="AQ466" s="18">
        <f t="shared" si="823"/>
        <v>0.43289627796804309</v>
      </c>
      <c r="AR466" s="19">
        <f t="shared" si="824"/>
        <v>997.50979964628607</v>
      </c>
      <c r="AS466" s="15">
        <f t="shared" si="758"/>
        <v>5.4950195992925732E-6</v>
      </c>
      <c r="AT466" s="16">
        <f t="shared" si="759"/>
        <v>27.360362695932288</v>
      </c>
      <c r="AU466" s="17">
        <f t="shared" si="760"/>
        <v>1.3752350085434947E-2</v>
      </c>
      <c r="AV466" s="18">
        <f t="shared" si="825"/>
        <v>0.43371431152417156</v>
      </c>
      <c r="AW466" s="19">
        <f t="shared" si="826"/>
        <v>992.41267687723484</v>
      </c>
      <c r="AX466" s="15">
        <f t="shared" si="761"/>
        <v>5.4848253537544704E-6</v>
      </c>
      <c r="AY466" s="16">
        <f t="shared" si="762"/>
        <v>27.301745784088197</v>
      </c>
      <c r="AZ466" s="17">
        <f t="shared" si="763"/>
        <v>1.372683701292199E-2</v>
      </c>
      <c r="BA466" s="18">
        <f t="shared" si="827"/>
        <v>0.43464549716208595</v>
      </c>
      <c r="BB466" s="19">
        <f t="shared" si="828"/>
        <v>986.70740026727776</v>
      </c>
      <c r="BC466" s="15">
        <f t="shared" si="764"/>
        <v>5.473414800534556E-6</v>
      </c>
      <c r="BD466" s="16">
        <f t="shared" si="765"/>
        <v>27.236135103073693</v>
      </c>
      <c r="BE466" s="17">
        <f t="shared" si="766"/>
        <v>1.3698279895024002E-2</v>
      </c>
      <c r="BF466" s="18">
        <f t="shared" si="829"/>
        <v>0.43569253951816067</v>
      </c>
      <c r="BG466" s="19">
        <f t="shared" si="830"/>
        <v>980.3664205674736</v>
      </c>
      <c r="BH466" s="15">
        <f t="shared" si="767"/>
        <v>5.4607328411349477E-6</v>
      </c>
      <c r="BI466" s="16">
        <f t="shared" si="768"/>
        <v>27.163213836525948</v>
      </c>
      <c r="BJ466" s="17">
        <f t="shared" si="769"/>
        <v>1.3666540837085949E-2</v>
      </c>
      <c r="BK466" s="18">
        <f t="shared" si="831"/>
        <v>0.4368621821089923</v>
      </c>
      <c r="BL466" s="19">
        <f t="shared" si="832"/>
        <v>973.28908870444832</v>
      </c>
      <c r="BM466" s="15">
        <f t="shared" si="770"/>
        <v>5.4465781774088971E-6</v>
      </c>
      <c r="BN466" s="16">
        <f t="shared" si="771"/>
        <v>27.081824520101154</v>
      </c>
      <c r="BO466" s="17">
        <f t="shared" si="772"/>
        <v>1.3631116051535172E-2</v>
      </c>
      <c r="BP466" s="18">
        <f t="shared" si="833"/>
        <v>0.43817508901256169</v>
      </c>
      <c r="BQ466" s="19">
        <f t="shared" si="834"/>
        <v>965.14363827777129</v>
      </c>
      <c r="BR466" s="15">
        <f t="shared" si="773"/>
        <v>5.430287276555543E-6</v>
      </c>
      <c r="BS466" s="16">
        <f t="shared" si="774"/>
        <v>26.988151840194369</v>
      </c>
      <c r="BT466" s="17">
        <f t="shared" si="775"/>
        <v>1.3590344919113501E-2</v>
      </c>
      <c r="BU466" s="18">
        <f t="shared" si="835"/>
        <v>0.43969594287092301</v>
      </c>
      <c r="BV466" s="19">
        <f t="shared" si="836"/>
        <v>954.95572392326699</v>
      </c>
      <c r="BW466" s="15">
        <f t="shared" si="776"/>
        <v>5.4099114478465342E-6</v>
      </c>
      <c r="BX466" s="16">
        <f t="shared" si="777"/>
        <v>26.87099082511757</v>
      </c>
      <c r="BY466" s="17">
        <f t="shared" si="778"/>
        <v>1.3539350464112244E-2</v>
      </c>
      <c r="BZ466" s="18">
        <f t="shared" si="837"/>
        <v>0.44161307437259262</v>
      </c>
      <c r="CA466" s="19">
        <f t="shared" si="838"/>
        <v>940.21654199721195</v>
      </c>
      <c r="CB466" s="15">
        <f t="shared" si="779"/>
        <v>5.3804330839944243E-6</v>
      </c>
      <c r="CC466" s="16">
        <f t="shared" si="780"/>
        <v>26.701490232967934</v>
      </c>
      <c r="CD466" s="17">
        <f t="shared" si="781"/>
        <v>1.3465575153157532E-2</v>
      </c>
      <c r="CE466" s="18">
        <f t="shared" si="839"/>
        <v>0.44441642643100149</v>
      </c>
      <c r="CF466" s="19">
        <f t="shared" si="840"/>
        <v>915.38429556099607</v>
      </c>
      <c r="CG466" s="15">
        <f t="shared" si="782"/>
        <v>5.330768591121993E-6</v>
      </c>
      <c r="CH466" s="16">
        <f t="shared" si="783"/>
        <v>26.415919398951452</v>
      </c>
      <c r="CI466" s="17">
        <f t="shared" si="784"/>
        <v>1.3341280147388092E-2</v>
      </c>
      <c r="CJ466" s="18">
        <f t="shared" si="841"/>
        <v>0.44922081607308839</v>
      </c>
      <c r="CK466" s="19">
        <f t="shared" si="842"/>
        <v>870.29555448205747</v>
      </c>
      <c r="CL466" s="15">
        <f t="shared" si="785"/>
        <v>5.2405911089641156E-6</v>
      </c>
      <c r="CM466" s="16">
        <f t="shared" si="786"/>
        <v>25.897398876543662</v>
      </c>
      <c r="CN466" s="17">
        <f t="shared" si="787"/>
        <v>1.3115593544811123E-2</v>
      </c>
      <c r="CO466" s="18">
        <f t="shared" si="843"/>
        <v>0.45821516385824945</v>
      </c>
      <c r="CP466" s="19">
        <f t="shared" si="844"/>
        <v>790.43028236024884</v>
      </c>
      <c r="CQ466" s="15">
        <f t="shared" si="788"/>
        <v>5.0808605647204977E-6</v>
      </c>
      <c r="CR466" s="16">
        <f t="shared" si="789"/>
        <v>24.97894824714286</v>
      </c>
      <c r="CS466" s="17">
        <f t="shared" si="790"/>
        <v>1.2715836942658496E-2</v>
      </c>
      <c r="CT466" s="18">
        <f t="shared" si="845"/>
        <v>0.47506327137193299</v>
      </c>
      <c r="CU466" s="19">
        <f t="shared" si="846"/>
        <v>662.78246843358409</v>
      </c>
      <c r="CV466" s="15">
        <f t="shared" si="791"/>
        <v>4.8255649368671685E-6</v>
      </c>
      <c r="CW466" s="16">
        <f t="shared" si="792"/>
        <v>31.343280338562664</v>
      </c>
      <c r="CX466" s="17">
        <f t="shared" si="793"/>
        <v>1.2076910222547817E-2</v>
      </c>
      <c r="CY466" s="18">
        <f t="shared" si="847"/>
        <v>0.37860047645102596</v>
      </c>
      <c r="CZ466" s="20">
        <f t="shared" si="797"/>
        <v>492.3434666508312</v>
      </c>
      <c r="DA466" s="15">
        <f t="shared" si="794"/>
        <v>7.3295637615279356E-6</v>
      </c>
      <c r="DB466" s="16">
        <f t="shared" si="795"/>
        <v>39.217039467125893</v>
      </c>
      <c r="DC466" s="17">
        <f t="shared" si="796"/>
        <v>1.8343651919826891E-2</v>
      </c>
      <c r="DD466" s="18">
        <f t="shared" si="848"/>
        <v>0.30258737097340527</v>
      </c>
    </row>
    <row r="467" spans="2:108" x14ac:dyDescent="0.25">
      <c r="B467">
        <v>200</v>
      </c>
      <c r="C467">
        <f t="shared" si="849"/>
        <v>0.19552293326905029</v>
      </c>
      <c r="D467" s="19">
        <f t="shared" si="746"/>
        <v>1016.7114715617507</v>
      </c>
      <c r="E467" s="15">
        <f t="shared" si="798"/>
        <v>5.5334229431235018E-6</v>
      </c>
      <c r="F467" s="16">
        <f t="shared" si="747"/>
        <v>27.581181922960134</v>
      </c>
      <c r="G467" s="17">
        <f t="shared" si="744"/>
        <v>1.3848461886179435E-2</v>
      </c>
      <c r="H467" s="18">
        <f t="shared" si="799"/>
        <v>0.43024192737148387</v>
      </c>
      <c r="I467" s="19">
        <f t="shared" si="800"/>
        <v>1016.3867816348159</v>
      </c>
      <c r="J467" s="15">
        <f t="shared" si="801"/>
        <v>5.5327735632696323E-6</v>
      </c>
      <c r="K467" s="16">
        <f t="shared" si="748"/>
        <v>27.57744798880038</v>
      </c>
      <c r="L467" s="17">
        <f t="shared" si="802"/>
        <v>1.3846836687410352E-2</v>
      </c>
      <c r="M467" s="18">
        <f t="shared" si="803"/>
        <v>0.43030018131253833</v>
      </c>
      <c r="N467" s="19">
        <f t="shared" si="804"/>
        <v>1015.48051735984</v>
      </c>
      <c r="O467" s="15">
        <f t="shared" si="805"/>
        <v>5.5309610347196807E-6</v>
      </c>
      <c r="P467" s="16">
        <f t="shared" si="806"/>
        <v>27.567025949638158</v>
      </c>
      <c r="Q467" s="17">
        <f t="shared" si="745"/>
        <v>1.3848461886179435E-2</v>
      </c>
      <c r="R467" s="18">
        <f t="shared" si="807"/>
        <v>0.43046286136911543</v>
      </c>
      <c r="S467" s="19">
        <f t="shared" si="808"/>
        <v>1013.9788068190298</v>
      </c>
      <c r="T467" s="15">
        <f t="shared" si="809"/>
        <v>5.5279576136380595E-6</v>
      </c>
      <c r="U467" s="16">
        <f t="shared" si="810"/>
        <v>27.54975627841884</v>
      </c>
      <c r="V467" s="17">
        <f t="shared" si="811"/>
        <v>1.3834783841350307E-2</v>
      </c>
      <c r="W467" s="18">
        <f t="shared" si="812"/>
        <v>0.4307326986777596</v>
      </c>
      <c r="X467" s="19">
        <f t="shared" si="813"/>
        <v>1011.8798087250306</v>
      </c>
      <c r="Y467" s="15">
        <f t="shared" si="814"/>
        <v>5.5237596174500615E-6</v>
      </c>
      <c r="Z467" s="16">
        <f t="shared" si="815"/>
        <v>27.525617800337848</v>
      </c>
      <c r="AA467" s="17">
        <f t="shared" si="816"/>
        <v>1.3824277543385128E-2</v>
      </c>
      <c r="AB467" s="18">
        <f t="shared" si="817"/>
        <v>0.43111042795821458</v>
      </c>
      <c r="AC467" s="19">
        <f t="shared" si="818"/>
        <v>1009.1820758464361</v>
      </c>
      <c r="AD467" s="15">
        <f t="shared" si="749"/>
        <v>5.5183641516928726E-6</v>
      </c>
      <c r="AE467" s="16">
        <f t="shared" si="750"/>
        <v>27.494593872234013</v>
      </c>
      <c r="AF467" s="17">
        <f t="shared" si="751"/>
        <v>1.381077434605779E-2</v>
      </c>
      <c r="AG467" s="18">
        <f t="shared" si="819"/>
        <v>0.43159687773026578</v>
      </c>
      <c r="AH467" s="19">
        <f t="shared" si="820"/>
        <v>1005.8852436110757</v>
      </c>
      <c r="AI467" s="15">
        <f t="shared" si="752"/>
        <v>5.5117704872221518E-6</v>
      </c>
      <c r="AJ467" s="16">
        <f t="shared" si="753"/>
        <v>27.456680301527371</v>
      </c>
      <c r="AK467" s="17">
        <f t="shared" si="754"/>
        <v>1.3794272424543457E-2</v>
      </c>
      <c r="AL467" s="18">
        <f t="shared" si="821"/>
        <v>0.43219284849442557</v>
      </c>
      <c r="AM467" s="19">
        <f t="shared" si="822"/>
        <v>1001.9891031366236</v>
      </c>
      <c r="AN467" s="15">
        <f t="shared" si="755"/>
        <v>5.5039782062732478E-6</v>
      </c>
      <c r="AO467" s="16">
        <f t="shared" si="756"/>
        <v>27.411874686071172</v>
      </c>
      <c r="AP467" s="17">
        <f t="shared" si="757"/>
        <v>1.3774770733305233E-2</v>
      </c>
      <c r="AQ467" s="18">
        <f t="shared" si="823"/>
        <v>0.43289928199429856</v>
      </c>
      <c r="AR467" s="19">
        <f t="shared" si="824"/>
        <v>997.49325836757134</v>
      </c>
      <c r="AS467" s="15">
        <f t="shared" si="758"/>
        <v>5.494986516735143E-6</v>
      </c>
      <c r="AT467" s="16">
        <f t="shared" si="759"/>
        <v>27.36017247122707</v>
      </c>
      <c r="AU467" s="17">
        <f t="shared" si="760"/>
        <v>1.3752267289931985E-2</v>
      </c>
      <c r="AV467" s="18">
        <f t="shared" si="825"/>
        <v>0.43371732697216059</v>
      </c>
      <c r="AW467" s="19">
        <f t="shared" si="826"/>
        <v>992.39606018952611</v>
      </c>
      <c r="AX467" s="15">
        <f t="shared" si="761"/>
        <v>5.4847921203790529E-6</v>
      </c>
      <c r="AY467" s="16">
        <f t="shared" si="762"/>
        <v>27.30155469217955</v>
      </c>
      <c r="AZ467" s="17">
        <f t="shared" si="763"/>
        <v>1.3726753839967826E-2</v>
      </c>
      <c r="BA467" s="18">
        <f t="shared" si="827"/>
        <v>0.43464853937849357</v>
      </c>
      <c r="BB467" s="19">
        <f t="shared" si="828"/>
        <v>986.69040632769531</v>
      </c>
      <c r="BC467" s="15">
        <f t="shared" si="764"/>
        <v>5.4733808126553911E-6</v>
      </c>
      <c r="BD467" s="16">
        <f t="shared" si="765"/>
        <v>27.235939672768495</v>
      </c>
      <c r="BE467" s="17">
        <f t="shared" si="766"/>
        <v>1.3698194833778181E-2</v>
      </c>
      <c r="BF467" s="18">
        <f t="shared" si="829"/>
        <v>0.43569566581110281</v>
      </c>
      <c r="BG467" s="19">
        <f t="shared" si="830"/>
        <v>980.34797902452431</v>
      </c>
      <c r="BH467" s="15">
        <f t="shared" si="767"/>
        <v>5.4606959580490492E-6</v>
      </c>
      <c r="BI467" s="16">
        <f t="shared" si="768"/>
        <v>27.16300175878203</v>
      </c>
      <c r="BJ467" s="17">
        <f t="shared" si="769"/>
        <v>1.3666448530024921E-2</v>
      </c>
      <c r="BK467" s="18">
        <f t="shared" si="831"/>
        <v>0.4368655929524185</v>
      </c>
      <c r="BL467" s="19">
        <f t="shared" si="832"/>
        <v>973.26582292663068</v>
      </c>
      <c r="BM467" s="15">
        <f t="shared" si="770"/>
        <v>5.4465316458532618E-6</v>
      </c>
      <c r="BN467" s="16">
        <f t="shared" si="771"/>
        <v>27.081556963656254</v>
      </c>
      <c r="BO467" s="17">
        <f t="shared" si="772"/>
        <v>1.3630999597311205E-2</v>
      </c>
      <c r="BP467" s="18">
        <f t="shared" si="833"/>
        <v>0.43817941803135541</v>
      </c>
      <c r="BQ467" s="19">
        <f t="shared" si="834"/>
        <v>965.10618583402629</v>
      </c>
      <c r="BR467" s="15">
        <f t="shared" si="773"/>
        <v>5.4302123716680526E-6</v>
      </c>
      <c r="BS467" s="16">
        <f t="shared" si="774"/>
        <v>26.987721137091302</v>
      </c>
      <c r="BT467" s="17">
        <f t="shared" si="775"/>
        <v>1.3590157455135025E-2</v>
      </c>
      <c r="BU467" s="18">
        <f t="shared" si="835"/>
        <v>0.43970296007723092</v>
      </c>
      <c r="BV467" s="19">
        <f t="shared" si="836"/>
        <v>954.88177279594368</v>
      </c>
      <c r="BW467" s="15">
        <f t="shared" si="776"/>
        <v>5.4097635455918876E-6</v>
      </c>
      <c r="BX467" s="16">
        <f t="shared" si="777"/>
        <v>26.870140387153352</v>
      </c>
      <c r="BY467" s="17">
        <f t="shared" si="778"/>
        <v>1.3538980310094125E-2</v>
      </c>
      <c r="BZ467" s="18">
        <f t="shared" si="837"/>
        <v>0.44162705139387087</v>
      </c>
      <c r="CA467" s="19">
        <f t="shared" si="838"/>
        <v>940.06203363589236</v>
      </c>
      <c r="CB467" s="15">
        <f t="shared" si="779"/>
        <v>5.3801240672717855E-6</v>
      </c>
      <c r="CC467" s="16">
        <f t="shared" si="780"/>
        <v>26.699713386812761</v>
      </c>
      <c r="CD467" s="17">
        <f t="shared" si="781"/>
        <v>1.3464801779000226E-2</v>
      </c>
      <c r="CE467" s="18">
        <f t="shared" si="839"/>
        <v>0.4444460020150971</v>
      </c>
      <c r="CF467" s="19">
        <f t="shared" si="840"/>
        <v>915.08212486848561</v>
      </c>
      <c r="CG467" s="15">
        <f t="shared" si="782"/>
        <v>5.3301642497369716E-6</v>
      </c>
      <c r="CH467" s="16">
        <f t="shared" si="783"/>
        <v>26.412444435987585</v>
      </c>
      <c r="CI467" s="17">
        <f t="shared" si="784"/>
        <v>1.3339767666104313E-2</v>
      </c>
      <c r="CJ467" s="18">
        <f t="shared" si="841"/>
        <v>0.44927991797493</v>
      </c>
      <c r="CK467" s="19">
        <f t="shared" si="842"/>
        <v>869.78261841697588</v>
      </c>
      <c r="CL467" s="15">
        <f t="shared" si="785"/>
        <v>5.2395652368339525E-6</v>
      </c>
      <c r="CM467" s="16">
        <f t="shared" si="786"/>
        <v>25.891500111795224</v>
      </c>
      <c r="CN467" s="17">
        <f t="shared" si="787"/>
        <v>1.3113026101252102E-2</v>
      </c>
      <c r="CO467" s="18">
        <f t="shared" si="843"/>
        <v>0.4583195573249893</v>
      </c>
      <c r="CP467" s="19">
        <f t="shared" si="844"/>
        <v>789.72812185033024</v>
      </c>
      <c r="CQ467" s="15">
        <f t="shared" si="788"/>
        <v>5.0794562437006614E-6</v>
      </c>
      <c r="CR467" s="16">
        <f t="shared" si="789"/>
        <v>24.970873401278794</v>
      </c>
      <c r="CS467" s="17">
        <f t="shared" si="790"/>
        <v>1.2712322357505858E-2</v>
      </c>
      <c r="CT467" s="18">
        <f t="shared" si="845"/>
        <v>0.47521689285846902</v>
      </c>
      <c r="CU467" s="19">
        <f t="shared" si="846"/>
        <v>662.13877264655423</v>
      </c>
      <c r="CV467" s="15">
        <f t="shared" si="791"/>
        <v>4.8242775452931089E-6</v>
      </c>
      <c r="CW467" s="16">
        <f t="shared" si="792"/>
        <v>31.472534452598239</v>
      </c>
      <c r="CX467" s="17">
        <f t="shared" si="793"/>
        <v>1.2073688275964445E-2</v>
      </c>
      <c r="CY467" s="18">
        <f t="shared" si="847"/>
        <v>0.37704560741971777</v>
      </c>
      <c r="CZ467" s="20">
        <f t="shared" si="797"/>
        <v>492.31049209349823</v>
      </c>
      <c r="DA467" s="15">
        <f t="shared" si="794"/>
        <v>7.3300559644390691E-6</v>
      </c>
      <c r="DB467" s="16">
        <f t="shared" si="795"/>
        <v>39.217995729288546</v>
      </c>
      <c r="DC467" s="17">
        <f t="shared" si="796"/>
        <v>1.834488375287583E-2</v>
      </c>
      <c r="DD467" s="18">
        <f t="shared" si="848"/>
        <v>0.30257999291013665</v>
      </c>
    </row>
    <row r="468" spans="2:108" x14ac:dyDescent="0.25">
      <c r="B468">
        <v>201</v>
      </c>
      <c r="C468">
        <f t="shared" si="849"/>
        <v>0.19650054793539554</v>
      </c>
      <c r="D468" s="19">
        <f t="shared" si="746"/>
        <v>1016.6948945343061</v>
      </c>
      <c r="E468" s="15">
        <f t="shared" si="798"/>
        <v>5.5333897890686126E-6</v>
      </c>
      <c r="F468" s="16">
        <f t="shared" si="747"/>
        <v>27.580991287144521</v>
      </c>
      <c r="G468" s="17">
        <f t="shared" si="744"/>
        <v>1.3848378911740244E-2</v>
      </c>
      <c r="H468" s="18">
        <f t="shared" si="799"/>
        <v>0.43024490114134883</v>
      </c>
      <c r="I468" s="19">
        <f t="shared" si="800"/>
        <v>1016.3702044127733</v>
      </c>
      <c r="J468" s="15">
        <f t="shared" si="801"/>
        <v>5.5327404088255467E-6</v>
      </c>
      <c r="K468" s="16">
        <f t="shared" si="748"/>
        <v>27.577257350746891</v>
      </c>
      <c r="L468" s="17">
        <f t="shared" si="802"/>
        <v>1.3846753711997124E-2</v>
      </c>
      <c r="M468" s="18">
        <f t="shared" si="803"/>
        <v>0.43030315592266499</v>
      </c>
      <c r="N468" s="19">
        <f t="shared" si="804"/>
        <v>1015.4639367034935</v>
      </c>
      <c r="O468" s="15">
        <f t="shared" si="805"/>
        <v>5.530927873406988E-6</v>
      </c>
      <c r="P468" s="16">
        <f t="shared" si="806"/>
        <v>27.566835272090174</v>
      </c>
      <c r="Q468" s="17">
        <f t="shared" si="745"/>
        <v>1.3848378911740244E-2</v>
      </c>
      <c r="R468" s="18">
        <f t="shared" si="807"/>
        <v>0.43046583884556838</v>
      </c>
      <c r="S468" s="19">
        <f t="shared" si="808"/>
        <v>1013.962224691753</v>
      </c>
      <c r="T468" s="15">
        <f t="shared" si="809"/>
        <v>5.5279244493835061E-6</v>
      </c>
      <c r="U468" s="16">
        <f t="shared" si="810"/>
        <v>27.549565583955157</v>
      </c>
      <c r="V468" s="17">
        <f t="shared" si="811"/>
        <v>1.3834700841384485E-2</v>
      </c>
      <c r="W468" s="18">
        <f t="shared" si="812"/>
        <v>0.43073568015275654</v>
      </c>
      <c r="X468" s="19">
        <f t="shared" si="813"/>
        <v>1011.8632302411495</v>
      </c>
      <c r="Y468" s="15">
        <f t="shared" si="814"/>
        <v>5.5237264604822989E-6</v>
      </c>
      <c r="Z468" s="16">
        <f t="shared" si="815"/>
        <v>27.525427147773218</v>
      </c>
      <c r="AA468" s="17">
        <f t="shared" si="816"/>
        <v>1.3824194561655907E-2</v>
      </c>
      <c r="AB468" s="18">
        <f t="shared" si="817"/>
        <v>0.4311134140084687</v>
      </c>
      <c r="AC468" s="19">
        <f t="shared" si="818"/>
        <v>1009.1655067769216</v>
      </c>
      <c r="AD468" s="15">
        <f t="shared" si="749"/>
        <v>5.5183310135538443E-6</v>
      </c>
      <c r="AE468" s="16">
        <f t="shared" si="750"/>
        <v>27.494403327934599</v>
      </c>
      <c r="AF468" s="17">
        <f t="shared" si="751"/>
        <v>1.3810691411451121E-2</v>
      </c>
      <c r="AG468" s="18">
        <f t="shared" si="819"/>
        <v>0.43159986882353363</v>
      </c>
      <c r="AH468" s="19">
        <f t="shared" si="820"/>
        <v>1005.868688422723</v>
      </c>
      <c r="AI468" s="15">
        <f t="shared" si="752"/>
        <v>5.5117373768454466E-6</v>
      </c>
      <c r="AJ468" s="16">
        <f t="shared" si="753"/>
        <v>27.456489916861315</v>
      </c>
      <c r="AK468" s="17">
        <f t="shared" si="754"/>
        <v>1.3794189559417377E-2</v>
      </c>
      <c r="AL468" s="18">
        <f t="shared" si="821"/>
        <v>0.4321958453411231</v>
      </c>
      <c r="AM468" s="19">
        <f t="shared" si="822"/>
        <v>1001.9725620851023</v>
      </c>
      <c r="AN468" s="15">
        <f t="shared" si="755"/>
        <v>5.5039451241702051E-6</v>
      </c>
      <c r="AO468" s="16">
        <f t="shared" si="756"/>
        <v>27.411684463978673</v>
      </c>
      <c r="AP468" s="17">
        <f t="shared" si="757"/>
        <v>1.3774687938939465E-2</v>
      </c>
      <c r="AQ468" s="18">
        <f t="shared" si="823"/>
        <v>0.43290228607846459</v>
      </c>
      <c r="AR468" s="19">
        <f t="shared" si="824"/>
        <v>997.47671608871008</v>
      </c>
      <c r="AS468" s="15">
        <f t="shared" si="758"/>
        <v>5.4949534321774208E-6</v>
      </c>
      <c r="AT468" s="16">
        <f t="shared" si="759"/>
        <v>27.359982235020166</v>
      </c>
      <c r="AU468" s="17">
        <f t="shared" si="760"/>
        <v>1.3752184489422909E-2</v>
      </c>
      <c r="AV468" s="18">
        <f t="shared" si="825"/>
        <v>0.43372034264440934</v>
      </c>
      <c r="AW468" s="19">
        <f t="shared" si="826"/>
        <v>992.3794391050277</v>
      </c>
      <c r="AX468" s="15">
        <f t="shared" si="761"/>
        <v>5.4847588782100562E-6</v>
      </c>
      <c r="AY468" s="16">
        <f t="shared" si="762"/>
        <v>27.301363549707816</v>
      </c>
      <c r="AZ468" s="17">
        <f t="shared" si="763"/>
        <v>1.3726670645006028E-2</v>
      </c>
      <c r="BA468" s="18">
        <f t="shared" si="827"/>
        <v>0.43465158244247831</v>
      </c>
      <c r="BB468" s="19">
        <f t="shared" si="828"/>
        <v>986.67339654628779</v>
      </c>
      <c r="BC468" s="15">
        <f t="shared" si="764"/>
        <v>5.473346793092576E-6</v>
      </c>
      <c r="BD468" s="16">
        <f t="shared" si="765"/>
        <v>27.235744060282308</v>
      </c>
      <c r="BE468" s="17">
        <f t="shared" si="766"/>
        <v>1.3698109693237889E-2</v>
      </c>
      <c r="BF468" s="18">
        <f t="shared" si="829"/>
        <v>0.43569879506331716</v>
      </c>
      <c r="BG468" s="19">
        <f t="shared" si="830"/>
        <v>980.32948743762302</v>
      </c>
      <c r="BH468" s="15">
        <f t="shared" si="767"/>
        <v>5.4606589748752465E-6</v>
      </c>
      <c r="BI468" s="16">
        <f t="shared" si="768"/>
        <v>27.162789105532664</v>
      </c>
      <c r="BJ468" s="17">
        <f t="shared" si="769"/>
        <v>1.3666355972474538E-2</v>
      </c>
      <c r="BK468" s="18">
        <f t="shared" si="831"/>
        <v>0.43686901310516929</v>
      </c>
      <c r="BL468" s="19">
        <f t="shared" si="832"/>
        <v>973.24241853066167</v>
      </c>
      <c r="BM468" s="15">
        <f t="shared" si="770"/>
        <v>5.4464848370613237E-6</v>
      </c>
      <c r="BN468" s="16">
        <f t="shared" si="771"/>
        <v>27.081287813102609</v>
      </c>
      <c r="BO468" s="17">
        <f t="shared" si="772"/>
        <v>1.3630882449249733E-2</v>
      </c>
      <c r="BP468" s="18">
        <f t="shared" si="833"/>
        <v>0.4381837729288689</v>
      </c>
      <c r="BQ468" s="19">
        <f t="shared" si="834"/>
        <v>965.06840300712668</v>
      </c>
      <c r="BR468" s="15">
        <f t="shared" si="773"/>
        <v>5.4301368060142537E-6</v>
      </c>
      <c r="BS468" s="16">
        <f t="shared" si="774"/>
        <v>26.987286634581956</v>
      </c>
      <c r="BT468" s="17">
        <f t="shared" si="775"/>
        <v>1.3589968337460975E-2</v>
      </c>
      <c r="BU468" s="18">
        <f t="shared" si="835"/>
        <v>0.4397100394121084</v>
      </c>
      <c r="BV468" s="19">
        <f t="shared" si="836"/>
        <v>954.80716712960975</v>
      </c>
      <c r="BW468" s="15">
        <f t="shared" si="776"/>
        <v>5.4096143342592204E-6</v>
      </c>
      <c r="BX468" s="16">
        <f t="shared" si="777"/>
        <v>26.869282421990512</v>
      </c>
      <c r="BY468" s="17">
        <f t="shared" si="778"/>
        <v>1.3538606879854892E-2</v>
      </c>
      <c r="BZ468" s="18">
        <f t="shared" si="837"/>
        <v>0.44164115302186052</v>
      </c>
      <c r="CA468" s="19">
        <f t="shared" si="838"/>
        <v>939.90651803417086</v>
      </c>
      <c r="CB468" s="15">
        <f t="shared" si="779"/>
        <v>5.3798130360683429E-6</v>
      </c>
      <c r="CC468" s="16">
        <f t="shared" si="780"/>
        <v>26.697924957392964</v>
      </c>
      <c r="CD468" s="17">
        <f t="shared" si="781"/>
        <v>1.3464023363214814E-2</v>
      </c>
      <c r="CE468" s="18">
        <f t="shared" si="839"/>
        <v>0.44447577437781005</v>
      </c>
      <c r="CF468" s="19">
        <f t="shared" si="840"/>
        <v>914.77897121527133</v>
      </c>
      <c r="CG468" s="15">
        <f t="shared" si="782"/>
        <v>5.3295579424305433E-6</v>
      </c>
      <c r="CH468" s="16">
        <f t="shared" si="783"/>
        <v>26.408958168975619</v>
      </c>
      <c r="CI468" s="17">
        <f t="shared" si="784"/>
        <v>1.3338250264721716E-2</v>
      </c>
      <c r="CJ468" s="18">
        <f t="shared" si="841"/>
        <v>0.44933922776470486</v>
      </c>
      <c r="CK468" s="19">
        <f t="shared" si="842"/>
        <v>869.26987110016807</v>
      </c>
      <c r="CL468" s="15">
        <f t="shared" si="785"/>
        <v>5.2385397422003363E-6</v>
      </c>
      <c r="CM468" s="16">
        <f t="shared" si="786"/>
        <v>25.88560351765193</v>
      </c>
      <c r="CN468" s="17">
        <f t="shared" si="787"/>
        <v>1.3110459602451255E-2</v>
      </c>
      <c r="CO468" s="18">
        <f t="shared" si="843"/>
        <v>0.45842395992914869</v>
      </c>
      <c r="CP468" s="19">
        <f t="shared" si="844"/>
        <v>789.02929846702068</v>
      </c>
      <c r="CQ468" s="15">
        <f t="shared" si="788"/>
        <v>5.0780585969340417E-6</v>
      </c>
      <c r="CR468" s="16">
        <f t="shared" si="789"/>
        <v>24.962836932370735</v>
      </c>
      <c r="CS468" s="17">
        <f t="shared" si="790"/>
        <v>1.270882447596367E-2</v>
      </c>
      <c r="CT468" s="18">
        <f t="shared" si="845"/>
        <v>0.47536988291302046</v>
      </c>
      <c r="CU468" s="19">
        <f t="shared" si="846"/>
        <v>661.50249631217775</v>
      </c>
      <c r="CV468" s="15">
        <f t="shared" si="791"/>
        <v>4.8230049926243562E-6</v>
      </c>
      <c r="CW468" s="16">
        <f t="shared" si="792"/>
        <v>31.600298740540978</v>
      </c>
      <c r="CX468" s="17">
        <f t="shared" si="793"/>
        <v>1.207050346661361E-2</v>
      </c>
      <c r="CY468" s="18">
        <f t="shared" si="847"/>
        <v>0.37552116095959254</v>
      </c>
      <c r="CZ468" s="20">
        <f t="shared" si="797"/>
        <v>492.27984331074788</v>
      </c>
      <c r="DA468" s="15">
        <f t="shared" si="794"/>
        <v>7.3305134422277958E-6</v>
      </c>
      <c r="DB468" s="16">
        <f t="shared" si="795"/>
        <v>39.21888454398831</v>
      </c>
      <c r="DC468" s="17">
        <f t="shared" si="796"/>
        <v>1.8346028679585041E-2</v>
      </c>
      <c r="DD468" s="18">
        <f t="shared" si="848"/>
        <v>0.30257313556198207</v>
      </c>
    </row>
    <row r="469" spans="2:108" x14ac:dyDescent="0.25">
      <c r="B469">
        <v>202</v>
      </c>
      <c r="C469">
        <f t="shared" si="849"/>
        <v>0.19747816260174078</v>
      </c>
      <c r="D469" s="19">
        <f t="shared" si="746"/>
        <v>1016.6783174969263</v>
      </c>
      <c r="E469" s="15">
        <f t="shared" si="798"/>
        <v>5.5333566349938528E-6</v>
      </c>
      <c r="F469" s="16">
        <f t="shared" si="747"/>
        <v>27.580800651214652</v>
      </c>
      <c r="G469" s="17">
        <f t="shared" si="744"/>
        <v>1.3848295937251325E-2</v>
      </c>
      <c r="H469" s="18">
        <f t="shared" si="799"/>
        <v>0.43024787495410499</v>
      </c>
      <c r="I469" s="19">
        <f t="shared" si="800"/>
        <v>1016.353627220064</v>
      </c>
      <c r="J469" s="15">
        <f t="shared" si="801"/>
        <v>5.5327072544401283E-6</v>
      </c>
      <c r="K469" s="16">
        <f t="shared" si="748"/>
        <v>27.577066713030735</v>
      </c>
      <c r="L469" s="17">
        <f t="shared" si="802"/>
        <v>1.3846670736730722E-2</v>
      </c>
      <c r="M469" s="18">
        <f t="shared" si="803"/>
        <v>0.43030613056865447</v>
      </c>
      <c r="N469" s="19">
        <f t="shared" si="804"/>
        <v>1015.4473561567108</v>
      </c>
      <c r="O469" s="15">
        <f t="shared" si="805"/>
        <v>5.5308947123134218E-6</v>
      </c>
      <c r="P469" s="16">
        <f t="shared" si="806"/>
        <v>27.566644595802174</v>
      </c>
      <c r="Q469" s="17">
        <f t="shared" si="745"/>
        <v>1.3848295937251325E-2</v>
      </c>
      <c r="R469" s="18">
        <f t="shared" si="807"/>
        <v>0.43046881634353612</v>
      </c>
      <c r="S469" s="19">
        <f t="shared" si="808"/>
        <v>1013.9456427396692</v>
      </c>
      <c r="T469" s="15">
        <f t="shared" si="809"/>
        <v>5.527891285479339E-6</v>
      </c>
      <c r="U469" s="16">
        <f t="shared" si="810"/>
        <v>27.549374891506197</v>
      </c>
      <c r="V469" s="17">
        <f t="shared" si="811"/>
        <v>1.3834617842295569E-2</v>
      </c>
      <c r="W469" s="18">
        <f t="shared" si="812"/>
        <v>0.43073866163752805</v>
      </c>
      <c r="X469" s="19">
        <f t="shared" si="813"/>
        <v>1011.8466519591487</v>
      </c>
      <c r="Y469" s="15">
        <f t="shared" si="814"/>
        <v>5.5236933039182982E-6</v>
      </c>
      <c r="Z469" s="16">
        <f t="shared" si="815"/>
        <v>27.525236497530209</v>
      </c>
      <c r="AA469" s="17">
        <f t="shared" si="816"/>
        <v>1.382411158093718E-2</v>
      </c>
      <c r="AB469" s="18">
        <f t="shared" si="817"/>
        <v>0.43111640006372576</v>
      </c>
      <c r="AC469" s="19">
        <f t="shared" si="818"/>
        <v>1009.1489379008176</v>
      </c>
      <c r="AD469" s="15">
        <f t="shared" si="749"/>
        <v>5.5182978758016356E-6</v>
      </c>
      <c r="AE469" s="16">
        <f t="shared" si="750"/>
        <v>27.494212785859403</v>
      </c>
      <c r="AF469" s="17">
        <f t="shared" si="751"/>
        <v>1.3810608477812547E-2</v>
      </c>
      <c r="AG469" s="18">
        <f t="shared" si="819"/>
        <v>0.4316028599233443</v>
      </c>
      <c r="AH469" s="19">
        <f t="shared" si="820"/>
        <v>1005.8521333695612</v>
      </c>
      <c r="AI469" s="15">
        <f t="shared" si="752"/>
        <v>5.5117042667391228E-6</v>
      </c>
      <c r="AJ469" s="16">
        <f t="shared" si="753"/>
        <v>27.456299533749952</v>
      </c>
      <c r="AK469" s="17">
        <f t="shared" si="754"/>
        <v>1.3794106694967978E-2</v>
      </c>
      <c r="AL469" s="18">
        <f t="shared" si="821"/>
        <v>0.43219884220490851</v>
      </c>
      <c r="AM469" s="19">
        <f t="shared" si="822"/>
        <v>1001.9560209337309</v>
      </c>
      <c r="AN469" s="15">
        <f t="shared" si="755"/>
        <v>5.5039120418674616E-6</v>
      </c>
      <c r="AO469" s="16">
        <f t="shared" si="756"/>
        <v>27.411494240737902</v>
      </c>
      <c r="AP469" s="17">
        <f t="shared" si="757"/>
        <v>1.3774605144073906E-2</v>
      </c>
      <c r="AQ469" s="18">
        <f t="shared" si="823"/>
        <v>0.43290529022245877</v>
      </c>
      <c r="AR469" s="19">
        <f t="shared" si="824"/>
        <v>997.46017277176691</v>
      </c>
      <c r="AS469" s="15">
        <f t="shared" si="758"/>
        <v>5.4949203455435344E-6</v>
      </c>
      <c r="AT469" s="16">
        <f t="shared" si="759"/>
        <v>27.359791986875319</v>
      </c>
      <c r="AU469" s="17">
        <f t="shared" si="760"/>
        <v>1.3752101683717826E-2</v>
      </c>
      <c r="AV469" s="18">
        <f t="shared" si="825"/>
        <v>0.433723358547842</v>
      </c>
      <c r="AW469" s="19">
        <f t="shared" si="826"/>
        <v>992.36281350177853</v>
      </c>
      <c r="AX469" s="15">
        <f t="shared" si="761"/>
        <v>5.4847256270035576E-6</v>
      </c>
      <c r="AY469" s="16">
        <f t="shared" si="762"/>
        <v>27.301172355270452</v>
      </c>
      <c r="AZ469" s="17">
        <f t="shared" si="763"/>
        <v>1.3726587427426133E-2</v>
      </c>
      <c r="BA469" s="18">
        <f t="shared" si="827"/>
        <v>0.4346546263764044</v>
      </c>
      <c r="BB469" s="19">
        <f t="shared" si="828"/>
        <v>986.65637057957031</v>
      </c>
      <c r="BC469" s="15">
        <f t="shared" si="764"/>
        <v>5.4733127411591407E-6</v>
      </c>
      <c r="BD469" s="16">
        <f t="shared" si="765"/>
        <v>27.235548261665059</v>
      </c>
      <c r="BE469" s="17">
        <f t="shared" si="766"/>
        <v>1.3698024471683857E-2</v>
      </c>
      <c r="BF469" s="18">
        <f t="shared" si="829"/>
        <v>0.4357019273381218</v>
      </c>
      <c r="BG469" s="19">
        <f t="shared" si="830"/>
        <v>980.31094498626794</v>
      </c>
      <c r="BH469" s="15">
        <f t="shared" si="767"/>
        <v>5.4606218899725361E-6</v>
      </c>
      <c r="BI469" s="16">
        <f t="shared" si="768"/>
        <v>27.162575867342081</v>
      </c>
      <c r="BJ469" s="17">
        <f t="shared" si="769"/>
        <v>1.3666263160327877E-2</v>
      </c>
      <c r="BK469" s="18">
        <f t="shared" si="831"/>
        <v>0.43687244271944192</v>
      </c>
      <c r="BL469" s="19">
        <f t="shared" si="832"/>
        <v>973.2188739489942</v>
      </c>
      <c r="BM469" s="15">
        <f t="shared" si="770"/>
        <v>5.4464377478979895E-6</v>
      </c>
      <c r="BN469" s="16">
        <f t="shared" si="771"/>
        <v>27.081017050413433</v>
      </c>
      <c r="BO469" s="17">
        <f t="shared" si="772"/>
        <v>1.3630764599504576E-2</v>
      </c>
      <c r="BP469" s="18">
        <f t="shared" si="833"/>
        <v>0.43818815399832767</v>
      </c>
      <c r="BQ469" s="19">
        <f t="shared" si="834"/>
        <v>965.03028772965342</v>
      </c>
      <c r="BR469" s="15">
        <f t="shared" si="773"/>
        <v>5.4300605754593067E-6</v>
      </c>
      <c r="BS469" s="16">
        <f t="shared" si="774"/>
        <v>26.986848308891012</v>
      </c>
      <c r="BT469" s="17">
        <f t="shared" si="775"/>
        <v>1.3589777555743116E-2</v>
      </c>
      <c r="BU469" s="18">
        <f t="shared" si="835"/>
        <v>0.43971718126893566</v>
      </c>
      <c r="BV469" s="19">
        <f t="shared" si="836"/>
        <v>954.73190623528671</v>
      </c>
      <c r="BW469" s="15">
        <f t="shared" si="776"/>
        <v>5.4094638124705743E-6</v>
      </c>
      <c r="BX469" s="16">
        <f t="shared" si="777"/>
        <v>26.868416921705794</v>
      </c>
      <c r="BY469" s="17">
        <f t="shared" si="778"/>
        <v>1.3538230169945938E-2</v>
      </c>
      <c r="BZ469" s="18">
        <f t="shared" si="837"/>
        <v>0.44165537941059035</v>
      </c>
      <c r="CA469" s="19">
        <f t="shared" si="838"/>
        <v>939.75000024121357</v>
      </c>
      <c r="CB469" s="15">
        <f t="shared" si="779"/>
        <v>5.3795000004824275E-6</v>
      </c>
      <c r="CC469" s="16">
        <f t="shared" si="780"/>
        <v>26.696125002773954</v>
      </c>
      <c r="CD469" s="17">
        <f t="shared" si="781"/>
        <v>1.3463239931074325E-2</v>
      </c>
      <c r="CE469" s="18">
        <f t="shared" si="839"/>
        <v>0.44450574263061998</v>
      </c>
      <c r="CF469" s="19">
        <f t="shared" si="840"/>
        <v>914.47485078165164</v>
      </c>
      <c r="CG469" s="15">
        <f t="shared" si="782"/>
        <v>5.3289497015633045E-6</v>
      </c>
      <c r="CH469" s="16">
        <f t="shared" si="783"/>
        <v>26.405460783988993</v>
      </c>
      <c r="CI469" s="17">
        <f t="shared" si="784"/>
        <v>1.3336728024228958E-2</v>
      </c>
      <c r="CJ469" s="18">
        <f t="shared" si="841"/>
        <v>0.44939874243411138</v>
      </c>
      <c r="CK469" s="19">
        <f t="shared" si="842"/>
        <v>868.75734074482637</v>
      </c>
      <c r="CL469" s="15">
        <f t="shared" si="785"/>
        <v>5.2375146814896533E-6</v>
      </c>
      <c r="CM469" s="16">
        <f t="shared" si="786"/>
        <v>25.879709418565504</v>
      </c>
      <c r="CN469" s="17">
        <f t="shared" si="787"/>
        <v>1.310789418962653E-2</v>
      </c>
      <c r="CO469" s="18">
        <f t="shared" si="843"/>
        <v>0.45852836590217233</v>
      </c>
      <c r="CP469" s="19">
        <f t="shared" si="844"/>
        <v>788.33382577480234</v>
      </c>
      <c r="CQ469" s="15">
        <f t="shared" si="788"/>
        <v>5.0766676515496055E-6</v>
      </c>
      <c r="CR469" s="16">
        <f t="shared" si="789"/>
        <v>24.954838996410224</v>
      </c>
      <c r="CS469" s="17">
        <f t="shared" si="790"/>
        <v>1.2705343365927421E-2</v>
      </c>
      <c r="CT469" s="18">
        <f t="shared" si="845"/>
        <v>0.47552223724724957</v>
      </c>
      <c r="CU469" s="19">
        <f t="shared" si="846"/>
        <v>660.8735176912528</v>
      </c>
      <c r="CV469" s="15">
        <f t="shared" si="791"/>
        <v>4.8217470353825061E-6</v>
      </c>
      <c r="CW469" s="16">
        <f t="shared" si="792"/>
        <v>31.72659764762264</v>
      </c>
      <c r="CX469" s="17">
        <f t="shared" si="793"/>
        <v>1.2067355185143486E-2</v>
      </c>
      <c r="CY469" s="18">
        <f t="shared" si="847"/>
        <v>0.37402626658919708</v>
      </c>
      <c r="CZ469" s="20">
        <f t="shared" si="797"/>
        <v>492.25129414793707</v>
      </c>
      <c r="DA469" s="15">
        <f t="shared" si="794"/>
        <v>7.3309395724406811E-6</v>
      </c>
      <c r="DB469" s="16">
        <f t="shared" si="795"/>
        <v>39.219712469709819</v>
      </c>
      <c r="DC469" s="17">
        <f t="shared" si="796"/>
        <v>1.8347095152918519E-2</v>
      </c>
      <c r="DD469" s="18">
        <f t="shared" si="848"/>
        <v>0.30256674826167324</v>
      </c>
    </row>
    <row r="470" spans="2:108" x14ac:dyDescent="0.25">
      <c r="B470">
        <v>203</v>
      </c>
      <c r="C470">
        <f t="shared" si="849"/>
        <v>0.19845577726808605</v>
      </c>
      <c r="D470" s="19">
        <f t="shared" si="746"/>
        <v>1016.6617404516162</v>
      </c>
      <c r="E470" s="15">
        <f t="shared" si="798"/>
        <v>5.5333234809032332E-6</v>
      </c>
      <c r="F470" s="16">
        <f t="shared" si="747"/>
        <v>27.580610015193585</v>
      </c>
      <c r="G470" s="17">
        <f t="shared" si="744"/>
        <v>1.3848212962722713E-2</v>
      </c>
      <c r="H470" s="18">
        <f t="shared" si="799"/>
        <v>0.43025084880939346</v>
      </c>
      <c r="I470" s="19">
        <f t="shared" si="800"/>
        <v>1016.3370500580836</v>
      </c>
      <c r="J470" s="15">
        <f t="shared" si="801"/>
        <v>5.5326741001161681E-6</v>
      </c>
      <c r="K470" s="16">
        <f t="shared" si="748"/>
        <v>27.576876075667961</v>
      </c>
      <c r="L470" s="17">
        <f t="shared" si="802"/>
        <v>1.3846587761618128E-2</v>
      </c>
      <c r="M470" s="18">
        <f t="shared" si="803"/>
        <v>0.43030910525025701</v>
      </c>
      <c r="N470" s="19">
        <f t="shared" si="804"/>
        <v>1015.4307757197944</v>
      </c>
      <c r="O470" s="15">
        <f t="shared" si="805"/>
        <v>5.5308615514395896E-6</v>
      </c>
      <c r="P470" s="16">
        <f t="shared" si="806"/>
        <v>27.566453920777633</v>
      </c>
      <c r="Q470" s="17">
        <f t="shared" si="745"/>
        <v>1.3848212962722713E-2</v>
      </c>
      <c r="R470" s="18">
        <f t="shared" si="807"/>
        <v>0.43047179386296447</v>
      </c>
      <c r="S470" s="19">
        <f t="shared" si="808"/>
        <v>1013.9290609624513</v>
      </c>
      <c r="T470" s="15">
        <f t="shared" si="809"/>
        <v>5.5278581219249033E-6</v>
      </c>
      <c r="U470" s="16">
        <f t="shared" si="810"/>
        <v>27.54918420106819</v>
      </c>
      <c r="V470" s="17">
        <f t="shared" si="811"/>
        <v>1.3834534844081925E-2</v>
      </c>
      <c r="W470" s="18">
        <f t="shared" si="812"/>
        <v>0.43074164313213253</v>
      </c>
      <c r="X470" s="19">
        <f t="shared" si="813"/>
        <v>1011.8300738785712</v>
      </c>
      <c r="Y470" s="15">
        <f t="shared" si="814"/>
        <v>5.523660147757143E-6</v>
      </c>
      <c r="Z470" s="16">
        <f t="shared" si="815"/>
        <v>27.525045849603568</v>
      </c>
      <c r="AA470" s="17">
        <f t="shared" si="816"/>
        <v>1.3824028601226652E-2</v>
      </c>
      <c r="AB470" s="18">
        <f t="shared" si="817"/>
        <v>0.43111938612406736</v>
      </c>
      <c r="AC470" s="19">
        <f t="shared" si="818"/>
        <v>1009.1323692173419</v>
      </c>
      <c r="AD470" s="15">
        <f t="shared" si="749"/>
        <v>5.5182647384346846E-6</v>
      </c>
      <c r="AE470" s="16">
        <f t="shared" si="750"/>
        <v>27.494022245999432</v>
      </c>
      <c r="AF470" s="17">
        <f t="shared" si="751"/>
        <v>1.381052554513815E-2</v>
      </c>
      <c r="AG470" s="18">
        <f t="shared" si="819"/>
        <v>0.43160585102983856</v>
      </c>
      <c r="AH470" s="19">
        <f t="shared" si="820"/>
        <v>1005.8355784488092</v>
      </c>
      <c r="AI470" s="15">
        <f t="shared" si="752"/>
        <v>5.5116711568976187E-6</v>
      </c>
      <c r="AJ470" s="16">
        <f t="shared" si="753"/>
        <v>27.456109152161304</v>
      </c>
      <c r="AK470" s="17">
        <f t="shared" si="754"/>
        <v>1.3794023831181342E-2</v>
      </c>
      <c r="AL470" s="18">
        <f t="shared" si="821"/>
        <v>0.43220183908628507</v>
      </c>
      <c r="AM470" s="19">
        <f t="shared" si="822"/>
        <v>1001.9394796716552</v>
      </c>
      <c r="AN470" s="15">
        <f t="shared" si="755"/>
        <v>5.5038789593433113E-6</v>
      </c>
      <c r="AO470" s="16">
        <f t="shared" si="756"/>
        <v>27.411304016224037</v>
      </c>
      <c r="AP470" s="17">
        <f t="shared" si="757"/>
        <v>1.3774522348654235E-2</v>
      </c>
      <c r="AQ470" s="18">
        <f t="shared" si="823"/>
        <v>0.43290829442825407</v>
      </c>
      <c r="AR470" s="19">
        <f t="shared" si="824"/>
        <v>997.44362837793108</v>
      </c>
      <c r="AS470" s="15">
        <f t="shared" si="758"/>
        <v>5.4948872567558626E-6</v>
      </c>
      <c r="AT470" s="16">
        <f t="shared" si="759"/>
        <v>27.359601726346206</v>
      </c>
      <c r="AU470" s="17">
        <f t="shared" si="760"/>
        <v>1.3752018872622481E-2</v>
      </c>
      <c r="AV470" s="18">
        <f t="shared" si="825"/>
        <v>0.43372637468954289</v>
      </c>
      <c r="AW470" s="19">
        <f t="shared" si="826"/>
        <v>992.34618325569579</v>
      </c>
      <c r="AX470" s="15">
        <f t="shared" si="761"/>
        <v>5.4846923665113917E-6</v>
      </c>
      <c r="AY470" s="16">
        <f t="shared" si="762"/>
        <v>27.300981107440499</v>
      </c>
      <c r="AZ470" s="17">
        <f t="shared" si="763"/>
        <v>1.3726504186607057E-2</v>
      </c>
      <c r="BA470" s="18">
        <f t="shared" si="827"/>
        <v>0.43465767120302606</v>
      </c>
      <c r="BB470" s="19">
        <f t="shared" si="828"/>
        <v>986.6393280800786</v>
      </c>
      <c r="BC470" s="15">
        <f t="shared" si="764"/>
        <v>5.4732786561601572E-6</v>
      </c>
      <c r="BD470" s="16">
        <f t="shared" si="765"/>
        <v>27.235352272920903</v>
      </c>
      <c r="BE470" s="17">
        <f t="shared" si="766"/>
        <v>1.3697939167376891E-2</v>
      </c>
      <c r="BF470" s="18">
        <f t="shared" si="829"/>
        <v>0.43570506269957077</v>
      </c>
      <c r="BG470" s="19">
        <f t="shared" si="830"/>
        <v>980.29235084551465</v>
      </c>
      <c r="BH470" s="15">
        <f t="shared" si="767"/>
        <v>5.46058470169103E-6</v>
      </c>
      <c r="BI470" s="16">
        <f t="shared" si="768"/>
        <v>27.162362034723415</v>
      </c>
      <c r="BJ470" s="17">
        <f t="shared" si="769"/>
        <v>1.3666170089455771E-2</v>
      </c>
      <c r="BK470" s="18">
        <f t="shared" si="831"/>
        <v>0.43687588194826638</v>
      </c>
      <c r="BL470" s="19">
        <f t="shared" si="832"/>
        <v>973.19518761679592</v>
      </c>
      <c r="BM470" s="15">
        <f t="shared" si="770"/>
        <v>5.4463903752335926E-6</v>
      </c>
      <c r="BN470" s="16">
        <f t="shared" si="771"/>
        <v>27.080744657593151</v>
      </c>
      <c r="BO470" s="17">
        <f t="shared" si="772"/>
        <v>1.3630646040243144E-2</v>
      </c>
      <c r="BP470" s="18">
        <f t="shared" si="833"/>
        <v>0.43819256153248493</v>
      </c>
      <c r="BQ470" s="19">
        <f t="shared" si="834"/>
        <v>964.99183796037823</v>
      </c>
      <c r="BR470" s="15">
        <f t="shared" si="773"/>
        <v>5.4299836759207569E-6</v>
      </c>
      <c r="BS470" s="16">
        <f t="shared" si="774"/>
        <v>26.98640613654435</v>
      </c>
      <c r="BT470" s="17">
        <f t="shared" si="775"/>
        <v>1.3589585099764307E-2</v>
      </c>
      <c r="BU470" s="18">
        <f t="shared" si="835"/>
        <v>0.43972438603628872</v>
      </c>
      <c r="BV470" s="19">
        <f t="shared" si="836"/>
        <v>954.65598948702507</v>
      </c>
      <c r="BW470" s="15">
        <f t="shared" si="776"/>
        <v>5.4093119789740507E-6</v>
      </c>
      <c r="BX470" s="16">
        <f t="shared" si="777"/>
        <v>26.867543879100786</v>
      </c>
      <c r="BY470" s="17">
        <f t="shared" si="778"/>
        <v>1.3537850177234146E-2</v>
      </c>
      <c r="BZ470" s="18">
        <f t="shared" si="837"/>
        <v>0.44166973070242005</v>
      </c>
      <c r="CA470" s="19">
        <f t="shared" si="838"/>
        <v>939.59248538716304</v>
      </c>
      <c r="CB470" s="15">
        <f t="shared" si="779"/>
        <v>5.3791849707743266E-6</v>
      </c>
      <c r="CC470" s="16">
        <f t="shared" si="780"/>
        <v>26.694313581952372</v>
      </c>
      <c r="CD470" s="17">
        <f t="shared" si="781"/>
        <v>1.3462451508257112E-2</v>
      </c>
      <c r="CE470" s="18">
        <f t="shared" si="839"/>
        <v>0.44453590586950764</v>
      </c>
      <c r="CF470" s="19">
        <f t="shared" si="840"/>
        <v>914.16977976754367</v>
      </c>
      <c r="CG470" s="15">
        <f t="shared" si="782"/>
        <v>5.328339559535088E-6</v>
      </c>
      <c r="CH470" s="16">
        <f t="shared" si="783"/>
        <v>26.401952467326751</v>
      </c>
      <c r="CI470" s="17">
        <f t="shared" si="784"/>
        <v>1.3335201025712892E-2</v>
      </c>
      <c r="CJ470" s="18">
        <f t="shared" si="841"/>
        <v>0.44945845896825876</v>
      </c>
      <c r="CK470" s="19">
        <f t="shared" si="842"/>
        <v>868.24505519441766</v>
      </c>
      <c r="CL470" s="15">
        <f t="shared" si="785"/>
        <v>5.2364901103888361E-6</v>
      </c>
      <c r="CM470" s="16">
        <f t="shared" si="786"/>
        <v>25.873818134735803</v>
      </c>
      <c r="CN470" s="17">
        <f t="shared" si="787"/>
        <v>1.3105330002145256E-2</v>
      </c>
      <c r="CO470" s="18">
        <f t="shared" si="843"/>
        <v>0.45863276954037646</v>
      </c>
      <c r="CP470" s="19">
        <f t="shared" si="844"/>
        <v>787.64171568705069</v>
      </c>
      <c r="CQ470" s="15">
        <f t="shared" si="788"/>
        <v>5.0752834313741015E-6</v>
      </c>
      <c r="CR470" s="16">
        <f t="shared" si="789"/>
        <v>24.946879730401083</v>
      </c>
      <c r="CS470" s="17">
        <f t="shared" si="790"/>
        <v>1.2701879087028158E-2</v>
      </c>
      <c r="CT470" s="18">
        <f t="shared" si="845"/>
        <v>0.47567395193142714</v>
      </c>
      <c r="CU470" s="19">
        <f t="shared" si="846"/>
        <v>660.25171547818434</v>
      </c>
      <c r="CV470" s="15">
        <f t="shared" si="791"/>
        <v>4.8205034309563686E-6</v>
      </c>
      <c r="CW470" s="16">
        <f t="shared" si="792"/>
        <v>31.851455532006725</v>
      </c>
      <c r="CX470" s="17">
        <f t="shared" si="793"/>
        <v>1.2064242824372608E-2</v>
      </c>
      <c r="CY470" s="18">
        <f t="shared" si="847"/>
        <v>0.37256008152573972</v>
      </c>
      <c r="CZ470" s="20">
        <f t="shared" si="797"/>
        <v>492.22463272163151</v>
      </c>
      <c r="DA470" s="15">
        <f t="shared" si="794"/>
        <v>7.3313375192492842E-6</v>
      </c>
      <c r="DB470" s="16">
        <f t="shared" si="795"/>
        <v>39.220485651072686</v>
      </c>
      <c r="DC470" s="17">
        <f t="shared" si="796"/>
        <v>1.8348091091828E-2</v>
      </c>
      <c r="DD470" s="18">
        <f t="shared" si="848"/>
        <v>0.30256078354790455</v>
      </c>
    </row>
    <row r="471" spans="2:108" x14ac:dyDescent="0.25">
      <c r="B471">
        <v>204</v>
      </c>
      <c r="C471">
        <f t="shared" si="849"/>
        <v>0.1994333919344313</v>
      </c>
      <c r="D471" s="19">
        <f t="shared" si="746"/>
        <v>1016.6451634003495</v>
      </c>
      <c r="E471" s="15">
        <f t="shared" si="798"/>
        <v>5.5332903268006993E-6</v>
      </c>
      <c r="F471" s="16">
        <f t="shared" si="747"/>
        <v>27.580419379104018</v>
      </c>
      <c r="G471" s="17">
        <f t="shared" si="744"/>
        <v>1.3848129988164284E-2</v>
      </c>
      <c r="H471" s="18">
        <f t="shared" si="799"/>
        <v>0.43025382270686119</v>
      </c>
      <c r="I471" s="19">
        <f t="shared" si="800"/>
        <v>1016.320472928209</v>
      </c>
      <c r="J471" s="15">
        <f t="shared" si="801"/>
        <v>5.5326409458564189E-6</v>
      </c>
      <c r="K471" s="16">
        <f t="shared" si="748"/>
        <v>27.576685438674403</v>
      </c>
      <c r="L471" s="17">
        <f t="shared" si="802"/>
        <v>1.3846504786666238E-2</v>
      </c>
      <c r="M471" s="18">
        <f t="shared" si="803"/>
        <v>0.43031207996722609</v>
      </c>
      <c r="N471" s="19">
        <f t="shared" si="804"/>
        <v>1015.4141953930471</v>
      </c>
      <c r="O471" s="15">
        <f t="shared" si="805"/>
        <v>5.5308283907860943E-6</v>
      </c>
      <c r="P471" s="16">
        <f t="shared" si="806"/>
        <v>27.566263247020039</v>
      </c>
      <c r="Q471" s="17">
        <f t="shared" si="745"/>
        <v>1.3848129988164284E-2</v>
      </c>
      <c r="R471" s="18">
        <f t="shared" si="807"/>
        <v>0.43047477140379903</v>
      </c>
      <c r="S471" s="19">
        <f t="shared" si="808"/>
        <v>1013.9124793597774</v>
      </c>
      <c r="T471" s="15">
        <f t="shared" si="809"/>
        <v>5.5278249587195561E-6</v>
      </c>
      <c r="U471" s="16">
        <f t="shared" si="810"/>
        <v>27.548993512637438</v>
      </c>
      <c r="V471" s="17">
        <f t="shared" si="811"/>
        <v>1.3834451846741945E-2</v>
      </c>
      <c r="W471" s="18">
        <f t="shared" si="812"/>
        <v>0.43074462463662749</v>
      </c>
      <c r="X471" s="19">
        <f t="shared" si="813"/>
        <v>1011.8134959989561</v>
      </c>
      <c r="Y471" s="15">
        <f t="shared" si="814"/>
        <v>5.5236269919979125E-6</v>
      </c>
      <c r="Z471" s="16">
        <f t="shared" si="815"/>
        <v>27.524855203987997</v>
      </c>
      <c r="AA471" s="17">
        <f t="shared" si="816"/>
        <v>1.3823945622522019E-2</v>
      </c>
      <c r="AB471" s="18">
        <f t="shared" si="817"/>
        <v>0.43112237218957589</v>
      </c>
      <c r="AC471" s="19">
        <f t="shared" si="818"/>
        <v>1009.1158007256857</v>
      </c>
      <c r="AD471" s="15">
        <f t="shared" si="749"/>
        <v>5.5182316014513717E-6</v>
      </c>
      <c r="AE471" s="16">
        <f t="shared" si="750"/>
        <v>27.493831708345386</v>
      </c>
      <c r="AF471" s="17">
        <f t="shared" si="751"/>
        <v>1.3810442613423886E-2</v>
      </c>
      <c r="AG471" s="18">
        <f t="shared" si="819"/>
        <v>0.43160884214316175</v>
      </c>
      <c r="AH471" s="19">
        <f t="shared" si="820"/>
        <v>1005.8190236575904</v>
      </c>
      <c r="AI471" s="15">
        <f t="shared" si="752"/>
        <v>5.5116380473151813E-6</v>
      </c>
      <c r="AJ471" s="16">
        <f t="shared" si="753"/>
        <v>27.45591877206229</v>
      </c>
      <c r="AK471" s="17">
        <f t="shared" si="754"/>
        <v>1.3793940968043069E-2</v>
      </c>
      <c r="AL471" s="18">
        <f t="shared" si="821"/>
        <v>0.43220483598577336</v>
      </c>
      <c r="AM471" s="19">
        <f t="shared" si="822"/>
        <v>1001.9229382877116</v>
      </c>
      <c r="AN471" s="15">
        <f t="shared" si="755"/>
        <v>5.5038458765754239E-6</v>
      </c>
      <c r="AO471" s="16">
        <f t="shared" si="756"/>
        <v>27.411113790308683</v>
      </c>
      <c r="AP471" s="17">
        <f t="shared" si="757"/>
        <v>1.3774439552624565E-2</v>
      </c>
      <c r="AQ471" s="18">
        <f t="shared" si="823"/>
        <v>0.43291129869787998</v>
      </c>
      <c r="AR471" s="19">
        <f t="shared" si="824"/>
        <v>997.42708286750553</v>
      </c>
      <c r="AS471" s="15">
        <f t="shared" si="758"/>
        <v>5.4948541657350113E-6</v>
      </c>
      <c r="AT471" s="16">
        <f t="shared" si="759"/>
        <v>27.35941145297631</v>
      </c>
      <c r="AU471" s="17">
        <f t="shared" si="760"/>
        <v>1.375193605593817E-2</v>
      </c>
      <c r="AV471" s="18">
        <f t="shared" si="825"/>
        <v>0.43372939107675818</v>
      </c>
      <c r="AW471" s="19">
        <f t="shared" si="826"/>
        <v>992.32954824056401</v>
      </c>
      <c r="AX471" s="15">
        <f t="shared" si="761"/>
        <v>5.4846590964811283E-6</v>
      </c>
      <c r="AY471" s="16">
        <f t="shared" si="762"/>
        <v>27.300789804766485</v>
      </c>
      <c r="AZ471" s="17">
        <f t="shared" si="763"/>
        <v>1.3726420921917048E-2</v>
      </c>
      <c r="BA471" s="18">
        <f t="shared" si="827"/>
        <v>0.43466071694548908</v>
      </c>
      <c r="BB471" s="19">
        <f t="shared" si="828"/>
        <v>986.62226869638687</v>
      </c>
      <c r="BC471" s="15">
        <f t="shared" si="764"/>
        <v>5.4732445373927739E-6</v>
      </c>
      <c r="BD471" s="16">
        <f t="shared" si="765"/>
        <v>27.235156090008449</v>
      </c>
      <c r="BE471" s="17">
        <f t="shared" si="766"/>
        <v>1.3697853778557969E-2</v>
      </c>
      <c r="BF471" s="18">
        <f t="shared" si="829"/>
        <v>0.43570820121245052</v>
      </c>
      <c r="BG471" s="19">
        <f t="shared" si="830"/>
        <v>980.2737041860853</v>
      </c>
      <c r="BH471" s="15">
        <f t="shared" si="767"/>
        <v>5.4605474083721707E-6</v>
      </c>
      <c r="BI471" s="16">
        <f t="shared" si="768"/>
        <v>27.162147598139981</v>
      </c>
      <c r="BJ471" s="17">
        <f t="shared" si="769"/>
        <v>1.3666076755707357E-2</v>
      </c>
      <c r="BK471" s="18">
        <f t="shared" si="831"/>
        <v>0.4368793309454847</v>
      </c>
      <c r="BL471" s="19">
        <f t="shared" si="832"/>
        <v>973.17135797219009</v>
      </c>
      <c r="BM471" s="15">
        <f t="shared" si="770"/>
        <v>5.4463427159443806E-6</v>
      </c>
      <c r="BN471" s="16">
        <f t="shared" si="771"/>
        <v>27.080470616680188</v>
      </c>
      <c r="BO471" s="17">
        <f t="shared" si="772"/>
        <v>1.3630526763647632E-2</v>
      </c>
      <c r="BP471" s="18">
        <f t="shared" si="833"/>
        <v>0.43819699582357663</v>
      </c>
      <c r="BQ471" s="19">
        <f t="shared" si="834"/>
        <v>964.95305168447726</v>
      </c>
      <c r="BR471" s="15">
        <f t="shared" si="773"/>
        <v>5.429906103368955E-6</v>
      </c>
      <c r="BS471" s="16">
        <f t="shared" si="774"/>
        <v>26.985960094371485</v>
      </c>
      <c r="BT471" s="17">
        <f t="shared" si="775"/>
        <v>1.3589390959439578E-2</v>
      </c>
      <c r="BU471" s="18">
        <f t="shared" si="835"/>
        <v>0.43973165409790016</v>
      </c>
      <c r="BV471" s="19">
        <f t="shared" si="836"/>
        <v>954.57941632167217</v>
      </c>
      <c r="BW471" s="15">
        <f t="shared" si="776"/>
        <v>5.4091588326433448E-6</v>
      </c>
      <c r="BX471" s="16">
        <f t="shared" si="777"/>
        <v>26.866663287699229</v>
      </c>
      <c r="BY471" s="17">
        <f t="shared" si="778"/>
        <v>1.3537466898900717E-2</v>
      </c>
      <c r="BZ471" s="18">
        <f t="shared" si="837"/>
        <v>0.44168420702808131</v>
      </c>
      <c r="CA471" s="19">
        <f t="shared" si="838"/>
        <v>939.43397868202567</v>
      </c>
      <c r="CB471" s="15">
        <f t="shared" si="779"/>
        <v>5.3788679573640514E-6</v>
      </c>
      <c r="CC471" s="16">
        <f t="shared" si="780"/>
        <v>26.692490754843295</v>
      </c>
      <c r="CD471" s="17">
        <f t="shared" si="781"/>
        <v>1.3461658120841271E-2</v>
      </c>
      <c r="CE471" s="18">
        <f t="shared" si="839"/>
        <v>0.44456626317514908</v>
      </c>
      <c r="CF471" s="19">
        <f t="shared" si="840"/>
        <v>913.86377438782154</v>
      </c>
      <c r="CG471" s="15">
        <f t="shared" si="782"/>
        <v>5.3277275487756435E-6</v>
      </c>
      <c r="CH471" s="16">
        <f t="shared" si="783"/>
        <v>26.398433405459947</v>
      </c>
      <c r="CI471" s="17">
        <f t="shared" si="784"/>
        <v>1.3333669350335245E-2</v>
      </c>
      <c r="CJ471" s="18">
        <f t="shared" si="841"/>
        <v>0.44951837434654557</v>
      </c>
      <c r="CK471" s="19">
        <f t="shared" si="842"/>
        <v>867.73304191023965</v>
      </c>
      <c r="CL471" s="15">
        <f t="shared" si="785"/>
        <v>5.2354660838204793E-6</v>
      </c>
      <c r="CM471" s="16">
        <f t="shared" si="786"/>
        <v>25.867929981967755</v>
      </c>
      <c r="CN471" s="17">
        <f t="shared" si="787"/>
        <v>1.3102767177461857E-2</v>
      </c>
      <c r="CO471" s="18">
        <f t="shared" si="843"/>
        <v>0.45873716520765129</v>
      </c>
      <c r="CP471" s="19">
        <f t="shared" si="844"/>
        <v>786.95297851195789</v>
      </c>
      <c r="CQ471" s="15">
        <f t="shared" si="788"/>
        <v>5.0739059570239161E-6</v>
      </c>
      <c r="CR471" s="16">
        <f t="shared" si="789"/>
        <v>24.938959252887514</v>
      </c>
      <c r="CS471" s="17">
        <f t="shared" si="790"/>
        <v>1.2698431690862386E-2</v>
      </c>
      <c r="CT471" s="18">
        <f t="shared" si="845"/>
        <v>0.47582502338560689</v>
      </c>
      <c r="CU471" s="19">
        <f t="shared" si="846"/>
        <v>659.63696895480109</v>
      </c>
      <c r="CV471" s="15">
        <f t="shared" si="791"/>
        <v>4.819273937909602E-6</v>
      </c>
      <c r="CW471" s="16">
        <f t="shared" si="792"/>
        <v>31.974896633902063</v>
      </c>
      <c r="CX471" s="17">
        <f t="shared" si="793"/>
        <v>1.2061165780059805E-2</v>
      </c>
      <c r="CY471" s="18">
        <f t="shared" si="847"/>
        <v>0.3711217898711236</v>
      </c>
      <c r="CZ471" s="20">
        <f t="shared" si="797"/>
        <v>492.19966060467249</v>
      </c>
      <c r="DA471" s="15">
        <f t="shared" si="794"/>
        <v>7.3317102456709876E-6</v>
      </c>
      <c r="DB471" s="16">
        <f t="shared" si="795"/>
        <v>39.221209842464496</v>
      </c>
      <c r="DC471" s="17">
        <f t="shared" si="796"/>
        <v>1.8349023911837962E-2</v>
      </c>
      <c r="DD471" s="18">
        <f t="shared" si="848"/>
        <v>0.30255519698094691</v>
      </c>
    </row>
    <row r="472" spans="2:108" x14ac:dyDescent="0.25">
      <c r="B472">
        <v>205</v>
      </c>
      <c r="C472">
        <f t="shared" si="849"/>
        <v>0.20041100660077654</v>
      </c>
      <c r="D472" s="19">
        <f t="shared" si="746"/>
        <v>1016.6285863450694</v>
      </c>
      <c r="E472" s="15">
        <f t="shared" si="798"/>
        <v>5.5332571726901397E-6</v>
      </c>
      <c r="F472" s="16">
        <f t="shared" si="747"/>
        <v>27.580228742968295</v>
      </c>
      <c r="G472" s="17">
        <f t="shared" si="744"/>
        <v>1.3848047013585765E-2</v>
      </c>
      <c r="H472" s="18">
        <f t="shared" si="799"/>
        <v>0.43025679664616046</v>
      </c>
      <c r="I472" s="19">
        <f t="shared" si="800"/>
        <v>1016.3038958317992</v>
      </c>
      <c r="J472" s="15">
        <f t="shared" si="801"/>
        <v>5.5326077916635988E-6</v>
      </c>
      <c r="K472" s="16">
        <f t="shared" si="748"/>
        <v>27.576494802065689</v>
      </c>
      <c r="L472" s="17">
        <f t="shared" si="802"/>
        <v>1.3846421811881849E-2</v>
      </c>
      <c r="M472" s="18">
        <f t="shared" si="803"/>
        <v>0.43031505471931847</v>
      </c>
      <c r="N472" s="19">
        <f t="shared" si="804"/>
        <v>1015.397615176772</v>
      </c>
      <c r="O472" s="15">
        <f t="shared" si="805"/>
        <v>5.5307952303535443E-6</v>
      </c>
      <c r="P472" s="16">
        <f t="shared" si="806"/>
        <v>27.566072574532875</v>
      </c>
      <c r="Q472" s="17">
        <f t="shared" si="745"/>
        <v>1.3848047013585765E-2</v>
      </c>
      <c r="R472" s="18">
        <f t="shared" si="807"/>
        <v>0.43047774896598545</v>
      </c>
      <c r="S472" s="19">
        <f t="shared" si="808"/>
        <v>1013.8958979313306</v>
      </c>
      <c r="T472" s="15">
        <f t="shared" si="809"/>
        <v>5.5277917958626622E-6</v>
      </c>
      <c r="U472" s="16">
        <f t="shared" si="810"/>
        <v>27.548802826210302</v>
      </c>
      <c r="V472" s="17">
        <f t="shared" si="811"/>
        <v>1.3834368850274033E-2</v>
      </c>
      <c r="W472" s="18">
        <f t="shared" si="812"/>
        <v>0.43074760615106922</v>
      </c>
      <c r="X472" s="19">
        <f t="shared" si="813"/>
        <v>1011.7969183198392</v>
      </c>
      <c r="Y472" s="15">
        <f t="shared" si="814"/>
        <v>5.5235938366396785E-6</v>
      </c>
      <c r="Z472" s="16">
        <f t="shared" si="815"/>
        <v>27.524664560678147</v>
      </c>
      <c r="AA472" s="17">
        <f t="shared" si="816"/>
        <v>1.3823862644820958E-2</v>
      </c>
      <c r="AB472" s="18">
        <f t="shared" si="817"/>
        <v>0.43112535826033449</v>
      </c>
      <c r="AC472" s="19">
        <f t="shared" si="818"/>
        <v>1009.0992324250135</v>
      </c>
      <c r="AD472" s="15">
        <f t="shared" si="749"/>
        <v>5.5181984648500267E-6</v>
      </c>
      <c r="AE472" s="16">
        <f t="shared" si="750"/>
        <v>27.493641172887656</v>
      </c>
      <c r="AF472" s="17">
        <f t="shared" si="751"/>
        <v>1.3810359682665568E-2</v>
      </c>
      <c r="AG472" s="18">
        <f t="shared" si="819"/>
        <v>0.43161183326346408</v>
      </c>
      <c r="AH472" s="19">
        <f t="shared" si="820"/>
        <v>1005.8024689929306</v>
      </c>
      <c r="AI472" s="15">
        <f t="shared" si="752"/>
        <v>5.511604937985862E-6</v>
      </c>
      <c r="AJ472" s="16">
        <f t="shared" si="753"/>
        <v>27.455728393418703</v>
      </c>
      <c r="AK472" s="17">
        <f t="shared" si="754"/>
        <v>1.3793858105538273E-2</v>
      </c>
      <c r="AL472" s="18">
        <f t="shared" si="821"/>
        <v>0.43220783290391185</v>
      </c>
      <c r="AM472" s="19">
        <f t="shared" si="822"/>
        <v>1001.9063967704209</v>
      </c>
      <c r="AN472" s="15">
        <f t="shared" si="755"/>
        <v>5.5038127935408423E-6</v>
      </c>
      <c r="AO472" s="16">
        <f t="shared" si="756"/>
        <v>27.410923562859839</v>
      </c>
      <c r="AP472" s="17">
        <f t="shared" si="757"/>
        <v>1.3774356755927442E-2</v>
      </c>
      <c r="AQ472" s="18">
        <f t="shared" si="823"/>
        <v>0.43291430303342299</v>
      </c>
      <c r="AR472" s="19">
        <f t="shared" si="824"/>
        <v>997.41053619989634</v>
      </c>
      <c r="AS472" s="15">
        <f t="shared" si="758"/>
        <v>5.4948210723997924E-6</v>
      </c>
      <c r="AT472" s="16">
        <f t="shared" si="759"/>
        <v>27.359221166298809</v>
      </c>
      <c r="AU472" s="17">
        <f t="shared" si="760"/>
        <v>1.3751853233461708E-2</v>
      </c>
      <c r="AV472" s="18">
        <f t="shared" si="825"/>
        <v>0.43373240771689792</v>
      </c>
      <c r="AW472" s="19">
        <f t="shared" si="826"/>
        <v>992.31290832802472</v>
      </c>
      <c r="AX472" s="15">
        <f t="shared" si="761"/>
        <v>5.4846258166560495E-6</v>
      </c>
      <c r="AY472" s="16">
        <f t="shared" si="762"/>
        <v>27.300598445772284</v>
      </c>
      <c r="AZ472" s="17">
        <f t="shared" si="763"/>
        <v>1.3726337632713616E-2</v>
      </c>
      <c r="BA472" s="18">
        <f t="shared" si="827"/>
        <v>0.434663763627333</v>
      </c>
      <c r="BB472" s="19">
        <f t="shared" si="828"/>
        <v>986.60519207312609</v>
      </c>
      <c r="BC472" s="15">
        <f t="shared" si="764"/>
        <v>5.4732103841462529E-6</v>
      </c>
      <c r="BD472" s="16">
        <f t="shared" si="765"/>
        <v>27.234959708840947</v>
      </c>
      <c r="BE472" s="17">
        <f t="shared" si="766"/>
        <v>1.3697768303448331E-2</v>
      </c>
      <c r="BF472" s="18">
        <f t="shared" si="829"/>
        <v>0.43571134294227715</v>
      </c>
      <c r="BG472" s="19">
        <f t="shared" si="830"/>
        <v>980.25500417447756</v>
      </c>
      <c r="BH472" s="15">
        <f t="shared" si="767"/>
        <v>5.4605100083489551E-6</v>
      </c>
      <c r="BI472" s="16">
        <f t="shared" si="768"/>
        <v>27.16193254800649</v>
      </c>
      <c r="BJ472" s="17">
        <f t="shared" si="769"/>
        <v>1.3665983154910643E-2</v>
      </c>
      <c r="BK472" s="18">
        <f t="shared" si="831"/>
        <v>0.4368827898657317</v>
      </c>
      <c r="BL472" s="19">
        <f t="shared" si="832"/>
        <v>973.14738345649437</v>
      </c>
      <c r="BM472" s="15">
        <f t="shared" si="770"/>
        <v>5.4462947669129886E-6</v>
      </c>
      <c r="BN472" s="16">
        <f t="shared" si="771"/>
        <v>27.080194909749686</v>
      </c>
      <c r="BO472" s="17">
        <f t="shared" si="772"/>
        <v>1.3630406761916236E-2</v>
      </c>
      <c r="BP472" s="18">
        <f t="shared" si="833"/>
        <v>0.43820145716327807</v>
      </c>
      <c r="BQ472" s="19">
        <f t="shared" si="834"/>
        <v>964.91392691373983</v>
      </c>
      <c r="BR472" s="15">
        <f t="shared" si="773"/>
        <v>5.4298278538274803E-6</v>
      </c>
      <c r="BS472" s="16">
        <f t="shared" si="774"/>
        <v>26.985510159508006</v>
      </c>
      <c r="BT472" s="17">
        <f t="shared" si="775"/>
        <v>1.3589195124817164E-2</v>
      </c>
      <c r="BU472" s="18">
        <f t="shared" si="835"/>
        <v>0.43973898583261939</v>
      </c>
      <c r="BV472" s="19">
        <f t="shared" si="836"/>
        <v>954.50218623863384</v>
      </c>
      <c r="BW472" s="15">
        <f t="shared" si="776"/>
        <v>5.4090043724772679E-6</v>
      </c>
      <c r="BX472" s="16">
        <f t="shared" si="777"/>
        <v>26.865775141744287</v>
      </c>
      <c r="BY472" s="17">
        <f t="shared" si="778"/>
        <v>1.3537080332439989E-2</v>
      </c>
      <c r="BZ472" s="18">
        <f t="shared" si="837"/>
        <v>0.44169880850671966</v>
      </c>
      <c r="CA472" s="19">
        <f t="shared" si="838"/>
        <v>939.27448541452111</v>
      </c>
      <c r="CB472" s="15">
        <f t="shared" si="779"/>
        <v>5.3785489708290435E-6</v>
      </c>
      <c r="CC472" s="16">
        <f t="shared" si="780"/>
        <v>26.690656582266993</v>
      </c>
      <c r="CD472" s="17">
        <f t="shared" si="781"/>
        <v>1.3460859795298895E-2</v>
      </c>
      <c r="CE472" s="18">
        <f t="shared" si="839"/>
        <v>0.44459681361311798</v>
      </c>
      <c r="CF472" s="19">
        <f t="shared" si="840"/>
        <v>913.55685086759411</v>
      </c>
      <c r="CG472" s="15">
        <f t="shared" si="782"/>
        <v>5.3271137017351889E-6</v>
      </c>
      <c r="CH472" s="16">
        <f t="shared" si="783"/>
        <v>26.39490378497733</v>
      </c>
      <c r="CI472" s="17">
        <f t="shared" si="784"/>
        <v>1.3332133079308962E-2</v>
      </c>
      <c r="CJ472" s="18">
        <f t="shared" si="841"/>
        <v>0.44957848554355284</v>
      </c>
      <c r="CK472" s="19">
        <f t="shared" si="842"/>
        <v>867.22132795988944</v>
      </c>
      <c r="CL472" s="15">
        <f t="shared" si="785"/>
        <v>5.23444265591978E-6</v>
      </c>
      <c r="CM472" s="16">
        <f t="shared" si="786"/>
        <v>25.862045271538726</v>
      </c>
      <c r="CN472" s="17">
        <f t="shared" si="787"/>
        <v>1.3100205851060141E-2</v>
      </c>
      <c r="CO472" s="18">
        <f t="shared" si="843"/>
        <v>0.45884154733798699</v>
      </c>
      <c r="CP472" s="19">
        <f t="shared" si="844"/>
        <v>786.26762299912184</v>
      </c>
      <c r="CQ472" s="15">
        <f t="shared" si="788"/>
        <v>5.0725352459982444E-6</v>
      </c>
      <c r="CR472" s="16">
        <f t="shared" si="789"/>
        <v>24.931077664489898</v>
      </c>
      <c r="CS472" s="17">
        <f t="shared" si="790"/>
        <v>1.2695001221225221E-2</v>
      </c>
      <c r="CT472" s="18">
        <f t="shared" si="845"/>
        <v>0.47597544837060274</v>
      </c>
      <c r="CU472" s="19">
        <f t="shared" si="846"/>
        <v>659.02915812997469</v>
      </c>
      <c r="CV472" s="15">
        <f t="shared" si="791"/>
        <v>4.8180583162599498E-6</v>
      </c>
      <c r="CW472" s="16">
        <f t="shared" si="792"/>
        <v>32.096945047527157</v>
      </c>
      <c r="CX472" s="17">
        <f t="shared" si="793"/>
        <v>1.2058123451603031E-2</v>
      </c>
      <c r="CY472" s="18">
        <f t="shared" si="847"/>
        <v>0.3697106018079479</v>
      </c>
      <c r="CZ472" s="20">
        <f t="shared" si="797"/>
        <v>492.17619205638977</v>
      </c>
      <c r="DA472" s="15">
        <f t="shared" si="794"/>
        <v>7.3320605251073592E-6</v>
      </c>
      <c r="DB472" s="16">
        <f t="shared" si="795"/>
        <v>39.221890430364695</v>
      </c>
      <c r="DC472" s="17">
        <f t="shared" si="796"/>
        <v>1.8349900553922611E-2</v>
      </c>
      <c r="DD472" s="18">
        <f t="shared" si="848"/>
        <v>0.30254994696867188</v>
      </c>
    </row>
    <row r="473" spans="2:108" x14ac:dyDescent="0.25">
      <c r="B473">
        <v>206</v>
      </c>
      <c r="C473">
        <f t="shared" si="849"/>
        <v>0.20138862126712181</v>
      </c>
      <c r="D473" s="19">
        <f t="shared" si="746"/>
        <v>1016.6120092876895</v>
      </c>
      <c r="E473" s="15">
        <f t="shared" si="798"/>
        <v>5.5332240185753788E-6</v>
      </c>
      <c r="F473" s="16">
        <f t="shared" si="747"/>
        <v>27.580038106808431</v>
      </c>
      <c r="G473" s="17">
        <f t="shared" si="744"/>
        <v>1.3847964038996737E-2</v>
      </c>
      <c r="H473" s="18">
        <f t="shared" si="799"/>
        <v>0.43025977062694865</v>
      </c>
      <c r="I473" s="19">
        <f t="shared" si="800"/>
        <v>1016.2873187701949</v>
      </c>
      <c r="J473" s="15">
        <f t="shared" si="801"/>
        <v>5.5325746375403905E-6</v>
      </c>
      <c r="K473" s="16">
        <f t="shared" si="748"/>
        <v>27.576304165857241</v>
      </c>
      <c r="L473" s="17">
        <f t="shared" si="802"/>
        <v>1.3846338837271679E-2</v>
      </c>
      <c r="M473" s="18">
        <f t="shared" si="803"/>
        <v>0.43031802950629416</v>
      </c>
      <c r="N473" s="19">
        <f t="shared" si="804"/>
        <v>1015.3810350712727</v>
      </c>
      <c r="O473" s="15">
        <f t="shared" si="805"/>
        <v>5.5307620701425458E-6</v>
      </c>
      <c r="P473" s="16">
        <f t="shared" si="806"/>
        <v>27.565881903319635</v>
      </c>
      <c r="Q473" s="17">
        <f t="shared" si="745"/>
        <v>1.3847964038996737E-2</v>
      </c>
      <c r="R473" s="18">
        <f t="shared" si="807"/>
        <v>0.43048072654946912</v>
      </c>
      <c r="S473" s="19">
        <f t="shared" si="808"/>
        <v>1013.8793166767987</v>
      </c>
      <c r="T473" s="15">
        <f t="shared" si="809"/>
        <v>5.5277586333535982E-6</v>
      </c>
      <c r="U473" s="16">
        <f t="shared" si="810"/>
        <v>27.548612141783185</v>
      </c>
      <c r="V473" s="17">
        <f t="shared" si="811"/>
        <v>1.3834285854676635E-2</v>
      </c>
      <c r="W473" s="18">
        <f t="shared" si="812"/>
        <v>0.43075058767551366</v>
      </c>
      <c r="X473" s="19">
        <f t="shared" si="813"/>
        <v>1011.780340840752</v>
      </c>
      <c r="Y473" s="15">
        <f t="shared" si="814"/>
        <v>5.5235606816815048E-6</v>
      </c>
      <c r="Z473" s="16">
        <f t="shared" si="815"/>
        <v>27.524473919668647</v>
      </c>
      <c r="AA473" s="17">
        <f t="shared" si="816"/>
        <v>1.3823779668121122E-2</v>
      </c>
      <c r="AB473" s="18">
        <f t="shared" si="817"/>
        <v>0.43112834433642661</v>
      </c>
      <c r="AC473" s="19">
        <f t="shared" si="818"/>
        <v>1009.0826643144617</v>
      </c>
      <c r="AD473" s="15">
        <f t="shared" si="749"/>
        <v>5.518165328628924E-6</v>
      </c>
      <c r="AE473" s="16">
        <f t="shared" si="750"/>
        <v>27.493450639616306</v>
      </c>
      <c r="AF473" s="17">
        <f t="shared" si="751"/>
        <v>1.3810276752858881E-2</v>
      </c>
      <c r="AG473" s="18">
        <f t="shared" si="819"/>
        <v>0.43161482439090104</v>
      </c>
      <c r="AH473" s="19">
        <f t="shared" si="820"/>
        <v>1005.7859144517554</v>
      </c>
      <c r="AI473" s="15">
        <f t="shared" si="752"/>
        <v>5.5115718289035112E-6</v>
      </c>
      <c r="AJ473" s="16">
        <f t="shared" si="753"/>
        <v>27.455538016195185</v>
      </c>
      <c r="AK473" s="17">
        <f t="shared" si="754"/>
        <v>1.3793775243651565E-2</v>
      </c>
      <c r="AL473" s="18">
        <f t="shared" si="821"/>
        <v>0.43221082984125697</v>
      </c>
      <c r="AM473" s="19">
        <f t="shared" si="822"/>
        <v>1001.8898551079827</v>
      </c>
      <c r="AN473" s="15">
        <f t="shared" si="755"/>
        <v>5.5037797102159655E-6</v>
      </c>
      <c r="AO473" s="16">
        <f t="shared" si="756"/>
        <v>27.410733333741803</v>
      </c>
      <c r="AP473" s="17">
        <f t="shared" si="757"/>
        <v>1.3774273958503796E-2</v>
      </c>
      <c r="AQ473" s="18">
        <f t="shared" si="823"/>
        <v>0.43291730743702828</v>
      </c>
      <c r="AR473" s="19">
        <f t="shared" si="824"/>
        <v>997.3939883336019</v>
      </c>
      <c r="AS473" s="15">
        <f t="shared" si="758"/>
        <v>5.4947879766672044E-6</v>
      </c>
      <c r="AT473" s="16">
        <f t="shared" si="759"/>
        <v>27.35903086583642</v>
      </c>
      <c r="AU473" s="17">
        <f t="shared" si="760"/>
        <v>1.3751770404985365E-2</v>
      </c>
      <c r="AV473" s="18">
        <f t="shared" si="825"/>
        <v>0.43373542461753839</v>
      </c>
      <c r="AW473" s="19">
        <f t="shared" si="826"/>
        <v>992.29626338756691</v>
      </c>
      <c r="AX473" s="15">
        <f t="shared" si="761"/>
        <v>5.4845925267751336E-6</v>
      </c>
      <c r="AY473" s="16">
        <f t="shared" si="762"/>
        <v>27.300407028957018</v>
      </c>
      <c r="AZ473" s="17">
        <f t="shared" si="763"/>
        <v>1.3726254318343505E-2</v>
      </c>
      <c r="BA473" s="18">
        <f t="shared" si="827"/>
        <v>0.4346668112724929</v>
      </c>
      <c r="BB473" s="19">
        <f t="shared" si="828"/>
        <v>986.58809785100379</v>
      </c>
      <c r="BC473" s="15">
        <f t="shared" si="764"/>
        <v>5.4731761957020079E-6</v>
      </c>
      <c r="BD473" s="16">
        <f t="shared" si="765"/>
        <v>27.234763125286541</v>
      </c>
      <c r="BE473" s="17">
        <f t="shared" si="766"/>
        <v>1.3697682740249576E-2</v>
      </c>
      <c r="BF473" s="18">
        <f t="shared" si="829"/>
        <v>0.43571448795529216</v>
      </c>
      <c r="BG473" s="19">
        <f t="shared" si="830"/>
        <v>980.23624997307536</v>
      </c>
      <c r="BH473" s="15">
        <f t="shared" si="767"/>
        <v>5.460472499946151E-6</v>
      </c>
      <c r="BI473" s="16">
        <f t="shared" si="768"/>
        <v>27.161716874690367</v>
      </c>
      <c r="BJ473" s="17">
        <f t="shared" si="769"/>
        <v>1.3665889282873029E-2</v>
      </c>
      <c r="BK473" s="18">
        <f t="shared" si="831"/>
        <v>0.43688625886441401</v>
      </c>
      <c r="BL473" s="19">
        <f t="shared" si="832"/>
        <v>973.12326251445711</v>
      </c>
      <c r="BM473" s="15">
        <f t="shared" si="770"/>
        <v>5.4462465250289149E-6</v>
      </c>
      <c r="BN473" s="16">
        <f t="shared" si="771"/>
        <v>27.079917518916254</v>
      </c>
      <c r="BO473" s="17">
        <f t="shared" si="772"/>
        <v>1.3630286027264326E-2</v>
      </c>
      <c r="BP473" s="18">
        <f t="shared" si="833"/>
        <v>0.43820594584265937</v>
      </c>
      <c r="BQ473" s="19">
        <f t="shared" si="834"/>
        <v>964.87446168677047</v>
      </c>
      <c r="BR473" s="15">
        <f t="shared" si="773"/>
        <v>5.4297489233735411E-6</v>
      </c>
      <c r="BS473" s="16">
        <f t="shared" si="774"/>
        <v>26.985056309397862</v>
      </c>
      <c r="BT473" s="17">
        <f t="shared" si="775"/>
        <v>1.3588997586079518E-2</v>
      </c>
      <c r="BU473" s="18">
        <f t="shared" si="835"/>
        <v>0.43974638161437607</v>
      </c>
      <c r="BV473" s="19">
        <f t="shared" si="836"/>
        <v>954.42429879962856</v>
      </c>
      <c r="BW473" s="15">
        <f t="shared" si="776"/>
        <v>5.4088485975992578E-6</v>
      </c>
      <c r="BX473" s="16">
        <f t="shared" si="777"/>
        <v>26.864879436195729</v>
      </c>
      <c r="BY473" s="17">
        <f t="shared" si="778"/>
        <v>1.3536690475658187E-2</v>
      </c>
      <c r="BZ473" s="18">
        <f t="shared" si="837"/>
        <v>0.44171353524593732</v>
      </c>
      <c r="CA473" s="19">
        <f t="shared" si="838"/>
        <v>939.11401095089388</v>
      </c>
      <c r="CB473" s="15">
        <f t="shared" si="779"/>
        <v>5.378228021901788E-6</v>
      </c>
      <c r="CC473" s="16">
        <f t="shared" si="780"/>
        <v>26.688811125935281</v>
      </c>
      <c r="CD473" s="17">
        <f t="shared" si="781"/>
        <v>1.3460056558490106E-2</v>
      </c>
      <c r="CE473" s="18">
        <f t="shared" si="839"/>
        <v>0.44462755623409383</v>
      </c>
      <c r="CF473" s="19">
        <f t="shared" si="840"/>
        <v>913.24902543743644</v>
      </c>
      <c r="CG473" s="15">
        <f t="shared" si="782"/>
        <v>5.3264980508748733E-6</v>
      </c>
      <c r="CH473" s="16">
        <f t="shared" si="783"/>
        <v>26.39136379253052</v>
      </c>
      <c r="CI473" s="17">
        <f t="shared" si="784"/>
        <v>1.3330592293874358E-2</v>
      </c>
      <c r="CJ473" s="18">
        <f t="shared" si="841"/>
        <v>0.44963878952994718</v>
      </c>
      <c r="CK473" s="19">
        <f t="shared" si="842"/>
        <v>866.70994000662859</v>
      </c>
      <c r="CL473" s="15">
        <f t="shared" si="785"/>
        <v>5.2334198800132576E-6</v>
      </c>
      <c r="CM473" s="16">
        <f t="shared" si="786"/>
        <v>25.856164310076228</v>
      </c>
      <c r="CN473" s="17">
        <f t="shared" si="787"/>
        <v>1.3097646156400043E-2</v>
      </c>
      <c r="CO473" s="18">
        <f t="shared" si="843"/>
        <v>0.45894591043782373</v>
      </c>
      <c r="CP473" s="19">
        <f t="shared" si="844"/>
        <v>785.58565638660332</v>
      </c>
      <c r="CQ473" s="15">
        <f t="shared" si="788"/>
        <v>5.0711713127732064E-6</v>
      </c>
      <c r="CR473" s="16">
        <f t="shared" si="789"/>
        <v>24.923235048445939</v>
      </c>
      <c r="CS473" s="17">
        <f t="shared" si="790"/>
        <v>1.2691587714345955E-2</v>
      </c>
      <c r="CT473" s="18">
        <f t="shared" si="845"/>
        <v>0.47612522397881196</v>
      </c>
      <c r="CU473" s="19">
        <f t="shared" si="846"/>
        <v>658.42816386602465</v>
      </c>
      <c r="CV473" s="15">
        <f t="shared" si="791"/>
        <v>4.81685632773205E-6</v>
      </c>
      <c r="CW473" s="16">
        <f t="shared" si="792"/>
        <v>32.217624695728261</v>
      </c>
      <c r="CX473" s="17">
        <f t="shared" si="793"/>
        <v>1.205511524267208E-2</v>
      </c>
      <c r="CY473" s="18">
        <f t="shared" si="847"/>
        <v>0.36832575280732255</v>
      </c>
      <c r="CZ473" s="20">
        <f t="shared" si="797"/>
        <v>492.15405329549952</v>
      </c>
      <c r="DA473" s="15">
        <f t="shared" si="794"/>
        <v>7.3323909522379719E-6</v>
      </c>
      <c r="DB473" s="16">
        <f t="shared" si="795"/>
        <v>39.222532454430507</v>
      </c>
      <c r="DC473" s="17">
        <f t="shared" si="796"/>
        <v>1.8350727511769766E-2</v>
      </c>
      <c r="DD473" s="18">
        <f t="shared" si="848"/>
        <v>0.30254499460239392</v>
      </c>
    </row>
    <row r="474" spans="2:108" x14ac:dyDescent="0.25">
      <c r="B474">
        <v>207</v>
      </c>
      <c r="C474">
        <f t="shared" si="849"/>
        <v>0.20236623593346706</v>
      </c>
      <c r="D474" s="19">
        <f t="shared" si="746"/>
        <v>1016.5954322300938</v>
      </c>
      <c r="E474" s="15">
        <f t="shared" si="798"/>
        <v>5.5331908644601885E-6</v>
      </c>
      <c r="F474" s="16">
        <f t="shared" si="747"/>
        <v>27.579847470646079</v>
      </c>
      <c r="G474" s="17">
        <f t="shared" si="744"/>
        <v>1.3847881064406632E-2</v>
      </c>
      <c r="H474" s="18">
        <f t="shared" si="799"/>
        <v>0.43026274464888892</v>
      </c>
      <c r="I474" s="19">
        <f t="shared" si="800"/>
        <v>1016.2707417447195</v>
      </c>
      <c r="J474" s="15">
        <f t="shared" si="801"/>
        <v>5.5325414834894391E-6</v>
      </c>
      <c r="K474" s="16">
        <f t="shared" si="748"/>
        <v>27.576113530064276</v>
      </c>
      <c r="L474" s="17">
        <f t="shared" si="802"/>
        <v>1.3846255862842343E-2</v>
      </c>
      <c r="M474" s="18">
        <f t="shared" si="803"/>
        <v>0.4303210043279162</v>
      </c>
      <c r="N474" s="19">
        <f t="shared" si="804"/>
        <v>1015.3644550768526</v>
      </c>
      <c r="O474" s="15">
        <f t="shared" si="805"/>
        <v>5.5307289101537054E-6</v>
      </c>
      <c r="P474" s="16">
        <f t="shared" si="806"/>
        <v>27.565691233383802</v>
      </c>
      <c r="Q474" s="17">
        <f t="shared" si="745"/>
        <v>1.3847881064406632E-2</v>
      </c>
      <c r="R474" s="18">
        <f t="shared" si="807"/>
        <v>0.43048370415419568</v>
      </c>
      <c r="S474" s="19">
        <f t="shared" si="808"/>
        <v>1013.862735595874</v>
      </c>
      <c r="T474" s="15">
        <f t="shared" si="809"/>
        <v>5.5277254711917481E-6</v>
      </c>
      <c r="U474" s="16">
        <f t="shared" si="810"/>
        <v>27.54842145935255</v>
      </c>
      <c r="V474" s="17">
        <f t="shared" si="811"/>
        <v>1.3834202859948208E-2</v>
      </c>
      <c r="W474" s="18">
        <f t="shared" si="812"/>
        <v>0.43075356921001562</v>
      </c>
      <c r="X474" s="19">
        <f t="shared" si="813"/>
        <v>1011.7637635612222</v>
      </c>
      <c r="Y474" s="15">
        <f t="shared" si="814"/>
        <v>5.5235275271224447E-6</v>
      </c>
      <c r="Z474" s="16">
        <f t="shared" si="815"/>
        <v>27.524283280954052</v>
      </c>
      <c r="AA474" s="17">
        <f t="shared" si="816"/>
        <v>1.3823696692420149E-2</v>
      </c>
      <c r="AB474" s="18">
        <f t="shared" si="817"/>
        <v>0.43113133041793694</v>
      </c>
      <c r="AC474" s="19">
        <f t="shared" si="818"/>
        <v>1009.0660963931379</v>
      </c>
      <c r="AD474" s="15">
        <f t="shared" si="749"/>
        <v>5.5181321927862766E-6</v>
      </c>
      <c r="AE474" s="16">
        <f t="shared" si="750"/>
        <v>27.493260108521085</v>
      </c>
      <c r="AF474" s="17">
        <f t="shared" si="751"/>
        <v>1.381019382399935E-2</v>
      </c>
      <c r="AG474" s="18">
        <f t="shared" si="819"/>
        <v>0.431617815525633</v>
      </c>
      <c r="AH474" s="19">
        <f t="shared" si="820"/>
        <v>1005.7693600308879</v>
      </c>
      <c r="AI474" s="15">
        <f t="shared" si="752"/>
        <v>5.5115387200617762E-6</v>
      </c>
      <c r="AJ474" s="16">
        <f t="shared" si="753"/>
        <v>27.45534764035521</v>
      </c>
      <c r="AK474" s="17">
        <f t="shared" si="754"/>
        <v>1.3793692382367046E-2</v>
      </c>
      <c r="AL474" s="18">
        <f t="shared" si="821"/>
        <v>0.43221382679838366</v>
      </c>
      <c r="AM474" s="19">
        <f t="shared" si="822"/>
        <v>1001.8733132882699</v>
      </c>
      <c r="AN474" s="15">
        <f t="shared" si="755"/>
        <v>5.5037466265765405E-6</v>
      </c>
      <c r="AO474" s="16">
        <f t="shared" si="756"/>
        <v>27.410543102815105</v>
      </c>
      <c r="AP474" s="17">
        <f t="shared" si="757"/>
        <v>1.3774191160292935E-2</v>
      </c>
      <c r="AQ474" s="18">
        <f t="shared" si="823"/>
        <v>0.43292031191090052</v>
      </c>
      <c r="AR474" s="19">
        <f t="shared" si="824"/>
        <v>997.37743922620223</v>
      </c>
      <c r="AS474" s="15">
        <f t="shared" si="758"/>
        <v>5.4947548784524049E-6</v>
      </c>
      <c r="AT474" s="16">
        <f t="shared" si="759"/>
        <v>27.358840551101324</v>
      </c>
      <c r="AU474" s="17">
        <f t="shared" si="760"/>
        <v>1.3751687570296807E-2</v>
      </c>
      <c r="AV474" s="18">
        <f t="shared" si="825"/>
        <v>0.43373844178642329</v>
      </c>
      <c r="AW474" s="19">
        <f t="shared" si="826"/>
        <v>992.27961328651713</v>
      </c>
      <c r="AX474" s="15">
        <f t="shared" si="761"/>
        <v>5.4845592265730348E-6</v>
      </c>
      <c r="AY474" s="16">
        <f t="shared" si="762"/>
        <v>27.300215552794945</v>
      </c>
      <c r="AZ474" s="17">
        <f t="shared" si="763"/>
        <v>1.3726170978142637E-2</v>
      </c>
      <c r="BA474" s="18">
        <f t="shared" si="827"/>
        <v>0.43466985990530099</v>
      </c>
      <c r="BB474" s="19">
        <f t="shared" si="828"/>
        <v>986.5709856668243</v>
      </c>
      <c r="BC474" s="15">
        <f t="shared" si="764"/>
        <v>5.4731419713336489E-6</v>
      </c>
      <c r="BD474" s="16">
        <f t="shared" si="765"/>
        <v>27.234566335168481</v>
      </c>
      <c r="BE474" s="17">
        <f t="shared" si="766"/>
        <v>1.3697597087143774E-2</v>
      </c>
      <c r="BF474" s="18">
        <f t="shared" si="829"/>
        <v>0.43571763631845944</v>
      </c>
      <c r="BG474" s="19">
        <f t="shared" si="830"/>
        <v>980.21744074025901</v>
      </c>
      <c r="BH474" s="15">
        <f t="shared" si="767"/>
        <v>5.4604348814805185E-6</v>
      </c>
      <c r="BI474" s="16">
        <f t="shared" si="768"/>
        <v>27.161500568512977</v>
      </c>
      <c r="BJ474" s="17">
        <f t="shared" si="769"/>
        <v>1.3665795135381886E-2</v>
      </c>
      <c r="BK474" s="18">
        <f t="shared" si="831"/>
        <v>0.43688973809769022</v>
      </c>
      <c r="BL474" s="19">
        <f t="shared" si="832"/>
        <v>973.09899359449196</v>
      </c>
      <c r="BM474" s="15">
        <f t="shared" si="770"/>
        <v>5.446197987188985E-6</v>
      </c>
      <c r="BN474" s="16">
        <f t="shared" si="771"/>
        <v>27.079638426336658</v>
      </c>
      <c r="BO474" s="17">
        <f t="shared" si="772"/>
        <v>1.3630164551925604E-2</v>
      </c>
      <c r="BP474" s="18">
        <f t="shared" si="833"/>
        <v>0.43821046215214232</v>
      </c>
      <c r="BQ474" s="19">
        <f t="shared" si="834"/>
        <v>964.83465406918549</v>
      </c>
      <c r="BR474" s="15">
        <f t="shared" si="773"/>
        <v>5.4296693081383712E-6</v>
      </c>
      <c r="BS474" s="16">
        <f t="shared" si="774"/>
        <v>26.984598521795633</v>
      </c>
      <c r="BT474" s="17">
        <f t="shared" si="775"/>
        <v>1.3588798333544309E-2</v>
      </c>
      <c r="BU474" s="18">
        <f t="shared" si="835"/>
        <v>0.43975384181214278</v>
      </c>
      <c r="BV474" s="19">
        <f t="shared" si="836"/>
        <v>954.3457536284343</v>
      </c>
      <c r="BW474" s="15">
        <f t="shared" si="776"/>
        <v>5.4086915072568689E-6</v>
      </c>
      <c r="BX474" s="16">
        <f t="shared" si="777"/>
        <v>26.863976166726992</v>
      </c>
      <c r="BY474" s="17">
        <f t="shared" si="778"/>
        <v>1.3536297326672176E-2</v>
      </c>
      <c r="BZ474" s="18">
        <f t="shared" si="837"/>
        <v>0.4417283873418385</v>
      </c>
      <c r="CA474" s="19">
        <f t="shared" si="838"/>
        <v>938.95256073368648</v>
      </c>
      <c r="CB474" s="15">
        <f t="shared" si="779"/>
        <v>5.3779051214673733E-6</v>
      </c>
      <c r="CC474" s="16">
        <f t="shared" si="780"/>
        <v>26.686954448437394</v>
      </c>
      <c r="CD474" s="17">
        <f t="shared" si="781"/>
        <v>1.3459248437656947E-2</v>
      </c>
      <c r="CE474" s="18">
        <f t="shared" si="839"/>
        <v>0.44465849007407904</v>
      </c>
      <c r="CF474" s="19">
        <f t="shared" si="840"/>
        <v>912.94031432858833</v>
      </c>
      <c r="CG474" s="15">
        <f t="shared" si="782"/>
        <v>5.325880628657177E-6</v>
      </c>
      <c r="CH474" s="16">
        <f t="shared" si="783"/>
        <v>26.387813614778764</v>
      </c>
      <c r="CI474" s="17">
        <f t="shared" si="784"/>
        <v>1.3329047075275069E-2</v>
      </c>
      <c r="CJ474" s="18">
        <f t="shared" si="841"/>
        <v>0.44969928327339326</v>
      </c>
      <c r="CK474" s="19">
        <f t="shared" si="842"/>
        <v>866.19890429962538</v>
      </c>
      <c r="CL474" s="15">
        <f t="shared" si="785"/>
        <v>5.232397808599251E-6</v>
      </c>
      <c r="CM474" s="16">
        <f t="shared" si="786"/>
        <v>25.850287399445691</v>
      </c>
      <c r="CN474" s="17">
        <f t="shared" si="787"/>
        <v>1.3095088224868816E-2</v>
      </c>
      <c r="CO474" s="18">
        <f t="shared" si="843"/>
        <v>0.45905024908823083</v>
      </c>
      <c r="CP474" s="19">
        <f t="shared" si="844"/>
        <v>784.90708444827135</v>
      </c>
      <c r="CQ474" s="15">
        <f t="shared" si="788"/>
        <v>5.0698141688965427E-6</v>
      </c>
      <c r="CR474" s="16">
        <f t="shared" si="789"/>
        <v>24.91543147115512</v>
      </c>
      <c r="CS474" s="17">
        <f t="shared" si="790"/>
        <v>1.2688191199125048E-2</v>
      </c>
      <c r="CT474" s="18">
        <f t="shared" si="845"/>
        <v>0.47627434762492371</v>
      </c>
      <c r="CU474" s="19">
        <f t="shared" si="846"/>
        <v>657.83386799283096</v>
      </c>
      <c r="CV474" s="15">
        <f t="shared" si="791"/>
        <v>4.8156677359856625E-6</v>
      </c>
      <c r="CW474" s="16">
        <f t="shared" si="792"/>
        <v>32.336959307065513</v>
      </c>
      <c r="CX474" s="17">
        <f t="shared" si="793"/>
        <v>1.2052140561779752E-2</v>
      </c>
      <c r="CY474" s="18">
        <f t="shared" si="847"/>
        <v>0.36696650285004045</v>
      </c>
      <c r="CZ474" s="20">
        <f t="shared" si="797"/>
        <v>492.13308181335356</v>
      </c>
      <c r="DA474" s="15">
        <f t="shared" si="794"/>
        <v>7.3327039533055582E-6</v>
      </c>
      <c r="DB474" s="16">
        <f t="shared" si="795"/>
        <v>39.223140627412747</v>
      </c>
      <c r="DC474" s="17">
        <f t="shared" si="796"/>
        <v>1.8351510857521458E-2</v>
      </c>
      <c r="DD474" s="18">
        <f t="shared" si="848"/>
        <v>0.30254030350196992</v>
      </c>
    </row>
    <row r="475" spans="2:108" x14ac:dyDescent="0.25">
      <c r="B475">
        <v>208</v>
      </c>
      <c r="C475">
        <f t="shared" si="849"/>
        <v>0.2033438505998123</v>
      </c>
      <c r="D475" s="19">
        <f t="shared" si="746"/>
        <v>1016.5788551741381</v>
      </c>
      <c r="E475" s="15">
        <f t="shared" si="798"/>
        <v>5.533157710348277E-6</v>
      </c>
      <c r="F475" s="16">
        <f t="shared" si="747"/>
        <v>27.579656834502586</v>
      </c>
      <c r="G475" s="17">
        <f t="shared" si="744"/>
        <v>1.3847798089824732E-2</v>
      </c>
      <c r="H475" s="18">
        <f t="shared" si="799"/>
        <v>0.43026571871164904</v>
      </c>
      <c r="I475" s="19">
        <f t="shared" si="800"/>
        <v>1016.254164756679</v>
      </c>
      <c r="J475" s="15">
        <f t="shared" si="801"/>
        <v>5.5325083295133579E-6</v>
      </c>
      <c r="K475" s="16">
        <f t="shared" si="748"/>
        <v>27.575922894701808</v>
      </c>
      <c r="L475" s="17">
        <f t="shared" si="802"/>
        <v>1.3846172888600385E-2</v>
      </c>
      <c r="M475" s="18">
        <f t="shared" si="803"/>
        <v>0.43032397918395099</v>
      </c>
      <c r="N475" s="19">
        <f t="shared" si="804"/>
        <v>1015.3478751938152</v>
      </c>
      <c r="O475" s="15">
        <f t="shared" si="805"/>
        <v>5.5306957503876305E-6</v>
      </c>
      <c r="P475" s="16">
        <f t="shared" si="806"/>
        <v>27.565500564728872</v>
      </c>
      <c r="Q475" s="17">
        <f t="shared" si="745"/>
        <v>1.3847798089824732E-2</v>
      </c>
      <c r="R475" s="18">
        <f t="shared" si="807"/>
        <v>0.43048668178011068</v>
      </c>
      <c r="S475" s="19">
        <f t="shared" si="808"/>
        <v>1013.8461546882535</v>
      </c>
      <c r="T475" s="15">
        <f t="shared" si="809"/>
        <v>5.5276923093765074E-6</v>
      </c>
      <c r="U475" s="16">
        <f t="shared" si="810"/>
        <v>27.548230778914913</v>
      </c>
      <c r="V475" s="17">
        <f t="shared" si="811"/>
        <v>1.3834119866087236E-2</v>
      </c>
      <c r="W475" s="18">
        <f t="shared" si="812"/>
        <v>0.43075655075462915</v>
      </c>
      <c r="X475" s="19">
        <f t="shared" si="813"/>
        <v>1011.7471864807724</v>
      </c>
      <c r="Y475" s="15">
        <f t="shared" si="814"/>
        <v>5.5234943729615451E-6</v>
      </c>
      <c r="Z475" s="16">
        <f t="shared" si="815"/>
        <v>27.524092644528881</v>
      </c>
      <c r="AA475" s="17">
        <f t="shared" si="816"/>
        <v>1.3823613717715646E-2</v>
      </c>
      <c r="AB475" s="18">
        <f t="shared" si="817"/>
        <v>0.43113431650495065</v>
      </c>
      <c r="AC475" s="19">
        <f t="shared" si="818"/>
        <v>1009.0495286601204</v>
      </c>
      <c r="AD475" s="15">
        <f t="shared" si="749"/>
        <v>5.5180990573202412E-6</v>
      </c>
      <c r="AE475" s="16">
        <f t="shared" si="750"/>
        <v>27.493069579591385</v>
      </c>
      <c r="AF475" s="17">
        <f t="shared" si="751"/>
        <v>1.3810110896082367E-2</v>
      </c>
      <c r="AG475" s="18">
        <f t="shared" si="819"/>
        <v>0.43162080666782587</v>
      </c>
      <c r="AH475" s="19">
        <f t="shared" si="820"/>
        <v>1005.7528057270464</v>
      </c>
      <c r="AI475" s="15">
        <f t="shared" si="752"/>
        <v>5.5115056114540925E-6</v>
      </c>
      <c r="AJ475" s="16">
        <f t="shared" si="753"/>
        <v>27.455157265861033</v>
      </c>
      <c r="AK475" s="17">
        <f t="shared" si="754"/>
        <v>1.3793609521668285E-2</v>
      </c>
      <c r="AL475" s="18">
        <f t="shared" si="821"/>
        <v>0.43221682377588616</v>
      </c>
      <c r="AM475" s="19">
        <f t="shared" si="822"/>
        <v>1001.8567712988223</v>
      </c>
      <c r="AN475" s="15">
        <f t="shared" si="755"/>
        <v>5.503713542597645E-6</v>
      </c>
      <c r="AO475" s="16">
        <f t="shared" si="756"/>
        <v>27.410352869936453</v>
      </c>
      <c r="AP475" s="17">
        <f t="shared" si="757"/>
        <v>1.3774108361232482E-2</v>
      </c>
      <c r="AQ475" s="18">
        <f t="shared" si="823"/>
        <v>0.43292331645730503</v>
      </c>
      <c r="AR475" s="19">
        <f t="shared" si="824"/>
        <v>997.36088883434854</v>
      </c>
      <c r="AS475" s="15">
        <f t="shared" si="758"/>
        <v>5.4947217776686967E-6</v>
      </c>
      <c r="AT475" s="16">
        <f t="shared" si="759"/>
        <v>27.358650221595006</v>
      </c>
      <c r="AU475" s="17">
        <f t="shared" si="760"/>
        <v>1.3751604729179058E-2</v>
      </c>
      <c r="AV475" s="18">
        <f t="shared" si="825"/>
        <v>0.43374145923146634</v>
      </c>
      <c r="AW475" s="19">
        <f t="shared" si="826"/>
        <v>992.26295789003063</v>
      </c>
      <c r="AX475" s="15">
        <f t="shared" si="761"/>
        <v>5.4845259157800613E-6</v>
      </c>
      <c r="AY475" s="16">
        <f t="shared" si="762"/>
        <v>27.300024015735353</v>
      </c>
      <c r="AZ475" s="17">
        <f t="shared" si="763"/>
        <v>1.3726087611436056E-2</v>
      </c>
      <c r="BA475" s="18">
        <f t="shared" si="827"/>
        <v>0.43467290955048854</v>
      </c>
      <c r="BB475" s="19">
        <f t="shared" si="828"/>
        <v>986.55385515351031</v>
      </c>
      <c r="BC475" s="15">
        <f t="shared" si="764"/>
        <v>5.473107710307021E-6</v>
      </c>
      <c r="BD475" s="16">
        <f t="shared" si="765"/>
        <v>27.234369334265367</v>
      </c>
      <c r="BE475" s="17">
        <f t="shared" si="766"/>
        <v>1.3697511342293559E-2</v>
      </c>
      <c r="BF475" s="18">
        <f t="shared" si="829"/>
        <v>0.43572078809946102</v>
      </c>
      <c r="BG475" s="19">
        <f t="shared" si="830"/>
        <v>980.19857563051687</v>
      </c>
      <c r="BH475" s="15">
        <f t="shared" si="767"/>
        <v>5.4603971512610342E-6</v>
      </c>
      <c r="BI475" s="16">
        <f t="shared" si="768"/>
        <v>27.161283619750943</v>
      </c>
      <c r="BJ475" s="17">
        <f t="shared" si="769"/>
        <v>1.36657007082051E-2</v>
      </c>
      <c r="BK475" s="18">
        <f t="shared" si="831"/>
        <v>0.43689322772244993</v>
      </c>
      <c r="BL475" s="19">
        <f t="shared" si="832"/>
        <v>973.07457514890996</v>
      </c>
      <c r="BM475" s="15">
        <f t="shared" si="770"/>
        <v>5.4461491502978202E-6</v>
      </c>
      <c r="BN475" s="16">
        <f t="shared" si="771"/>
        <v>27.079357614212462</v>
      </c>
      <c r="BO475" s="17">
        <f t="shared" si="772"/>
        <v>1.3630042328153286E-2</v>
      </c>
      <c r="BP475" s="18">
        <f t="shared" si="833"/>
        <v>0.43821500638145805</v>
      </c>
      <c r="BQ475" s="19">
        <f t="shared" si="834"/>
        <v>964.79450215380302</v>
      </c>
      <c r="BR475" s="15">
        <f t="shared" si="773"/>
        <v>5.4295890043076068E-6</v>
      </c>
      <c r="BS475" s="16">
        <f t="shared" si="774"/>
        <v>26.984136774768736</v>
      </c>
      <c r="BT475" s="17">
        <f t="shared" si="775"/>
        <v>1.3588597357665348E-2</v>
      </c>
      <c r="BU475" s="18">
        <f t="shared" si="835"/>
        <v>0.4397613667898998</v>
      </c>
      <c r="BV475" s="19">
        <f t="shared" si="836"/>
        <v>954.26655041062736</v>
      </c>
      <c r="BW475" s="15">
        <f t="shared" si="776"/>
        <v>5.4085331008212554E-6</v>
      </c>
      <c r="BX475" s="16">
        <f t="shared" si="777"/>
        <v>26.863065329722215</v>
      </c>
      <c r="BY475" s="17">
        <f t="shared" si="778"/>
        <v>1.3535900883908146E-2</v>
      </c>
      <c r="BZ475" s="18">
        <f t="shared" si="837"/>
        <v>0.44174336487907462</v>
      </c>
      <c r="CA475" s="19">
        <f t="shared" si="838"/>
        <v>938.7901402804755</v>
      </c>
      <c r="CB475" s="15">
        <f t="shared" si="779"/>
        <v>5.3775802805609514E-6</v>
      </c>
      <c r="CC475" s="16">
        <f t="shared" si="780"/>
        <v>26.685086613225465</v>
      </c>
      <c r="CD475" s="17">
        <f t="shared" si="781"/>
        <v>1.3458435460417018E-2</v>
      </c>
      <c r="CE475" s="18">
        <f t="shared" si="839"/>
        <v>0.44468961415462194</v>
      </c>
      <c r="CF475" s="19">
        <f t="shared" si="840"/>
        <v>912.63073376813225</v>
      </c>
      <c r="CG475" s="15">
        <f t="shared" si="782"/>
        <v>5.3252614675362648E-6</v>
      </c>
      <c r="CH475" s="16">
        <f t="shared" si="783"/>
        <v>26.38425343833352</v>
      </c>
      <c r="CI475" s="17">
        <f t="shared" si="784"/>
        <v>1.3327497504733925E-2</v>
      </c>
      <c r="CJ475" s="18">
        <f t="shared" si="841"/>
        <v>0.44975996373947108</v>
      </c>
      <c r="CK475" s="19">
        <f t="shared" si="842"/>
        <v>865.68824666505486</v>
      </c>
      <c r="CL475" s="15">
        <f t="shared" si="785"/>
        <v>5.2313764933301105E-6</v>
      </c>
      <c r="CM475" s="16">
        <f t="shared" si="786"/>
        <v>25.844414836648131</v>
      </c>
      <c r="CN475" s="17">
        <f t="shared" si="787"/>
        <v>1.3092532185736467E-2</v>
      </c>
      <c r="CO475" s="18">
        <f t="shared" si="843"/>
        <v>0.45915455794691634</v>
      </c>
      <c r="CP475" s="19">
        <f t="shared" si="844"/>
        <v>784.23191154127358</v>
      </c>
      <c r="CQ475" s="15">
        <f t="shared" si="788"/>
        <v>5.0684638230825472E-6</v>
      </c>
      <c r="CR475" s="16">
        <f t="shared" si="789"/>
        <v>24.907666982724646</v>
      </c>
      <c r="CS475" s="17">
        <f t="shared" si="790"/>
        <v>1.2684811697371704E-2</v>
      </c>
      <c r="CT475" s="18">
        <f t="shared" si="845"/>
        <v>0.47642281703654826</v>
      </c>
      <c r="CU475" s="19">
        <f t="shared" si="846"/>
        <v>657.24615341052004</v>
      </c>
      <c r="CV475" s="15">
        <f t="shared" si="791"/>
        <v>4.8144923068210401E-6</v>
      </c>
      <c r="CW475" s="16">
        <f t="shared" si="792"/>
        <v>32.454972395193494</v>
      </c>
      <c r="CX475" s="17">
        <f t="shared" si="793"/>
        <v>1.2049198822795855E-2</v>
      </c>
      <c r="CY475" s="18">
        <f t="shared" si="847"/>
        <v>0.36563213566237118</v>
      </c>
      <c r="CZ475" s="20">
        <f t="shared" si="797"/>
        <v>492.11312572533205</v>
      </c>
      <c r="DA475" s="15">
        <f t="shared" si="794"/>
        <v>7.333001795826327E-6</v>
      </c>
      <c r="DB475" s="16">
        <f t="shared" si="795"/>
        <v>39.223719353965365</v>
      </c>
      <c r="DC475" s="17">
        <f t="shared" si="796"/>
        <v>1.8352256266075864E-2</v>
      </c>
      <c r="DD475" s="18">
        <f t="shared" si="848"/>
        <v>0.30253583966963177</v>
      </c>
    </row>
    <row r="476" spans="2:108" x14ac:dyDescent="0.25">
      <c r="B476">
        <v>209</v>
      </c>
      <c r="C476">
        <f t="shared" si="849"/>
        <v>0.20432146526615755</v>
      </c>
      <c r="D476" s="19">
        <f t="shared" si="746"/>
        <v>1016.5622781216498</v>
      </c>
      <c r="E476" s="15">
        <f t="shared" si="798"/>
        <v>5.5331245562433002E-6</v>
      </c>
      <c r="F476" s="16">
        <f t="shared" si="747"/>
        <v>27.579466198398972</v>
      </c>
      <c r="G476" s="17">
        <f t="shared" si="744"/>
        <v>1.3847715115260189E-2</v>
      </c>
      <c r="H476" s="18">
        <f t="shared" si="799"/>
        <v>0.43026869281490193</v>
      </c>
      <c r="I476" s="19">
        <f t="shared" si="800"/>
        <v>1016.237587807362</v>
      </c>
      <c r="J476" s="15">
        <f t="shared" si="801"/>
        <v>5.5324751756147251E-6</v>
      </c>
      <c r="K476" s="16">
        <f t="shared" si="748"/>
        <v>27.575732259784665</v>
      </c>
      <c r="L476" s="17">
        <f t="shared" si="802"/>
        <v>1.3846089914552258E-2</v>
      </c>
      <c r="M476" s="18">
        <f t="shared" si="803"/>
        <v>0.43032695407416766</v>
      </c>
      <c r="N476" s="19">
        <f t="shared" si="804"/>
        <v>1015.331295422464</v>
      </c>
      <c r="O476" s="15">
        <f t="shared" si="805"/>
        <v>5.5306625908449284E-6</v>
      </c>
      <c r="P476" s="16">
        <f t="shared" si="806"/>
        <v>27.565309897358333</v>
      </c>
      <c r="Q476" s="17">
        <f t="shared" si="745"/>
        <v>1.3847715115260189E-2</v>
      </c>
      <c r="R476" s="18">
        <f t="shared" si="807"/>
        <v>0.43048965942715955</v>
      </c>
      <c r="S476" s="19">
        <f t="shared" si="808"/>
        <v>1013.8295739536379</v>
      </c>
      <c r="T476" s="15">
        <f t="shared" si="809"/>
        <v>5.5276591479072771E-6</v>
      </c>
      <c r="U476" s="16">
        <f t="shared" si="810"/>
        <v>27.548040100466835</v>
      </c>
      <c r="V476" s="17">
        <f t="shared" si="811"/>
        <v>1.3834036873092223E-2</v>
      </c>
      <c r="W476" s="18">
        <f t="shared" si="812"/>
        <v>0.43075953230940756</v>
      </c>
      <c r="X476" s="19">
        <f t="shared" si="813"/>
        <v>1011.7306095989208</v>
      </c>
      <c r="Y476" s="15">
        <f t="shared" si="814"/>
        <v>5.5234612191978421E-6</v>
      </c>
      <c r="Z476" s="16">
        <f t="shared" si="815"/>
        <v>27.523902010387587</v>
      </c>
      <c r="AA476" s="17">
        <f t="shared" si="816"/>
        <v>1.3823530744005207E-2</v>
      </c>
      <c r="AB476" s="18">
        <f t="shared" si="817"/>
        <v>0.43113730259755401</v>
      </c>
      <c r="AC476" s="19">
        <f t="shared" si="818"/>
        <v>1009.0329611144571</v>
      </c>
      <c r="AD476" s="15">
        <f t="shared" si="749"/>
        <v>5.5180659222289145E-6</v>
      </c>
      <c r="AE476" s="16">
        <f t="shared" si="750"/>
        <v>27.492879052816257</v>
      </c>
      <c r="AF476" s="17">
        <f t="shared" si="751"/>
        <v>1.3810027969103161E-2</v>
      </c>
      <c r="AG476" s="18">
        <f t="shared" si="819"/>
        <v>0.43162379781765109</v>
      </c>
      <c r="AH476" s="19">
        <f t="shared" si="820"/>
        <v>1005.7362515368417</v>
      </c>
      <c r="AI476" s="15">
        <f t="shared" si="752"/>
        <v>5.5114725030736838E-6</v>
      </c>
      <c r="AJ476" s="16">
        <f t="shared" si="753"/>
        <v>27.454966892673678</v>
      </c>
      <c r="AK476" s="17">
        <f t="shared" si="754"/>
        <v>1.3793526661538323E-2</v>
      </c>
      <c r="AL476" s="18">
        <f t="shared" si="821"/>
        <v>0.43221982077437798</v>
      </c>
      <c r="AM476" s="19">
        <f t="shared" si="822"/>
        <v>1001.8402291268413</v>
      </c>
      <c r="AN476" s="15">
        <f t="shared" si="755"/>
        <v>5.5036804582536834E-6</v>
      </c>
      <c r="AO476" s="16">
        <f t="shared" si="756"/>
        <v>27.410162634958674</v>
      </c>
      <c r="AP476" s="17">
        <f t="shared" si="757"/>
        <v>1.3774025561258381E-2</v>
      </c>
      <c r="AQ476" s="18">
        <f t="shared" si="823"/>
        <v>0.43292632107856843</v>
      </c>
      <c r="AR476" s="19">
        <f t="shared" si="824"/>
        <v>997.34433711375289</v>
      </c>
      <c r="AS476" s="15">
        <f t="shared" si="758"/>
        <v>5.4946886742275057E-6</v>
      </c>
      <c r="AT476" s="16">
        <f t="shared" si="759"/>
        <v>27.358459876808155</v>
      </c>
      <c r="AU476" s="17">
        <f t="shared" si="760"/>
        <v>1.3751521881410444E-2</v>
      </c>
      <c r="AV476" s="18">
        <f t="shared" si="825"/>
        <v>0.43374447696075297</v>
      </c>
      <c r="AW476" s="19">
        <f t="shared" si="826"/>
        <v>992.24629706108271</v>
      </c>
      <c r="AX476" s="15">
        <f t="shared" si="761"/>
        <v>5.4844925941221656E-6</v>
      </c>
      <c r="AY476" s="16">
        <f t="shared" si="762"/>
        <v>27.299832416202449</v>
      </c>
      <c r="AZ476" s="17">
        <f t="shared" si="763"/>
        <v>1.3726004217537904E-2</v>
      </c>
      <c r="BA476" s="18">
        <f t="shared" si="827"/>
        <v>0.4346759602331875</v>
      </c>
      <c r="BB476" s="19">
        <f t="shared" si="828"/>
        <v>986.5367059401251</v>
      </c>
      <c r="BC476" s="15">
        <f t="shared" si="764"/>
        <v>5.4730734118802506E-6</v>
      </c>
      <c r="BD476" s="16">
        <f t="shared" si="765"/>
        <v>27.234172118311438</v>
      </c>
      <c r="BE476" s="17">
        <f t="shared" si="766"/>
        <v>1.3697425503842248E-2</v>
      </c>
      <c r="BF476" s="18">
        <f t="shared" si="829"/>
        <v>0.43572394336669285</v>
      </c>
      <c r="BG476" s="19">
        <f t="shared" si="830"/>
        <v>980.17965379455723</v>
      </c>
      <c r="BH476" s="15">
        <f t="shared" si="767"/>
        <v>5.4603593075891149E-6</v>
      </c>
      <c r="BI476" s="16">
        <f t="shared" si="768"/>
        <v>27.161066018637406</v>
      </c>
      <c r="BJ476" s="17">
        <f t="shared" si="769"/>
        <v>1.3665605997091637E-2</v>
      </c>
      <c r="BK476" s="18">
        <f t="shared" si="831"/>
        <v>0.4368967278962938</v>
      </c>
      <c r="BL476" s="19">
        <f t="shared" si="832"/>
        <v>973.05000563414956</v>
      </c>
      <c r="BM476" s="15">
        <f t="shared" si="770"/>
        <v>5.4461000112682998E-6</v>
      </c>
      <c r="BN476" s="16">
        <f t="shared" si="771"/>
        <v>27.079075064792718</v>
      </c>
      <c r="BO476" s="17">
        <f t="shared" si="772"/>
        <v>1.3629919348221258E-2</v>
      </c>
      <c r="BP476" s="18">
        <f t="shared" si="833"/>
        <v>0.43821957881960372</v>
      </c>
      <c r="BQ476" s="19">
        <f t="shared" si="834"/>
        <v>964.75400406082838</v>
      </c>
      <c r="BR476" s="15">
        <f t="shared" si="773"/>
        <v>5.4295080081216573E-6</v>
      </c>
      <c r="BS476" s="16">
        <f t="shared" si="774"/>
        <v>26.983671046699527</v>
      </c>
      <c r="BT476" s="17">
        <f t="shared" si="775"/>
        <v>1.3588394649033535E-2</v>
      </c>
      <c r="BU476" s="18">
        <f t="shared" si="835"/>
        <v>0.43976895690660089</v>
      </c>
      <c r="BV476" s="19">
        <f t="shared" si="836"/>
        <v>954.18668889331332</v>
      </c>
      <c r="BW476" s="15">
        <f t="shared" si="776"/>
        <v>5.4083733777866268E-6</v>
      </c>
      <c r="BX476" s="16">
        <f t="shared" si="777"/>
        <v>26.862146922273102</v>
      </c>
      <c r="BY476" s="17">
        <f t="shared" si="778"/>
        <v>1.3535501146100259E-2</v>
      </c>
      <c r="BZ476" s="18">
        <f t="shared" si="837"/>
        <v>0.4417584679308923</v>
      </c>
      <c r="CA476" s="19">
        <f t="shared" si="838"/>
        <v>938.62675518257106</v>
      </c>
      <c r="CB476" s="15">
        <f t="shared" si="779"/>
        <v>5.3772535103651435E-6</v>
      </c>
      <c r="CC476" s="16">
        <f t="shared" si="780"/>
        <v>26.683207684599566</v>
      </c>
      <c r="CD476" s="17">
        <f t="shared" si="781"/>
        <v>1.3457617654756995E-2</v>
      </c>
      <c r="CE476" s="18">
        <f t="shared" si="839"/>
        <v>0.44472092748304748</v>
      </c>
      <c r="CF476" s="19">
        <f t="shared" si="840"/>
        <v>912.32029997416305</v>
      </c>
      <c r="CG476" s="15">
        <f t="shared" si="782"/>
        <v>5.3246405999483273E-6</v>
      </c>
      <c r="CH476" s="16">
        <f t="shared" si="783"/>
        <v>26.380683449702872</v>
      </c>
      <c r="CI476" s="17">
        <f t="shared" si="784"/>
        <v>1.332594366342877E-2</v>
      </c>
      <c r="CJ476" s="18">
        <f t="shared" si="841"/>
        <v>0.44982082789259781</v>
      </c>
      <c r="CK476" s="19">
        <f t="shared" si="842"/>
        <v>865.17799249803329</v>
      </c>
      <c r="CL476" s="15">
        <f t="shared" si="785"/>
        <v>5.2303559849960671E-6</v>
      </c>
      <c r="CM476" s="16">
        <f t="shared" si="786"/>
        <v>25.838546913727384</v>
      </c>
      <c r="CN476" s="17">
        <f t="shared" si="787"/>
        <v>1.3089978166115375E-2</v>
      </c>
      <c r="CO476" s="18">
        <f t="shared" si="843"/>
        <v>0.4592588317500732</v>
      </c>
      <c r="CP476" s="19">
        <f t="shared" si="844"/>
        <v>783.56014065348529</v>
      </c>
      <c r="CQ476" s="15">
        <f t="shared" si="788"/>
        <v>5.067120281306971E-6</v>
      </c>
      <c r="CR476" s="16">
        <f t="shared" si="789"/>
        <v>24.899941617515079</v>
      </c>
      <c r="CS476" s="17">
        <f t="shared" si="790"/>
        <v>1.2681449224041397E-2</v>
      </c>
      <c r="CT476" s="18">
        <f t="shared" si="845"/>
        <v>0.47657063024480051</v>
      </c>
      <c r="CU476" s="19">
        <f t="shared" si="846"/>
        <v>656.66490418153194</v>
      </c>
      <c r="CV476" s="15">
        <f t="shared" si="791"/>
        <v>4.8133298083630644E-6</v>
      </c>
      <c r="CW476" s="16">
        <f t="shared" si="792"/>
        <v>32.571687240374246</v>
      </c>
      <c r="CX476" s="17">
        <f t="shared" si="793"/>
        <v>1.2046289445408026E-2</v>
      </c>
      <c r="CY476" s="18">
        <f t="shared" si="847"/>
        <v>0.36432195796749128</v>
      </c>
      <c r="CZ476" s="20">
        <f t="shared" si="797"/>
        <v>492.09404315828897</v>
      </c>
      <c r="DA476" s="15">
        <f t="shared" si="794"/>
        <v>7.3332865977574882E-6</v>
      </c>
      <c r="DB476" s="16">
        <f t="shared" si="795"/>
        <v>39.224272748409618</v>
      </c>
      <c r="DC476" s="17">
        <f t="shared" si="796"/>
        <v>1.8352969038030822E-2</v>
      </c>
      <c r="DD476" s="18">
        <f t="shared" si="848"/>
        <v>0.30253157135205366</v>
      </c>
    </row>
    <row r="477" spans="2:108" x14ac:dyDescent="0.25">
      <c r="B477">
        <v>210</v>
      </c>
      <c r="C477">
        <f t="shared" si="849"/>
        <v>0.20529907993250279</v>
      </c>
      <c r="D477" s="19">
        <f t="shared" si="746"/>
        <v>1016.5457010744288</v>
      </c>
      <c r="E477" s="15">
        <f t="shared" si="798"/>
        <v>5.5330914021488579E-6</v>
      </c>
      <c r="F477" s="16">
        <f t="shared" si="747"/>
        <v>27.579275562355932</v>
      </c>
      <c r="G477" s="17">
        <f t="shared" si="744"/>
        <v>1.3847632140722011E-2</v>
      </c>
      <c r="H477" s="18">
        <f t="shared" si="799"/>
        <v>0.43027166695832558</v>
      </c>
      <c r="I477" s="19">
        <f t="shared" si="800"/>
        <v>1016.221010898041</v>
      </c>
      <c r="J477" s="15">
        <f t="shared" si="801"/>
        <v>5.5324420217960827E-6</v>
      </c>
      <c r="K477" s="16">
        <f t="shared" si="748"/>
        <v>27.575541625327471</v>
      </c>
      <c r="L477" s="17">
        <f t="shared" si="802"/>
        <v>1.3846006940704323E-2</v>
      </c>
      <c r="M477" s="18">
        <f t="shared" si="803"/>
        <v>0.4303299289983385</v>
      </c>
      <c r="N477" s="19">
        <f t="shared" si="804"/>
        <v>1015.3147157631022</v>
      </c>
      <c r="O477" s="15">
        <f t="shared" si="805"/>
        <v>5.5306294315262046E-6</v>
      </c>
      <c r="P477" s="16">
        <f t="shared" si="806"/>
        <v>27.565119231275673</v>
      </c>
      <c r="Q477" s="17">
        <f t="shared" si="745"/>
        <v>1.3847632140722011E-2</v>
      </c>
      <c r="R477" s="18">
        <f t="shared" si="807"/>
        <v>0.43049263709528784</v>
      </c>
      <c r="S477" s="19">
        <f t="shared" si="808"/>
        <v>1013.8129933917323</v>
      </c>
      <c r="T477" s="15">
        <f t="shared" si="809"/>
        <v>5.5276259867834651E-6</v>
      </c>
      <c r="U477" s="16">
        <f t="shared" si="810"/>
        <v>27.547849424004923</v>
      </c>
      <c r="V477" s="17">
        <f t="shared" si="811"/>
        <v>1.3833953880961687E-2</v>
      </c>
      <c r="W477" s="18">
        <f t="shared" si="812"/>
        <v>0.43076251387440345</v>
      </c>
      <c r="X477" s="19">
        <f t="shared" si="813"/>
        <v>1011.7140329151803</v>
      </c>
      <c r="Y477" s="15">
        <f t="shared" si="814"/>
        <v>5.5234280658303608E-6</v>
      </c>
      <c r="Z477" s="16">
        <f t="shared" si="815"/>
        <v>27.523711378524574</v>
      </c>
      <c r="AA477" s="17">
        <f t="shared" si="816"/>
        <v>1.3823447771286388E-2</v>
      </c>
      <c r="AB477" s="18">
        <f t="shared" si="817"/>
        <v>0.4311402886958341</v>
      </c>
      <c r="AC477" s="19">
        <f t="shared" si="818"/>
        <v>1009.0163937551647</v>
      </c>
      <c r="AD477" s="15">
        <f t="shared" si="749"/>
        <v>5.5180327875103297E-6</v>
      </c>
      <c r="AE477" s="16">
        <f t="shared" si="750"/>
        <v>27.492688528184395</v>
      </c>
      <c r="AF477" s="17">
        <f t="shared" si="751"/>
        <v>1.3809945043056816E-2</v>
      </c>
      <c r="AG477" s="18">
        <f t="shared" si="819"/>
        <v>0.4316267889752855</v>
      </c>
      <c r="AH477" s="19">
        <f t="shared" si="820"/>
        <v>1005.7196974567746</v>
      </c>
      <c r="AI477" s="15">
        <f t="shared" si="752"/>
        <v>5.5114393949135494E-6</v>
      </c>
      <c r="AJ477" s="16">
        <f t="shared" si="753"/>
        <v>27.454776520752908</v>
      </c>
      <c r="AK477" s="17">
        <f t="shared" si="754"/>
        <v>1.3793443801959638E-2</v>
      </c>
      <c r="AL477" s="18">
        <f t="shared" si="821"/>
        <v>0.43222281779449262</v>
      </c>
      <c r="AM477" s="19">
        <f t="shared" si="822"/>
        <v>1001.8236867591836</v>
      </c>
      <c r="AN477" s="15">
        <f t="shared" si="755"/>
        <v>5.503647373518368E-6</v>
      </c>
      <c r="AO477" s="16">
        <f t="shared" si="756"/>
        <v>27.409972397730613</v>
      </c>
      <c r="AP477" s="17">
        <f t="shared" si="757"/>
        <v>1.3773942760304841E-2</v>
      </c>
      <c r="AQ477" s="18">
        <f t="shared" si="823"/>
        <v>0.43292932577708043</v>
      </c>
      <c r="AR477" s="19">
        <f t="shared" si="824"/>
        <v>997.32778401917744</v>
      </c>
      <c r="AS477" s="15">
        <f t="shared" si="758"/>
        <v>5.4946555680383552E-6</v>
      </c>
      <c r="AT477" s="16">
        <f t="shared" si="759"/>
        <v>27.358269516220538</v>
      </c>
      <c r="AU477" s="17">
        <f t="shared" si="760"/>
        <v>1.3751439026764529E-2</v>
      </c>
      <c r="AV477" s="18">
        <f t="shared" si="825"/>
        <v>0.43374749498254195</v>
      </c>
      <c r="AW477" s="19">
        <f t="shared" si="826"/>
        <v>992.22963066046054</v>
      </c>
      <c r="AX477" s="15">
        <f t="shared" si="761"/>
        <v>5.4844592613209214E-6</v>
      </c>
      <c r="AY477" s="16">
        <f t="shared" si="762"/>
        <v>27.299640752595295</v>
      </c>
      <c r="AZ477" s="17">
        <f t="shared" si="763"/>
        <v>1.3725920795751363E-2</v>
      </c>
      <c r="BA477" s="18">
        <f t="shared" si="827"/>
        <v>0.43467901197893155</v>
      </c>
      <c r="BB477" s="19">
        <f t="shared" si="828"/>
        <v>986.51953765189558</v>
      </c>
      <c r="BC477" s="15">
        <f t="shared" si="764"/>
        <v>5.4730390753037912E-6</v>
      </c>
      <c r="BD477" s="16">
        <f t="shared" si="765"/>
        <v>27.233974682996799</v>
      </c>
      <c r="BE477" s="17">
        <f t="shared" si="766"/>
        <v>1.3697339569913956E-2</v>
      </c>
      <c r="BF477" s="18">
        <f t="shared" si="829"/>
        <v>0.4357271021892612</v>
      </c>
      <c r="BG477" s="19">
        <f t="shared" si="830"/>
        <v>980.16067437942036</v>
      </c>
      <c r="BH477" s="15">
        <f t="shared" si="767"/>
        <v>5.4603213487588416E-6</v>
      </c>
      <c r="BI477" s="16">
        <f t="shared" si="768"/>
        <v>27.160847755363335</v>
      </c>
      <c r="BJ477" s="17">
        <f t="shared" si="769"/>
        <v>1.3665510997772103E-2</v>
      </c>
      <c r="BK477" s="18">
        <f t="shared" si="831"/>
        <v>0.43690023877751222</v>
      </c>
      <c r="BL477" s="19">
        <f t="shared" si="832"/>
        <v>973.02528351100455</v>
      </c>
      <c r="BM477" s="15">
        <f t="shared" si="770"/>
        <v>5.4460505670220095E-6</v>
      </c>
      <c r="BN477" s="16">
        <f t="shared" si="771"/>
        <v>27.078790760376549</v>
      </c>
      <c r="BO477" s="17">
        <f t="shared" si="772"/>
        <v>1.3629795604425189E-2</v>
      </c>
      <c r="BP477" s="18">
        <f t="shared" si="833"/>
        <v>0.43822417975480105</v>
      </c>
      <c r="BQ477" s="19">
        <f t="shared" si="834"/>
        <v>964.71315793803217</v>
      </c>
      <c r="BR477" s="15">
        <f t="shared" si="773"/>
        <v>5.4294263158760649E-6</v>
      </c>
      <c r="BS477" s="16">
        <f t="shared" si="774"/>
        <v>26.983201316287371</v>
      </c>
      <c r="BT477" s="17">
        <f t="shared" si="775"/>
        <v>1.3588190198377745E-2</v>
      </c>
      <c r="BU477" s="18">
        <f t="shared" si="835"/>
        <v>0.43977661251613959</v>
      </c>
      <c r="BV477" s="19">
        <f t="shared" si="836"/>
        <v>954.10616888484867</v>
      </c>
      <c r="BW477" s="15">
        <f t="shared" si="776"/>
        <v>5.4082123377696983E-6</v>
      </c>
      <c r="BX477" s="16">
        <f t="shared" si="777"/>
        <v>26.861220942175759</v>
      </c>
      <c r="BY477" s="17">
        <f t="shared" si="778"/>
        <v>1.3535098112289269E-2</v>
      </c>
      <c r="BZ477" s="18">
        <f t="shared" si="837"/>
        <v>0.44177369655918197</v>
      </c>
      <c r="CA477" s="19">
        <f t="shared" si="838"/>
        <v>938.4624111036801</v>
      </c>
      <c r="CB477" s="15">
        <f t="shared" si="779"/>
        <v>5.376924822207361E-6</v>
      </c>
      <c r="CC477" s="16">
        <f t="shared" si="780"/>
        <v>26.681317727692321</v>
      </c>
      <c r="CD477" s="17">
        <f t="shared" si="781"/>
        <v>1.3456795049025919E-2</v>
      </c>
      <c r="CE477" s="18">
        <f t="shared" si="839"/>
        <v>0.44475242905269524</v>
      </c>
      <c r="CF477" s="19">
        <f t="shared" si="840"/>
        <v>912.00902915096049</v>
      </c>
      <c r="CG477" s="15">
        <f t="shared" si="782"/>
        <v>5.3240180583019218E-6</v>
      </c>
      <c r="CH477" s="16">
        <f t="shared" si="783"/>
        <v>26.377103835236046</v>
      </c>
      <c r="CI477" s="17">
        <f t="shared" si="784"/>
        <v>1.3324385632468291E-2</v>
      </c>
      <c r="CJ477" s="18">
        <f t="shared" si="841"/>
        <v>0.44988187269695018</v>
      </c>
      <c r="CK477" s="19">
        <f t="shared" si="842"/>
        <v>864.66816675536495</v>
      </c>
      <c r="CL477" s="15">
        <f t="shared" si="785"/>
        <v>5.2293363335107308E-6</v>
      </c>
      <c r="CM477" s="16">
        <f t="shared" si="786"/>
        <v>25.832683917686694</v>
      </c>
      <c r="CN477" s="17">
        <f t="shared" si="787"/>
        <v>1.3087426290924015E-2</v>
      </c>
      <c r="CO477" s="18">
        <f t="shared" si="843"/>
        <v>0.45936306531406457</v>
      </c>
      <c r="CP477" s="19">
        <f t="shared" si="844"/>
        <v>782.89177345080509</v>
      </c>
      <c r="CQ477" s="15">
        <f t="shared" si="788"/>
        <v>5.0657835469016099E-6</v>
      </c>
      <c r="CR477" s="16">
        <f t="shared" si="789"/>
        <v>24.892255394684256</v>
      </c>
      <c r="CS477" s="17">
        <f t="shared" si="790"/>
        <v>1.2678103787472594E-2</v>
      </c>
      <c r="CT477" s="18">
        <f t="shared" si="845"/>
        <v>0.47671778557486633</v>
      </c>
      <c r="CU477" s="19">
        <f t="shared" si="846"/>
        <v>656.09000561282937</v>
      </c>
      <c r="CV477" s="15">
        <f t="shared" si="791"/>
        <v>4.8121800112256596E-6</v>
      </c>
      <c r="CW477" s="16">
        <f t="shared" si="792"/>
        <v>32.687126872969714</v>
      </c>
      <c r="CX477" s="17">
        <f t="shared" si="793"/>
        <v>1.2043411855533212E-2</v>
      </c>
      <c r="CY477" s="18">
        <f t="shared" si="847"/>
        <v>0.36303529875337093</v>
      </c>
      <c r="CZ477" s="20">
        <f t="shared" si="797"/>
        <v>492.07570167207086</v>
      </c>
      <c r="DA477" s="15">
        <f t="shared" si="794"/>
        <v>7.333560336152153E-6</v>
      </c>
      <c r="DB477" s="16">
        <f t="shared" si="795"/>
        <v>39.224804651509942</v>
      </c>
      <c r="DC477" s="17">
        <f t="shared" si="796"/>
        <v>1.83536541213444E-2</v>
      </c>
      <c r="DD477" s="18">
        <f t="shared" si="848"/>
        <v>0.30252746891018867</v>
      </c>
    </row>
    <row r="478" spans="2:108" x14ac:dyDescent="0.25">
      <c r="B478">
        <v>211</v>
      </c>
      <c r="C478">
        <f t="shared" si="849"/>
        <v>0.20627669459884806</v>
      </c>
      <c r="D478" s="19">
        <f t="shared" si="746"/>
        <v>1016.5291240342484</v>
      </c>
      <c r="E478" s="15">
        <f t="shared" si="798"/>
        <v>5.5330582480684976E-6</v>
      </c>
      <c r="F478" s="16">
        <f t="shared" si="747"/>
        <v>27.579084926393854</v>
      </c>
      <c r="G478" s="17">
        <f t="shared" si="744"/>
        <v>1.3847549166219074E-2</v>
      </c>
      <c r="H478" s="18">
        <f t="shared" si="799"/>
        <v>0.43027464114160263</v>
      </c>
      <c r="I478" s="19">
        <f t="shared" si="800"/>
        <v>1016.2044340299714</v>
      </c>
      <c r="J478" s="15">
        <f t="shared" si="801"/>
        <v>5.532408868059943E-6</v>
      </c>
      <c r="K478" s="16">
        <f t="shared" si="748"/>
        <v>27.575350991344671</v>
      </c>
      <c r="L478" s="17">
        <f t="shared" si="802"/>
        <v>1.3845923967062865E-2</v>
      </c>
      <c r="M478" s="18">
        <f t="shared" si="803"/>
        <v>0.43033290395623874</v>
      </c>
      <c r="N478" s="19">
        <f t="shared" si="804"/>
        <v>1015.2981362160327</v>
      </c>
      <c r="O478" s="15">
        <f t="shared" si="805"/>
        <v>5.5305962724320656E-6</v>
      </c>
      <c r="P478" s="16">
        <f t="shared" si="806"/>
        <v>27.564928566484376</v>
      </c>
      <c r="Q478" s="17">
        <f t="shared" si="745"/>
        <v>1.3847549166219074E-2</v>
      </c>
      <c r="R478" s="18">
        <f t="shared" si="807"/>
        <v>0.43049561478444126</v>
      </c>
      <c r="S478" s="19">
        <f t="shared" si="808"/>
        <v>1013.7964130022455</v>
      </c>
      <c r="T478" s="15">
        <f t="shared" si="809"/>
        <v>5.5275928260044921E-6</v>
      </c>
      <c r="U478" s="16">
        <f t="shared" si="810"/>
        <v>27.547658749525823</v>
      </c>
      <c r="V478" s="17">
        <f t="shared" si="811"/>
        <v>1.3833870889694174E-2</v>
      </c>
      <c r="W478" s="18">
        <f t="shared" si="812"/>
        <v>0.43076549544966891</v>
      </c>
      <c r="X478" s="19">
        <f t="shared" si="813"/>
        <v>1011.6974564290585</v>
      </c>
      <c r="Y478" s="15">
        <f t="shared" si="814"/>
        <v>5.5233949128581177E-6</v>
      </c>
      <c r="Z478" s="16">
        <f t="shared" si="815"/>
        <v>27.523520748934175</v>
      </c>
      <c r="AA478" s="17">
        <f t="shared" si="816"/>
        <v>1.3823364799556731E-2</v>
      </c>
      <c r="AB478" s="18">
        <f t="shared" si="817"/>
        <v>0.43114327479987902</v>
      </c>
      <c r="AC478" s="19">
        <f t="shared" si="818"/>
        <v>1008.9998265812279</v>
      </c>
      <c r="AD478" s="15">
        <f t="shared" si="749"/>
        <v>5.5179996531624557E-6</v>
      </c>
      <c r="AE478" s="16">
        <f t="shared" si="750"/>
        <v>27.492498005684119</v>
      </c>
      <c r="AF478" s="17">
        <f t="shared" si="751"/>
        <v>1.3809862117938245E-2</v>
      </c>
      <c r="AG478" s="18">
        <f t="shared" si="819"/>
        <v>0.43162978014091202</v>
      </c>
      <c r="AH478" s="19">
        <f t="shared" si="820"/>
        <v>1005.7031434832339</v>
      </c>
      <c r="AI478" s="15">
        <f t="shared" si="752"/>
        <v>5.5114062869664676E-6</v>
      </c>
      <c r="AJ478" s="16">
        <f t="shared" si="753"/>
        <v>27.454586150057189</v>
      </c>
      <c r="AK478" s="17">
        <f t="shared" si="754"/>
        <v>1.3793360942914161E-2</v>
      </c>
      <c r="AL478" s="18">
        <f t="shared" si="821"/>
        <v>0.43222581483688399</v>
      </c>
      <c r="AM478" s="19">
        <f t="shared" si="822"/>
        <v>1001.8071441823553</v>
      </c>
      <c r="AN478" s="15">
        <f t="shared" si="755"/>
        <v>5.5036142883647107E-6</v>
      </c>
      <c r="AO478" s="16">
        <f t="shared" si="756"/>
        <v>27.409782158097087</v>
      </c>
      <c r="AP478" s="17">
        <f t="shared" si="757"/>
        <v>1.3773859958304319E-2</v>
      </c>
      <c r="AQ478" s="18">
        <f t="shared" si="823"/>
        <v>0.4329323305552944</v>
      </c>
      <c r="AR478" s="19">
        <f t="shared" si="824"/>
        <v>997.31122950442455</v>
      </c>
      <c r="AS478" s="15">
        <f t="shared" si="758"/>
        <v>5.4946224590088491E-6</v>
      </c>
      <c r="AT478" s="16">
        <f t="shared" si="759"/>
        <v>27.358079139300884</v>
      </c>
      <c r="AU478" s="17">
        <f t="shared" si="760"/>
        <v>1.3751356165010076E-2</v>
      </c>
      <c r="AV478" s="18">
        <f t="shared" si="825"/>
        <v>0.43375051330526782</v>
      </c>
      <c r="AW478" s="19">
        <f t="shared" si="826"/>
        <v>992.21295854675532</v>
      </c>
      <c r="AX478" s="15">
        <f t="shared" si="761"/>
        <v>5.484425917093511E-6</v>
      </c>
      <c r="AY478" s="16">
        <f t="shared" si="762"/>
        <v>27.299449023287686</v>
      </c>
      <c r="AZ478" s="17">
        <f t="shared" si="763"/>
        <v>1.3725837345368632E-2</v>
      </c>
      <c r="BA478" s="18">
        <f t="shared" si="827"/>
        <v>0.43468206481365829</v>
      </c>
      <c r="BB478" s="19">
        <f t="shared" si="828"/>
        <v>986.50234991023649</v>
      </c>
      <c r="BC478" s="15">
        <f t="shared" si="764"/>
        <v>5.4730046998204735E-6</v>
      </c>
      <c r="BD478" s="16">
        <f t="shared" si="765"/>
        <v>27.233777023967718</v>
      </c>
      <c r="BE478" s="17">
        <f t="shared" si="766"/>
        <v>1.3697253538613723E-2</v>
      </c>
      <c r="BF478" s="18">
        <f t="shared" si="829"/>
        <v>0.43573026463697778</v>
      </c>
      <c r="BG478" s="19">
        <f t="shared" si="830"/>
        <v>980.14163652859168</v>
      </c>
      <c r="BH478" s="15">
        <f t="shared" si="767"/>
        <v>5.4602832730571847E-6</v>
      </c>
      <c r="BI478" s="16">
        <f t="shared" si="768"/>
        <v>27.160628820078806</v>
      </c>
      <c r="BJ478" s="17">
        <f t="shared" si="769"/>
        <v>1.3665415705959314E-2</v>
      </c>
      <c r="BK478" s="18">
        <f t="shared" si="831"/>
        <v>0.43690376052506535</v>
      </c>
      <c r="BL478" s="19">
        <f t="shared" si="832"/>
        <v>973.00040724484961</v>
      </c>
      <c r="BM478" s="15">
        <f t="shared" si="770"/>
        <v>5.4460008144897001E-6</v>
      </c>
      <c r="BN478" s="16">
        <f t="shared" si="771"/>
        <v>27.078504683315771</v>
      </c>
      <c r="BO478" s="17">
        <f t="shared" si="772"/>
        <v>1.3629671089083686E-2</v>
      </c>
      <c r="BP478" s="18">
        <f t="shared" si="833"/>
        <v>0.43822880947445403</v>
      </c>
      <c r="BQ478" s="19">
        <f t="shared" si="834"/>
        <v>964.67196196092368</v>
      </c>
      <c r="BR478" s="15">
        <f t="shared" si="773"/>
        <v>5.429343923921848E-6</v>
      </c>
      <c r="BS478" s="16">
        <f t="shared" si="774"/>
        <v>26.982727562550622</v>
      </c>
      <c r="BT478" s="17">
        <f t="shared" si="775"/>
        <v>1.3587983996565698E-2</v>
      </c>
      <c r="BU478" s="18">
        <f t="shared" si="835"/>
        <v>0.43978433396731725</v>
      </c>
      <c r="BV478" s="19">
        <f t="shared" si="836"/>
        <v>954.02499025455404</v>
      </c>
      <c r="BW478" s="15">
        <f t="shared" si="776"/>
        <v>5.4080499805091085E-6</v>
      </c>
      <c r="BX478" s="16">
        <f t="shared" si="777"/>
        <v>26.860287387927372</v>
      </c>
      <c r="BY478" s="17">
        <f t="shared" si="778"/>
        <v>1.3534691781821069E-2</v>
      </c>
      <c r="BZ478" s="18">
        <f t="shared" si="837"/>
        <v>0.44178905081452902</v>
      </c>
      <c r="CA478" s="19">
        <f t="shared" si="838"/>
        <v>938.29711377853437</v>
      </c>
      <c r="CB478" s="15">
        <f t="shared" si="779"/>
        <v>5.3765942275570688E-6</v>
      </c>
      <c r="CC478" s="16">
        <f t="shared" si="780"/>
        <v>26.679416808453144</v>
      </c>
      <c r="CD478" s="17">
        <f t="shared" si="781"/>
        <v>1.3455967671928344E-2</v>
      </c>
      <c r="CE478" s="18">
        <f t="shared" si="839"/>
        <v>0.44478411784316341</v>
      </c>
      <c r="CF478" s="19">
        <f t="shared" si="840"/>
        <v>911.69693748417546</v>
      </c>
      <c r="CG478" s="15">
        <f t="shared" si="782"/>
        <v>5.3233938749683519E-6</v>
      </c>
      <c r="CH478" s="16">
        <f t="shared" si="783"/>
        <v>26.373514781068017</v>
      </c>
      <c r="CI478" s="17">
        <f t="shared" si="784"/>
        <v>1.3322823492867942E-2</v>
      </c>
      <c r="CJ478" s="18">
        <f t="shared" si="841"/>
        <v>0.449943095117387</v>
      </c>
      <c r="CK478" s="19">
        <f t="shared" si="842"/>
        <v>864.15879394907643</v>
      </c>
      <c r="CL478" s="15">
        <f t="shared" si="785"/>
        <v>5.2283175878981539E-6</v>
      </c>
      <c r="CM478" s="16">
        <f t="shared" si="786"/>
        <v>25.826826130414378</v>
      </c>
      <c r="CN478" s="17">
        <f t="shared" si="787"/>
        <v>1.3084876682854562E-2</v>
      </c>
      <c r="CO478" s="18">
        <f t="shared" si="843"/>
        <v>0.45946725353695272</v>
      </c>
      <c r="CP478" s="19">
        <f t="shared" si="844"/>
        <v>782.22681032417802</v>
      </c>
      <c r="CQ478" s="15">
        <f t="shared" si="788"/>
        <v>5.0644536206483566E-6</v>
      </c>
      <c r="CR478" s="16">
        <f t="shared" si="789"/>
        <v>24.884608318728048</v>
      </c>
      <c r="CS478" s="17">
        <f t="shared" si="790"/>
        <v>1.2674775389622129E-2</v>
      </c>
      <c r="CT478" s="18">
        <f t="shared" si="845"/>
        <v>0.4768642816365794</v>
      </c>
      <c r="CU478" s="19">
        <f t="shared" si="846"/>
        <v>655.52134432895662</v>
      </c>
      <c r="CV478" s="15">
        <f t="shared" si="791"/>
        <v>4.8110426886579134E-6</v>
      </c>
      <c r="CW478" s="16">
        <f t="shared" si="792"/>
        <v>32.801314058771283</v>
      </c>
      <c r="CX478" s="17">
        <f t="shared" si="793"/>
        <v>1.2040565485683372E-2</v>
      </c>
      <c r="CY478" s="18">
        <f t="shared" si="847"/>
        <v>0.36177150855774021</v>
      </c>
      <c r="CZ478" s="20">
        <f t="shared" si="797"/>
        <v>492.05797771323699</v>
      </c>
      <c r="DA478" s="15">
        <f t="shared" si="794"/>
        <v>7.3338248553302048E-6</v>
      </c>
      <c r="DB478" s="16">
        <f t="shared" si="795"/>
        <v>39.225318646316126</v>
      </c>
      <c r="DC478" s="17">
        <f t="shared" si="796"/>
        <v>1.8354316131784062E-2</v>
      </c>
      <c r="DD478" s="18">
        <f t="shared" si="848"/>
        <v>0.30252350469643302</v>
      </c>
    </row>
    <row r="479" spans="2:108" x14ac:dyDescent="0.25">
      <c r="B479">
        <v>212</v>
      </c>
      <c r="C479">
        <f t="shared" si="849"/>
        <v>0.20725430926519331</v>
      </c>
      <c r="D479" s="19">
        <f t="shared" si="746"/>
        <v>1016.5125470028551</v>
      </c>
      <c r="E479" s="15">
        <f t="shared" si="798"/>
        <v>5.5330250940057107E-6</v>
      </c>
      <c r="F479" s="16">
        <f t="shared" si="747"/>
        <v>27.57889429053283</v>
      </c>
      <c r="G479" s="17">
        <f t="shared" si="744"/>
        <v>1.3847466191760117E-2</v>
      </c>
      <c r="H479" s="18">
        <f t="shared" si="799"/>
        <v>0.43027761536442055</v>
      </c>
      <c r="I479" s="19">
        <f t="shared" si="800"/>
        <v>1016.1878572043926</v>
      </c>
      <c r="J479" s="15">
        <f t="shared" si="801"/>
        <v>5.5323757144087853E-6</v>
      </c>
      <c r="K479" s="16">
        <f t="shared" si="748"/>
        <v>27.575160357850514</v>
      </c>
      <c r="L479" s="17">
        <f t="shared" si="802"/>
        <v>1.3845840993634092E-2</v>
      </c>
      <c r="M479" s="18">
        <f t="shared" si="803"/>
        <v>0.43033587894764647</v>
      </c>
      <c r="N479" s="19">
        <f t="shared" si="804"/>
        <v>1015.281556781558</v>
      </c>
      <c r="O479" s="15">
        <f t="shared" si="805"/>
        <v>5.5305631135631164E-6</v>
      </c>
      <c r="P479" s="16">
        <f t="shared" si="806"/>
        <v>27.564737902987915</v>
      </c>
      <c r="Q479" s="17">
        <f t="shared" si="745"/>
        <v>1.3847466191760117E-2</v>
      </c>
      <c r="R479" s="18">
        <f t="shared" si="807"/>
        <v>0.43049859249456551</v>
      </c>
      <c r="S479" s="19">
        <f t="shared" si="808"/>
        <v>1013.7798327848897</v>
      </c>
      <c r="T479" s="15">
        <f t="shared" si="809"/>
        <v>5.5275596655697795E-6</v>
      </c>
      <c r="U479" s="16">
        <f t="shared" si="810"/>
        <v>27.547468077026231</v>
      </c>
      <c r="V479" s="17">
        <f t="shared" si="811"/>
        <v>1.3833787899288243E-2</v>
      </c>
      <c r="W479" s="18">
        <f t="shared" si="812"/>
        <v>0.43076847703525517</v>
      </c>
      <c r="X479" s="19">
        <f t="shared" si="813"/>
        <v>1011.6808801400575</v>
      </c>
      <c r="Y479" s="15">
        <f t="shared" si="814"/>
        <v>5.5233617602801152E-6</v>
      </c>
      <c r="Z479" s="16">
        <f t="shared" si="815"/>
        <v>27.523330121610663</v>
      </c>
      <c r="AA479" s="17">
        <f t="shared" si="816"/>
        <v>1.3823281828813736E-2</v>
      </c>
      <c r="AB479" s="18">
        <f t="shared" si="817"/>
        <v>0.43114626090977787</v>
      </c>
      <c r="AC479" s="19">
        <f t="shared" si="818"/>
        <v>1008.9832595915984</v>
      </c>
      <c r="AD479" s="15">
        <f t="shared" si="749"/>
        <v>5.5179665191831969E-6</v>
      </c>
      <c r="AE479" s="16">
        <f t="shared" si="750"/>
        <v>27.492307485303382</v>
      </c>
      <c r="AF479" s="17">
        <f t="shared" si="751"/>
        <v>1.3809779193742206E-2</v>
      </c>
      <c r="AG479" s="18">
        <f t="shared" si="819"/>
        <v>0.43163277131471922</v>
      </c>
      <c r="AH479" s="19">
        <f t="shared" si="820"/>
        <v>1005.6865896124933</v>
      </c>
      <c r="AI479" s="15">
        <f t="shared" si="752"/>
        <v>5.5113731792249877E-6</v>
      </c>
      <c r="AJ479" s="16">
        <f t="shared" si="753"/>
        <v>27.45439578054367</v>
      </c>
      <c r="AK479" s="17">
        <f t="shared" si="754"/>
        <v>1.3793278084383243E-2</v>
      </c>
      <c r="AL479" s="18">
        <f t="shared" si="821"/>
        <v>0.43222881190222678</v>
      </c>
      <c r="AM479" s="19">
        <f t="shared" si="822"/>
        <v>1001.7906013825061</v>
      </c>
      <c r="AN479" s="15">
        <f t="shared" si="755"/>
        <v>5.5035812027650125E-6</v>
      </c>
      <c r="AO479" s="16">
        <f t="shared" si="756"/>
        <v>27.409591915898819</v>
      </c>
      <c r="AP479" s="17">
        <f t="shared" si="757"/>
        <v>1.3773777155187494E-2</v>
      </c>
      <c r="AQ479" s="18">
        <f t="shared" si="823"/>
        <v>0.43293533541572859</v>
      </c>
      <c r="AR479" s="19">
        <f t="shared" si="824"/>
        <v>997.29467352232621</v>
      </c>
      <c r="AS479" s="15">
        <f t="shared" si="758"/>
        <v>5.4945893470446525E-6</v>
      </c>
      <c r="AT479" s="16">
        <f t="shared" si="759"/>
        <v>27.357888745506749</v>
      </c>
      <c r="AU479" s="17">
        <f t="shared" si="760"/>
        <v>1.375127329591099E-2</v>
      </c>
      <c r="AV479" s="18">
        <f t="shared" si="825"/>
        <v>0.43375353193754257</v>
      </c>
      <c r="AW479" s="19">
        <f t="shared" si="826"/>
        <v>992.19628057635509</v>
      </c>
      <c r="AX479" s="15">
        <f t="shared" si="761"/>
        <v>5.4843925611527107E-6</v>
      </c>
      <c r="AY479" s="16">
        <f t="shared" si="762"/>
        <v>27.299257226628082</v>
      </c>
      <c r="AZ479" s="17">
        <f t="shared" si="763"/>
        <v>1.3725753865670877E-2</v>
      </c>
      <c r="BA479" s="18">
        <f t="shared" si="827"/>
        <v>0.43468511876371008</v>
      </c>
      <c r="BB479" s="19">
        <f t="shared" si="828"/>
        <v>986.48514233277524</v>
      </c>
      <c r="BC479" s="15">
        <f t="shared" si="764"/>
        <v>5.4729702846655512E-6</v>
      </c>
      <c r="BD479" s="16">
        <f t="shared" si="765"/>
        <v>27.233579136826915</v>
      </c>
      <c r="BE479" s="17">
        <f t="shared" si="766"/>
        <v>1.3697167408027618E-2</v>
      </c>
      <c r="BF479" s="18">
        <f t="shared" si="829"/>
        <v>0.43573343078035531</v>
      </c>
      <c r="BG479" s="19">
        <f t="shared" si="830"/>
        <v>980.12253938211506</v>
      </c>
      <c r="BH479" s="15">
        <f t="shared" si="767"/>
        <v>5.4602450787642313E-6</v>
      </c>
      <c r="BI479" s="16">
        <f t="shared" si="768"/>
        <v>27.160409202894321</v>
      </c>
      <c r="BJ479" s="17">
        <f t="shared" si="769"/>
        <v>1.3665320117348853E-2</v>
      </c>
      <c r="BK479" s="18">
        <f t="shared" si="831"/>
        <v>0.43690729329856148</v>
      </c>
      <c r="BL479" s="19">
        <f t="shared" si="832"/>
        <v>972.97537530586374</v>
      </c>
      <c r="BM479" s="15">
        <f t="shared" si="770"/>
        <v>5.4459507506117275E-6</v>
      </c>
      <c r="BN479" s="16">
        <f t="shared" si="771"/>
        <v>27.078216816017431</v>
      </c>
      <c r="BO479" s="17">
        <f t="shared" si="772"/>
        <v>1.3629545794539406E-2</v>
      </c>
      <c r="BP479" s="18">
        <f t="shared" si="833"/>
        <v>0.43823346826510839</v>
      </c>
      <c r="BQ479" s="19">
        <f t="shared" si="834"/>
        <v>964.63041433291778</v>
      </c>
      <c r="BR479" s="15">
        <f t="shared" si="773"/>
        <v>5.4292608286658353E-6</v>
      </c>
      <c r="BS479" s="16">
        <f t="shared" si="774"/>
        <v>26.982249764828552</v>
      </c>
      <c r="BT479" s="17">
        <f t="shared" si="775"/>
        <v>1.3587776034604784E-2</v>
      </c>
      <c r="BU479" s="18">
        <f t="shared" si="835"/>
        <v>0.4397921216038117</v>
      </c>
      <c r="BV479" s="19">
        <f t="shared" si="836"/>
        <v>953.94315293241766</v>
      </c>
      <c r="BW479" s="15">
        <f t="shared" si="776"/>
        <v>5.4078863058648352E-6</v>
      </c>
      <c r="BX479" s="16">
        <f t="shared" si="777"/>
        <v>26.859346258722802</v>
      </c>
      <c r="BY479" s="17">
        <f t="shared" si="778"/>
        <v>1.3534282154345229E-2</v>
      </c>
      <c r="BZ479" s="18">
        <f t="shared" si="837"/>
        <v>0.44180453073626558</v>
      </c>
      <c r="CA479" s="19">
        <f t="shared" si="838"/>
        <v>938.13086901148506</v>
      </c>
      <c r="CB479" s="15">
        <f t="shared" si="779"/>
        <v>5.3762617380229711E-6</v>
      </c>
      <c r="CC479" s="16">
        <f t="shared" si="780"/>
        <v>26.677504993632077</v>
      </c>
      <c r="CD479" s="17">
        <f t="shared" si="781"/>
        <v>1.3455135552517294E-2</v>
      </c>
      <c r="CE479" s="18">
        <f t="shared" si="839"/>
        <v>0.44481599282055995</v>
      </c>
      <c r="CF479" s="19">
        <f t="shared" si="840"/>
        <v>911.3840411360402</v>
      </c>
      <c r="CG479" s="15">
        <f t="shared" si="782"/>
        <v>5.3227680822720807E-6</v>
      </c>
      <c r="CH479" s="16">
        <f t="shared" si="783"/>
        <v>26.369916473064464</v>
      </c>
      <c r="CI479" s="17">
        <f t="shared" si="784"/>
        <v>1.3321257325525949E-2</v>
      </c>
      <c r="CJ479" s="18">
        <f t="shared" si="841"/>
        <v>0.45000449212036797</v>
      </c>
      <c r="CK479" s="19">
        <f t="shared" si="842"/>
        <v>863.6498981407135</v>
      </c>
      <c r="CL479" s="15">
        <f t="shared" si="785"/>
        <v>5.2272997962814271E-6</v>
      </c>
      <c r="CM479" s="16">
        <f t="shared" si="786"/>
        <v>25.820973828618204</v>
      </c>
      <c r="CN479" s="17">
        <f t="shared" si="787"/>
        <v>1.3082329462344366E-2</v>
      </c>
      <c r="CO479" s="18">
        <f t="shared" si="843"/>
        <v>0.45957139139987785</v>
      </c>
      <c r="CP479" s="19">
        <f t="shared" si="844"/>
        <v>781.56525043624094</v>
      </c>
      <c r="CQ479" s="15">
        <f t="shared" si="788"/>
        <v>5.0631305008724829E-6</v>
      </c>
      <c r="CR479" s="16">
        <f t="shared" si="789"/>
        <v>24.877000380016771</v>
      </c>
      <c r="CS479" s="17">
        <f t="shared" si="790"/>
        <v>1.267146402629867E-2</v>
      </c>
      <c r="CT479" s="18">
        <f t="shared" si="845"/>
        <v>0.47701011731503212</v>
      </c>
      <c r="CU479" s="19">
        <f t="shared" si="846"/>
        <v>654.95880833661477</v>
      </c>
      <c r="CV479" s="15">
        <f t="shared" si="791"/>
        <v>4.8099176166732301E-6</v>
      </c>
      <c r="CW479" s="16">
        <f t="shared" si="792"/>
        <v>32.914271286033511</v>
      </c>
      <c r="CX479" s="17">
        <f t="shared" si="793"/>
        <v>1.2037749775288695E-2</v>
      </c>
      <c r="CY479" s="18">
        <f t="shared" si="847"/>
        <v>0.36052995877059674</v>
      </c>
      <c r="CZ479" s="20">
        <f t="shared" si="797"/>
        <v>492.04075609920926</v>
      </c>
      <c r="DA479" s="15">
        <f t="shared" si="794"/>
        <v>7.3340818745920175E-6</v>
      </c>
      <c r="DB479" s="16">
        <f t="shared" si="795"/>
        <v>39.22581807312293</v>
      </c>
      <c r="DC479" s="17">
        <f t="shared" si="796"/>
        <v>1.835495937223176E-2</v>
      </c>
      <c r="DD479" s="18">
        <f t="shared" si="848"/>
        <v>0.3025196529387042</v>
      </c>
    </row>
    <row r="480" spans="2:108" x14ac:dyDescent="0.25">
      <c r="B480">
        <v>213</v>
      </c>
      <c r="C480">
        <f t="shared" si="849"/>
        <v>0.20823192393153855</v>
      </c>
      <c r="D480" s="19">
        <f t="shared" si="746"/>
        <v>1016.4959699819696</v>
      </c>
      <c r="E480" s="15">
        <f t="shared" si="798"/>
        <v>5.5329919399639395E-6</v>
      </c>
      <c r="F480" s="16">
        <f t="shared" si="747"/>
        <v>27.578703654792648</v>
      </c>
      <c r="G480" s="17">
        <f t="shared" si="744"/>
        <v>1.3847383217353758E-2</v>
      </c>
      <c r="H480" s="18">
        <f t="shared" si="799"/>
        <v>0.43028058962647125</v>
      </c>
      <c r="I480" s="19">
        <f t="shared" si="800"/>
        <v>1016.1712804225281</v>
      </c>
      <c r="J480" s="15">
        <f t="shared" si="801"/>
        <v>5.5323425608450566E-6</v>
      </c>
      <c r="K480" s="16">
        <f t="shared" si="748"/>
        <v>27.574969724859073</v>
      </c>
      <c r="L480" s="17">
        <f t="shared" si="802"/>
        <v>1.3845758020424126E-2</v>
      </c>
      <c r="M480" s="18">
        <f t="shared" si="803"/>
        <v>0.43033885397234267</v>
      </c>
      <c r="N480" s="19">
        <f t="shared" si="804"/>
        <v>1015.2649774599802</v>
      </c>
      <c r="O480" s="15">
        <f t="shared" si="805"/>
        <v>5.5305299549199606E-6</v>
      </c>
      <c r="P480" s="16">
        <f t="shared" si="806"/>
        <v>27.564547240789771</v>
      </c>
      <c r="Q480" s="17">
        <f t="shared" si="745"/>
        <v>1.3847383217353758E-2</v>
      </c>
      <c r="R480" s="18">
        <f t="shared" si="807"/>
        <v>0.43050157022560626</v>
      </c>
      <c r="S480" s="19">
        <f t="shared" si="808"/>
        <v>1013.7632527393807</v>
      </c>
      <c r="T480" s="15">
        <f t="shared" si="809"/>
        <v>5.5275265054787624E-6</v>
      </c>
      <c r="U480" s="16">
        <f t="shared" si="810"/>
        <v>27.547277406502879</v>
      </c>
      <c r="V480" s="17">
        <f t="shared" si="811"/>
        <v>1.3833704909742473E-2</v>
      </c>
      <c r="W480" s="18">
        <f t="shared" si="812"/>
        <v>0.4307714586312128</v>
      </c>
      <c r="X480" s="19">
        <f t="shared" si="813"/>
        <v>1011.6643040476731</v>
      </c>
      <c r="Y480" s="15">
        <f t="shared" si="814"/>
        <v>5.5233286080953468E-6</v>
      </c>
      <c r="Z480" s="16">
        <f t="shared" si="815"/>
        <v>27.523139496548239</v>
      </c>
      <c r="AA480" s="17">
        <f t="shared" si="816"/>
        <v>1.3823198859054885E-2</v>
      </c>
      <c r="AB480" s="18">
        <f t="shared" si="817"/>
        <v>0.43114924702562085</v>
      </c>
      <c r="AC480" s="19">
        <f t="shared" si="818"/>
        <v>1008.966692785194</v>
      </c>
      <c r="AD480" s="15">
        <f t="shared" si="749"/>
        <v>5.517933385570389E-6</v>
      </c>
      <c r="AE480" s="16">
        <f t="shared" si="750"/>
        <v>27.49211696702973</v>
      </c>
      <c r="AF480" s="17">
        <f t="shared" si="751"/>
        <v>1.3809696270463282E-2</v>
      </c>
      <c r="AG480" s="18">
        <f t="shared" si="819"/>
        <v>0.43163576249690216</v>
      </c>
      <c r="AH480" s="19">
        <f t="shared" si="820"/>
        <v>1005.6700358407089</v>
      </c>
      <c r="AI480" s="15">
        <f t="shared" si="752"/>
        <v>5.5113400716814188E-6</v>
      </c>
      <c r="AJ480" s="16">
        <f t="shared" si="753"/>
        <v>27.45420541216815</v>
      </c>
      <c r="AK480" s="17">
        <f t="shared" si="754"/>
        <v>1.3793195226347634E-2</v>
      </c>
      <c r="AL480" s="18">
        <f t="shared" si="821"/>
        <v>0.43223180899121694</v>
      </c>
      <c r="AM480" s="19">
        <f t="shared" si="822"/>
        <v>1001.7740583454232</v>
      </c>
      <c r="AN480" s="15">
        <f t="shared" si="755"/>
        <v>5.5035481166908472E-6</v>
      </c>
      <c r="AO480" s="16">
        <f t="shared" si="756"/>
        <v>27.409401670972365</v>
      </c>
      <c r="AP480" s="17">
        <f t="shared" si="757"/>
        <v>1.3773694350883223E-2</v>
      </c>
      <c r="AQ480" s="18">
        <f t="shared" si="823"/>
        <v>0.43293834036096729</v>
      </c>
      <c r="AR480" s="19">
        <f t="shared" si="824"/>
        <v>997.27811602473446</v>
      </c>
      <c r="AS480" s="15">
        <f t="shared" si="758"/>
        <v>5.4945562320494688E-6</v>
      </c>
      <c r="AT480" s="16">
        <f t="shared" si="759"/>
        <v>27.357698334284443</v>
      </c>
      <c r="AU480" s="17">
        <f t="shared" si="760"/>
        <v>1.3751190419226273E-2</v>
      </c>
      <c r="AV480" s="18">
        <f t="shared" si="825"/>
        <v>0.43375655088815701</v>
      </c>
      <c r="AW480" s="19">
        <f t="shared" si="826"/>
        <v>992.17959660343752</v>
      </c>
      <c r="AX480" s="15">
        <f t="shared" si="761"/>
        <v>5.4843591932068751E-6</v>
      </c>
      <c r="AY480" s="16">
        <f t="shared" si="762"/>
        <v>27.29906536093953</v>
      </c>
      <c r="AZ480" s="17">
        <f t="shared" si="763"/>
        <v>1.3725670355928195E-2</v>
      </c>
      <c r="BA480" s="18">
        <f t="shared" si="827"/>
        <v>0.43468817385583547</v>
      </c>
      <c r="BB480" s="19">
        <f t="shared" si="828"/>
        <v>986.46791453337755</v>
      </c>
      <c r="BC480" s="15">
        <f t="shared" si="764"/>
        <v>5.4729358290667555E-6</v>
      </c>
      <c r="BD480" s="16">
        <f t="shared" si="765"/>
        <v>27.233381017133841</v>
      </c>
      <c r="BE480" s="17">
        <f t="shared" si="766"/>
        <v>1.3697081176222895E-2</v>
      </c>
      <c r="BF480" s="18">
        <f t="shared" si="829"/>
        <v>0.4357366006906031</v>
      </c>
      <c r="BG480" s="19">
        <f t="shared" si="830"/>
        <v>980.10338207670657</v>
      </c>
      <c r="BH480" s="15">
        <f t="shared" si="767"/>
        <v>5.4602067641534131E-6</v>
      </c>
      <c r="BI480" s="16">
        <f t="shared" si="768"/>
        <v>27.160188893882125</v>
      </c>
      <c r="BJ480" s="17">
        <f t="shared" si="769"/>
        <v>1.3665224227619645E-2</v>
      </c>
      <c r="BK480" s="18">
        <f t="shared" si="831"/>
        <v>0.4369108372582366</v>
      </c>
      <c r="BL480" s="19">
        <f t="shared" si="832"/>
        <v>972.95018616925131</v>
      </c>
      <c r="BM480" s="15">
        <f t="shared" si="770"/>
        <v>5.4459003723385031E-6</v>
      </c>
      <c r="BN480" s="16">
        <f t="shared" si="771"/>
        <v>27.07792714094639</v>
      </c>
      <c r="BO480" s="17">
        <f t="shared" si="772"/>
        <v>1.3629419713160156E-2</v>
      </c>
      <c r="BP480" s="18">
        <f t="shared" si="833"/>
        <v>0.43823815641240971</v>
      </c>
      <c r="BQ480" s="19">
        <f t="shared" si="834"/>
        <v>964.58851328549622</v>
      </c>
      <c r="BR480" s="15">
        <f t="shared" si="773"/>
        <v>5.4291770265709933E-6</v>
      </c>
      <c r="BS480" s="16">
        <f t="shared" si="774"/>
        <v>26.981767902783204</v>
      </c>
      <c r="BT480" s="17">
        <f t="shared" si="775"/>
        <v>1.3587566303642896E-2</v>
      </c>
      <c r="BU480" s="18">
        <f t="shared" si="835"/>
        <v>0.4397999757641472</v>
      </c>
      <c r="BV480" s="19">
        <f t="shared" si="836"/>
        <v>953.86065690878968</v>
      </c>
      <c r="BW480" s="15">
        <f t="shared" si="776"/>
        <v>5.4077213138175804E-6</v>
      </c>
      <c r="BX480" s="16">
        <f t="shared" si="777"/>
        <v>26.858397554451081</v>
      </c>
      <c r="BY480" s="17">
        <f t="shared" si="778"/>
        <v>1.3533869229813448E-2</v>
      </c>
      <c r="BZ480" s="18">
        <f t="shared" si="837"/>
        <v>0.44182013635252493</v>
      </c>
      <c r="CA480" s="19">
        <f t="shared" si="838"/>
        <v>937.96368267506409</v>
      </c>
      <c r="CB480" s="15">
        <f t="shared" si="779"/>
        <v>5.3759273653501292E-6</v>
      </c>
      <c r="CC480" s="16">
        <f t="shared" si="780"/>
        <v>26.675582350763236</v>
      </c>
      <c r="CD480" s="17">
        <f t="shared" si="781"/>
        <v>1.3454298720187066E-2</v>
      </c>
      <c r="CE480" s="18">
        <f t="shared" si="839"/>
        <v>0.44484805293775992</v>
      </c>
      <c r="CF480" s="19">
        <f t="shared" si="840"/>
        <v>911.07035624061189</v>
      </c>
      <c r="CG480" s="15">
        <f t="shared" si="782"/>
        <v>5.3221407124812245E-6</v>
      </c>
      <c r="CH480" s="16">
        <f t="shared" si="783"/>
        <v>26.366309096767036</v>
      </c>
      <c r="CI480" s="17">
        <f t="shared" si="784"/>
        <v>1.3319687211199515E-2</v>
      </c>
      <c r="CJ480" s="18">
        <f t="shared" si="841"/>
        <v>0.45006606067486882</v>
      </c>
      <c r="CK480" s="19">
        <f t="shared" si="842"/>
        <v>863.14150293637442</v>
      </c>
      <c r="CL480" s="15">
        <f t="shared" si="785"/>
        <v>5.2262830058727492E-6</v>
      </c>
      <c r="CM480" s="16">
        <f t="shared" si="786"/>
        <v>25.815127283768305</v>
      </c>
      <c r="CN480" s="17">
        <f t="shared" si="787"/>
        <v>1.3079784747551091E-2</v>
      </c>
      <c r="CO480" s="18">
        <f t="shared" si="843"/>
        <v>0.45967547396828878</v>
      </c>
      <c r="CP480" s="19">
        <f t="shared" si="844"/>
        <v>780.9070917674951</v>
      </c>
      <c r="CQ480" s="15">
        <f t="shared" si="788"/>
        <v>5.0618141835349909E-6</v>
      </c>
      <c r="CR480" s="16">
        <f t="shared" si="789"/>
        <v>24.869431555326194</v>
      </c>
      <c r="CS480" s="17">
        <f t="shared" si="790"/>
        <v>1.2668169687393848E-2</v>
      </c>
      <c r="CT480" s="18">
        <f t="shared" si="845"/>
        <v>0.47715529176124161</v>
      </c>
      <c r="CU480" s="19">
        <f t="shared" si="846"/>
        <v>654.40228708137431</v>
      </c>
      <c r="CV480" s="15">
        <f t="shared" si="791"/>
        <v>4.8088045741627492E-6</v>
      </c>
      <c r="CW480" s="16">
        <f t="shared" si="792"/>
        <v>33.026020754085721</v>
      </c>
      <c r="CX480" s="17">
        <f t="shared" si="793"/>
        <v>1.2034964170981466E-2</v>
      </c>
      <c r="CY480" s="18">
        <f t="shared" si="847"/>
        <v>0.35931004095459662</v>
      </c>
      <c r="CZ480" s="20">
        <f t="shared" si="797"/>
        <v>492.0239295311772</v>
      </c>
      <c r="DA480" s="15">
        <f t="shared" si="794"/>
        <v>7.3343329955005556E-6</v>
      </c>
      <c r="DB480" s="16">
        <f t="shared" si="795"/>
        <v>39.226306043595855</v>
      </c>
      <c r="DC480" s="17">
        <f t="shared" si="796"/>
        <v>1.8355587850908784E-2</v>
      </c>
      <c r="DD480" s="18">
        <f t="shared" si="848"/>
        <v>0.30251588963104148</v>
      </c>
    </row>
    <row r="481" spans="2:108" x14ac:dyDescent="0.25">
      <c r="B481">
        <v>214</v>
      </c>
      <c r="C481">
        <f t="shared" si="849"/>
        <v>0.20920953859788383</v>
      </c>
      <c r="D481" s="19">
        <f t="shared" si="746"/>
        <v>1016.4793929732873</v>
      </c>
      <c r="E481" s="15">
        <f t="shared" si="798"/>
        <v>5.5329587859465747E-6</v>
      </c>
      <c r="F481" s="16">
        <f t="shared" si="747"/>
        <v>27.578513019192805</v>
      </c>
      <c r="G481" s="17">
        <f t="shared" si="744"/>
        <v>1.3847300243008481E-2</v>
      </c>
      <c r="H481" s="18">
        <f t="shared" si="799"/>
        <v>0.43028356392745143</v>
      </c>
      <c r="I481" s="19">
        <f t="shared" si="800"/>
        <v>1016.1547036855854</v>
      </c>
      <c r="J481" s="15">
        <f t="shared" si="801"/>
        <v>5.532309407371171E-6</v>
      </c>
      <c r="K481" s="16">
        <f t="shared" si="748"/>
        <v>27.574779092384233</v>
      </c>
      <c r="L481" s="17">
        <f t="shared" si="802"/>
        <v>1.3845675047439008E-2</v>
      </c>
      <c r="M481" s="18">
        <f t="shared" si="803"/>
        <v>0.43034182903011114</v>
      </c>
      <c r="N481" s="19">
        <f t="shared" si="804"/>
        <v>1015.2483982516005</v>
      </c>
      <c r="O481" s="15">
        <f t="shared" si="805"/>
        <v>5.5304967965032016E-6</v>
      </c>
      <c r="P481" s="16">
        <f t="shared" si="806"/>
        <v>27.564356579893406</v>
      </c>
      <c r="Q481" s="17">
        <f t="shared" si="745"/>
        <v>1.3847300243008481E-2</v>
      </c>
      <c r="R481" s="18">
        <f t="shared" si="807"/>
        <v>0.43050454797750942</v>
      </c>
      <c r="S481" s="19">
        <f t="shared" si="808"/>
        <v>1013.7466728654376</v>
      </c>
      <c r="T481" s="15">
        <f t="shared" si="809"/>
        <v>5.5274933457308758E-6</v>
      </c>
      <c r="U481" s="16">
        <f t="shared" si="810"/>
        <v>27.547086737952533</v>
      </c>
      <c r="V481" s="17">
        <f t="shared" si="811"/>
        <v>1.3833621921055455E-2</v>
      </c>
      <c r="W481" s="18">
        <f t="shared" si="812"/>
        <v>0.43077444023759209</v>
      </c>
      <c r="X481" s="19">
        <f t="shared" si="813"/>
        <v>1011.6477281513947</v>
      </c>
      <c r="Y481" s="15">
        <f t="shared" si="814"/>
        <v>5.5232954563027903E-6</v>
      </c>
      <c r="Z481" s="16">
        <f t="shared" si="815"/>
        <v>27.522948873741036</v>
      </c>
      <c r="AA481" s="17">
        <f t="shared" si="816"/>
        <v>1.3823115890277619E-2</v>
      </c>
      <c r="AB481" s="18">
        <f t="shared" si="817"/>
        <v>0.43115223314749929</v>
      </c>
      <c r="AC481" s="19">
        <f t="shared" si="818"/>
        <v>1008.9501261608979</v>
      </c>
      <c r="AD481" s="15">
        <f t="shared" si="749"/>
        <v>5.5179002523217961E-6</v>
      </c>
      <c r="AE481" s="16">
        <f t="shared" si="750"/>
        <v>27.491926450850325</v>
      </c>
      <c r="AF481" s="17">
        <f t="shared" si="751"/>
        <v>1.3809613348095875E-2</v>
      </c>
      <c r="AG481" s="18">
        <f t="shared" si="819"/>
        <v>0.4316387536876618</v>
      </c>
      <c r="AH481" s="19">
        <f t="shared" si="820"/>
        <v>1005.6534821639168</v>
      </c>
      <c r="AI481" s="15">
        <f t="shared" si="752"/>
        <v>5.5113069643278343E-6</v>
      </c>
      <c r="AJ481" s="16">
        <f t="shared" si="753"/>
        <v>27.454015044885043</v>
      </c>
      <c r="AK481" s="17">
        <f t="shared" si="754"/>
        <v>1.3793112368787499E-2</v>
      </c>
      <c r="AL481" s="18">
        <f t="shared" si="821"/>
        <v>0.43223480610457232</v>
      </c>
      <c r="AM481" s="19">
        <f t="shared" si="822"/>
        <v>1001.7575150565254</v>
      </c>
      <c r="AN481" s="15">
        <f t="shared" si="755"/>
        <v>5.5035150301130514E-6</v>
      </c>
      <c r="AO481" s="16">
        <f t="shared" si="756"/>
        <v>27.40921142315004</v>
      </c>
      <c r="AP481" s="17">
        <f t="shared" si="757"/>
        <v>1.3773611545318519E-2</v>
      </c>
      <c r="AQ481" s="18">
        <f t="shared" si="823"/>
        <v>0.43294134539366169</v>
      </c>
      <c r="AR481" s="19">
        <f t="shared" si="824"/>
        <v>997.26155696251078</v>
      </c>
      <c r="AS481" s="15">
        <f t="shared" si="758"/>
        <v>5.4945231139250218E-6</v>
      </c>
      <c r="AT481" s="16">
        <f t="shared" si="759"/>
        <v>27.357507905068871</v>
      </c>
      <c r="AU481" s="17">
        <f t="shared" si="760"/>
        <v>1.3751107534709969E-2</v>
      </c>
      <c r="AV481" s="18">
        <f t="shared" si="825"/>
        <v>0.43375957016608324</v>
      </c>
      <c r="AW481" s="19">
        <f t="shared" si="826"/>
        <v>992.16290647996368</v>
      </c>
      <c r="AX481" s="15">
        <f t="shared" si="761"/>
        <v>5.4843258129599282E-6</v>
      </c>
      <c r="AY481" s="16">
        <f t="shared" si="762"/>
        <v>27.298873424519581</v>
      </c>
      <c r="AZ481" s="17">
        <f t="shared" si="763"/>
        <v>1.3725586815399603E-2</v>
      </c>
      <c r="BA481" s="18">
        <f t="shared" si="827"/>
        <v>0.43469123011719052</v>
      </c>
      <c r="BB481" s="19">
        <f t="shared" si="828"/>
        <v>986.4506661221742</v>
      </c>
      <c r="BC481" s="15">
        <f t="shared" si="764"/>
        <v>5.4729013322443486E-6</v>
      </c>
      <c r="BD481" s="16">
        <f t="shared" si="765"/>
        <v>27.233182660405003</v>
      </c>
      <c r="BE481" s="17">
        <f t="shared" si="766"/>
        <v>1.3696994841248105E-2</v>
      </c>
      <c r="BF481" s="18">
        <f t="shared" si="829"/>
        <v>0.43573977443962192</v>
      </c>
      <c r="BG481" s="19">
        <f t="shared" si="830"/>
        <v>980.08416374586841</v>
      </c>
      <c r="BH481" s="15">
        <f t="shared" si="767"/>
        <v>5.4601683274917372E-6</v>
      </c>
      <c r="BI481" s="16">
        <f t="shared" si="768"/>
        <v>27.159967883077485</v>
      </c>
      <c r="BJ481" s="17">
        <f t="shared" si="769"/>
        <v>1.3665128032434545E-2</v>
      </c>
      <c r="BK481" s="18">
        <f t="shared" si="831"/>
        <v>0.43691439256493336</v>
      </c>
      <c r="BL481" s="19">
        <f t="shared" si="832"/>
        <v>972.92483831546099</v>
      </c>
      <c r="BM481" s="15">
        <f t="shared" si="770"/>
        <v>5.4458496766309216E-6</v>
      </c>
      <c r="BN481" s="16">
        <f t="shared" si="771"/>
        <v>27.0776356406278</v>
      </c>
      <c r="BO481" s="17">
        <f t="shared" si="772"/>
        <v>1.362929283733999E-2</v>
      </c>
      <c r="BP481" s="18">
        <f t="shared" si="833"/>
        <v>0.43824287420106406</v>
      </c>
      <c r="BQ481" s="19">
        <f t="shared" si="834"/>
        <v>964.54625707836317</v>
      </c>
      <c r="BR481" s="15">
        <f t="shared" si="773"/>
        <v>5.4290925141567265E-6</v>
      </c>
      <c r="BS481" s="16">
        <f t="shared" si="774"/>
        <v>26.981281956401176</v>
      </c>
      <c r="BT481" s="17">
        <f t="shared" si="775"/>
        <v>1.3587354794969165E-2</v>
      </c>
      <c r="BU481" s="18">
        <f t="shared" si="835"/>
        <v>0.43980789678166538</v>
      </c>
      <c r="BV481" s="19">
        <f t="shared" si="836"/>
        <v>953.77750223406576</v>
      </c>
      <c r="BW481" s="15">
        <f t="shared" si="776"/>
        <v>5.4075550044681318E-6</v>
      </c>
      <c r="BX481" s="16">
        <f t="shared" si="777"/>
        <v>26.857441275691755</v>
      </c>
      <c r="BY481" s="17">
        <f t="shared" si="778"/>
        <v>1.3533453008477969E-2</v>
      </c>
      <c r="BZ481" s="18">
        <f t="shared" si="837"/>
        <v>0.44183586768029731</v>
      </c>
      <c r="CA481" s="19">
        <f t="shared" si="838"/>
        <v>937.79556070851379</v>
      </c>
      <c r="CB481" s="15">
        <f t="shared" si="779"/>
        <v>5.3755911214170283E-6</v>
      </c>
      <c r="CC481" s="16">
        <f t="shared" si="780"/>
        <v>26.673648948147907</v>
      </c>
      <c r="CD481" s="17">
        <f t="shared" si="781"/>
        <v>1.3453457204665866E-2</v>
      </c>
      <c r="CE481" s="18">
        <f t="shared" si="839"/>
        <v>0.44488029713466926</v>
      </c>
      <c r="CF481" s="19">
        <f t="shared" si="840"/>
        <v>910.75589889905802</v>
      </c>
      <c r="CG481" s="15">
        <f t="shared" si="782"/>
        <v>5.3215117977981161E-6</v>
      </c>
      <c r="CH481" s="16">
        <f t="shared" si="783"/>
        <v>26.362692837339168</v>
      </c>
      <c r="CI481" s="17">
        <f t="shared" si="784"/>
        <v>1.3318113230481213E-2</v>
      </c>
      <c r="CJ481" s="18">
        <f t="shared" si="841"/>
        <v>0.45012779775328948</v>
      </c>
      <c r="CK481" s="19">
        <f t="shared" si="842"/>
        <v>862.63363148245412</v>
      </c>
      <c r="CL481" s="15">
        <f t="shared" si="785"/>
        <v>5.2252672629649084E-6</v>
      </c>
      <c r="CM481" s="16">
        <f t="shared" si="786"/>
        <v>25.809286762048224</v>
      </c>
      <c r="CN481" s="17">
        <f t="shared" si="787"/>
        <v>1.3077242654331403E-2</v>
      </c>
      <c r="CO481" s="18">
        <f t="shared" si="843"/>
        <v>0.45977949639303273</v>
      </c>
      <c r="CP481" s="19">
        <f t="shared" si="844"/>
        <v>780.25233116192271</v>
      </c>
      <c r="CQ481" s="15">
        <f t="shared" si="788"/>
        <v>5.0605046623238464E-6</v>
      </c>
      <c r="CR481" s="16">
        <f t="shared" si="789"/>
        <v>24.861901808362113</v>
      </c>
      <c r="CS481" s="17">
        <f t="shared" si="790"/>
        <v>1.2664892357110569E-2</v>
      </c>
      <c r="CT481" s="18">
        <f t="shared" si="845"/>
        <v>0.47729980438289171</v>
      </c>
      <c r="CU481" s="19">
        <f t="shared" si="846"/>
        <v>653.85167149710719</v>
      </c>
      <c r="CV481" s="15">
        <f t="shared" si="791"/>
        <v>4.8077033429942153E-6</v>
      </c>
      <c r="CW481" s="16">
        <f t="shared" si="792"/>
        <v>33.136584363406541</v>
      </c>
      <c r="CX481" s="17">
        <f t="shared" si="793"/>
        <v>1.2032208126843493E-2</v>
      </c>
      <c r="CY481" s="18">
        <f t="shared" si="847"/>
        <v>0.35811116618351363</v>
      </c>
      <c r="CZ481" s="20">
        <f t="shared" si="797"/>
        <v>492.00739813417317</v>
      </c>
      <c r="DA481" s="15">
        <f t="shared" si="794"/>
        <v>7.3345797087558131E-6</v>
      </c>
      <c r="DB481" s="16">
        <f t="shared" si="795"/>
        <v>39.226785454108978</v>
      </c>
      <c r="DC481" s="17">
        <f t="shared" si="796"/>
        <v>1.835620529858039E-2</v>
      </c>
      <c r="DD481" s="18">
        <f t="shared" si="848"/>
        <v>0.30251219243036093</v>
      </c>
    </row>
    <row r="482" spans="2:108" x14ac:dyDescent="0.25">
      <c r="B482">
        <v>215</v>
      </c>
      <c r="C482">
        <f t="shared" si="849"/>
        <v>0.21018715326422907</v>
      </c>
      <c r="D482" s="19">
        <f t="shared" si="746"/>
        <v>1016.4628159784787</v>
      </c>
      <c r="E482" s="15">
        <f t="shared" si="798"/>
        <v>5.5329256319569578E-6</v>
      </c>
      <c r="F482" s="16">
        <f t="shared" si="747"/>
        <v>27.578322383752504</v>
      </c>
      <c r="G482" s="17">
        <f t="shared" si="744"/>
        <v>1.3847217268732647E-2</v>
      </c>
      <c r="H482" s="18">
        <f t="shared" si="799"/>
        <v>0.43028653826706215</v>
      </c>
      <c r="I482" s="19">
        <f t="shared" si="800"/>
        <v>1016.1381269947569</v>
      </c>
      <c r="J482" s="15">
        <f t="shared" si="801"/>
        <v>5.5322762539895137E-6</v>
      </c>
      <c r="K482" s="16">
        <f t="shared" si="748"/>
        <v>27.574588460439706</v>
      </c>
      <c r="L482" s="17">
        <f t="shared" si="802"/>
        <v>1.3845592074684712E-2</v>
      </c>
      <c r="M482" s="18">
        <f t="shared" si="803"/>
        <v>0.43034480412073839</v>
      </c>
      <c r="N482" s="19">
        <f t="shared" si="804"/>
        <v>1015.2318191567198</v>
      </c>
      <c r="O482" s="15">
        <f t="shared" si="805"/>
        <v>5.5304636383134406E-6</v>
      </c>
      <c r="P482" s="16">
        <f t="shared" si="806"/>
        <v>27.564165920302276</v>
      </c>
      <c r="Q482" s="17">
        <f t="shared" si="745"/>
        <v>1.3847217268732647E-2</v>
      </c>
      <c r="R482" s="18">
        <f t="shared" si="807"/>
        <v>0.43050752575022105</v>
      </c>
      <c r="S482" s="19">
        <f t="shared" si="808"/>
        <v>1013.7300931627823</v>
      </c>
      <c r="T482" s="15">
        <f t="shared" si="809"/>
        <v>5.5274601863255658E-6</v>
      </c>
      <c r="U482" s="16">
        <f t="shared" si="810"/>
        <v>27.546896071371997</v>
      </c>
      <c r="V482" s="17">
        <f t="shared" si="811"/>
        <v>1.3833538933225803E-2</v>
      </c>
      <c r="W482" s="18">
        <f t="shared" si="812"/>
        <v>0.43077742185444245</v>
      </c>
      <c r="X482" s="19">
        <f t="shared" si="813"/>
        <v>1011.6311524507055</v>
      </c>
      <c r="Y482" s="15">
        <f t="shared" si="814"/>
        <v>5.5232623049014114E-6</v>
      </c>
      <c r="Z482" s="16">
        <f t="shared" si="815"/>
        <v>27.522758253183113</v>
      </c>
      <c r="AA482" s="17">
        <f t="shared" si="816"/>
        <v>1.3823032922479354E-2</v>
      </c>
      <c r="AB482" s="18">
        <f t="shared" si="817"/>
        <v>0.43115521927550565</v>
      </c>
      <c r="AC482" s="19">
        <f t="shared" si="818"/>
        <v>1008.9335597175573</v>
      </c>
      <c r="AD482" s="15">
        <f t="shared" si="749"/>
        <v>5.5178671194351149E-6</v>
      </c>
      <c r="AE482" s="16">
        <f t="shared" si="750"/>
        <v>27.491735936751908</v>
      </c>
      <c r="AF482" s="17">
        <f t="shared" si="751"/>
        <v>1.3809530426634223E-2</v>
      </c>
      <c r="AG482" s="18">
        <f t="shared" si="819"/>
        <v>0.43164174488720591</v>
      </c>
      <c r="AH482" s="19">
        <f t="shared" si="820"/>
        <v>1005.6369285780305</v>
      </c>
      <c r="AI482" s="15">
        <f t="shared" si="752"/>
        <v>5.5112738571560612E-6</v>
      </c>
      <c r="AJ482" s="16">
        <f t="shared" si="753"/>
        <v>27.453824678647351</v>
      </c>
      <c r="AK482" s="17">
        <f t="shared" si="754"/>
        <v>1.3793029511682379E-2</v>
      </c>
      <c r="AL482" s="18">
        <f t="shared" si="821"/>
        <v>0.43223780324303307</v>
      </c>
      <c r="AM482" s="19">
        <f t="shared" si="822"/>
        <v>1001.7409715008572</v>
      </c>
      <c r="AN482" s="15">
        <f t="shared" si="755"/>
        <v>5.5034819430017146E-6</v>
      </c>
      <c r="AO482" s="16">
        <f t="shared" si="756"/>
        <v>27.409021172259855</v>
      </c>
      <c r="AP482" s="17">
        <f t="shared" si="757"/>
        <v>1.3773528738418526E-2</v>
      </c>
      <c r="AQ482" s="18">
        <f t="shared" si="823"/>
        <v>0.4329443505165313</v>
      </c>
      <c r="AR482" s="19">
        <f t="shared" si="824"/>
        <v>997.24499628551666</v>
      </c>
      <c r="AS482" s="15">
        <f t="shared" si="758"/>
        <v>5.494489992571033E-6</v>
      </c>
      <c r="AT482" s="16">
        <f t="shared" si="759"/>
        <v>27.357317457283443</v>
      </c>
      <c r="AU482" s="17">
        <f t="shared" si="760"/>
        <v>1.3751024642111113E-2</v>
      </c>
      <c r="AV482" s="18">
        <f t="shared" si="825"/>
        <v>0.43376258978047622</v>
      </c>
      <c r="AW482" s="19">
        <f t="shared" si="826"/>
        <v>992.14621005567187</v>
      </c>
      <c r="AX482" s="15">
        <f t="shared" si="761"/>
        <v>5.4842924201113444E-6</v>
      </c>
      <c r="AY482" s="16">
        <f t="shared" si="762"/>
        <v>27.298681415640225</v>
      </c>
      <c r="AZ482" s="17">
        <f t="shared" si="763"/>
        <v>1.3725503243332975E-2</v>
      </c>
      <c r="BA482" s="18">
        <f t="shared" si="827"/>
        <v>0.4346942875753399</v>
      </c>
      <c r="BB482" s="19">
        <f t="shared" si="828"/>
        <v>986.43339670558851</v>
      </c>
      <c r="BC482" s="15">
        <f t="shared" si="764"/>
        <v>5.4728667934111776E-6</v>
      </c>
      <c r="BD482" s="16">
        <f t="shared" si="765"/>
        <v>27.232984062114269</v>
      </c>
      <c r="BE482" s="17">
        <f t="shared" si="766"/>
        <v>1.3696908401133247E-2</v>
      </c>
      <c r="BF482" s="18">
        <f t="shared" si="829"/>
        <v>0.43574295209999914</v>
      </c>
      <c r="BG482" s="19">
        <f t="shared" si="830"/>
        <v>980.0648835200036</v>
      </c>
      <c r="BH482" s="15">
        <f t="shared" si="767"/>
        <v>5.4601297670400076E-6</v>
      </c>
      <c r="BI482" s="16">
        <f t="shared" si="768"/>
        <v>27.15974616048004</v>
      </c>
      <c r="BJ482" s="17">
        <f t="shared" si="769"/>
        <v>1.3665031527440877E-2</v>
      </c>
      <c r="BK482" s="18">
        <f t="shared" si="831"/>
        <v>0.43691795938007988</v>
      </c>
      <c r="BL482" s="19">
        <f t="shared" si="832"/>
        <v>972.89933023040248</v>
      </c>
      <c r="BM482" s="15">
        <f t="shared" si="770"/>
        <v>5.4457986604608056E-6</v>
      </c>
      <c r="BN482" s="16">
        <f t="shared" si="771"/>
        <v>27.077342297649629</v>
      </c>
      <c r="BO482" s="17">
        <f t="shared" si="772"/>
        <v>1.3629165159500307E-2</v>
      </c>
      <c r="BP482" s="18">
        <f t="shared" si="833"/>
        <v>0.4382476219147971</v>
      </c>
      <c r="BQ482" s="19">
        <f t="shared" si="834"/>
        <v>964.50364399959471</v>
      </c>
      <c r="BR482" s="15">
        <f t="shared" si="773"/>
        <v>5.4290072879991904E-6</v>
      </c>
      <c r="BS482" s="16">
        <f t="shared" si="774"/>
        <v>26.980791905995339</v>
      </c>
      <c r="BT482" s="17">
        <f t="shared" si="775"/>
        <v>1.3587141500014764E-2</v>
      </c>
      <c r="BU482" s="18">
        <f t="shared" si="835"/>
        <v>0.4398158849844972</v>
      </c>
      <c r="BV482" s="19">
        <f t="shared" si="836"/>
        <v>953.69368901836151</v>
      </c>
      <c r="BW482" s="15">
        <f t="shared" si="776"/>
        <v>5.4073873780367238E-6</v>
      </c>
      <c r="BX482" s="16">
        <f t="shared" si="777"/>
        <v>26.856477423711155</v>
      </c>
      <c r="BY482" s="17">
        <f t="shared" si="778"/>
        <v>1.3533033490889973E-2</v>
      </c>
      <c r="BZ482" s="18">
        <f t="shared" si="837"/>
        <v>0.44185172472548778</v>
      </c>
      <c r="CA482" s="19">
        <f t="shared" si="838"/>
        <v>937.62650911628668</v>
      </c>
      <c r="CB482" s="15">
        <f t="shared" si="779"/>
        <v>5.3752530182325737E-6</v>
      </c>
      <c r="CC482" s="16">
        <f t="shared" si="780"/>
        <v>26.671704854837294</v>
      </c>
      <c r="CD482" s="17">
        <f t="shared" si="781"/>
        <v>1.3452611036008302E-2</v>
      </c>
      <c r="CE482" s="18">
        <f t="shared" si="839"/>
        <v>0.44491272433849405</v>
      </c>
      <c r="CF482" s="19">
        <f t="shared" si="840"/>
        <v>910.4406851749934</v>
      </c>
      <c r="CG482" s="15">
        <f t="shared" si="782"/>
        <v>5.3208813703499874E-6</v>
      </c>
      <c r="CH482" s="16">
        <f t="shared" si="783"/>
        <v>26.359067879512423</v>
      </c>
      <c r="CI482" s="17">
        <f t="shared" si="784"/>
        <v>1.3316535463775659E-2</v>
      </c>
      <c r="CJ482" s="18">
        <f t="shared" si="841"/>
        <v>0.45018970033235489</v>
      </c>
      <c r="CK482" s="19">
        <f t="shared" si="842"/>
        <v>862.12630646207197</v>
      </c>
      <c r="CL482" s="15">
        <f t="shared" si="785"/>
        <v>5.2242526129241449E-6</v>
      </c>
      <c r="CM482" s="16">
        <f t="shared" si="786"/>
        <v>25.803452524313826</v>
      </c>
      <c r="CN482" s="17">
        <f t="shared" si="787"/>
        <v>1.3074703296223093E-2</v>
      </c>
      <c r="CO482" s="18">
        <f t="shared" si="843"/>
        <v>0.45988345391130786</v>
      </c>
      <c r="CP482" s="19">
        <f t="shared" si="844"/>
        <v>779.60096437197274</v>
      </c>
      <c r="CQ482" s="15">
        <f t="shared" si="788"/>
        <v>5.0592019287439465E-6</v>
      </c>
      <c r="CR482" s="16">
        <f t="shared" si="789"/>
        <v>24.854411090277686</v>
      </c>
      <c r="CS482" s="17">
        <f t="shared" si="790"/>
        <v>1.2661632014188202E-2</v>
      </c>
      <c r="CT482" s="18">
        <f t="shared" si="845"/>
        <v>0.47744365483516749</v>
      </c>
      <c r="CU482" s="19">
        <f t="shared" si="846"/>
        <v>653.30685404868348</v>
      </c>
      <c r="CV482" s="15">
        <f t="shared" si="791"/>
        <v>4.8066137080973673E-6</v>
      </c>
      <c r="CW482" s="16">
        <f t="shared" si="792"/>
        <v>33.245983707049959</v>
      </c>
      <c r="CX482" s="17">
        <f t="shared" si="793"/>
        <v>1.2029481104619825E-2</v>
      </c>
      <c r="CY482" s="18">
        <f t="shared" si="847"/>
        <v>0.35693276439889299</v>
      </c>
      <c r="CZ482" s="20">
        <f t="shared" si="797"/>
        <v>491.99106902282051</v>
      </c>
      <c r="DA482" s="15">
        <f t="shared" si="794"/>
        <v>7.3348234006843203E-6</v>
      </c>
      <c r="DB482" s="16">
        <f t="shared" si="795"/>
        <v>39.227258998338201</v>
      </c>
      <c r="DC482" s="17">
        <f t="shared" si="796"/>
        <v>1.8356815184797041E-2</v>
      </c>
      <c r="DD482" s="18">
        <f t="shared" si="848"/>
        <v>0.3025085405590181</v>
      </c>
    </row>
    <row r="483" spans="2:108" x14ac:dyDescent="0.25">
      <c r="B483">
        <v>216</v>
      </c>
      <c r="C483">
        <f t="shared" si="849"/>
        <v>0.21116476793057432</v>
      </c>
      <c r="D483" s="19">
        <f t="shared" si="746"/>
        <v>1016.4462389991897</v>
      </c>
      <c r="E483" s="15">
        <f t="shared" si="798"/>
        <v>5.5328924779983805E-6</v>
      </c>
      <c r="F483" s="16">
        <f t="shared" si="747"/>
        <v>27.578131748490684</v>
      </c>
      <c r="G483" s="17">
        <f t="shared" si="744"/>
        <v>1.3847134294534496E-2</v>
      </c>
      <c r="H483" s="18">
        <f t="shared" si="799"/>
        <v>0.4302895126450087</v>
      </c>
      <c r="I483" s="19">
        <f t="shared" si="800"/>
        <v>1016.1215503512195</v>
      </c>
      <c r="J483" s="15">
        <f t="shared" si="801"/>
        <v>5.5322431007024404E-6</v>
      </c>
      <c r="K483" s="16">
        <f t="shared" si="748"/>
        <v>27.574397829039022</v>
      </c>
      <c r="L483" s="17">
        <f t="shared" si="802"/>
        <v>1.3845509102167131E-2</v>
      </c>
      <c r="M483" s="18">
        <f t="shared" si="803"/>
        <v>0.4303477792440138</v>
      </c>
      <c r="N483" s="19">
        <f t="shared" si="804"/>
        <v>1015.215240175638</v>
      </c>
      <c r="O483" s="15">
        <f t="shared" si="805"/>
        <v>5.5304304803512765E-6</v>
      </c>
      <c r="P483" s="16">
        <f t="shared" si="806"/>
        <v>27.563975262019838</v>
      </c>
      <c r="Q483" s="17">
        <f t="shared" si="745"/>
        <v>1.3847134294534496E-2</v>
      </c>
      <c r="R483" s="18">
        <f t="shared" si="807"/>
        <v>0.43051050354368725</v>
      </c>
      <c r="S483" s="19">
        <f t="shared" si="808"/>
        <v>1013.7135136311396</v>
      </c>
      <c r="T483" s="15">
        <f t="shared" si="809"/>
        <v>5.5274270272622801E-6</v>
      </c>
      <c r="U483" s="16">
        <f t="shared" si="810"/>
        <v>27.546705406758104</v>
      </c>
      <c r="V483" s="17">
        <f t="shared" si="811"/>
        <v>1.3833455946252132E-2</v>
      </c>
      <c r="W483" s="18">
        <f t="shared" si="812"/>
        <v>0.43078040348181312</v>
      </c>
      <c r="X483" s="19">
        <f t="shared" si="813"/>
        <v>1011.6145769450812</v>
      </c>
      <c r="Y483" s="15">
        <f t="shared" si="814"/>
        <v>5.5232291538901631E-6</v>
      </c>
      <c r="Z483" s="16">
        <f t="shared" si="815"/>
        <v>27.522567634868434</v>
      </c>
      <c r="AA483" s="17">
        <f t="shared" si="816"/>
        <v>1.3822949955657464E-2</v>
      </c>
      <c r="AB483" s="18">
        <f t="shared" si="817"/>
        <v>0.43115820540973393</v>
      </c>
      <c r="AC483" s="19">
        <f t="shared" si="818"/>
        <v>1008.9169934539829</v>
      </c>
      <c r="AD483" s="15">
        <f t="shared" si="749"/>
        <v>5.5178339869079661E-6</v>
      </c>
      <c r="AE483" s="16">
        <f t="shared" si="750"/>
        <v>27.491545424720801</v>
      </c>
      <c r="AF483" s="17">
        <f t="shared" si="751"/>
        <v>1.3809447506072371E-2</v>
      </c>
      <c r="AG483" s="18">
        <f t="shared" si="819"/>
        <v>0.43164473609574872</v>
      </c>
      <c r="AH483" s="19">
        <f t="shared" si="820"/>
        <v>1005.6203750788379</v>
      </c>
      <c r="AI483" s="15">
        <f t="shared" si="752"/>
        <v>5.5112407501576765E-6</v>
      </c>
      <c r="AJ483" s="16">
        <f t="shared" si="753"/>
        <v>27.453634313406635</v>
      </c>
      <c r="AK483" s="17">
        <f t="shared" si="754"/>
        <v>1.37929466550112E-2</v>
      </c>
      <c r="AL483" s="18">
        <f t="shared" si="821"/>
        <v>0.43224080040736185</v>
      </c>
      <c r="AM483" s="19">
        <f t="shared" si="822"/>
        <v>1001.7244276630823</v>
      </c>
      <c r="AN483" s="15">
        <f t="shared" si="755"/>
        <v>5.5034488553261648E-6</v>
      </c>
      <c r="AO483" s="16">
        <f t="shared" si="756"/>
        <v>27.408830918125446</v>
      </c>
      <c r="AP483" s="17">
        <f t="shared" si="757"/>
        <v>1.3773445930106482E-2</v>
      </c>
      <c r="AQ483" s="18">
        <f t="shared" si="823"/>
        <v>0.43294735573236487</v>
      </c>
      <c r="AR483" s="19">
        <f t="shared" si="824"/>
        <v>997.22843394260371</v>
      </c>
      <c r="AS483" s="15">
        <f t="shared" si="758"/>
        <v>5.4944568678852079E-6</v>
      </c>
      <c r="AT483" s="16">
        <f t="shared" si="759"/>
        <v>27.357126990339943</v>
      </c>
      <c r="AU483" s="17">
        <f t="shared" si="760"/>
        <v>1.3750941741173691E-2</v>
      </c>
      <c r="AV483" s="18">
        <f t="shared" si="825"/>
        <v>0.43376560974067557</v>
      </c>
      <c r="AW483" s="19">
        <f t="shared" si="826"/>
        <v>992.12950717807212</v>
      </c>
      <c r="AX483" s="15">
        <f t="shared" si="761"/>
        <v>5.4842590143561451E-6</v>
      </c>
      <c r="AY483" s="16">
        <f t="shared" si="762"/>
        <v>27.298489332547831</v>
      </c>
      <c r="AZ483" s="17">
        <f t="shared" si="763"/>
        <v>1.3725419638965043E-2</v>
      </c>
      <c r="BA483" s="18">
        <f t="shared" si="827"/>
        <v>0.43469734625825768</v>
      </c>
      <c r="BB483" s="19">
        <f t="shared" si="828"/>
        <v>986.41610588636422</v>
      </c>
      <c r="BC483" s="15">
        <f t="shared" si="764"/>
        <v>5.4728322117727291E-6</v>
      </c>
      <c r="BD483" s="16">
        <f t="shared" si="765"/>
        <v>27.232785217693188</v>
      </c>
      <c r="BE483" s="17">
        <f t="shared" si="766"/>
        <v>1.3696821853889898E-2</v>
      </c>
      <c r="BF483" s="18">
        <f t="shared" si="829"/>
        <v>0.43574613374500382</v>
      </c>
      <c r="BG483" s="19">
        <f t="shared" si="830"/>
        <v>980.04554052653077</v>
      </c>
      <c r="BH483" s="15">
        <f t="shared" si="767"/>
        <v>5.4600910810530621E-6</v>
      </c>
      <c r="BI483" s="16">
        <f t="shared" si="768"/>
        <v>27.159523716055105</v>
      </c>
      <c r="BJ483" s="17">
        <f t="shared" si="769"/>
        <v>1.3664934708271032E-2</v>
      </c>
      <c r="BK483" s="18">
        <f t="shared" si="831"/>
        <v>0.43692153786566873</v>
      </c>
      <c r="BL483" s="19">
        <f t="shared" si="832"/>
        <v>972.87366040566064</v>
      </c>
      <c r="BM483" s="15">
        <f t="shared" si="770"/>
        <v>5.4457473208113211E-6</v>
      </c>
      <c r="BN483" s="16">
        <f t="shared" si="771"/>
        <v>27.077047094665097</v>
      </c>
      <c r="BO483" s="17">
        <f t="shared" si="772"/>
        <v>1.3629036672090896E-2</v>
      </c>
      <c r="BP483" s="18">
        <f t="shared" si="833"/>
        <v>0.43825239983631498</v>
      </c>
      <c r="BQ483" s="19">
        <f t="shared" si="834"/>
        <v>964.46067236578233</v>
      </c>
      <c r="BR483" s="15">
        <f t="shared" si="773"/>
        <v>5.4289213447315656E-6</v>
      </c>
      <c r="BS483" s="16">
        <f t="shared" si="774"/>
        <v>26.980297732206495</v>
      </c>
      <c r="BT483" s="17">
        <f t="shared" si="775"/>
        <v>1.3586926410353568E-2</v>
      </c>
      <c r="BU483" s="18">
        <f t="shared" si="835"/>
        <v>0.43982394069553615</v>
      </c>
      <c r="BV483" s="19">
        <f t="shared" si="836"/>
        <v>953.60921743117581</v>
      </c>
      <c r="BW483" s="15">
        <f t="shared" si="776"/>
        <v>5.4072184348623518E-6</v>
      </c>
      <c r="BX483" s="16">
        <f t="shared" si="777"/>
        <v>26.855506000458519</v>
      </c>
      <c r="BY483" s="17">
        <f t="shared" si="778"/>
        <v>1.3532610677897856E-2</v>
      </c>
      <c r="BZ483" s="18">
        <f t="shared" si="837"/>
        <v>0.44186770748297549</v>
      </c>
      <c r="CA483" s="19">
        <f t="shared" si="838"/>
        <v>937.45653396651574</v>
      </c>
      <c r="CB483" s="15">
        <f t="shared" si="779"/>
        <v>5.3749130679330323E-6</v>
      </c>
      <c r="CC483" s="16">
        <f t="shared" si="780"/>
        <v>26.66975014061493</v>
      </c>
      <c r="CD483" s="17">
        <f t="shared" si="781"/>
        <v>1.3451760244587732E-2</v>
      </c>
      <c r="CE483" s="18">
        <f t="shared" si="839"/>
        <v>0.44494533346401605</v>
      </c>
      <c r="CF483" s="19">
        <f t="shared" si="840"/>
        <v>910.12473108987456</v>
      </c>
      <c r="CG483" s="15">
        <f t="shared" si="782"/>
        <v>5.3202494621797493E-6</v>
      </c>
      <c r="CH483" s="16">
        <f t="shared" si="783"/>
        <v>26.355434407533558</v>
      </c>
      <c r="CI483" s="17">
        <f t="shared" si="784"/>
        <v>1.3314953991276439E-2</v>
      </c>
      <c r="CJ483" s="18">
        <f t="shared" si="841"/>
        <v>0.45025176539400547</v>
      </c>
      <c r="CK483" s="19">
        <f t="shared" si="842"/>
        <v>861.61955009215694</v>
      </c>
      <c r="CL483" s="15">
        <f t="shared" si="785"/>
        <v>5.2232391001843137E-6</v>
      </c>
      <c r="CM483" s="16">
        <f t="shared" si="786"/>
        <v>25.797624826059803</v>
      </c>
      <c r="CN483" s="17">
        <f t="shared" si="787"/>
        <v>1.3072166784430487E-2</v>
      </c>
      <c r="CO483" s="18">
        <f t="shared" si="843"/>
        <v>0.45998734184748352</v>
      </c>
      <c r="CP483" s="19">
        <f t="shared" si="844"/>
        <v>778.95298610285215</v>
      </c>
      <c r="CQ483" s="15">
        <f t="shared" si="788"/>
        <v>5.0579059722057049E-6</v>
      </c>
      <c r="CR483" s="16">
        <f t="shared" si="789"/>
        <v>24.846959340182799</v>
      </c>
      <c r="CS483" s="17">
        <f t="shared" si="790"/>
        <v>1.2658388632124248E-2</v>
      </c>
      <c r="CT483" s="18">
        <f t="shared" si="845"/>
        <v>0.4775868430116969</v>
      </c>
      <c r="CU483" s="19">
        <f t="shared" si="846"/>
        <v>652.76772876844063</v>
      </c>
      <c r="CV483" s="15">
        <f t="shared" si="791"/>
        <v>4.8055354575368818E-6</v>
      </c>
      <c r="CW483" s="16">
        <f t="shared" si="792"/>
        <v>33.354240063322692</v>
      </c>
      <c r="CX483" s="17">
        <f t="shared" si="793"/>
        <v>1.2026782573901298E-2</v>
      </c>
      <c r="CY483" s="18">
        <f t="shared" si="847"/>
        <v>0.35577428378488951</v>
      </c>
      <c r="CZ483" s="20">
        <f t="shared" si="797"/>
        <v>491.97485589133754</v>
      </c>
      <c r="DA483" s="15">
        <f t="shared" si="794"/>
        <v>7.3350653593651242E-6</v>
      </c>
      <c r="DB483" s="16">
        <f t="shared" si="795"/>
        <v>39.227729179151211</v>
      </c>
      <c r="DC483" s="17">
        <f t="shared" si="796"/>
        <v>1.8357420733225847E-2</v>
      </c>
      <c r="DD483" s="18">
        <f t="shared" si="848"/>
        <v>0.30250491471284957</v>
      </c>
    </row>
    <row r="484" spans="2:108" x14ac:dyDescent="0.25">
      <c r="B484">
        <v>217</v>
      </c>
      <c r="C484">
        <f t="shared" si="849"/>
        <v>0.21214238259691956</v>
      </c>
      <c r="D484" s="19">
        <f t="shared" si="746"/>
        <v>1016.4296620370426</v>
      </c>
      <c r="E484" s="15">
        <f t="shared" si="798"/>
        <v>5.5328593240740851E-6</v>
      </c>
      <c r="F484" s="16">
        <f t="shared" si="747"/>
        <v>27.57794111342599</v>
      </c>
      <c r="G484" s="17">
        <f t="shared" si="744"/>
        <v>1.3847051320422145E-2</v>
      </c>
      <c r="H484" s="18">
        <f t="shared" si="799"/>
        <v>0.43029248706100093</v>
      </c>
      <c r="I484" s="19">
        <f t="shared" si="800"/>
        <v>1016.1049737561351</v>
      </c>
      <c r="J484" s="15">
        <f t="shared" si="801"/>
        <v>5.5322099475122702E-6</v>
      </c>
      <c r="K484" s="16">
        <f t="shared" si="748"/>
        <v>27.574207198195552</v>
      </c>
      <c r="L484" s="17">
        <f t="shared" si="802"/>
        <v>1.3845426129892067E-2</v>
      </c>
      <c r="M484" s="18">
        <f t="shared" si="803"/>
        <v>0.4303507543997292</v>
      </c>
      <c r="N484" s="19">
        <f t="shared" si="804"/>
        <v>1015.1986613086541</v>
      </c>
      <c r="O484" s="15">
        <f t="shared" si="805"/>
        <v>5.530397322617309E-6</v>
      </c>
      <c r="P484" s="16">
        <f t="shared" si="806"/>
        <v>27.56378460504952</v>
      </c>
      <c r="Q484" s="17">
        <f t="shared" si="745"/>
        <v>1.3847051320422145E-2</v>
      </c>
      <c r="R484" s="18">
        <f t="shared" si="807"/>
        <v>0.43051348135785433</v>
      </c>
      <c r="S484" s="19">
        <f t="shared" si="808"/>
        <v>1013.6969342702367</v>
      </c>
      <c r="T484" s="15">
        <f t="shared" si="809"/>
        <v>5.5273938685404739E-6</v>
      </c>
      <c r="U484" s="16">
        <f t="shared" si="810"/>
        <v>27.546514744107721</v>
      </c>
      <c r="V484" s="17">
        <f t="shared" si="811"/>
        <v>1.3833372960133077E-2</v>
      </c>
      <c r="W484" s="18">
        <f t="shared" si="812"/>
        <v>0.43078338511975256</v>
      </c>
      <c r="X484" s="19">
        <f t="shared" si="813"/>
        <v>1011.5980016339905</v>
      </c>
      <c r="Y484" s="15">
        <f t="shared" si="814"/>
        <v>5.5231960032679817E-6</v>
      </c>
      <c r="Z484" s="16">
        <f t="shared" si="815"/>
        <v>27.522377018790891</v>
      </c>
      <c r="AA484" s="17">
        <f t="shared" si="816"/>
        <v>1.382286698980929E-2</v>
      </c>
      <c r="AB484" s="18">
        <f t="shared" si="817"/>
        <v>0.4311611915502791</v>
      </c>
      <c r="AC484" s="19">
        <f t="shared" si="818"/>
        <v>1008.9004273689477</v>
      </c>
      <c r="AD484" s="15">
        <f t="shared" si="749"/>
        <v>5.517800854737896E-6</v>
      </c>
      <c r="AE484" s="16">
        <f t="shared" si="750"/>
        <v>27.491354914742899</v>
      </c>
      <c r="AF484" s="17">
        <f t="shared" si="751"/>
        <v>1.3809364586404175E-2</v>
      </c>
      <c r="AG484" s="18">
        <f t="shared" si="819"/>
        <v>0.4316477273135112</v>
      </c>
      <c r="AH484" s="19">
        <f t="shared" si="820"/>
        <v>1005.6038216619991</v>
      </c>
      <c r="AI484" s="15">
        <f t="shared" si="752"/>
        <v>5.5112076433239983E-6</v>
      </c>
      <c r="AJ484" s="16">
        <f t="shared" si="753"/>
        <v>27.453443949112987</v>
      </c>
      <c r="AK484" s="17">
        <f t="shared" si="754"/>
        <v>1.3792863798752232E-2</v>
      </c>
      <c r="AL484" s="18">
        <f t="shared" si="821"/>
        <v>0.4322437975983448</v>
      </c>
      <c r="AM484" s="19">
        <f t="shared" si="822"/>
        <v>1001.7078835274784</v>
      </c>
      <c r="AN484" s="15">
        <f t="shared" si="755"/>
        <v>5.5034157670549579E-6</v>
      </c>
      <c r="AO484" s="16">
        <f t="shared" si="756"/>
        <v>27.408640660566</v>
      </c>
      <c r="AP484" s="17">
        <f t="shared" si="757"/>
        <v>1.3773363120303689E-2</v>
      </c>
      <c r="AQ484" s="18">
        <f t="shared" si="823"/>
        <v>0.43295036104402151</v>
      </c>
      <c r="AR484" s="19">
        <f t="shared" si="824"/>
        <v>997.21186988160389</v>
      </c>
      <c r="AS484" s="15">
        <f t="shared" si="758"/>
        <v>5.494423739763209E-6</v>
      </c>
      <c r="AT484" s="16">
        <f t="shared" si="759"/>
        <v>27.356936503638444</v>
      </c>
      <c r="AU484" s="17">
        <f t="shared" si="760"/>
        <v>1.3750858831636579E-2</v>
      </c>
      <c r="AV484" s="18">
        <f t="shared" si="825"/>
        <v>0.43376863005620736</v>
      </c>
      <c r="AW484" s="19">
        <f t="shared" si="826"/>
        <v>992.11279769244095</v>
      </c>
      <c r="AX484" s="15">
        <f t="shared" si="761"/>
        <v>5.4842255953848822E-6</v>
      </c>
      <c r="AY484" s="16">
        <f t="shared" si="762"/>
        <v>27.298297173463069</v>
      </c>
      <c r="AZ484" s="17">
        <f t="shared" si="763"/>
        <v>1.3725336001521354E-2</v>
      </c>
      <c r="BA484" s="18">
        <f t="shared" si="827"/>
        <v>0.43470040619432898</v>
      </c>
      <c r="BB484" s="19">
        <f t="shared" si="828"/>
        <v>986.39879326359494</v>
      </c>
      <c r="BC484" s="15">
        <f t="shared" si="764"/>
        <v>5.4727975865271906E-6</v>
      </c>
      <c r="BD484" s="16">
        <f t="shared" si="765"/>
        <v>27.232586122531341</v>
      </c>
      <c r="BE484" s="17">
        <f t="shared" si="766"/>
        <v>1.3696735197511365E-2</v>
      </c>
      <c r="BF484" s="18">
        <f t="shared" si="829"/>
        <v>0.43574931944858081</v>
      </c>
      <c r="BG484" s="19">
        <f t="shared" si="830"/>
        <v>980.02613388999919</v>
      </c>
      <c r="BH484" s="15">
        <f t="shared" si="767"/>
        <v>5.460052267779999E-6</v>
      </c>
      <c r="BI484" s="16">
        <f t="shared" si="768"/>
        <v>27.159300539734989</v>
      </c>
      <c r="BJ484" s="17">
        <f t="shared" si="769"/>
        <v>1.3664837570543044E-2</v>
      </c>
      <c r="BK484" s="18">
        <f t="shared" si="831"/>
        <v>0.43692512818423596</v>
      </c>
      <c r="BL484" s="19">
        <f t="shared" si="832"/>
        <v>972.84782733870759</v>
      </c>
      <c r="BM484" s="15">
        <f t="shared" si="770"/>
        <v>5.4456956546774154E-6</v>
      </c>
      <c r="BN484" s="16">
        <f t="shared" si="771"/>
        <v>27.076750014395138</v>
      </c>
      <c r="BO484" s="17">
        <f t="shared" si="772"/>
        <v>1.3628907367591031E-2</v>
      </c>
      <c r="BP484" s="18">
        <f t="shared" si="833"/>
        <v>0.43825720824726472</v>
      </c>
      <c r="BQ484" s="19">
        <f t="shared" si="834"/>
        <v>964.417340522171</v>
      </c>
      <c r="BR484" s="15">
        <f t="shared" si="773"/>
        <v>5.4288346810443425E-6</v>
      </c>
      <c r="BS484" s="16">
        <f t="shared" si="774"/>
        <v>26.979799416004965</v>
      </c>
      <c r="BT484" s="17">
        <f t="shared" si="775"/>
        <v>1.3586709517702899E-2</v>
      </c>
      <c r="BU484" s="18">
        <f t="shared" si="835"/>
        <v>0.43983206423241239</v>
      </c>
      <c r="BV484" s="19">
        <f t="shared" si="836"/>
        <v>953.52408770104364</v>
      </c>
      <c r="BW484" s="15">
        <f t="shared" si="776"/>
        <v>5.4070481754020874E-6</v>
      </c>
      <c r="BX484" s="16">
        <f t="shared" si="777"/>
        <v>26.854527008562002</v>
      </c>
      <c r="BY484" s="17">
        <f t="shared" si="778"/>
        <v>1.3532184570645535E-2</v>
      </c>
      <c r="BZ484" s="18">
        <f t="shared" si="837"/>
        <v>0.44188381593667569</v>
      </c>
      <c r="CA484" s="19">
        <f t="shared" si="838"/>
        <v>937.28564138945785</v>
      </c>
      <c r="CB484" s="15">
        <f t="shared" si="779"/>
        <v>5.3745712827789154E-6</v>
      </c>
      <c r="CC484" s="16">
        <f t="shared" si="780"/>
        <v>26.667784875978764</v>
      </c>
      <c r="CD484" s="17">
        <f t="shared" si="781"/>
        <v>1.3450904861088459E-2</v>
      </c>
      <c r="CE484" s="18">
        <f t="shared" si="839"/>
        <v>0.44497812341387316</v>
      </c>
      <c r="CF484" s="19">
        <f t="shared" si="840"/>
        <v>909.8080526184599</v>
      </c>
      <c r="CG484" s="15">
        <f t="shared" si="782"/>
        <v>5.3196161052369195E-6</v>
      </c>
      <c r="CH484" s="16">
        <f t="shared" si="783"/>
        <v>26.351792605112287</v>
      </c>
      <c r="CI484" s="17">
        <f t="shared" si="784"/>
        <v>1.3313368892943402E-2</v>
      </c>
      <c r="CJ484" s="18">
        <f t="shared" si="841"/>
        <v>0.45031398992627786</v>
      </c>
      <c r="CK484" s="19">
        <f t="shared" si="842"/>
        <v>861.11338412116322</v>
      </c>
      <c r="CL484" s="15">
        <f t="shared" si="785"/>
        <v>5.2222267682423271E-6</v>
      </c>
      <c r="CM484" s="16">
        <f t="shared" si="786"/>
        <v>25.791803917393377</v>
      </c>
      <c r="CN484" s="17">
        <f t="shared" si="787"/>
        <v>1.3069633227813026E-2</v>
      </c>
      <c r="CO484" s="18">
        <f t="shared" si="843"/>
        <v>0.46009115561379405</v>
      </c>
      <c r="CP484" s="19">
        <f t="shared" si="844"/>
        <v>778.30839005606515</v>
      </c>
      <c r="CQ484" s="15">
        <f t="shared" si="788"/>
        <v>5.0566167801121305E-6</v>
      </c>
      <c r="CR484" s="16">
        <f t="shared" si="789"/>
        <v>24.839546485644746</v>
      </c>
      <c r="CS484" s="17">
        <f t="shared" si="790"/>
        <v>1.2655162179392308E-2</v>
      </c>
      <c r="CT484" s="18">
        <f t="shared" si="845"/>
        <v>0.47772936903561525</v>
      </c>
      <c r="CU484" s="19">
        <f t="shared" si="846"/>
        <v>652.23419128690148</v>
      </c>
      <c r="CV484" s="15">
        <f t="shared" si="791"/>
        <v>4.804468382573804E-6</v>
      </c>
      <c r="CW484" s="16">
        <f t="shared" si="792"/>
        <v>33.461374389615713</v>
      </c>
      <c r="CX484" s="17">
        <f t="shared" si="793"/>
        <v>1.202411201227827E-2</v>
      </c>
      <c r="CY484" s="18">
        <f t="shared" si="847"/>
        <v>0.35463519016124251</v>
      </c>
      <c r="CZ484" s="20">
        <f t="shared" si="797"/>
        <v>491.95867862646003</v>
      </c>
      <c r="DA484" s="15">
        <f t="shared" si="794"/>
        <v>7.3353067804124791E-6</v>
      </c>
      <c r="DB484" s="16">
        <f t="shared" si="795"/>
        <v>39.228198319832657</v>
      </c>
      <c r="DC484" s="17">
        <f t="shared" si="796"/>
        <v>1.8358024936122895E-2</v>
      </c>
      <c r="DD484" s="18">
        <f t="shared" si="848"/>
        <v>0.30250129697438827</v>
      </c>
    </row>
    <row r="485" spans="2:108" x14ac:dyDescent="0.25">
      <c r="B485">
        <v>218</v>
      </c>
      <c r="C485">
        <f t="shared" si="849"/>
        <v>0.2131199972632648</v>
      </c>
      <c r="D485" s="19">
        <f t="shared" si="746"/>
        <v>1016.4130850936358</v>
      </c>
      <c r="E485" s="15">
        <f t="shared" si="798"/>
        <v>5.5328261701872718E-6</v>
      </c>
      <c r="F485" s="16">
        <f t="shared" si="747"/>
        <v>27.57775047857681</v>
      </c>
      <c r="G485" s="17">
        <f t="shared" si="744"/>
        <v>1.3846968346403596E-2</v>
      </c>
      <c r="H485" s="18">
        <f t="shared" si="799"/>
        <v>0.43029546151475262</v>
      </c>
      <c r="I485" s="19">
        <f t="shared" si="800"/>
        <v>1016.0883972106509</v>
      </c>
      <c r="J485" s="15">
        <f t="shared" si="801"/>
        <v>5.532176794421302E-6</v>
      </c>
      <c r="K485" s="16">
        <f t="shared" si="748"/>
        <v>27.574016567922484</v>
      </c>
      <c r="L485" s="17">
        <f t="shared" si="802"/>
        <v>1.3845343157865278E-2</v>
      </c>
      <c r="M485" s="18">
        <f t="shared" si="803"/>
        <v>0.4303537295876792</v>
      </c>
      <c r="N485" s="19">
        <f t="shared" si="804"/>
        <v>1015.1820825560663</v>
      </c>
      <c r="O485" s="15">
        <f t="shared" si="805"/>
        <v>5.5303641651121327E-6</v>
      </c>
      <c r="P485" s="16">
        <f t="shared" si="806"/>
        <v>27.563593949394765</v>
      </c>
      <c r="Q485" s="17">
        <f t="shared" si="745"/>
        <v>1.3846968346403596E-2</v>
      </c>
      <c r="R485" s="18">
        <f t="shared" si="807"/>
        <v>0.43051645919266862</v>
      </c>
      <c r="S485" s="19">
        <f t="shared" si="808"/>
        <v>1013.6803550798038</v>
      </c>
      <c r="T485" s="15">
        <f t="shared" si="809"/>
        <v>5.5273607101596079E-6</v>
      </c>
      <c r="U485" s="16">
        <f t="shared" si="810"/>
        <v>27.546324083417744</v>
      </c>
      <c r="V485" s="17">
        <f t="shared" si="811"/>
        <v>1.3833289974867295E-2</v>
      </c>
      <c r="W485" s="18">
        <f t="shared" si="812"/>
        <v>0.43078636676830895</v>
      </c>
      <c r="X485" s="19">
        <f t="shared" si="813"/>
        <v>1011.5814265168943</v>
      </c>
      <c r="Y485" s="15">
        <f t="shared" si="814"/>
        <v>5.5231628530337887E-6</v>
      </c>
      <c r="Z485" s="16">
        <f t="shared" si="815"/>
        <v>27.522186404944286</v>
      </c>
      <c r="AA485" s="17">
        <f t="shared" si="816"/>
        <v>1.3822784024932134E-2</v>
      </c>
      <c r="AB485" s="18">
        <f t="shared" si="817"/>
        <v>0.43116417769723775</v>
      </c>
      <c r="AC485" s="19">
        <f t="shared" si="818"/>
        <v>1008.8838614611861</v>
      </c>
      <c r="AD485" s="15">
        <f t="shared" si="749"/>
        <v>5.5177677229223735E-6</v>
      </c>
      <c r="AE485" s="16">
        <f t="shared" si="750"/>
        <v>27.491164406803641</v>
      </c>
      <c r="AF485" s="17">
        <f t="shared" si="751"/>
        <v>1.3809281667623305E-2</v>
      </c>
      <c r="AG485" s="18">
        <f t="shared" si="819"/>
        <v>0.43165071854072146</v>
      </c>
      <c r="AH485" s="19">
        <f t="shared" si="820"/>
        <v>1005.5872683230431</v>
      </c>
      <c r="AI485" s="15">
        <f t="shared" si="752"/>
        <v>5.5111745366460869E-6</v>
      </c>
      <c r="AJ485" s="16">
        <f t="shared" si="753"/>
        <v>27.453253585714997</v>
      </c>
      <c r="AK485" s="17">
        <f t="shared" si="754"/>
        <v>1.3792780942883097E-2</v>
      </c>
      <c r="AL485" s="18">
        <f t="shared" si="821"/>
        <v>0.43224679481679162</v>
      </c>
      <c r="AM485" s="19">
        <f t="shared" si="822"/>
        <v>1001.6913390779304</v>
      </c>
      <c r="AN485" s="15">
        <f t="shared" si="755"/>
        <v>5.5033826781558614E-6</v>
      </c>
      <c r="AO485" s="16">
        <f t="shared" si="756"/>
        <v>27.408450399396198</v>
      </c>
      <c r="AP485" s="17">
        <f t="shared" si="757"/>
        <v>1.3773280308929482E-2</v>
      </c>
      <c r="AQ485" s="18">
        <f t="shared" si="823"/>
        <v>0.43295336645443178</v>
      </c>
      <c r="AR485" s="19">
        <f t="shared" si="824"/>
        <v>997.19530404931982</v>
      </c>
      <c r="AS485" s="15">
        <f t="shared" si="758"/>
        <v>5.4943906080986396E-6</v>
      </c>
      <c r="AT485" s="16">
        <f t="shared" si="759"/>
        <v>27.356745996567177</v>
      </c>
      <c r="AU485" s="17">
        <f t="shared" si="760"/>
        <v>1.3750775913233496E-2</v>
      </c>
      <c r="AV485" s="18">
        <f t="shared" si="825"/>
        <v>0.4337716507367857</v>
      </c>
      <c r="AW485" s="19">
        <f t="shared" si="826"/>
        <v>992.09608144181641</v>
      </c>
      <c r="AX485" s="15">
        <f t="shared" si="761"/>
        <v>5.4841921628836333E-6</v>
      </c>
      <c r="AY485" s="16">
        <f t="shared" si="762"/>
        <v>27.298104936580888</v>
      </c>
      <c r="AZ485" s="17">
        <f t="shared" si="763"/>
        <v>1.3725252330216259E-2</v>
      </c>
      <c r="BA485" s="18">
        <f t="shared" si="827"/>
        <v>0.43470346741234994</v>
      </c>
      <c r="BB485" s="19">
        <f t="shared" si="828"/>
        <v>986.38145843275379</v>
      </c>
      <c r="BC485" s="15">
        <f t="shared" si="764"/>
        <v>5.4727629168655077E-6</v>
      </c>
      <c r="BD485" s="16">
        <f t="shared" si="765"/>
        <v>27.232386771976667</v>
      </c>
      <c r="BE485" s="17">
        <f t="shared" si="766"/>
        <v>1.3696648429972834E-2</v>
      </c>
      <c r="BF485" s="18">
        <f t="shared" si="829"/>
        <v>0.43575250928534609</v>
      </c>
      <c r="BG485" s="19">
        <f t="shared" si="830"/>
        <v>980.00666273220406</v>
      </c>
      <c r="BH485" s="15">
        <f t="shared" si="767"/>
        <v>5.4600133254644089E-6</v>
      </c>
      <c r="BI485" s="16">
        <f t="shared" si="768"/>
        <v>27.159076621420347</v>
      </c>
      <c r="BJ485" s="17">
        <f t="shared" si="769"/>
        <v>1.3664740109861158E-2</v>
      </c>
      <c r="BK485" s="18">
        <f t="shared" si="831"/>
        <v>0.43692873049883935</v>
      </c>
      <c r="BL485" s="19">
        <f t="shared" si="832"/>
        <v>972.82182953311235</v>
      </c>
      <c r="BM485" s="15">
        <f t="shared" si="770"/>
        <v>5.4456436590662254E-6</v>
      </c>
      <c r="BN485" s="16">
        <f t="shared" si="771"/>
        <v>27.07645103963079</v>
      </c>
      <c r="BO485" s="17">
        <f t="shared" si="772"/>
        <v>1.3628777238510494E-2</v>
      </c>
      <c r="BP485" s="18">
        <f t="shared" si="833"/>
        <v>0.43826204742819608</v>
      </c>
      <c r="BQ485" s="19">
        <f t="shared" si="834"/>
        <v>964.37364684279089</v>
      </c>
      <c r="BR485" s="15">
        <f t="shared" si="773"/>
        <v>5.4287472936855823E-6</v>
      </c>
      <c r="BS485" s="16">
        <f t="shared" si="774"/>
        <v>26.979296938692094</v>
      </c>
      <c r="BT485" s="17">
        <f t="shared" si="775"/>
        <v>1.3586490813924141E-2</v>
      </c>
      <c r="BU485" s="18">
        <f t="shared" si="835"/>
        <v>0.439840255907468</v>
      </c>
      <c r="BV485" s="19">
        <f t="shared" si="836"/>
        <v>953.43830011517855</v>
      </c>
      <c r="BW485" s="15">
        <f t="shared" si="776"/>
        <v>5.4068766002303579E-6</v>
      </c>
      <c r="BX485" s="16">
        <f t="shared" si="777"/>
        <v>26.853540451324552</v>
      </c>
      <c r="BY485" s="17">
        <f t="shared" si="778"/>
        <v>1.353175517057062E-2</v>
      </c>
      <c r="BZ485" s="18">
        <f t="shared" si="837"/>
        <v>0.4419000500596032</v>
      </c>
      <c r="CA485" s="19">
        <f t="shared" si="838"/>
        <v>937.11383757591102</v>
      </c>
      <c r="CB485" s="15">
        <f t="shared" si="779"/>
        <v>5.3742276751518229E-6</v>
      </c>
      <c r="CC485" s="16">
        <f t="shared" si="780"/>
        <v>26.665809132122973</v>
      </c>
      <c r="CD485" s="17">
        <f t="shared" si="781"/>
        <v>1.3450044916497832E-2</v>
      </c>
      <c r="CE485" s="18">
        <f t="shared" si="839"/>
        <v>0.44501109307884529</v>
      </c>
      <c r="CF485" s="19">
        <f t="shared" si="840"/>
        <v>909.49066568434273</v>
      </c>
      <c r="CG485" s="15">
        <f t="shared" si="782"/>
        <v>5.3189813313686859E-6</v>
      </c>
      <c r="CH485" s="16">
        <f t="shared" si="783"/>
        <v>26.348142655369941</v>
      </c>
      <c r="CI485" s="17">
        <f t="shared" si="784"/>
        <v>1.3311780248480305E-2</v>
      </c>
      <c r="CJ485" s="18">
        <f t="shared" si="841"/>
        <v>0.45037637092417232</v>
      </c>
      <c r="CK485" s="19">
        <f t="shared" si="842"/>
        <v>860.60782982738931</v>
      </c>
      <c r="CL485" s="15">
        <f t="shared" si="785"/>
        <v>5.2212156596547796E-6</v>
      </c>
      <c r="CM485" s="16">
        <f t="shared" si="786"/>
        <v>25.785990043014976</v>
      </c>
      <c r="CN485" s="17">
        <f t="shared" si="787"/>
        <v>1.3067102732876824E-2</v>
      </c>
      <c r="CO485" s="18">
        <f t="shared" si="843"/>
        <v>0.4601948907109103</v>
      </c>
      <c r="CP485" s="19">
        <f t="shared" si="844"/>
        <v>777.66716897215156</v>
      </c>
      <c r="CQ485" s="15">
        <f t="shared" si="788"/>
        <v>5.0553343379443037E-6</v>
      </c>
      <c r="CR485" s="16">
        <f t="shared" si="789"/>
        <v>24.832172443179743</v>
      </c>
      <c r="CS485" s="17">
        <f t="shared" si="790"/>
        <v>1.265195261965597E-2</v>
      </c>
      <c r="CT485" s="18">
        <f t="shared" si="845"/>
        <v>0.47787123325076225</v>
      </c>
      <c r="CU485" s="19">
        <f t="shared" si="846"/>
        <v>651.70613885818591</v>
      </c>
      <c r="CV485" s="15">
        <f t="shared" si="791"/>
        <v>4.8034122777163722E-6</v>
      </c>
      <c r="CW485" s="16">
        <f t="shared" si="792"/>
        <v>33.567407317301758</v>
      </c>
      <c r="CX485" s="17">
        <f t="shared" si="793"/>
        <v>1.202146890546784E-2</v>
      </c>
      <c r="CY485" s="18">
        <f t="shared" si="847"/>
        <v>0.35351496639424601</v>
      </c>
      <c r="CZ485" s="20">
        <f t="shared" si="797"/>
        <v>491.94246294201594</v>
      </c>
      <c r="DA485" s="15">
        <f t="shared" si="794"/>
        <v>7.3355487724343176E-6</v>
      </c>
      <c r="DB485" s="16">
        <f t="shared" si="795"/>
        <v>39.228668574681535</v>
      </c>
      <c r="DC485" s="17">
        <f t="shared" si="796"/>
        <v>1.8358630567994097E-2</v>
      </c>
      <c r="DD485" s="18">
        <f t="shared" si="848"/>
        <v>0.30249767073095812</v>
      </c>
    </row>
    <row r="486" spans="2:108" x14ac:dyDescent="0.25">
      <c r="B486">
        <v>219</v>
      </c>
      <c r="C486">
        <f t="shared" si="849"/>
        <v>0.21409761192961008</v>
      </c>
      <c r="D486" s="19">
        <f t="shared" si="746"/>
        <v>1016.396508170545</v>
      </c>
      <c r="E486" s="15">
        <f t="shared" si="798"/>
        <v>5.5327930163410907E-6</v>
      </c>
      <c r="F486" s="16">
        <f t="shared" si="747"/>
        <v>27.577559843961268</v>
      </c>
      <c r="G486" s="17">
        <f t="shared" si="744"/>
        <v>1.3846885372486739E-2</v>
      </c>
      <c r="H486" s="18">
        <f t="shared" si="799"/>
        <v>0.43029843600598172</v>
      </c>
      <c r="I486" s="19">
        <f t="shared" si="800"/>
        <v>1016.0718207158995</v>
      </c>
      <c r="J486" s="15">
        <f t="shared" si="801"/>
        <v>5.5321436414317998E-6</v>
      </c>
      <c r="K486" s="16">
        <f t="shared" si="748"/>
        <v>27.573825938232844</v>
      </c>
      <c r="L486" s="17">
        <f t="shared" si="802"/>
        <v>1.3845260186092423E-2</v>
      </c>
      <c r="M486" s="18">
        <f t="shared" si="803"/>
        <v>0.43035670480766103</v>
      </c>
      <c r="N486" s="19">
        <f t="shared" si="804"/>
        <v>1015.1655039181719</v>
      </c>
      <c r="O486" s="15">
        <f t="shared" si="805"/>
        <v>5.530331007836344E-6</v>
      </c>
      <c r="P486" s="16">
        <f t="shared" si="806"/>
        <v>27.563403295058976</v>
      </c>
      <c r="Q486" s="17">
        <f t="shared" si="745"/>
        <v>1.3846885372486739E-2</v>
      </c>
      <c r="R486" s="18">
        <f t="shared" si="807"/>
        <v>0.43051943704807694</v>
      </c>
      <c r="S486" s="19">
        <f t="shared" si="808"/>
        <v>1013.6637760595727</v>
      </c>
      <c r="T486" s="15">
        <f t="shared" si="809"/>
        <v>5.5273275521191458E-6</v>
      </c>
      <c r="U486" s="16">
        <f t="shared" si="810"/>
        <v>27.546133424685085</v>
      </c>
      <c r="V486" s="17">
        <f t="shared" si="811"/>
        <v>1.3833206990453437E-2</v>
      </c>
      <c r="W486" s="18">
        <f t="shared" si="812"/>
        <v>0.43078934842753019</v>
      </c>
      <c r="X486" s="19">
        <f t="shared" si="813"/>
        <v>1011.5648515932455</v>
      </c>
      <c r="Y486" s="15">
        <f t="shared" si="814"/>
        <v>5.5231297031864916E-6</v>
      </c>
      <c r="Z486" s="16">
        <f t="shared" si="815"/>
        <v>27.521995793322322</v>
      </c>
      <c r="AA486" s="17">
        <f t="shared" si="816"/>
        <v>1.3822701061023256E-2</v>
      </c>
      <c r="AB486" s="18">
        <f t="shared" si="817"/>
        <v>0.43116716385070786</v>
      </c>
      <c r="AC486" s="19">
        <f t="shared" si="818"/>
        <v>1008.8672957293929</v>
      </c>
      <c r="AD486" s="15">
        <f t="shared" si="749"/>
        <v>5.5177345914587864E-6</v>
      </c>
      <c r="AE486" s="16">
        <f t="shared" si="750"/>
        <v>27.490973900888019</v>
      </c>
      <c r="AF486" s="17">
        <f t="shared" si="751"/>
        <v>1.3809198749723223E-2</v>
      </c>
      <c r="AG486" s="18">
        <f t="shared" si="819"/>
        <v>0.43165370977761475</v>
      </c>
      <c r="AH486" s="19">
        <f t="shared" si="820"/>
        <v>1005.5707150573655</v>
      </c>
      <c r="AI486" s="15">
        <f t="shared" si="752"/>
        <v>5.5111414301147317E-6</v>
      </c>
      <c r="AJ486" s="16">
        <f t="shared" si="753"/>
        <v>27.453063223159702</v>
      </c>
      <c r="AK486" s="17">
        <f t="shared" si="754"/>
        <v>1.3792698087380748E-2</v>
      </c>
      <c r="AL486" s="18">
        <f t="shared" si="821"/>
        <v>0.43224979206353636</v>
      </c>
      <c r="AM486" s="19">
        <f t="shared" si="822"/>
        <v>1001.6747942979247</v>
      </c>
      <c r="AN486" s="15">
        <f t="shared" si="755"/>
        <v>5.5033495885958506E-6</v>
      </c>
      <c r="AO486" s="16">
        <f t="shared" si="756"/>
        <v>27.408260134426133</v>
      </c>
      <c r="AP486" s="17">
        <f t="shared" si="757"/>
        <v>1.3773197495901206E-2</v>
      </c>
      <c r="AQ486" s="18">
        <f t="shared" si="823"/>
        <v>0.4329563719665987</v>
      </c>
      <c r="AR486" s="19">
        <f t="shared" si="824"/>
        <v>997.17873639151571</v>
      </c>
      <c r="AS486" s="15">
        <f t="shared" si="758"/>
        <v>5.4943574727830322E-6</v>
      </c>
      <c r="AT486" s="16">
        <f t="shared" si="759"/>
        <v>27.356555468502428</v>
      </c>
      <c r="AU486" s="17">
        <f t="shared" si="760"/>
        <v>1.3750692985692986E-2</v>
      </c>
      <c r="AV486" s="18">
        <f t="shared" si="825"/>
        <v>0.43377467179231494</v>
      </c>
      <c r="AW486" s="19">
        <f t="shared" si="826"/>
        <v>992.07935826699418</v>
      </c>
      <c r="AX486" s="15">
        <f t="shared" si="761"/>
        <v>5.4841587165339896E-6</v>
      </c>
      <c r="AY486" s="16">
        <f t="shared" si="762"/>
        <v>27.297912620070434</v>
      </c>
      <c r="AZ486" s="17">
        <f t="shared" si="763"/>
        <v>1.3725168624252873E-2</v>
      </c>
      <c r="BA486" s="18">
        <f t="shared" si="827"/>
        <v>0.43470652994152931</v>
      </c>
      <c r="BB486" s="19">
        <f t="shared" si="828"/>
        <v>986.36410098572412</v>
      </c>
      <c r="BC486" s="15">
        <f t="shared" si="764"/>
        <v>5.4727282019714488E-6</v>
      </c>
      <c r="BD486" s="16">
        <f t="shared" si="765"/>
        <v>27.232187161335826</v>
      </c>
      <c r="BE486" s="17">
        <f t="shared" si="766"/>
        <v>1.3696561549231528E-2</v>
      </c>
      <c r="BF486" s="18">
        <f t="shared" si="829"/>
        <v>0.43575570333058056</v>
      </c>
      <c r="BG486" s="19">
        <f t="shared" si="830"/>
        <v>979.98712617230228</v>
      </c>
      <c r="BH486" s="15">
        <f t="shared" si="767"/>
        <v>5.4599742523446048E-6</v>
      </c>
      <c r="BI486" s="16">
        <f t="shared" si="768"/>
        <v>27.158851950981475</v>
      </c>
      <c r="BJ486" s="17">
        <f t="shared" si="769"/>
        <v>1.3664642321816408E-2</v>
      </c>
      <c r="BK486" s="18">
        <f t="shared" si="831"/>
        <v>0.43693234497303779</v>
      </c>
      <c r="BL486" s="19">
        <f t="shared" si="832"/>
        <v>972.79566549874812</v>
      </c>
      <c r="BM486" s="15">
        <f t="shared" si="770"/>
        <v>5.445591330997497E-6</v>
      </c>
      <c r="BN486" s="16">
        <f t="shared" si="771"/>
        <v>27.076150153235602</v>
      </c>
      <c r="BO486" s="17">
        <f t="shared" si="772"/>
        <v>1.3628646277390622E-2</v>
      </c>
      <c r="BP486" s="18">
        <f t="shared" si="833"/>
        <v>0.43826691765852249</v>
      </c>
      <c r="BQ486" s="19">
        <f t="shared" si="834"/>
        <v>964.32958973058339</v>
      </c>
      <c r="BR486" s="15">
        <f t="shared" si="773"/>
        <v>5.4286591794611676E-6</v>
      </c>
      <c r="BS486" s="16">
        <f t="shared" si="774"/>
        <v>26.978790281901709</v>
      </c>
      <c r="BT486" s="17">
        <f t="shared" si="775"/>
        <v>1.3586270291023401E-2</v>
      </c>
      <c r="BU486" s="18">
        <f t="shared" si="835"/>
        <v>0.43984851602773328</v>
      </c>
      <c r="BV486" s="19">
        <f t="shared" si="836"/>
        <v>953.35185501910382</v>
      </c>
      <c r="BW486" s="15">
        <f t="shared" si="776"/>
        <v>5.4067037100382083E-6</v>
      </c>
      <c r="BX486" s="16">
        <f t="shared" si="777"/>
        <v>26.852546332719694</v>
      </c>
      <c r="BY486" s="17">
        <f t="shared" si="778"/>
        <v>1.3531322479402587E-2</v>
      </c>
      <c r="BZ486" s="18">
        <f t="shared" si="837"/>
        <v>0.44191640981393743</v>
      </c>
      <c r="CA486" s="19">
        <f t="shared" si="838"/>
        <v>936.94112877560769</v>
      </c>
      <c r="CB486" s="15">
        <f t="shared" si="779"/>
        <v>5.3738822575512158E-6</v>
      </c>
      <c r="CC486" s="16">
        <f t="shared" si="780"/>
        <v>26.663822980919488</v>
      </c>
      <c r="CD486" s="17">
        <f t="shared" si="781"/>
        <v>1.3449180442098172E-2</v>
      </c>
      <c r="CE486" s="18">
        <f t="shared" si="839"/>
        <v>0.44504424133814457</v>
      </c>
      <c r="CF486" s="19">
        <f t="shared" si="840"/>
        <v>909.17258615556159</v>
      </c>
      <c r="CG486" s="15">
        <f t="shared" si="782"/>
        <v>5.318345172311124E-6</v>
      </c>
      <c r="CH486" s="16">
        <f t="shared" si="783"/>
        <v>26.344484740788957</v>
      </c>
      <c r="CI486" s="17">
        <f t="shared" si="784"/>
        <v>1.3310188137312814E-2</v>
      </c>
      <c r="CJ486" s="18">
        <f t="shared" si="841"/>
        <v>0.45043890539050724</v>
      </c>
      <c r="CK486" s="19">
        <f t="shared" si="842"/>
        <v>860.10290801787448</v>
      </c>
      <c r="CL486" s="15">
        <f t="shared" si="785"/>
        <v>5.2202058160357494E-6</v>
      </c>
      <c r="CM486" s="16">
        <f t="shared" si="786"/>
        <v>25.780183442205555</v>
      </c>
      <c r="CN486" s="17">
        <f t="shared" si="787"/>
        <v>1.3064575403769166E-2</v>
      </c>
      <c r="CO486" s="18">
        <f t="shared" si="843"/>
        <v>0.46029854272839438</v>
      </c>
      <c r="CP486" s="19">
        <f t="shared" si="844"/>
        <v>777.02931467258281</v>
      </c>
      <c r="CQ486" s="15">
        <f t="shared" si="788"/>
        <v>5.0540586293451661E-6</v>
      </c>
      <c r="CR486" s="16">
        <f t="shared" si="789"/>
        <v>24.824837118734699</v>
      </c>
      <c r="CS486" s="17">
        <f t="shared" si="790"/>
        <v>1.264875991197853E-2</v>
      </c>
      <c r="CT486" s="18">
        <f t="shared" si="845"/>
        <v>0.47801243621302469</v>
      </c>
      <c r="CU486" s="19">
        <f t="shared" si="846"/>
        <v>651.18347038053116</v>
      </c>
      <c r="CV486" s="15">
        <f t="shared" si="791"/>
        <v>4.8023669407610632E-6</v>
      </c>
      <c r="CW486" s="16">
        <f t="shared" si="792"/>
        <v>33.67235914761477</v>
      </c>
      <c r="CX486" s="17">
        <f t="shared" si="793"/>
        <v>1.2018852747416557E-2</v>
      </c>
      <c r="CY486" s="18">
        <f t="shared" si="847"/>
        <v>0.35241311182553375</v>
      </c>
      <c r="CZ486" s="20">
        <f t="shared" si="797"/>
        <v>491.92614003395676</v>
      </c>
      <c r="DA486" s="15">
        <f t="shared" si="794"/>
        <v>7.3357923621845737E-6</v>
      </c>
      <c r="DB486" s="16">
        <f t="shared" si="795"/>
        <v>39.22914193901525</v>
      </c>
      <c r="DC486" s="17">
        <f t="shared" si="796"/>
        <v>1.8359240198489897E-2</v>
      </c>
      <c r="DD486" s="18">
        <f t="shared" si="848"/>
        <v>0.30249402059737684</v>
      </c>
    </row>
    <row r="487" spans="2:108" x14ac:dyDescent="0.25">
      <c r="B487">
        <v>220</v>
      </c>
      <c r="C487">
        <f t="shared" si="849"/>
        <v>0.21507522659595532</v>
      </c>
      <c r="D487" s="19">
        <f t="shared" si="746"/>
        <v>1016.3799312693229</v>
      </c>
      <c r="E487" s="15">
        <f t="shared" si="798"/>
        <v>5.5327598625386461E-6</v>
      </c>
      <c r="F487" s="16">
        <f t="shared" si="747"/>
        <v>27.577369209597215</v>
      </c>
      <c r="G487" s="17">
        <f t="shared" si="744"/>
        <v>1.3846802398679341E-2</v>
      </c>
      <c r="H487" s="18">
        <f t="shared" si="799"/>
        <v>0.43030141053441034</v>
      </c>
      <c r="I487" s="19">
        <f t="shared" si="800"/>
        <v>1016.0552442729993</v>
      </c>
      <c r="J487" s="15">
        <f t="shared" si="801"/>
        <v>5.532110488545999E-6</v>
      </c>
      <c r="K487" s="16">
        <f t="shared" si="748"/>
        <v>27.57363530913949</v>
      </c>
      <c r="L487" s="17">
        <f t="shared" si="802"/>
        <v>1.3845177214579105E-2</v>
      </c>
      <c r="M487" s="18">
        <f t="shared" si="803"/>
        <v>0.43035968005947445</v>
      </c>
      <c r="N487" s="19">
        <f t="shared" si="804"/>
        <v>1015.1489253952667</v>
      </c>
      <c r="O487" s="15">
        <f t="shared" si="805"/>
        <v>5.530297850790534E-6</v>
      </c>
      <c r="P487" s="16">
        <f t="shared" si="806"/>
        <v>27.563212642045567</v>
      </c>
      <c r="Q487" s="17">
        <f t="shared" si="745"/>
        <v>1.3846802398679341E-2</v>
      </c>
      <c r="R487" s="18">
        <f t="shared" si="807"/>
        <v>0.43052241492402593</v>
      </c>
      <c r="S487" s="19">
        <f t="shared" si="808"/>
        <v>1013.6471972092774</v>
      </c>
      <c r="T487" s="15">
        <f t="shared" si="809"/>
        <v>5.5272943944185556E-6</v>
      </c>
      <c r="U487" s="16">
        <f t="shared" si="810"/>
        <v>27.545942767906688</v>
      </c>
      <c r="V487" s="17">
        <f t="shared" si="811"/>
        <v>1.3833124006890175E-2</v>
      </c>
      <c r="W487" s="18">
        <f t="shared" si="812"/>
        <v>0.43079233009746359</v>
      </c>
      <c r="X487" s="19">
        <f t="shared" si="813"/>
        <v>1011.5482768624886</v>
      </c>
      <c r="Y487" s="15">
        <f t="shared" si="814"/>
        <v>5.5230965537249782E-6</v>
      </c>
      <c r="Z487" s="16">
        <f t="shared" si="815"/>
        <v>27.521805183918616</v>
      </c>
      <c r="AA487" s="17">
        <f t="shared" si="816"/>
        <v>1.3822618098079878E-2</v>
      </c>
      <c r="AB487" s="18">
        <f t="shared" si="817"/>
        <v>0.43117015001078896</v>
      </c>
      <c r="AC487" s="19">
        <f t="shared" si="818"/>
        <v>1008.8507301722219</v>
      </c>
      <c r="AD487" s="15">
        <f t="shared" si="749"/>
        <v>5.5177014603444446E-6</v>
      </c>
      <c r="AE487" s="16">
        <f t="shared" si="750"/>
        <v>27.490783396980554</v>
      </c>
      <c r="AF487" s="17">
        <f t="shared" si="751"/>
        <v>1.3809115832697191E-2</v>
      </c>
      <c r="AG487" s="18">
        <f t="shared" si="819"/>
        <v>0.4316567010244336</v>
      </c>
      <c r="AH487" s="19">
        <f t="shared" si="820"/>
        <v>1005.5541618602258</v>
      </c>
      <c r="AI487" s="15">
        <f t="shared" si="752"/>
        <v>5.5111083237204526E-6</v>
      </c>
      <c r="AJ487" s="16">
        <f t="shared" si="753"/>
        <v>27.452872861392596</v>
      </c>
      <c r="AK487" s="17">
        <f t="shared" si="754"/>
        <v>1.3792615232221462E-2</v>
      </c>
      <c r="AL487" s="18">
        <f t="shared" si="821"/>
        <v>0.43225278933943767</v>
      </c>
      <c r="AM487" s="19">
        <f t="shared" si="822"/>
        <v>1001.6582491705432</v>
      </c>
      <c r="AN487" s="15">
        <f t="shared" si="755"/>
        <v>5.5033164983410873E-6</v>
      </c>
      <c r="AO487" s="16">
        <f t="shared" si="756"/>
        <v>27.408069865461243</v>
      </c>
      <c r="AP487" s="17">
        <f t="shared" si="757"/>
        <v>1.3773114681134182E-2</v>
      </c>
      <c r="AQ487" s="18">
        <f t="shared" si="823"/>
        <v>0.43295937758359909</v>
      </c>
      <c r="AR487" s="19">
        <f t="shared" si="824"/>
        <v>997.16216685290783</v>
      </c>
      <c r="AS487" s="15">
        <f t="shared" si="758"/>
        <v>5.4943243337058166E-6</v>
      </c>
      <c r="AT487" s="16">
        <f t="shared" si="759"/>
        <v>27.356364918808438</v>
      </c>
      <c r="AU487" s="17">
        <f t="shared" si="760"/>
        <v>1.3750610048738324E-2</v>
      </c>
      <c r="AV487" s="18">
        <f t="shared" si="825"/>
        <v>0.43377769323289067</v>
      </c>
      <c r="AW487" s="19">
        <f t="shared" si="826"/>
        <v>992.06262800652348</v>
      </c>
      <c r="AX487" s="15">
        <f t="shared" si="761"/>
        <v>5.4841252560130476E-6</v>
      </c>
      <c r="AY487" s="16">
        <f t="shared" si="762"/>
        <v>27.297720222075021</v>
      </c>
      <c r="AZ487" s="17">
        <f t="shared" si="763"/>
        <v>1.372508488282307E-2</v>
      </c>
      <c r="BA487" s="18">
        <f t="shared" si="827"/>
        <v>0.43470959381148888</v>
      </c>
      <c r="BB487" s="19">
        <f t="shared" si="828"/>
        <v>986.34672051083078</v>
      </c>
      <c r="BC487" s="15">
        <f t="shared" si="764"/>
        <v>5.4726934410216616E-6</v>
      </c>
      <c r="BD487" s="16">
        <f t="shared" si="765"/>
        <v>27.231987285874553</v>
      </c>
      <c r="BE487" s="17">
        <f t="shared" si="766"/>
        <v>1.3696474553226848E-2</v>
      </c>
      <c r="BF487" s="18">
        <f t="shared" si="829"/>
        <v>0.43575890166022468</v>
      </c>
      <c r="BG487" s="19">
        <f t="shared" si="830"/>
        <v>979.96752332692802</v>
      </c>
      <c r="BH487" s="15">
        <f t="shared" si="767"/>
        <v>5.4599350466538564E-6</v>
      </c>
      <c r="BI487" s="16">
        <f t="shared" si="768"/>
        <v>27.158626518259673</v>
      </c>
      <c r="BJ487" s="17">
        <f t="shared" si="769"/>
        <v>1.3664544201987211E-2</v>
      </c>
      <c r="BK487" s="18">
        <f t="shared" si="831"/>
        <v>0.43693597177086957</v>
      </c>
      <c r="BL487" s="19">
        <f t="shared" si="832"/>
        <v>972.76933375199724</v>
      </c>
      <c r="BM487" s="15">
        <f t="shared" si="770"/>
        <v>5.4455386675039952E-6</v>
      </c>
      <c r="BN487" s="16">
        <f t="shared" si="771"/>
        <v>27.075847338147966</v>
      </c>
      <c r="BO487" s="17">
        <f t="shared" si="772"/>
        <v>1.3628514476805334E-2</v>
      </c>
      <c r="BP487" s="18">
        <f t="shared" si="833"/>
        <v>0.43827181921648378</v>
      </c>
      <c r="BQ487" s="19">
        <f t="shared" si="834"/>
        <v>964.2851676175211</v>
      </c>
      <c r="BR487" s="15">
        <f t="shared" si="773"/>
        <v>5.4285703352350428E-6</v>
      </c>
      <c r="BS487" s="16">
        <f t="shared" si="774"/>
        <v>26.978279427601493</v>
      </c>
      <c r="BT487" s="17">
        <f t="shared" si="775"/>
        <v>1.3586047941152091E-2</v>
      </c>
      <c r="BU487" s="18">
        <f t="shared" si="835"/>
        <v>0.43985684489490434</v>
      </c>
      <c r="BV487" s="19">
        <f t="shared" si="836"/>
        <v>953.26475281627279</v>
      </c>
      <c r="BW487" s="15">
        <f t="shared" si="776"/>
        <v>5.406529505632546E-6</v>
      </c>
      <c r="BX487" s="16">
        <f t="shared" si="777"/>
        <v>26.851544657387137</v>
      </c>
      <c r="BY487" s="17">
        <f t="shared" si="778"/>
        <v>1.3530886499160878E-2</v>
      </c>
      <c r="BZ487" s="18">
        <f t="shared" si="837"/>
        <v>0.44193289515109069</v>
      </c>
      <c r="CA487" s="19">
        <f t="shared" si="838"/>
        <v>936.76752129558463</v>
      </c>
      <c r="CB487" s="15">
        <f t="shared" si="779"/>
        <v>5.3735350425911699E-6</v>
      </c>
      <c r="CC487" s="16">
        <f t="shared" si="780"/>
        <v>26.661826494899223</v>
      </c>
      <c r="CD487" s="17">
        <f t="shared" si="781"/>
        <v>1.3448311469458645E-2</v>
      </c>
      <c r="CE487" s="18">
        <f t="shared" si="839"/>
        <v>0.44507756705971135</v>
      </c>
      <c r="CF487" s="19">
        <f t="shared" si="840"/>
        <v>908.85382984029502</v>
      </c>
      <c r="CG487" s="15">
        <f t="shared" si="782"/>
        <v>5.31770765968059E-6</v>
      </c>
      <c r="CH487" s="16">
        <f t="shared" si="783"/>
        <v>26.340819043163393</v>
      </c>
      <c r="CI487" s="17">
        <f t="shared" si="784"/>
        <v>1.3308592638566983E-2</v>
      </c>
      <c r="CJ487" s="18">
        <f t="shared" si="841"/>
        <v>0.45050159033675913</v>
      </c>
      <c r="CK487" s="19">
        <f t="shared" si="842"/>
        <v>859.59863902784559</v>
      </c>
      <c r="CL487" s="15">
        <f t="shared" si="785"/>
        <v>5.2191972780556912E-6</v>
      </c>
      <c r="CM487" s="16">
        <f t="shared" si="786"/>
        <v>25.774384348820224</v>
      </c>
      <c r="CN487" s="17">
        <f t="shared" si="787"/>
        <v>1.3062051342275734E-2</v>
      </c>
      <c r="CO487" s="18">
        <f t="shared" si="843"/>
        <v>0.460402107345042</v>
      </c>
      <c r="CP487" s="19">
        <f t="shared" si="844"/>
        <v>776.39481810077996</v>
      </c>
      <c r="CQ487" s="15">
        <f t="shared" si="788"/>
        <v>5.0527896362015602E-6</v>
      </c>
      <c r="CR487" s="16">
        <f t="shared" si="789"/>
        <v>24.817540408158969</v>
      </c>
      <c r="CS487" s="17">
        <f t="shared" si="790"/>
        <v>1.2645584011028306E-2</v>
      </c>
      <c r="CT487" s="18">
        <f t="shared" si="845"/>
        <v>0.47815297868183032</v>
      </c>
      <c r="CU487" s="19">
        <f t="shared" si="846"/>
        <v>650.66608641230846</v>
      </c>
      <c r="CV487" s="15">
        <f t="shared" si="791"/>
        <v>4.8013321728246165E-6</v>
      </c>
      <c r="CW487" s="16">
        <f t="shared" si="792"/>
        <v>33.776249848433878</v>
      </c>
      <c r="CX487" s="17">
        <f t="shared" si="793"/>
        <v>1.2016263040380564E-2</v>
      </c>
      <c r="CY487" s="18">
        <f t="shared" si="847"/>
        <v>0.35132914171844104</v>
      </c>
      <c r="CZ487" s="20">
        <f t="shared" si="797"/>
        <v>491.90964625471565</v>
      </c>
      <c r="DA487" s="15">
        <f t="shared" si="794"/>
        <v>7.3360384994263148E-6</v>
      </c>
      <c r="DB487" s="16">
        <f t="shared" si="795"/>
        <v>39.229620258613245</v>
      </c>
      <c r="DC487" s="17">
        <f t="shared" si="796"/>
        <v>1.8359856204576194E-2</v>
      </c>
      <c r="DD487" s="18">
        <f t="shared" si="848"/>
        <v>0.30249033234300743</v>
      </c>
    </row>
    <row r="488" spans="2:108" x14ac:dyDescent="0.25">
      <c r="B488">
        <v>221</v>
      </c>
      <c r="C488">
        <f t="shared" si="849"/>
        <v>0.21605284126230057</v>
      </c>
      <c r="D488" s="19">
        <f t="shared" si="746"/>
        <v>1016.3633543915005</v>
      </c>
      <c r="E488" s="15">
        <f t="shared" si="798"/>
        <v>5.532726708783001E-6</v>
      </c>
      <c r="F488" s="16">
        <f t="shared" si="747"/>
        <v>27.577178575502252</v>
      </c>
      <c r="G488" s="17">
        <f t="shared" si="744"/>
        <v>1.3846719424989067E-2</v>
      </c>
      <c r="H488" s="18">
        <f t="shared" si="799"/>
        <v>0.4303043850997646</v>
      </c>
      <c r="I488" s="19">
        <f t="shared" si="800"/>
        <v>1016.0386678830545</v>
      </c>
      <c r="J488" s="15">
        <f t="shared" si="801"/>
        <v>5.5320773357661095E-6</v>
      </c>
      <c r="K488" s="16">
        <f t="shared" si="748"/>
        <v>27.573444680655125</v>
      </c>
      <c r="L488" s="17">
        <f t="shared" si="802"/>
        <v>1.3845094243330847E-2</v>
      </c>
      <c r="M488" s="18">
        <f t="shared" si="803"/>
        <v>0.43036265534292167</v>
      </c>
      <c r="N488" s="19">
        <f t="shared" si="804"/>
        <v>1015.1323469876456</v>
      </c>
      <c r="O488" s="15">
        <f t="shared" si="805"/>
        <v>5.5302646939752915E-6</v>
      </c>
      <c r="P488" s="16">
        <f t="shared" si="806"/>
        <v>27.563021990357925</v>
      </c>
      <c r="Q488" s="17">
        <f t="shared" si="745"/>
        <v>1.3846719424989067E-2</v>
      </c>
      <c r="R488" s="18">
        <f t="shared" si="807"/>
        <v>0.43052539282046276</v>
      </c>
      <c r="S488" s="19">
        <f t="shared" si="808"/>
        <v>1013.6306185286537</v>
      </c>
      <c r="T488" s="15">
        <f t="shared" si="809"/>
        <v>5.527261237057308E-6</v>
      </c>
      <c r="U488" s="16">
        <f t="shared" si="810"/>
        <v>27.545752113079516</v>
      </c>
      <c r="V488" s="17">
        <f t="shared" si="811"/>
        <v>1.3833041024176183E-2</v>
      </c>
      <c r="W488" s="18">
        <f t="shared" si="812"/>
        <v>0.43079531177815633</v>
      </c>
      <c r="X488" s="19">
        <f t="shared" si="813"/>
        <v>1011.5317023240593</v>
      </c>
      <c r="Y488" s="15">
        <f t="shared" si="814"/>
        <v>5.5230634046481195E-6</v>
      </c>
      <c r="Z488" s="16">
        <f t="shared" si="815"/>
        <v>27.521614576726684</v>
      </c>
      <c r="AA488" s="17">
        <f t="shared" si="816"/>
        <v>1.3822535136099174E-2</v>
      </c>
      <c r="AB488" s="18">
        <f t="shared" si="817"/>
        <v>0.43117313617758196</v>
      </c>
      <c r="AC488" s="19">
        <f t="shared" si="818"/>
        <v>1008.8341647882854</v>
      </c>
      <c r="AD488" s="15">
        <f t="shared" si="749"/>
        <v>5.5176683295765714E-6</v>
      </c>
      <c r="AE488" s="16">
        <f t="shared" si="750"/>
        <v>27.490592895065284</v>
      </c>
      <c r="AF488" s="17">
        <f t="shared" si="751"/>
        <v>1.3809032916538268E-2</v>
      </c>
      <c r="AG488" s="18">
        <f t="shared" si="819"/>
        <v>0.43165969228142825</v>
      </c>
      <c r="AH488" s="19">
        <f t="shared" si="820"/>
        <v>1005.537608726744</v>
      </c>
      <c r="AI488" s="15">
        <f t="shared" si="752"/>
        <v>5.5110752174534886E-6</v>
      </c>
      <c r="AJ488" s="16">
        <f t="shared" si="753"/>
        <v>27.452682500357554</v>
      </c>
      <c r="AK488" s="17">
        <f t="shared" si="754"/>
        <v>1.3792532377380803E-2</v>
      </c>
      <c r="AL488" s="18">
        <f t="shared" si="821"/>
        <v>0.4322557866453795</v>
      </c>
      <c r="AM488" s="19">
        <f t="shared" si="822"/>
        <v>1001.641703678457</v>
      </c>
      <c r="AN488" s="15">
        <f t="shared" si="755"/>
        <v>5.5032834073569151E-6</v>
      </c>
      <c r="AO488" s="16">
        <f t="shared" si="756"/>
        <v>27.407879592302255</v>
      </c>
      <c r="AP488" s="17">
        <f t="shared" si="757"/>
        <v>1.3773031864541667E-2</v>
      </c>
      <c r="AQ488" s="18">
        <f t="shared" si="823"/>
        <v>0.43296238330858444</v>
      </c>
      <c r="AR488" s="19">
        <f t="shared" si="824"/>
        <v>997.14559537715525</v>
      </c>
      <c r="AS488" s="15">
        <f t="shared" si="758"/>
        <v>5.4942911907543104E-6</v>
      </c>
      <c r="AT488" s="16">
        <f t="shared" si="759"/>
        <v>27.356174346837285</v>
      </c>
      <c r="AU488" s="17">
        <f t="shared" si="760"/>
        <v>1.3750527102087498E-2</v>
      </c>
      <c r="AV488" s="18">
        <f t="shared" si="825"/>
        <v>0.43378071506880211</v>
      </c>
      <c r="AW488" s="19">
        <f t="shared" si="826"/>
        <v>992.04589049670358</v>
      </c>
      <c r="AX488" s="15">
        <f t="shared" si="761"/>
        <v>5.4840917809934078E-6</v>
      </c>
      <c r="AY488" s="16">
        <f t="shared" si="762"/>
        <v>27.297527740712091</v>
      </c>
      <c r="AZ488" s="17">
        <f t="shared" si="763"/>
        <v>1.3725001105107472E-2</v>
      </c>
      <c r="BA488" s="18">
        <f t="shared" si="827"/>
        <v>0.43471265905226419</v>
      </c>
      <c r="BB488" s="19">
        <f t="shared" si="828"/>
        <v>986.32931659287237</v>
      </c>
      <c r="BC488" s="15">
        <f t="shared" si="764"/>
        <v>5.4726586331857453E-6</v>
      </c>
      <c r="BD488" s="16">
        <f t="shared" si="765"/>
        <v>27.231787140818032</v>
      </c>
      <c r="BE488" s="17">
        <f t="shared" si="766"/>
        <v>1.3696387439880556E-2</v>
      </c>
      <c r="BF488" s="18">
        <f t="shared" si="829"/>
        <v>0.43576210435087265</v>
      </c>
      <c r="BG488" s="19">
        <f t="shared" si="830"/>
        <v>979.9478533103088</v>
      </c>
      <c r="BH488" s="15">
        <f t="shared" si="767"/>
        <v>5.459895706620618E-6</v>
      </c>
      <c r="BI488" s="16">
        <f t="shared" si="768"/>
        <v>27.158400313068551</v>
      </c>
      <c r="BJ488" s="17">
        <f t="shared" si="769"/>
        <v>1.3664445745939932E-2</v>
      </c>
      <c r="BK488" s="18">
        <f t="shared" si="831"/>
        <v>0.43693961105683132</v>
      </c>
      <c r="BL488" s="19">
        <f t="shared" si="832"/>
        <v>972.74283281595376</v>
      </c>
      <c r="BM488" s="15">
        <f t="shared" si="770"/>
        <v>5.4454856656319075E-6</v>
      </c>
      <c r="BN488" s="16">
        <f t="shared" si="771"/>
        <v>27.075542577383466</v>
      </c>
      <c r="BO488" s="17">
        <f t="shared" si="772"/>
        <v>1.3628381829362142E-2</v>
      </c>
      <c r="BP488" s="18">
        <f t="shared" si="833"/>
        <v>0.43827675237910835</v>
      </c>
      <c r="BQ488" s="19">
        <f t="shared" si="834"/>
        <v>964.24037896472169</v>
      </c>
      <c r="BR488" s="15">
        <f t="shared" si="773"/>
        <v>5.4284807579294435E-6</v>
      </c>
      <c r="BS488" s="16">
        <f t="shared" si="774"/>
        <v>26.977764358094298</v>
      </c>
      <c r="BT488" s="17">
        <f t="shared" si="775"/>
        <v>1.3585823756607515E-2</v>
      </c>
      <c r="BU488" s="18">
        <f t="shared" si="835"/>
        <v>0.43986524280532158</v>
      </c>
      <c r="BV488" s="19">
        <f t="shared" si="836"/>
        <v>953.17699396767784</v>
      </c>
      <c r="BW488" s="15">
        <f t="shared" si="776"/>
        <v>5.4063539879353561E-6</v>
      </c>
      <c r="BX488" s="16">
        <f t="shared" si="777"/>
        <v>26.850535430628295</v>
      </c>
      <c r="BY488" s="17">
        <f t="shared" si="778"/>
        <v>1.353044723215294E-2</v>
      </c>
      <c r="BZ488" s="18">
        <f t="shared" si="837"/>
        <v>0.44194950601177729</v>
      </c>
      <c r="CA488" s="19">
        <f t="shared" si="838"/>
        <v>936.59302149853295</v>
      </c>
      <c r="CB488" s="15">
        <f t="shared" si="779"/>
        <v>5.3731860429970667E-6</v>
      </c>
      <c r="CC488" s="16">
        <f t="shared" si="780"/>
        <v>26.659819747233129</v>
      </c>
      <c r="CD488" s="17">
        <f t="shared" si="781"/>
        <v>1.3447438030426979E-2</v>
      </c>
      <c r="CE488" s="18">
        <f t="shared" si="839"/>
        <v>0.44511106910051268</v>
      </c>
      <c r="CF488" s="19">
        <f t="shared" si="840"/>
        <v>908.53441248264528</v>
      </c>
      <c r="CG488" s="15">
        <f t="shared" si="782"/>
        <v>5.3170688249652913E-6</v>
      </c>
      <c r="CH488" s="16">
        <f t="shared" si="783"/>
        <v>26.337145743550419</v>
      </c>
      <c r="CI488" s="17">
        <f t="shared" si="784"/>
        <v>1.3306993831048143E-2</v>
      </c>
      <c r="CJ488" s="18">
        <f t="shared" si="841"/>
        <v>0.45056442278388692</v>
      </c>
      <c r="CK488" s="19">
        <f t="shared" si="842"/>
        <v>859.0950427206883</v>
      </c>
      <c r="CL488" s="15">
        <f t="shared" si="785"/>
        <v>5.2181900854413768E-6</v>
      </c>
      <c r="CM488" s="16">
        <f t="shared" si="786"/>
        <v>25.768592991287914</v>
      </c>
      <c r="CN488" s="17">
        <f t="shared" si="787"/>
        <v>1.3059530647820469E-2</v>
      </c>
      <c r="CO488" s="18">
        <f t="shared" si="843"/>
        <v>0.46050558032911859</v>
      </c>
      <c r="CP488" s="19">
        <f t="shared" si="844"/>
        <v>775.76366936222303</v>
      </c>
      <c r="CQ488" s="15">
        <f t="shared" si="788"/>
        <v>5.0515273387244466E-6</v>
      </c>
      <c r="CR488" s="16">
        <f t="shared" si="789"/>
        <v>24.810282197665565</v>
      </c>
      <c r="CS488" s="17">
        <f t="shared" si="790"/>
        <v>1.26424248672794E-2</v>
      </c>
      <c r="CT488" s="18">
        <f t="shared" si="845"/>
        <v>0.47829286161180551</v>
      </c>
      <c r="CU488" s="19">
        <f t="shared" si="846"/>
        <v>650.15388918389874</v>
      </c>
      <c r="CV488" s="15">
        <f t="shared" si="791"/>
        <v>4.8003077783677983E-6</v>
      </c>
      <c r="CW488" s="16">
        <f t="shared" si="792"/>
        <v>33.879099051898493</v>
      </c>
      <c r="CX488" s="17">
        <f t="shared" si="793"/>
        <v>1.2013699294985088E-2</v>
      </c>
      <c r="CY488" s="18">
        <f t="shared" si="847"/>
        <v>0.35026258672167754</v>
      </c>
      <c r="CZ488" s="20">
        <f t="shared" si="797"/>
        <v>491.89292280582453</v>
      </c>
      <c r="DA488" s="15">
        <f t="shared" si="794"/>
        <v>7.3362880615218131E-6</v>
      </c>
      <c r="DB488" s="16">
        <f t="shared" si="795"/>
        <v>39.230105238631083</v>
      </c>
      <c r="DC488" s="17">
        <f t="shared" si="796"/>
        <v>1.8360480782021883E-2</v>
      </c>
      <c r="DD488" s="18">
        <f t="shared" si="848"/>
        <v>0.30248659282291485</v>
      </c>
    </row>
    <row r="489" spans="2:108" x14ac:dyDescent="0.25">
      <c r="B489">
        <v>222</v>
      </c>
      <c r="C489">
        <f t="shared" si="849"/>
        <v>0.21703045592864584</v>
      </c>
      <c r="D489" s="19">
        <f t="shared" si="746"/>
        <v>1016.3467775385866</v>
      </c>
      <c r="E489" s="15">
        <f t="shared" si="798"/>
        <v>5.532693555077174E-6</v>
      </c>
      <c r="F489" s="16">
        <f t="shared" si="747"/>
        <v>27.576987941693744</v>
      </c>
      <c r="G489" s="17">
        <f t="shared" si="744"/>
        <v>1.3846636451423474E-2</v>
      </c>
      <c r="H489" s="18">
        <f t="shared" si="799"/>
        <v>0.43030735970177414</v>
      </c>
      <c r="I489" s="19">
        <f t="shared" si="800"/>
        <v>1016.0220915471555</v>
      </c>
      <c r="J489" s="15">
        <f t="shared" si="801"/>
        <v>5.5320441830943116E-6</v>
      </c>
      <c r="K489" s="16">
        <f t="shared" si="748"/>
        <v>27.573254052792286</v>
      </c>
      <c r="L489" s="17">
        <f t="shared" si="802"/>
        <v>1.3845011272353111E-2</v>
      </c>
      <c r="M489" s="18">
        <f t="shared" si="803"/>
        <v>0.43036563065780747</v>
      </c>
      <c r="N489" s="19">
        <f t="shared" si="804"/>
        <v>1015.1157686956021</v>
      </c>
      <c r="O489" s="15">
        <f t="shared" si="805"/>
        <v>5.5302315373912042E-6</v>
      </c>
      <c r="P489" s="16">
        <f t="shared" si="806"/>
        <v>27.562831339999423</v>
      </c>
      <c r="Q489" s="17">
        <f t="shared" si="745"/>
        <v>1.3846636451423474E-2</v>
      </c>
      <c r="R489" s="18">
        <f t="shared" si="807"/>
        <v>0.43052837073733469</v>
      </c>
      <c r="S489" s="19">
        <f t="shared" si="808"/>
        <v>1013.6140400174392</v>
      </c>
      <c r="T489" s="15">
        <f t="shared" si="809"/>
        <v>5.5272280800348787E-6</v>
      </c>
      <c r="U489" s="16">
        <f t="shared" si="810"/>
        <v>27.545561460200549</v>
      </c>
      <c r="V489" s="17">
        <f t="shared" si="811"/>
        <v>1.383295804231015E-2</v>
      </c>
      <c r="W489" s="18">
        <f t="shared" si="812"/>
        <v>0.43079829346965515</v>
      </c>
      <c r="X489" s="19">
        <f t="shared" si="813"/>
        <v>1011.5151279773841</v>
      </c>
      <c r="Y489" s="15">
        <f t="shared" si="814"/>
        <v>5.5230302559547684E-6</v>
      </c>
      <c r="Z489" s="16">
        <f t="shared" si="815"/>
        <v>27.521423971739914</v>
      </c>
      <c r="AA489" s="17">
        <f t="shared" si="816"/>
        <v>1.382245217507827E-2</v>
      </c>
      <c r="AB489" s="18">
        <f t="shared" si="817"/>
        <v>0.43117612235118985</v>
      </c>
      <c r="AC489" s="19">
        <f t="shared" si="818"/>
        <v>1008.8175995761528</v>
      </c>
      <c r="AD489" s="15">
        <f t="shared" si="749"/>
        <v>5.5176351991523056E-6</v>
      </c>
      <c r="AE489" s="16">
        <f t="shared" si="750"/>
        <v>27.490402395125756</v>
      </c>
      <c r="AF489" s="17">
        <f t="shared" si="751"/>
        <v>1.3808950001239285E-2</v>
      </c>
      <c r="AG489" s="18">
        <f t="shared" si="819"/>
        <v>0.43166268354885662</v>
      </c>
      <c r="AH489" s="19">
        <f t="shared" si="820"/>
        <v>1005.5210556518985</v>
      </c>
      <c r="AI489" s="15">
        <f t="shared" si="752"/>
        <v>5.5110421113037971E-6</v>
      </c>
      <c r="AJ489" s="16">
        <f t="shared" si="753"/>
        <v>27.452492139996831</v>
      </c>
      <c r="AK489" s="17">
        <f t="shared" si="754"/>
        <v>1.3792449522833643E-2</v>
      </c>
      <c r="AL489" s="18">
        <f t="shared" si="821"/>
        <v>0.43225878398227158</v>
      </c>
      <c r="AM489" s="19">
        <f t="shared" si="822"/>
        <v>1001.6251578039207</v>
      </c>
      <c r="AN489" s="15">
        <f t="shared" si="755"/>
        <v>5.5032503156078425E-6</v>
      </c>
      <c r="AO489" s="16">
        <f t="shared" si="756"/>
        <v>27.407689314745088</v>
      </c>
      <c r="AP489" s="17">
        <f t="shared" si="757"/>
        <v>1.3772949046034842E-2</v>
      </c>
      <c r="AQ489" s="18">
        <f t="shared" si="823"/>
        <v>0.43296538914478228</v>
      </c>
      <c r="AR489" s="19">
        <f t="shared" si="824"/>
        <v>997.12902190685077</v>
      </c>
      <c r="AS489" s="15">
        <f t="shared" si="758"/>
        <v>5.4942580438137018E-6</v>
      </c>
      <c r="AT489" s="16">
        <f t="shared" si="759"/>
        <v>27.355983751928783</v>
      </c>
      <c r="AU489" s="17">
        <f t="shared" si="760"/>
        <v>1.3750444145453173E-2</v>
      </c>
      <c r="AV489" s="18">
        <f t="shared" si="825"/>
        <v>0.43378373731053355</v>
      </c>
      <c r="AW489" s="19">
        <f t="shared" si="826"/>
        <v>992.02914557158113</v>
      </c>
      <c r="AX489" s="15">
        <f t="shared" si="761"/>
        <v>5.4840582911431623E-6</v>
      </c>
      <c r="AY489" s="16">
        <f t="shared" si="762"/>
        <v>27.297335174073183</v>
      </c>
      <c r="AZ489" s="17">
        <f t="shared" si="763"/>
        <v>1.3724917290275409E-2</v>
      </c>
      <c r="BA489" s="18">
        <f t="shared" si="827"/>
        <v>0.43471572569430489</v>
      </c>
      <c r="BB489" s="19">
        <f t="shared" si="828"/>
        <v>986.31188881315416</v>
      </c>
      <c r="BC489" s="15">
        <f t="shared" si="764"/>
        <v>5.472623777626309E-6</v>
      </c>
      <c r="BD489" s="16">
        <f t="shared" si="765"/>
        <v>27.23158672135127</v>
      </c>
      <c r="BE489" s="17">
        <f t="shared" si="766"/>
        <v>1.3696300207096918E-2</v>
      </c>
      <c r="BF489" s="18">
        <f t="shared" si="829"/>
        <v>0.4357653114797661</v>
      </c>
      <c r="BG489" s="19">
        <f t="shared" si="830"/>
        <v>979.92811523438172</v>
      </c>
      <c r="BH489" s="15">
        <f t="shared" si="767"/>
        <v>5.459856230468764E-6</v>
      </c>
      <c r="BI489" s="16">
        <f t="shared" si="768"/>
        <v>27.158173325195389</v>
      </c>
      <c r="BJ489" s="17">
        <f t="shared" si="769"/>
        <v>1.3664346949229472E-2</v>
      </c>
      <c r="BK489" s="18">
        <f t="shared" si="831"/>
        <v>0.43694326299585634</v>
      </c>
      <c r="BL489" s="19">
        <f t="shared" si="832"/>
        <v>972.7161612206238</v>
      </c>
      <c r="BM489" s="15">
        <f t="shared" si="770"/>
        <v>5.445432322441248E-6</v>
      </c>
      <c r="BN489" s="16">
        <f t="shared" si="771"/>
        <v>27.075235854037174</v>
      </c>
      <c r="BO489" s="17">
        <f t="shared" si="772"/>
        <v>1.3628248327703162E-2</v>
      </c>
      <c r="BP489" s="18">
        <f t="shared" si="833"/>
        <v>0.43828171742217636</v>
      </c>
      <c r="BQ489" s="19">
        <f t="shared" si="834"/>
        <v>964.19522226255629</v>
      </c>
      <c r="BR489" s="15">
        <f t="shared" si="773"/>
        <v>5.4283904445251139E-6</v>
      </c>
      <c r="BS489" s="16">
        <f t="shared" si="774"/>
        <v>26.977245056019399</v>
      </c>
      <c r="BT489" s="17">
        <f t="shared" si="775"/>
        <v>1.3585597729833395E-2</v>
      </c>
      <c r="BU489" s="18">
        <f t="shared" si="835"/>
        <v>0.43987371004994907</v>
      </c>
      <c r="BV489" s="19">
        <f t="shared" si="836"/>
        <v>953.08857899144846</v>
      </c>
      <c r="BW489" s="15">
        <f t="shared" si="776"/>
        <v>5.4061771579828971E-6</v>
      </c>
      <c r="BX489" s="16">
        <f t="shared" si="777"/>
        <v>26.849518658401657</v>
      </c>
      <c r="BY489" s="17">
        <f t="shared" si="778"/>
        <v>1.3530004680972209E-2</v>
      </c>
      <c r="BZ489" s="18">
        <f t="shared" si="837"/>
        <v>0.44196624232608545</v>
      </c>
      <c r="CA489" s="19">
        <f t="shared" si="838"/>
        <v>936.41763580112763</v>
      </c>
      <c r="CB489" s="15">
        <f t="shared" si="779"/>
        <v>5.372835271602255E-6</v>
      </c>
      <c r="CC489" s="16">
        <f t="shared" si="780"/>
        <v>26.657802811712969</v>
      </c>
      <c r="CD489" s="17">
        <f t="shared" si="781"/>
        <v>1.3446560157121118E-2</v>
      </c>
      <c r="CE489" s="18">
        <f t="shared" si="839"/>
        <v>0.44514474630684608</v>
      </c>
      <c r="CF489" s="19">
        <f t="shared" si="840"/>
        <v>908.21434975851537</v>
      </c>
      <c r="CG489" s="15">
        <f t="shared" si="782"/>
        <v>5.3164286995170311E-6</v>
      </c>
      <c r="CH489" s="16">
        <f t="shared" si="783"/>
        <v>26.333465022222924</v>
      </c>
      <c r="CI489" s="17">
        <f t="shared" si="784"/>
        <v>1.3305391793220253E-2</v>
      </c>
      <c r="CJ489" s="18">
        <f t="shared" si="841"/>
        <v>0.45062739976313942</v>
      </c>
      <c r="CK489" s="19">
        <f t="shared" si="842"/>
        <v>858.59213848841796</v>
      </c>
      <c r="CL489" s="15">
        <f t="shared" si="785"/>
        <v>5.2171842769768364E-6</v>
      </c>
      <c r="CM489" s="16">
        <f t="shared" si="786"/>
        <v>25.762809592616804</v>
      </c>
      <c r="CN489" s="17">
        <f t="shared" si="787"/>
        <v>1.3057013417467908E-2</v>
      </c>
      <c r="CO489" s="18">
        <f t="shared" si="843"/>
        <v>0.4606089575384924</v>
      </c>
      <c r="CP489" s="19">
        <f t="shared" si="844"/>
        <v>775.13585776362947</v>
      </c>
      <c r="CQ489" s="15">
        <f t="shared" si="788"/>
        <v>5.05027171552726E-6</v>
      </c>
      <c r="CR489" s="16">
        <f t="shared" si="789"/>
        <v>24.803062364281736</v>
      </c>
      <c r="CS489" s="17">
        <f t="shared" si="790"/>
        <v>1.2639282427207788E-2</v>
      </c>
      <c r="CT489" s="18">
        <f t="shared" si="845"/>
        <v>0.47843208614459892</v>
      </c>
      <c r="CU489" s="19">
        <f t="shared" si="846"/>
        <v>649.64678260576443</v>
      </c>
      <c r="CV489" s="15">
        <f t="shared" si="791"/>
        <v>4.7762582332422751E-6</v>
      </c>
      <c r="CW489" s="16">
        <f t="shared" si="792"/>
        <v>34.65524330443283</v>
      </c>
      <c r="CX489" s="17">
        <f t="shared" si="793"/>
        <v>1.1953510653618962E-2</v>
      </c>
      <c r="CY489" s="18">
        <f t="shared" si="847"/>
        <v>0.34241805101394335</v>
      </c>
      <c r="CZ489" s="20">
        <f t="shared" si="797"/>
        <v>491.94994621161862</v>
      </c>
      <c r="DA489" s="15">
        <f t="shared" si="794"/>
        <v>7.3354370974230924E-6</v>
      </c>
      <c r="DB489" s="16">
        <f t="shared" si="795"/>
        <v>39.228451559863061</v>
      </c>
      <c r="DC489" s="17">
        <f t="shared" si="796"/>
        <v>1.835835107966427E-2</v>
      </c>
      <c r="DD489" s="18">
        <f t="shared" si="848"/>
        <v>0.30249934417139462</v>
      </c>
    </row>
    <row r="490" spans="2:108" x14ac:dyDescent="0.25">
      <c r="B490">
        <v>223</v>
      </c>
      <c r="C490">
        <f t="shared" si="849"/>
        <v>0.21800807059499108</v>
      </c>
      <c r="D490" s="19">
        <f t="shared" si="746"/>
        <v>1016.3302007120689</v>
      </c>
      <c r="E490" s="15">
        <f t="shared" si="798"/>
        <v>5.5326604014241384E-6</v>
      </c>
      <c r="F490" s="16">
        <f t="shared" si="747"/>
        <v>27.576797308188791</v>
      </c>
      <c r="G490" s="17">
        <f t="shared" si="744"/>
        <v>1.3846553477989999E-2</v>
      </c>
      <c r="H490" s="18">
        <f t="shared" si="799"/>
        <v>0.43031033434017291</v>
      </c>
      <c r="I490" s="19">
        <f t="shared" si="800"/>
        <v>1016.0055152663789</v>
      </c>
      <c r="J490" s="15">
        <f t="shared" si="801"/>
        <v>5.5320110305327584E-6</v>
      </c>
      <c r="K490" s="16">
        <f t="shared" si="748"/>
        <v>27.573063425563355</v>
      </c>
      <c r="L490" s="17">
        <f t="shared" si="802"/>
        <v>1.3844928301651285E-2</v>
      </c>
      <c r="M490" s="18">
        <f t="shared" si="803"/>
        <v>0.43036860600393911</v>
      </c>
      <c r="N490" s="19">
        <f t="shared" si="804"/>
        <v>1015.0991905194285</v>
      </c>
      <c r="O490" s="15">
        <f t="shared" si="805"/>
        <v>5.5301983810388576E-6</v>
      </c>
      <c r="P490" s="16">
        <f t="shared" si="806"/>
        <v>27.562640690973424</v>
      </c>
      <c r="Q490" s="17">
        <f t="shared" si="745"/>
        <v>1.3846553477989999E-2</v>
      </c>
      <c r="R490" s="18">
        <f t="shared" si="807"/>
        <v>0.43053134867458914</v>
      </c>
      <c r="S490" s="19">
        <f t="shared" si="808"/>
        <v>1013.5974616753725</v>
      </c>
      <c r="T490" s="15">
        <f t="shared" si="809"/>
        <v>5.5271949233507459E-6</v>
      </c>
      <c r="U490" s="16">
        <f t="shared" si="810"/>
        <v>27.545370809266785</v>
      </c>
      <c r="V490" s="17">
        <f t="shared" si="811"/>
        <v>1.3832875061290769E-2</v>
      </c>
      <c r="W490" s="18">
        <f t="shared" si="812"/>
        <v>0.43080127517200661</v>
      </c>
      <c r="X490" s="19">
        <f t="shared" si="813"/>
        <v>1011.4985538218799</v>
      </c>
      <c r="Y490" s="15">
        <f t="shared" si="814"/>
        <v>5.5229971076437604E-6</v>
      </c>
      <c r="Z490" s="16">
        <f t="shared" si="815"/>
        <v>27.52123336895162</v>
      </c>
      <c r="AA490" s="17">
        <f t="shared" si="816"/>
        <v>1.3822369215014256E-2</v>
      </c>
      <c r="AB490" s="18">
        <f t="shared" si="817"/>
        <v>0.43117910853171687</v>
      </c>
      <c r="AC490" s="19">
        <f t="shared" si="818"/>
        <v>1008.8010345343496</v>
      </c>
      <c r="AD490" s="15">
        <f t="shared" si="749"/>
        <v>5.5176020690687004E-6</v>
      </c>
      <c r="AE490" s="16">
        <f t="shared" si="750"/>
        <v>27.49021189714502</v>
      </c>
      <c r="AF490" s="17">
        <f t="shared" si="751"/>
        <v>1.3808867086792874E-2</v>
      </c>
      <c r="AG490" s="18">
        <f t="shared" si="819"/>
        <v>0.43166567482698431</v>
      </c>
      <c r="AH490" s="19">
        <f t="shared" si="820"/>
        <v>1005.5045026305227</v>
      </c>
      <c r="AI490" s="15">
        <f t="shared" si="752"/>
        <v>5.511009005261046E-6</v>
      </c>
      <c r="AJ490" s="16">
        <f t="shared" si="753"/>
        <v>27.452301780251009</v>
      </c>
      <c r="AK490" s="17">
        <f t="shared" si="754"/>
        <v>1.379236666855412E-2</v>
      </c>
      <c r="AL490" s="18">
        <f t="shared" si="821"/>
        <v>0.43226178135104987</v>
      </c>
      <c r="AM490" s="19">
        <f t="shared" si="822"/>
        <v>1001.6086115287659</v>
      </c>
      <c r="AN490" s="15">
        <f t="shared" si="755"/>
        <v>5.5032172230575326E-6</v>
      </c>
      <c r="AO490" s="16">
        <f t="shared" si="756"/>
        <v>27.407499032580809</v>
      </c>
      <c r="AP490" s="17">
        <f t="shared" si="757"/>
        <v>1.3772866225522767E-2</v>
      </c>
      <c r="AQ490" s="18">
        <f t="shared" si="823"/>
        <v>0.43296839509549695</v>
      </c>
      <c r="AR490" s="19">
        <f t="shared" si="824"/>
        <v>997.11244638351207</v>
      </c>
      <c r="AS490" s="15">
        <f t="shared" si="758"/>
        <v>5.4942248927670247E-6</v>
      </c>
      <c r="AT490" s="16">
        <f t="shared" si="759"/>
        <v>27.355793133410387</v>
      </c>
      <c r="AU490" s="17">
        <f t="shared" si="760"/>
        <v>1.3750361178542617E-2</v>
      </c>
      <c r="AV490" s="18">
        <f t="shared" si="825"/>
        <v>0.43378675996876565</v>
      </c>
      <c r="AW490" s="19">
        <f t="shared" si="826"/>
        <v>992.01239306294735</v>
      </c>
      <c r="AX490" s="15">
        <f t="shared" si="761"/>
        <v>5.4840247861258948E-6</v>
      </c>
      <c r="AY490" s="16">
        <f t="shared" si="762"/>
        <v>27.297142520223893</v>
      </c>
      <c r="AZ490" s="17">
        <f t="shared" si="763"/>
        <v>1.3724833437484941E-2</v>
      </c>
      <c r="BA490" s="18">
        <f t="shared" si="827"/>
        <v>0.43471879376847566</v>
      </c>
      <c r="BB490" s="19">
        <f t="shared" si="828"/>
        <v>986.29443674952165</v>
      </c>
      <c r="BC490" s="15">
        <f t="shared" si="764"/>
        <v>5.4725888734990435E-6</v>
      </c>
      <c r="BD490" s="16">
        <f t="shared" si="765"/>
        <v>27.231386022619496</v>
      </c>
      <c r="BE490" s="17">
        <f t="shared" si="766"/>
        <v>1.3696212852762887E-2</v>
      </c>
      <c r="BF490" s="18">
        <f t="shared" si="829"/>
        <v>0.4357685231247882</v>
      </c>
      <c r="BG490" s="19">
        <f t="shared" si="830"/>
        <v>979.90830820890938</v>
      </c>
      <c r="BH490" s="15">
        <f t="shared" si="767"/>
        <v>5.4598166164178193E-6</v>
      </c>
      <c r="BI490" s="16">
        <f t="shared" si="768"/>
        <v>27.157945544402459</v>
      </c>
      <c r="BJ490" s="17">
        <f t="shared" si="769"/>
        <v>1.3664247807399849E-2</v>
      </c>
      <c r="BK490" s="18">
        <f t="shared" si="831"/>
        <v>0.43694692775329341</v>
      </c>
      <c r="BL490" s="19">
        <f t="shared" si="832"/>
        <v>972.68931750312299</v>
      </c>
      <c r="BM490" s="15">
        <f t="shared" si="770"/>
        <v>5.445378635006247E-6</v>
      </c>
      <c r="BN490" s="16">
        <f t="shared" si="771"/>
        <v>27.074927151285912</v>
      </c>
      <c r="BO490" s="17">
        <f t="shared" si="772"/>
        <v>1.3628113964506094E-2</v>
      </c>
      <c r="BP490" s="18">
        <f t="shared" si="833"/>
        <v>0.4382867146201832</v>
      </c>
      <c r="BQ490" s="19">
        <f t="shared" si="834"/>
        <v>964.14969603075087</v>
      </c>
      <c r="BR490" s="15">
        <f t="shared" si="773"/>
        <v>5.4282993920615027E-6</v>
      </c>
      <c r="BS490" s="16">
        <f t="shared" si="774"/>
        <v>26.976721504353634</v>
      </c>
      <c r="BT490" s="17">
        <f t="shared" si="775"/>
        <v>1.3585369853420381E-2</v>
      </c>
      <c r="BU490" s="18">
        <f t="shared" si="835"/>
        <v>0.43988224691435585</v>
      </c>
      <c r="BV490" s="19">
        <f t="shared" si="836"/>
        <v>952.99950846243792</v>
      </c>
      <c r="BW490" s="15">
        <f t="shared" si="776"/>
        <v>5.4059990169248764E-6</v>
      </c>
      <c r="BX490" s="16">
        <f t="shared" si="777"/>
        <v>26.848494347318034</v>
      </c>
      <c r="BY490" s="17">
        <f t="shared" si="778"/>
        <v>1.3529558848496052E-2</v>
      </c>
      <c r="BZ490" s="18">
        <f t="shared" si="837"/>
        <v>0.44198310401355084</v>
      </c>
      <c r="CA490" s="19">
        <f t="shared" si="838"/>
        <v>936.24137067234028</v>
      </c>
      <c r="CB490" s="15">
        <f t="shared" si="779"/>
        <v>5.3724827413446804E-6</v>
      </c>
      <c r="CC490" s="16">
        <f t="shared" si="780"/>
        <v>26.655775762731913</v>
      </c>
      <c r="CD490" s="17">
        <f t="shared" si="781"/>
        <v>1.3445677881920772E-2</v>
      </c>
      <c r="CE490" s="18">
        <f t="shared" si="839"/>
        <v>0.44517859751464645</v>
      </c>
      <c r="CF490" s="19">
        <f t="shared" si="840"/>
        <v>907.89365727158383</v>
      </c>
      <c r="CG490" s="15">
        <f t="shared" si="782"/>
        <v>5.3157873145431679E-6</v>
      </c>
      <c r="CH490" s="16">
        <f t="shared" si="783"/>
        <v>26.329777058623215</v>
      </c>
      <c r="CI490" s="17">
        <f t="shared" si="784"/>
        <v>1.3303786603185763E-2</v>
      </c>
      <c r="CJ490" s="18">
        <f t="shared" si="841"/>
        <v>0.45069051831684603</v>
      </c>
      <c r="CK490" s="19">
        <f t="shared" si="842"/>
        <v>858.08994525262324</v>
      </c>
      <c r="CL490" s="15">
        <f t="shared" si="785"/>
        <v>5.2161798905052473E-6</v>
      </c>
      <c r="CM490" s="16">
        <f t="shared" si="786"/>
        <v>25.757034370405165</v>
      </c>
      <c r="CN490" s="17">
        <f t="shared" si="787"/>
        <v>1.3054499745927929E-2</v>
      </c>
      <c r="CO490" s="18">
        <f t="shared" si="843"/>
        <v>0.46071223492067087</v>
      </c>
      <c r="CP490" s="19">
        <f t="shared" si="844"/>
        <v>774.51137185117989</v>
      </c>
      <c r="CQ490" s="15">
        <f t="shared" si="788"/>
        <v>5.04902274370236E-6</v>
      </c>
      <c r="CR490" s="16">
        <f t="shared" si="789"/>
        <v>24.79588077628857</v>
      </c>
      <c r="CS490" s="17">
        <f t="shared" si="790"/>
        <v>1.2636156633482672E-2</v>
      </c>
      <c r="CT490" s="18">
        <f t="shared" si="845"/>
        <v>0.47857065360087925</v>
      </c>
      <c r="CU490" s="19">
        <f t="shared" si="846"/>
        <v>649.14563235484354</v>
      </c>
      <c r="CV490" s="15">
        <f t="shared" si="791"/>
        <v>4.7853958295541704E-6</v>
      </c>
      <c r="CW490" s="16">
        <f t="shared" si="792"/>
        <v>34.669776661709534</v>
      </c>
      <c r="CX490" s="17">
        <f t="shared" si="793"/>
        <v>1.1976379256933269E-2</v>
      </c>
      <c r="CY490" s="18">
        <f t="shared" si="847"/>
        <v>0.34227451147165161</v>
      </c>
      <c r="CZ490" s="20">
        <f t="shared" si="797"/>
        <v>491.99467555192933</v>
      </c>
      <c r="DA490" s="15">
        <f t="shared" si="794"/>
        <v>7.3347695778754964E-6</v>
      </c>
      <c r="DB490" s="16">
        <f t="shared" si="795"/>
        <v>39.227154408994046</v>
      </c>
      <c r="DC490" s="17">
        <f t="shared" si="796"/>
        <v>1.8356680482800779E-2</v>
      </c>
      <c r="DD490" s="18">
        <f t="shared" si="848"/>
        <v>0.30250934712198024</v>
      </c>
    </row>
    <row r="491" spans="2:108" x14ac:dyDescent="0.25">
      <c r="B491">
        <v>224</v>
      </c>
      <c r="C491">
        <f t="shared" si="849"/>
        <v>0.21898568526133633</v>
      </c>
      <c r="D491" s="19">
        <f t="shared" si="746"/>
        <v>1016.3136239134139</v>
      </c>
      <c r="E491" s="15">
        <f t="shared" si="798"/>
        <v>5.5326272478268283E-6</v>
      </c>
      <c r="F491" s="16">
        <f t="shared" si="747"/>
        <v>27.57660667500426</v>
      </c>
      <c r="G491" s="17">
        <f t="shared" si="744"/>
        <v>1.3846470504695991E-2</v>
      </c>
      <c r="H491" s="18">
        <f t="shared" si="799"/>
        <v>0.43031330901469822</v>
      </c>
      <c r="I491" s="19">
        <f t="shared" si="800"/>
        <v>1015.9889390417879</v>
      </c>
      <c r="J491" s="15">
        <f t="shared" si="801"/>
        <v>5.531977878083576E-6</v>
      </c>
      <c r="K491" s="16">
        <f t="shared" si="748"/>
        <v>27.572872798980562</v>
      </c>
      <c r="L491" s="17">
        <f t="shared" si="802"/>
        <v>1.3844845331230687E-2</v>
      </c>
      <c r="M491" s="18">
        <f t="shared" si="803"/>
        <v>0.43037158138112602</v>
      </c>
      <c r="N491" s="19">
        <f t="shared" si="804"/>
        <v>1015.0826124594153</v>
      </c>
      <c r="O491" s="15">
        <f t="shared" si="805"/>
        <v>5.5301652249188309E-6</v>
      </c>
      <c r="P491" s="16">
        <f t="shared" si="806"/>
        <v>27.562450043283274</v>
      </c>
      <c r="Q491" s="17">
        <f t="shared" si="745"/>
        <v>1.3846470504695991E-2</v>
      </c>
      <c r="R491" s="18">
        <f t="shared" si="807"/>
        <v>0.43053432663217395</v>
      </c>
      <c r="S491" s="19">
        <f t="shared" si="808"/>
        <v>1013.5808835021938</v>
      </c>
      <c r="T491" s="15">
        <f t="shared" si="809"/>
        <v>5.5271617670043886E-6</v>
      </c>
      <c r="U491" s="16">
        <f t="shared" si="810"/>
        <v>27.54518016027523</v>
      </c>
      <c r="V491" s="17">
        <f t="shared" si="811"/>
        <v>1.3832792081116737E-2</v>
      </c>
      <c r="W491" s="18">
        <f t="shared" si="812"/>
        <v>0.43080425688525714</v>
      </c>
      <c r="X491" s="19">
        <f t="shared" si="813"/>
        <v>1011.4819798569538</v>
      </c>
      <c r="Y491" s="15">
        <f t="shared" si="814"/>
        <v>5.5229639597139087E-6</v>
      </c>
      <c r="Z491" s="16">
        <f t="shared" si="815"/>
        <v>27.521042768354967</v>
      </c>
      <c r="AA491" s="17">
        <f t="shared" si="816"/>
        <v>1.3822286255904159E-2</v>
      </c>
      <c r="AB491" s="18">
        <f t="shared" si="817"/>
        <v>0.43118209471926949</v>
      </c>
      <c r="AC491" s="19">
        <f t="shared" si="818"/>
        <v>1008.7844696613563</v>
      </c>
      <c r="AD491" s="15">
        <f t="shared" si="749"/>
        <v>5.5175689393227132E-6</v>
      </c>
      <c r="AE491" s="16">
        <f t="shared" si="750"/>
        <v>27.490021401105597</v>
      </c>
      <c r="AF491" s="17">
        <f t="shared" si="751"/>
        <v>1.3808784173191415E-2</v>
      </c>
      <c r="AG491" s="18">
        <f t="shared" si="819"/>
        <v>0.43166866611608556</v>
      </c>
      <c r="AH491" s="19">
        <f t="shared" si="820"/>
        <v>1005.4879496573024</v>
      </c>
      <c r="AI491" s="15">
        <f t="shared" si="752"/>
        <v>5.5109758993146052E-6</v>
      </c>
      <c r="AJ491" s="16">
        <f t="shared" si="753"/>
        <v>27.452111421058977</v>
      </c>
      <c r="AK491" s="17">
        <f t="shared" si="754"/>
        <v>1.3792283814515634E-2</v>
      </c>
      <c r="AL491" s="18">
        <f t="shared" si="821"/>
        <v>0.4322647787526771</v>
      </c>
      <c r="AM491" s="19">
        <f t="shared" si="822"/>
        <v>1001.5920648343954</v>
      </c>
      <c r="AN491" s="15">
        <f t="shared" si="755"/>
        <v>5.5031841296687906E-6</v>
      </c>
      <c r="AO491" s="16">
        <f t="shared" si="756"/>
        <v>27.407308745595547</v>
      </c>
      <c r="AP491" s="17">
        <f t="shared" si="757"/>
        <v>1.3772783402912351E-2</v>
      </c>
      <c r="AQ491" s="18">
        <f t="shared" si="823"/>
        <v>0.43297140116411104</v>
      </c>
      <c r="AR491" s="19">
        <f t="shared" si="824"/>
        <v>997.09586874757292</v>
      </c>
      <c r="AS491" s="15">
        <f t="shared" si="758"/>
        <v>5.4941917374951465E-6</v>
      </c>
      <c r="AT491" s="16">
        <f t="shared" si="759"/>
        <v>27.355602490597086</v>
      </c>
      <c r="AU491" s="17">
        <f t="shared" si="760"/>
        <v>1.3750278201057675E-2</v>
      </c>
      <c r="AV491" s="18">
        <f t="shared" si="825"/>
        <v>0.43378978305437749</v>
      </c>
      <c r="AW491" s="19">
        <f t="shared" si="826"/>
        <v>991.99563280033601</v>
      </c>
      <c r="AX491" s="15">
        <f t="shared" si="761"/>
        <v>5.4839912656006729E-6</v>
      </c>
      <c r="AY491" s="16">
        <f t="shared" si="762"/>
        <v>27.296949777203864</v>
      </c>
      <c r="AZ491" s="17">
        <f t="shared" si="763"/>
        <v>1.3724749545882816E-2</v>
      </c>
      <c r="BA491" s="18">
        <f t="shared" si="827"/>
        <v>0.43472186330605617</v>
      </c>
      <c r="BB491" s="19">
        <f t="shared" si="828"/>
        <v>986.27695997639478</v>
      </c>
      <c r="BC491" s="15">
        <f t="shared" si="764"/>
        <v>5.4725539199527894E-6</v>
      </c>
      <c r="BD491" s="16">
        <f t="shared" si="765"/>
        <v>27.231185039728537</v>
      </c>
      <c r="BE491" s="17">
        <f t="shared" si="766"/>
        <v>1.3696125374748272E-2</v>
      </c>
      <c r="BF491" s="18">
        <f t="shared" si="829"/>
        <v>0.43577173936445751</v>
      </c>
      <c r="BG491" s="19">
        <f t="shared" si="830"/>
        <v>979.88843134159629</v>
      </c>
      <c r="BH491" s="15">
        <f t="shared" si="767"/>
        <v>5.459776862683193E-6</v>
      </c>
      <c r="BI491" s="16">
        <f t="shared" si="768"/>
        <v>27.157716960428356</v>
      </c>
      <c r="BJ491" s="17">
        <f t="shared" si="769"/>
        <v>1.3664148315984777E-2</v>
      </c>
      <c r="BK491" s="18">
        <f t="shared" si="831"/>
        <v>0.43695060549488574</v>
      </c>
      <c r="BL491" s="19">
        <f t="shared" si="832"/>
        <v>972.66230020787202</v>
      </c>
      <c r="BM491" s="15">
        <f t="shared" si="770"/>
        <v>5.4453246004157446E-6</v>
      </c>
      <c r="BN491" s="16">
        <f t="shared" si="771"/>
        <v>27.074616452390529</v>
      </c>
      <c r="BO491" s="17">
        <f t="shared" si="772"/>
        <v>1.3627978732485191E-2</v>
      </c>
      <c r="BP491" s="18">
        <f t="shared" si="833"/>
        <v>0.43829174424630302</v>
      </c>
      <c r="BQ491" s="19">
        <f t="shared" si="834"/>
        <v>964.1037988184828</v>
      </c>
      <c r="BR491" s="15">
        <f t="shared" si="773"/>
        <v>5.4282075976369666E-6</v>
      </c>
      <c r="BS491" s="16">
        <f t="shared" si="774"/>
        <v>26.97619368641255</v>
      </c>
      <c r="BT491" s="17">
        <f t="shared" si="775"/>
        <v>1.3585140120106552E-2</v>
      </c>
      <c r="BU491" s="18">
        <f t="shared" si="835"/>
        <v>0.43989085367869718</v>
      </c>
      <c r="BV491" s="19">
        <f t="shared" si="836"/>
        <v>952.90978301179871</v>
      </c>
      <c r="BW491" s="15">
        <f t="shared" si="776"/>
        <v>5.4058195660235984E-6</v>
      </c>
      <c r="BX491" s="16">
        <f t="shared" si="777"/>
        <v>26.847462504635686</v>
      </c>
      <c r="BY491" s="17">
        <f t="shared" si="778"/>
        <v>1.3529109737883628E-2</v>
      </c>
      <c r="BZ491" s="18">
        <f t="shared" si="837"/>
        <v>0.44200009098323256</v>
      </c>
      <c r="CA491" s="19">
        <f t="shared" si="838"/>
        <v>936.06423263173542</v>
      </c>
      <c r="CB491" s="15">
        <f t="shared" si="779"/>
        <v>5.3721284652634722E-6</v>
      </c>
      <c r="CC491" s="16">
        <f t="shared" si="780"/>
        <v>26.653738675264954</v>
      </c>
      <c r="CD491" s="17">
        <f t="shared" si="781"/>
        <v>1.3444791237458885E-2</v>
      </c>
      <c r="CE491" s="18">
        <f t="shared" si="839"/>
        <v>0.44521262154979607</v>
      </c>
      <c r="CF491" s="19">
        <f t="shared" si="840"/>
        <v>907.57235054938099</v>
      </c>
      <c r="CG491" s="15">
        <f t="shared" si="782"/>
        <v>5.3151447010987628E-6</v>
      </c>
      <c r="CH491" s="16">
        <f t="shared" si="783"/>
        <v>26.326082031317881</v>
      </c>
      <c r="CI491" s="17">
        <f t="shared" si="784"/>
        <v>1.3302178338665979E-2</v>
      </c>
      <c r="CJ491" s="18">
        <f t="shared" si="841"/>
        <v>0.45075377549918916</v>
      </c>
      <c r="CK491" s="19">
        <f t="shared" si="842"/>
        <v>857.5884814658591</v>
      </c>
      <c r="CL491" s="15">
        <f t="shared" si="785"/>
        <v>5.2151769629317182E-6</v>
      </c>
      <c r="CM491" s="16">
        <f t="shared" si="786"/>
        <v>25.751267536857377</v>
      </c>
      <c r="CN491" s="17">
        <f t="shared" si="787"/>
        <v>1.3051989725562709E-2</v>
      </c>
      <c r="CO491" s="18">
        <f t="shared" si="843"/>
        <v>0.46081540851274416</v>
      </c>
      <c r="CP491" s="19">
        <f t="shared" si="844"/>
        <v>773.89021232683911</v>
      </c>
      <c r="CQ491" s="15">
        <f t="shared" si="788"/>
        <v>5.0477804246536785E-6</v>
      </c>
      <c r="CR491" s="16">
        <f t="shared" si="789"/>
        <v>24.788737441758649</v>
      </c>
      <c r="CS491" s="17">
        <f t="shared" si="790"/>
        <v>1.2633047489617657E-2</v>
      </c>
      <c r="CT491" s="18">
        <f t="shared" si="845"/>
        <v>0.4787085626122965</v>
      </c>
      <c r="CU491" s="19">
        <f t="shared" si="846"/>
        <v>648.6501659098534</v>
      </c>
      <c r="CV491" s="15">
        <f t="shared" si="791"/>
        <v>4.7944209266359338E-6</v>
      </c>
      <c r="CW491" s="16">
        <f t="shared" si="792"/>
        <v>34.684145188614252</v>
      </c>
      <c r="CX491" s="17">
        <f t="shared" si="793"/>
        <v>1.1998966309150412E-2</v>
      </c>
      <c r="CY491" s="18">
        <f t="shared" si="847"/>
        <v>0.34213271813927637</v>
      </c>
      <c r="CZ491" s="20">
        <f t="shared" si="797"/>
        <v>492.02758039024883</v>
      </c>
      <c r="DA491" s="15">
        <f t="shared" si="794"/>
        <v>7.3342785100359011E-6</v>
      </c>
      <c r="DB491" s="16">
        <f t="shared" si="795"/>
        <v>39.22620016868278</v>
      </c>
      <c r="DC491" s="17">
        <f t="shared" si="796"/>
        <v>1.8355451490488051E-2</v>
      </c>
      <c r="DD491" s="18">
        <f t="shared" si="848"/>
        <v>0.30251670614763959</v>
      </c>
    </row>
    <row r="492" spans="2:108" x14ac:dyDescent="0.25">
      <c r="B492">
        <v>225</v>
      </c>
      <c r="C492">
        <f t="shared" si="849"/>
        <v>0.21996329992768157</v>
      </c>
      <c r="D492" s="19">
        <f t="shared" si="746"/>
        <v>1016.2970471440678</v>
      </c>
      <c r="E492" s="15">
        <f t="shared" si="798"/>
        <v>5.5325940942881362E-6</v>
      </c>
      <c r="F492" s="16">
        <f t="shared" si="747"/>
        <v>27.576416042156779</v>
      </c>
      <c r="G492" s="17">
        <f t="shared" si="744"/>
        <v>1.3846387531548683E-2</v>
      </c>
      <c r="H492" s="18">
        <f t="shared" si="799"/>
        <v>0.4303162837250914</v>
      </c>
      <c r="I492" s="19">
        <f t="shared" si="800"/>
        <v>1015.9723628744325</v>
      </c>
      <c r="J492" s="15">
        <f t="shared" si="801"/>
        <v>5.5319447257488659E-6</v>
      </c>
      <c r="K492" s="16">
        <f t="shared" si="748"/>
        <v>27.572682173055973</v>
      </c>
      <c r="L492" s="17">
        <f t="shared" si="802"/>
        <v>1.384476236109658E-2</v>
      </c>
      <c r="M492" s="18">
        <f t="shared" si="803"/>
        <v>0.43037455678918035</v>
      </c>
      <c r="N492" s="19">
        <f t="shared" si="804"/>
        <v>1015.0660345158517</v>
      </c>
      <c r="O492" s="15">
        <f t="shared" si="805"/>
        <v>5.5301320690317044E-6</v>
      </c>
      <c r="P492" s="16">
        <f t="shared" si="806"/>
        <v>27.562259396932294</v>
      </c>
      <c r="Q492" s="17">
        <f t="shared" si="745"/>
        <v>1.3846387531548683E-2</v>
      </c>
      <c r="R492" s="18">
        <f t="shared" si="807"/>
        <v>0.43053730461003714</v>
      </c>
      <c r="S492" s="19">
        <f t="shared" si="808"/>
        <v>1013.5643054976441</v>
      </c>
      <c r="T492" s="15">
        <f t="shared" si="809"/>
        <v>5.5271286109952885E-6</v>
      </c>
      <c r="U492" s="16">
        <f t="shared" si="810"/>
        <v>27.544989513222909</v>
      </c>
      <c r="V492" s="17">
        <f t="shared" si="811"/>
        <v>1.3832709101786756E-2</v>
      </c>
      <c r="W492" s="18">
        <f t="shared" si="812"/>
        <v>0.43080723860945286</v>
      </c>
      <c r="X492" s="19">
        <f t="shared" si="813"/>
        <v>1011.4654060820022</v>
      </c>
      <c r="Y492" s="15">
        <f t="shared" si="814"/>
        <v>5.5229308121640047E-6</v>
      </c>
      <c r="Z492" s="16">
        <f t="shared" si="815"/>
        <v>27.520852169943026</v>
      </c>
      <c r="AA492" s="17">
        <f t="shared" si="816"/>
        <v>1.3822203297744952E-2</v>
      </c>
      <c r="AB492" s="18">
        <f t="shared" si="817"/>
        <v>0.43118508091395574</v>
      </c>
      <c r="AC492" s="19">
        <f t="shared" si="818"/>
        <v>1008.7679049556073</v>
      </c>
      <c r="AD492" s="15">
        <f t="shared" si="749"/>
        <v>5.5175358099112151E-6</v>
      </c>
      <c r="AE492" s="16">
        <f t="shared" si="750"/>
        <v>27.489830906989482</v>
      </c>
      <c r="AF492" s="17">
        <f t="shared" si="751"/>
        <v>1.3808701260427082E-2</v>
      </c>
      <c r="AG492" s="18">
        <f t="shared" si="819"/>
        <v>0.43167165741644259</v>
      </c>
      <c r="AH492" s="19">
        <f t="shared" si="820"/>
        <v>1005.4713967267728</v>
      </c>
      <c r="AI492" s="15">
        <f t="shared" si="752"/>
        <v>5.5109427934535469E-6</v>
      </c>
      <c r="AJ492" s="16">
        <f t="shared" si="753"/>
        <v>27.451921062357886</v>
      </c>
      <c r="AK492" s="17">
        <f t="shared" si="754"/>
        <v>1.3792200960690833E-2</v>
      </c>
      <c r="AL492" s="18">
        <f t="shared" si="821"/>
        <v>0.43226777618814338</v>
      </c>
      <c r="AM492" s="19">
        <f t="shared" si="822"/>
        <v>1001.575517701777</v>
      </c>
      <c r="AN492" s="15">
        <f t="shared" si="755"/>
        <v>5.5031510354035541E-6</v>
      </c>
      <c r="AO492" s="16">
        <f t="shared" si="756"/>
        <v>27.407118453570433</v>
      </c>
      <c r="AP492" s="17">
        <f t="shared" si="757"/>
        <v>1.377270057810834E-2</v>
      </c>
      <c r="AQ492" s="18">
        <f t="shared" si="823"/>
        <v>0.43297440735408621</v>
      </c>
      <c r="AR492" s="19">
        <f t="shared" si="824"/>
        <v>997.07928893837425</v>
      </c>
      <c r="AS492" s="15">
        <f t="shared" si="758"/>
        <v>5.4941585778767492E-6</v>
      </c>
      <c r="AT492" s="16">
        <f t="shared" si="759"/>
        <v>27.355411822791304</v>
      </c>
      <c r="AU492" s="17">
        <f t="shared" si="760"/>
        <v>1.375019521269473E-2</v>
      </c>
      <c r="AV492" s="18">
        <f t="shared" si="825"/>
        <v>0.43379280657844804</v>
      </c>
      <c r="AW492" s="19">
        <f t="shared" si="826"/>
        <v>991.97886461102166</v>
      </c>
      <c r="AX492" s="15">
        <f t="shared" si="761"/>
        <v>5.4839577292220444E-6</v>
      </c>
      <c r="AY492" s="16">
        <f t="shared" si="762"/>
        <v>27.29675694302675</v>
      </c>
      <c r="AZ492" s="17">
        <f t="shared" si="763"/>
        <v>1.3724665614604472E-2</v>
      </c>
      <c r="BA492" s="18">
        <f t="shared" si="827"/>
        <v>0.43472493433874182</v>
      </c>
      <c r="BB492" s="19">
        <f t="shared" si="828"/>
        <v>986.25945806480331</v>
      </c>
      <c r="BC492" s="15">
        <f t="shared" si="764"/>
        <v>5.4725189161296063E-6</v>
      </c>
      <c r="BD492" s="16">
        <f t="shared" si="765"/>
        <v>27.230983767745236</v>
      </c>
      <c r="BE492" s="17">
        <f t="shared" si="766"/>
        <v>1.3696037770905911E-2</v>
      </c>
      <c r="BF492" s="18">
        <f t="shared" si="829"/>
        <v>0.43577496027792123</v>
      </c>
      <c r="BG492" s="19">
        <f t="shared" si="830"/>
        <v>979.86848373820544</v>
      </c>
      <c r="BH492" s="15">
        <f t="shared" si="767"/>
        <v>5.4597369674764115E-6</v>
      </c>
      <c r="BI492" s="16">
        <f t="shared" si="768"/>
        <v>27.15748756298936</v>
      </c>
      <c r="BJ492" s="17">
        <f t="shared" si="769"/>
        <v>1.3664048470508254E-2</v>
      </c>
      <c r="BK492" s="18">
        <f t="shared" si="831"/>
        <v>0.43695429638674887</v>
      </c>
      <c r="BL492" s="19">
        <f t="shared" si="832"/>
        <v>972.63510788678946</v>
      </c>
      <c r="BM492" s="15">
        <f t="shared" si="770"/>
        <v>5.4452702157735793E-6</v>
      </c>
      <c r="BN492" s="16">
        <f t="shared" si="771"/>
        <v>27.074303740698078</v>
      </c>
      <c r="BO492" s="17">
        <f t="shared" si="772"/>
        <v>1.3627842624392251E-2</v>
      </c>
      <c r="BP492" s="18">
        <f t="shared" si="833"/>
        <v>0.43829680657235376</v>
      </c>
      <c r="BQ492" s="19">
        <f t="shared" si="834"/>
        <v>964.05752920447026</v>
      </c>
      <c r="BR492" s="15">
        <f t="shared" si="773"/>
        <v>5.4281150584089407E-6</v>
      </c>
      <c r="BS492" s="16">
        <f t="shared" si="774"/>
        <v>26.975661585851405</v>
      </c>
      <c r="BT492" s="17">
        <f t="shared" si="775"/>
        <v>1.3584908522777835E-2</v>
      </c>
      <c r="BU492" s="18">
        <f t="shared" si="835"/>
        <v>0.43989953061769793</v>
      </c>
      <c r="BV492" s="19">
        <f t="shared" si="836"/>
        <v>952.81940332654654</v>
      </c>
      <c r="BW492" s="15">
        <f t="shared" si="776"/>
        <v>5.4056388066530928E-6</v>
      </c>
      <c r="BX492" s="16">
        <f t="shared" si="777"/>
        <v>26.846423138255282</v>
      </c>
      <c r="BY492" s="17">
        <f t="shared" si="778"/>
        <v>1.3528657352573713E-2</v>
      </c>
      <c r="BZ492" s="18">
        <f t="shared" si="837"/>
        <v>0.44201720313379123</v>
      </c>
      <c r="CA492" s="19">
        <f t="shared" si="838"/>
        <v>935.88622824775302</v>
      </c>
      <c r="CB492" s="15">
        <f t="shared" si="779"/>
        <v>5.3717724564955067E-6</v>
      </c>
      <c r="CC492" s="16">
        <f t="shared" si="780"/>
        <v>26.651691624849157</v>
      </c>
      <c r="CD492" s="17">
        <f t="shared" si="781"/>
        <v>1.3443900256613035E-2</v>
      </c>
      <c r="CE492" s="18">
        <f t="shared" si="839"/>
        <v>0.44524681722843779</v>
      </c>
      <c r="CF492" s="19">
        <f t="shared" si="840"/>
        <v>907.2504450394697</v>
      </c>
      <c r="CG492" s="15">
        <f t="shared" si="782"/>
        <v>5.3145008900789394E-6</v>
      </c>
      <c r="CH492" s="16">
        <f t="shared" si="783"/>
        <v>26.322380117953898</v>
      </c>
      <c r="CI492" s="17">
        <f t="shared" si="784"/>
        <v>1.3300567076981924E-2</v>
      </c>
      <c r="CJ492" s="18">
        <f t="shared" si="841"/>
        <v>0.4508171683769574</v>
      </c>
      <c r="CK492" s="19">
        <f t="shared" si="842"/>
        <v>857.08776528980127</v>
      </c>
      <c r="CL492" s="15">
        <f t="shared" si="785"/>
        <v>5.2141755305796026E-6</v>
      </c>
      <c r="CM492" s="16">
        <f t="shared" si="786"/>
        <v>25.745509300832715</v>
      </c>
      <c r="CN492" s="17">
        <f t="shared" si="787"/>
        <v>1.3049483447278472E-2</v>
      </c>
      <c r="CO492" s="18">
        <f t="shared" si="843"/>
        <v>0.46091847440493572</v>
      </c>
      <c r="CP492" s="19">
        <f t="shared" si="844"/>
        <v>773.27237645048115</v>
      </c>
      <c r="CQ492" s="15">
        <f t="shared" si="788"/>
        <v>5.0465447529009623E-6</v>
      </c>
      <c r="CR492" s="16">
        <f t="shared" si="789"/>
        <v>24.781632329180532</v>
      </c>
      <c r="CS492" s="17">
        <f t="shared" si="790"/>
        <v>1.2629954981897354E-2</v>
      </c>
      <c r="CT492" s="18">
        <f t="shared" si="845"/>
        <v>0.47884581257970338</v>
      </c>
      <c r="CU492" s="19">
        <f t="shared" si="846"/>
        <v>648.16012394975814</v>
      </c>
      <c r="CV492" s="15">
        <f t="shared" si="791"/>
        <v>4.8033385717796664E-6</v>
      </c>
      <c r="CW492" s="16">
        <f t="shared" si="792"/>
        <v>34.698356405457005</v>
      </c>
      <c r="CX492" s="17">
        <f t="shared" si="793"/>
        <v>1.2021284442095758E-2</v>
      </c>
      <c r="CY492" s="18">
        <f t="shared" si="847"/>
        <v>0.34199259270538945</v>
      </c>
      <c r="CZ492" s="20">
        <f t="shared" si="797"/>
        <v>492.04911319778034</v>
      </c>
      <c r="DA492" s="15">
        <f t="shared" si="794"/>
        <v>7.3339571516991898E-6</v>
      </c>
      <c r="DB492" s="16">
        <f t="shared" si="795"/>
        <v>39.225575717264363</v>
      </c>
      <c r="DC492" s="17">
        <f t="shared" si="796"/>
        <v>1.8354647229052862E-2</v>
      </c>
      <c r="DD492" s="18">
        <f t="shared" si="848"/>
        <v>0.302521522061308</v>
      </c>
    </row>
    <row r="493" spans="2:108" x14ac:dyDescent="0.25">
      <c r="B493">
        <v>226</v>
      </c>
      <c r="C493">
        <f t="shared" si="849"/>
        <v>0.22094091459402682</v>
      </c>
      <c r="D493" s="19">
        <f t="shared" si="746"/>
        <v>1016.2804704054564</v>
      </c>
      <c r="E493" s="15">
        <f t="shared" si="798"/>
        <v>5.5325609408109133E-6</v>
      </c>
      <c r="F493" s="16">
        <f t="shared" si="747"/>
        <v>27.576225409662747</v>
      </c>
      <c r="G493" s="17">
        <f t="shared" si="744"/>
        <v>1.3846304558555214E-2</v>
      </c>
      <c r="H493" s="18">
        <f t="shared" si="799"/>
        <v>0.43031925847109709</v>
      </c>
      <c r="I493" s="19">
        <f t="shared" si="800"/>
        <v>1015.9557867653494</v>
      </c>
      <c r="J493" s="15">
        <f t="shared" si="801"/>
        <v>5.5319115735306999E-6</v>
      </c>
      <c r="K493" s="16">
        <f t="shared" si="748"/>
        <v>27.572491547801519</v>
      </c>
      <c r="L493" s="17">
        <f t="shared" si="802"/>
        <v>1.3844679391254142E-2</v>
      </c>
      <c r="M493" s="18">
        <f t="shared" si="803"/>
        <v>0.4303775322279163</v>
      </c>
      <c r="N493" s="19">
        <f t="shared" si="804"/>
        <v>1015.0494566890255</v>
      </c>
      <c r="O493" s="15">
        <f t="shared" si="805"/>
        <v>5.5300989133780515E-6</v>
      </c>
      <c r="P493" s="16">
        <f t="shared" si="806"/>
        <v>27.562068751923793</v>
      </c>
      <c r="Q493" s="17">
        <f t="shared" si="745"/>
        <v>1.3846304558555214E-2</v>
      </c>
      <c r="R493" s="18">
        <f t="shared" si="807"/>
        <v>0.4305402826081271</v>
      </c>
      <c r="S493" s="19">
        <f t="shared" si="808"/>
        <v>1013.547727661465</v>
      </c>
      <c r="T493" s="15">
        <f t="shared" si="809"/>
        <v>5.5270954553229306E-6</v>
      </c>
      <c r="U493" s="16">
        <f t="shared" si="810"/>
        <v>27.544798868106845</v>
      </c>
      <c r="V493" s="17">
        <f t="shared" si="811"/>
        <v>1.3832626123299538E-2</v>
      </c>
      <c r="W493" s="18">
        <f t="shared" si="812"/>
        <v>0.43081022034463995</v>
      </c>
      <c r="X493" s="19">
        <f t="shared" si="813"/>
        <v>1011.4488324964111</v>
      </c>
      <c r="Y493" s="15">
        <f t="shared" si="814"/>
        <v>5.5228976649928227E-6</v>
      </c>
      <c r="Z493" s="16">
        <f t="shared" si="815"/>
        <v>27.520661573708729</v>
      </c>
      <c r="AA493" s="17">
        <f t="shared" si="816"/>
        <v>1.3822120340533572E-2</v>
      </c>
      <c r="AB493" s="18">
        <f t="shared" si="817"/>
        <v>0.43118806711588581</v>
      </c>
      <c r="AC493" s="19">
        <f t="shared" si="818"/>
        <v>1008.7513404154895</v>
      </c>
      <c r="AD493" s="15">
        <f t="shared" si="749"/>
        <v>5.5175026808309796E-6</v>
      </c>
      <c r="AE493" s="16">
        <f t="shared" si="750"/>
        <v>27.48964041477813</v>
      </c>
      <c r="AF493" s="17">
        <f t="shared" si="751"/>
        <v>1.3808618348491798E-2</v>
      </c>
      <c r="AG493" s="18">
        <f t="shared" si="819"/>
        <v>0.43167464872834621</v>
      </c>
      <c r="AH493" s="19">
        <f t="shared" si="820"/>
        <v>1005.4548438333159</v>
      </c>
      <c r="AI493" s="15">
        <f t="shared" si="752"/>
        <v>5.510909687666632E-6</v>
      </c>
      <c r="AJ493" s="16">
        <f t="shared" si="753"/>
        <v>27.451730704083133</v>
      </c>
      <c r="AK493" s="17">
        <f t="shared" si="754"/>
        <v>1.3792118107051592E-2</v>
      </c>
      <c r="AL493" s="18">
        <f t="shared" si="821"/>
        <v>0.43227077365846661</v>
      </c>
      <c r="AM493" s="19">
        <f t="shared" si="822"/>
        <v>1001.5589701114376</v>
      </c>
      <c r="AN493" s="15">
        <f t="shared" si="755"/>
        <v>5.5031179402228757E-6</v>
      </c>
      <c r="AO493" s="16">
        <f t="shared" si="756"/>
        <v>27.406928156281531</v>
      </c>
      <c r="AP493" s="17">
        <f t="shared" si="757"/>
        <v>1.3772617751013258E-2</v>
      </c>
      <c r="AQ493" s="18">
        <f t="shared" si="823"/>
        <v>0.43297741366896447</v>
      </c>
      <c r="AR493" s="19">
        <f t="shared" si="824"/>
        <v>997.06270689415589</v>
      </c>
      <c r="AS493" s="15">
        <f t="shared" si="758"/>
        <v>5.4941254137883126E-6</v>
      </c>
      <c r="AT493" s="16">
        <f t="shared" si="759"/>
        <v>27.355221129282793</v>
      </c>
      <c r="AU493" s="17">
        <f t="shared" si="760"/>
        <v>1.3750112213144646E-2</v>
      </c>
      <c r="AV493" s="18">
        <f t="shared" si="825"/>
        <v>0.43379583055225773</v>
      </c>
      <c r="AW493" s="19">
        <f t="shared" si="826"/>
        <v>991.96208832001878</v>
      </c>
      <c r="AX493" s="15">
        <f t="shared" si="761"/>
        <v>5.4839241766400382E-6</v>
      </c>
      <c r="AY493" s="16">
        <f t="shared" si="762"/>
        <v>27.296564015680215</v>
      </c>
      <c r="AZ493" s="17">
        <f t="shared" si="763"/>
        <v>1.3724581642774037E-2</v>
      </c>
      <c r="BA493" s="18">
        <f t="shared" si="827"/>
        <v>0.43472800689864372</v>
      </c>
      <c r="BB493" s="19">
        <f t="shared" si="828"/>
        <v>986.24193058242213</v>
      </c>
      <c r="BC493" s="15">
        <f t="shared" si="764"/>
        <v>5.4724838611648448E-6</v>
      </c>
      <c r="BD493" s="16">
        <f t="shared" si="765"/>
        <v>27.230782201697856</v>
      </c>
      <c r="BE493" s="17">
        <f t="shared" si="766"/>
        <v>1.3695950039071854E-2</v>
      </c>
      <c r="BF493" s="18">
        <f t="shared" si="829"/>
        <v>0.4357781859449491</v>
      </c>
      <c r="BG493" s="19">
        <f t="shared" si="830"/>
        <v>979.84846450267446</v>
      </c>
      <c r="BH493" s="15">
        <f t="shared" si="767"/>
        <v>5.4596969290053488E-6</v>
      </c>
      <c r="BI493" s="16">
        <f t="shared" si="768"/>
        <v>27.157257341780756</v>
      </c>
      <c r="BJ493" s="17">
        <f t="shared" si="769"/>
        <v>1.366394826648514E-2</v>
      </c>
      <c r="BK493" s="18">
        <f t="shared" si="831"/>
        <v>0.43695800059534962</v>
      </c>
      <c r="BL493" s="19">
        <f t="shared" si="832"/>
        <v>972.60773909948193</v>
      </c>
      <c r="BM493" s="15">
        <f t="shared" si="770"/>
        <v>5.4452154781989642E-6</v>
      </c>
      <c r="BN493" s="16">
        <f t="shared" si="771"/>
        <v>27.073988999644044</v>
      </c>
      <c r="BO493" s="17">
        <f t="shared" si="772"/>
        <v>1.3627705633017547E-2</v>
      </c>
      <c r="BP493" s="18">
        <f t="shared" si="833"/>
        <v>0.438301901868761</v>
      </c>
      <c r="BQ493" s="19">
        <f t="shared" si="834"/>
        <v>964.01088579705583</v>
      </c>
      <c r="BR493" s="15">
        <f t="shared" si="773"/>
        <v>5.4280217715941121E-6</v>
      </c>
      <c r="BS493" s="16">
        <f t="shared" si="774"/>
        <v>26.975125186666141</v>
      </c>
      <c r="BT493" s="17">
        <f t="shared" si="775"/>
        <v>1.358467505446845E-2</v>
      </c>
      <c r="BU493" s="18">
        <f t="shared" si="835"/>
        <v>0.43990827800063642</v>
      </c>
      <c r="BV493" s="19">
        <f t="shared" si="836"/>
        <v>952.72837014911352</v>
      </c>
      <c r="BW493" s="15">
        <f t="shared" si="776"/>
        <v>5.4054567402982271E-6</v>
      </c>
      <c r="BX493" s="16">
        <f t="shared" si="777"/>
        <v>26.845376256714804</v>
      </c>
      <c r="BY493" s="17">
        <f t="shared" si="778"/>
        <v>1.3528201696282475E-2</v>
      </c>
      <c r="BZ493" s="18">
        <f t="shared" si="837"/>
        <v>0.44203444035356831</v>
      </c>
      <c r="CA493" s="19">
        <f t="shared" si="838"/>
        <v>935.7073641359782</v>
      </c>
      <c r="CB493" s="15">
        <f t="shared" si="779"/>
        <v>5.3714147282719577E-6</v>
      </c>
      <c r="CC493" s="16">
        <f t="shared" si="780"/>
        <v>26.649634687563747</v>
      </c>
      <c r="CD493" s="17">
        <f t="shared" si="781"/>
        <v>1.3443004972496791E-2</v>
      </c>
      <c r="CE493" s="18">
        <f t="shared" si="839"/>
        <v>0.44528118335729111</v>
      </c>
      <c r="CF493" s="19">
        <f t="shared" si="840"/>
        <v>906.92795610817871</v>
      </c>
      <c r="CG493" s="15">
        <f t="shared" si="782"/>
        <v>5.3138559122163578E-6</v>
      </c>
      <c r="CH493" s="16">
        <f t="shared" si="783"/>
        <v>26.318671495244054</v>
      </c>
      <c r="CI493" s="17">
        <f t="shared" si="784"/>
        <v>1.329895289504803E-2</v>
      </c>
      <c r="CJ493" s="18">
        <f t="shared" si="841"/>
        <v>0.45088069402979791</v>
      </c>
      <c r="CK493" s="19">
        <f t="shared" si="842"/>
        <v>856.58781455497035</v>
      </c>
      <c r="CL493" s="15">
        <f t="shared" si="785"/>
        <v>5.2131756291099414E-6</v>
      </c>
      <c r="CM493" s="16">
        <f t="shared" si="786"/>
        <v>25.739759867382158</v>
      </c>
      <c r="CN493" s="17">
        <f t="shared" si="787"/>
        <v>1.304698100032387E-2</v>
      </c>
      <c r="CO493" s="18">
        <f t="shared" si="843"/>
        <v>0.46102142874904684</v>
      </c>
      <c r="CP493" s="19">
        <f t="shared" si="844"/>
        <v>772.65785830583434</v>
      </c>
      <c r="CQ493" s="15">
        <f t="shared" si="788"/>
        <v>5.0453157166116692E-6</v>
      </c>
      <c r="CR493" s="16">
        <f t="shared" si="789"/>
        <v>24.774565370517095</v>
      </c>
      <c r="CS493" s="17">
        <f t="shared" si="790"/>
        <v>1.2626879080708531E-2</v>
      </c>
      <c r="CT493" s="18">
        <f t="shared" si="845"/>
        <v>0.47898240361623823</v>
      </c>
      <c r="CU493" s="19">
        <f t="shared" si="846"/>
        <v>647.67525974241028</v>
      </c>
      <c r="CV493" s="15">
        <f t="shared" si="791"/>
        <v>4.8121535602213546E-6</v>
      </c>
      <c r="CW493" s="16">
        <f t="shared" si="792"/>
        <v>34.712417467470097</v>
      </c>
      <c r="CX493" s="17">
        <f t="shared" si="793"/>
        <v>1.2043345656775457E-2</v>
      </c>
      <c r="CY493" s="18">
        <f t="shared" si="847"/>
        <v>0.34185406075040375</v>
      </c>
      <c r="CZ493" s="20">
        <f t="shared" si="797"/>
        <v>492.05970991442086</v>
      </c>
      <c r="DA493" s="15">
        <f t="shared" si="794"/>
        <v>7.3337990034191821E-6</v>
      </c>
      <c r="DB493" s="16">
        <f t="shared" si="795"/>
        <v>39.225268412481796</v>
      </c>
      <c r="DC493" s="17">
        <f t="shared" si="796"/>
        <v>1.8354251432373198E-2</v>
      </c>
      <c r="DD493" s="18">
        <f t="shared" si="848"/>
        <v>0.30252389212311565</v>
      </c>
    </row>
    <row r="494" spans="2:108" x14ac:dyDescent="0.25">
      <c r="B494">
        <v>227</v>
      </c>
      <c r="C494">
        <f t="shared" si="849"/>
        <v>0.22191852926037209</v>
      </c>
      <c r="D494" s="19">
        <f t="shared" si="746"/>
        <v>1016.2638936989855</v>
      </c>
      <c r="E494" s="15">
        <f t="shared" si="798"/>
        <v>5.5325277873979717E-6</v>
      </c>
      <c r="F494" s="16">
        <f t="shared" si="747"/>
        <v>27.576034777538332</v>
      </c>
      <c r="G494" s="17">
        <f t="shared" si="744"/>
        <v>1.3846221585722624E-2</v>
      </c>
      <c r="H494" s="18">
        <f t="shared" si="799"/>
        <v>0.4303222332524636</v>
      </c>
      <c r="I494" s="19">
        <f t="shared" si="800"/>
        <v>1015.9392107155627</v>
      </c>
      <c r="J494" s="15">
        <f t="shared" si="801"/>
        <v>5.5318784214311261E-6</v>
      </c>
      <c r="K494" s="16">
        <f t="shared" si="748"/>
        <v>27.572300923228973</v>
      </c>
      <c r="L494" s="17">
        <f t="shared" si="802"/>
        <v>1.3844596421708509E-2</v>
      </c>
      <c r="M494" s="18">
        <f t="shared" si="803"/>
        <v>0.43038050769715058</v>
      </c>
      <c r="N494" s="19">
        <f t="shared" si="804"/>
        <v>1015.0328789792226</v>
      </c>
      <c r="O494" s="15">
        <f t="shared" si="805"/>
        <v>5.5300657579584457E-6</v>
      </c>
      <c r="P494" s="16">
        <f t="shared" si="806"/>
        <v>27.561878108261059</v>
      </c>
      <c r="Q494" s="17">
        <f t="shared" si="745"/>
        <v>1.3846221585722624E-2</v>
      </c>
      <c r="R494" s="18">
        <f t="shared" si="807"/>
        <v>0.43054326062639237</v>
      </c>
      <c r="S494" s="19">
        <f t="shared" si="808"/>
        <v>1013.5311499933988</v>
      </c>
      <c r="T494" s="15">
        <f t="shared" si="809"/>
        <v>5.5270622999867982E-6</v>
      </c>
      <c r="U494" s="16">
        <f t="shared" si="810"/>
        <v>27.544608224924083</v>
      </c>
      <c r="V494" s="17">
        <f t="shared" si="811"/>
        <v>1.383254314565379E-2</v>
      </c>
      <c r="W494" s="18">
        <f t="shared" si="812"/>
        <v>0.43081320209086416</v>
      </c>
      <c r="X494" s="19">
        <f t="shared" si="813"/>
        <v>1011.4322590995552</v>
      </c>
      <c r="Y494" s="15">
        <f t="shared" si="814"/>
        <v>5.5228645181991107E-6</v>
      </c>
      <c r="Z494" s="16">
        <f t="shared" si="815"/>
        <v>27.520470979644884</v>
      </c>
      <c r="AA494" s="17">
        <f t="shared" si="816"/>
        <v>1.3822037384266884E-2</v>
      </c>
      <c r="AB494" s="18">
        <f t="shared" si="817"/>
        <v>0.43119105332517171</v>
      </c>
      <c r="AC494" s="19">
        <f t="shared" si="818"/>
        <v>1008.7347760393417</v>
      </c>
      <c r="AD494" s="15">
        <f t="shared" si="749"/>
        <v>5.5174695520786841E-6</v>
      </c>
      <c r="AE494" s="16">
        <f t="shared" si="750"/>
        <v>27.48944992445243</v>
      </c>
      <c r="AF494" s="17">
        <f t="shared" si="751"/>
        <v>1.3808535437377244E-2</v>
      </c>
      <c r="AG494" s="18">
        <f t="shared" si="819"/>
        <v>0.43167764005209619</v>
      </c>
      <c r="AH494" s="19">
        <f t="shared" si="820"/>
        <v>1005.4382909711567</v>
      </c>
      <c r="AI494" s="15">
        <f t="shared" si="752"/>
        <v>5.5108765819423137E-6</v>
      </c>
      <c r="AJ494" s="16">
        <f t="shared" si="753"/>
        <v>27.451540346168301</v>
      </c>
      <c r="AK494" s="17">
        <f t="shared" si="754"/>
        <v>1.3792035253569009E-2</v>
      </c>
      <c r="AL494" s="18">
        <f t="shared" si="821"/>
        <v>0.43227377116469318</v>
      </c>
      <c r="AM494" s="19">
        <f t="shared" si="822"/>
        <v>1001.542422043457</v>
      </c>
      <c r="AN494" s="15">
        <f t="shared" si="755"/>
        <v>5.5030848440869136E-6</v>
      </c>
      <c r="AO494" s="16">
        <f t="shared" si="756"/>
        <v>27.406737853499756</v>
      </c>
      <c r="AP494" s="17">
        <f t="shared" si="757"/>
        <v>1.3772534921527392E-2</v>
      </c>
      <c r="AQ494" s="18">
        <f t="shared" si="823"/>
        <v>0.43298042011236931</v>
      </c>
      <c r="AR494" s="19">
        <f t="shared" si="824"/>
        <v>997.0461225520479</v>
      </c>
      <c r="AS494" s="15">
        <f t="shared" si="758"/>
        <v>5.4940922451040963E-6</v>
      </c>
      <c r="AT494" s="16">
        <f t="shared" si="759"/>
        <v>27.355030409348551</v>
      </c>
      <c r="AU494" s="17">
        <f t="shared" si="760"/>
        <v>1.3750029202092734E-2</v>
      </c>
      <c r="AV494" s="18">
        <f t="shared" si="825"/>
        <v>0.43379885498728993</v>
      </c>
      <c r="AW494" s="19">
        <f t="shared" si="826"/>
        <v>991.94530375008071</v>
      </c>
      <c r="AX494" s="15">
        <f t="shared" si="761"/>
        <v>5.4838906075001624E-6</v>
      </c>
      <c r="AY494" s="16">
        <f t="shared" si="762"/>
        <v>27.296370993125926</v>
      </c>
      <c r="AZ494" s="17">
        <f t="shared" si="763"/>
        <v>1.3724497629504331E-2</v>
      </c>
      <c r="BA494" s="18">
        <f t="shared" si="827"/>
        <v>0.43473108101828895</v>
      </c>
      <c r="BB494" s="19">
        <f t="shared" si="828"/>
        <v>986.22437709360804</v>
      </c>
      <c r="BC494" s="15">
        <f t="shared" si="764"/>
        <v>5.4724487541872171E-6</v>
      </c>
      <c r="BD494" s="16">
        <f t="shared" si="765"/>
        <v>27.230580336576491</v>
      </c>
      <c r="BE494" s="17">
        <f t="shared" si="766"/>
        <v>1.3695862177065532E-2</v>
      </c>
      <c r="BF494" s="18">
        <f t="shared" si="829"/>
        <v>0.43578141644592655</v>
      </c>
      <c r="BG494" s="19">
        <f t="shared" si="830"/>
        <v>979.82837273723203</v>
      </c>
      <c r="BH494" s="15">
        <f t="shared" si="767"/>
        <v>5.4596567454744644E-6</v>
      </c>
      <c r="BI494" s="16">
        <f t="shared" si="768"/>
        <v>27.157026286478168</v>
      </c>
      <c r="BJ494" s="17">
        <f t="shared" si="769"/>
        <v>1.3663847699421746E-2</v>
      </c>
      <c r="BK494" s="18">
        <f t="shared" si="831"/>
        <v>0.43696171828748503</v>
      </c>
      <c r="BL494" s="19">
        <f t="shared" si="832"/>
        <v>972.58019241343254</v>
      </c>
      <c r="BM494" s="15">
        <f t="shared" si="770"/>
        <v>5.4451603848268654E-6</v>
      </c>
      <c r="BN494" s="16">
        <f t="shared" si="771"/>
        <v>27.073672212754474</v>
      </c>
      <c r="BO494" s="17">
        <f t="shared" si="772"/>
        <v>1.3627567751190776E-2</v>
      </c>
      <c r="BP494" s="18">
        <f t="shared" si="833"/>
        <v>0.43830703040452423</v>
      </c>
      <c r="BQ494" s="19">
        <f t="shared" si="834"/>
        <v>963.96386723428463</v>
      </c>
      <c r="BR494" s="15">
        <f t="shared" si="773"/>
        <v>5.4279277344685695E-6</v>
      </c>
      <c r="BS494" s="16">
        <f t="shared" si="774"/>
        <v>26.974584473194273</v>
      </c>
      <c r="BT494" s="17">
        <f t="shared" si="775"/>
        <v>1.3584439708361285E-2</v>
      </c>
      <c r="BU494" s="18">
        <f t="shared" si="835"/>
        <v>0.43991709609132984</v>
      </c>
      <c r="BV494" s="19">
        <f t="shared" si="836"/>
        <v>952.63668427688981</v>
      </c>
      <c r="BW494" s="15">
        <f t="shared" si="776"/>
        <v>5.4052733685537797E-6</v>
      </c>
      <c r="BX494" s="16">
        <f t="shared" si="777"/>
        <v>26.844321869184231</v>
      </c>
      <c r="BY494" s="17">
        <f t="shared" si="778"/>
        <v>1.3527742773001155E-2</v>
      </c>
      <c r="BZ494" s="18">
        <f t="shared" si="837"/>
        <v>0.44205180252066878</v>
      </c>
      <c r="CA494" s="19">
        <f t="shared" si="838"/>
        <v>935.52764695743417</v>
      </c>
      <c r="CB494" s="15">
        <f t="shared" si="779"/>
        <v>5.3710552939148681E-6</v>
      </c>
      <c r="CC494" s="16">
        <f t="shared" si="780"/>
        <v>26.647567940010493</v>
      </c>
      <c r="CD494" s="17">
        <f t="shared" si="781"/>
        <v>1.344210541845115E-2</v>
      </c>
      <c r="CE494" s="18">
        <f t="shared" si="839"/>
        <v>0.44531571873396358</v>
      </c>
      <c r="CF494" s="19">
        <f t="shared" si="840"/>
        <v>906.60489903878954</v>
      </c>
      <c r="CG494" s="15">
        <f t="shared" si="782"/>
        <v>5.3132097980775793E-6</v>
      </c>
      <c r="CH494" s="16">
        <f t="shared" si="783"/>
        <v>26.314956338946079</v>
      </c>
      <c r="CI494" s="17">
        <f t="shared" si="784"/>
        <v>1.329733586936303E-2</v>
      </c>
      <c r="CJ494" s="18">
        <f t="shared" si="841"/>
        <v>0.45094434955057799</v>
      </c>
      <c r="CK494" s="19">
        <f t="shared" si="842"/>
        <v>856.08864672517802</v>
      </c>
      <c r="CL494" s="15">
        <f t="shared" si="785"/>
        <v>5.2121772934503568E-6</v>
      </c>
      <c r="CM494" s="16">
        <f t="shared" si="786"/>
        <v>25.734019437339548</v>
      </c>
      <c r="CN494" s="17">
        <f t="shared" si="787"/>
        <v>1.3044482472112042E-2</v>
      </c>
      <c r="CO494" s="18">
        <f t="shared" si="843"/>
        <v>0.461124267765949</v>
      </c>
      <c r="CP494" s="19">
        <f t="shared" si="844"/>
        <v>772.04664905052459</v>
      </c>
      <c r="CQ494" s="15">
        <f t="shared" si="788"/>
        <v>5.0440932981010499E-6</v>
      </c>
      <c r="CR494" s="16">
        <f t="shared" si="789"/>
        <v>24.767536464081033</v>
      </c>
      <c r="CS494" s="17">
        <f t="shared" si="790"/>
        <v>1.2623819741791683E-2</v>
      </c>
      <c r="CT494" s="18">
        <f t="shared" si="845"/>
        <v>0.4791183364937136</v>
      </c>
      <c r="CU494" s="19">
        <f t="shared" si="846"/>
        <v>647.1953385599827</v>
      </c>
      <c r="CV494" s="15">
        <f t="shared" si="791"/>
        <v>4.8208704475098214E-6</v>
      </c>
      <c r="CW494" s="16">
        <f t="shared" si="792"/>
        <v>34.726335181760497</v>
      </c>
      <c r="CX494" s="17">
        <f t="shared" si="793"/>
        <v>1.2065161354332152E-2</v>
      </c>
      <c r="CY494" s="18">
        <f t="shared" si="847"/>
        <v>0.34171705155776549</v>
      </c>
      <c r="CZ494" s="20">
        <f t="shared" si="797"/>
        <v>492.05979049833195</v>
      </c>
      <c r="DA494" s="15">
        <f t="shared" si="794"/>
        <v>7.3337978007590843E-6</v>
      </c>
      <c r="DB494" s="16">
        <f t="shared" si="795"/>
        <v>39.225266075548369</v>
      </c>
      <c r="DC494" s="17">
        <f t="shared" si="796"/>
        <v>1.8354248422483534E-2</v>
      </c>
      <c r="DD494" s="18">
        <f t="shared" si="848"/>
        <v>0.30252391014665675</v>
      </c>
    </row>
  </sheetData>
  <mergeCells count="4">
    <mergeCell ref="F7:G7"/>
    <mergeCell ref="F8:G8"/>
    <mergeCell ref="F255:G255"/>
    <mergeCell ref="F256:G2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 Shinde</dc:creator>
  <cp:lastModifiedBy>Vijayan Shinde</cp:lastModifiedBy>
  <dcterms:created xsi:type="dcterms:W3CDTF">2026-07-29T17:52:49Z</dcterms:created>
  <dcterms:modified xsi:type="dcterms:W3CDTF">2026-07-29T18:32:07Z</dcterms:modified>
</cp:coreProperties>
</file>